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 Sanz Prades\Desktop\"/>
    </mc:Choice>
  </mc:AlternateContent>
  <xr:revisionPtr revIDLastSave="0" documentId="13_ncr:1_{0D74EC7C-4755-448E-B681-8F85122EC2A3}" xr6:coauthVersionLast="47" xr6:coauthVersionMax="47" xr10:uidLastSave="{00000000-0000-0000-0000-000000000000}"/>
  <bookViews>
    <workbookView xWindow="-108" yWindow="-108" windowWidth="30936" windowHeight="12456" xr2:uid="{00000000-000D-0000-FFFF-FFFF00000000}"/>
  </bookViews>
  <sheets>
    <sheet name="Resumen" sheetId="1" r:id="rId1"/>
    <sheet name="libros-poner en hoja principal" sheetId="2" r:id="rId2"/>
  </sheets>
  <definedNames>
    <definedName name="_xlnm.Print_Area" localSheetId="0">Resumen!$A$2:$R$55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7" i="1" l="1"/>
  <c r="U6" i="1"/>
  <c r="U9" i="1"/>
  <c r="T9" i="1"/>
  <c r="U17" i="1"/>
  <c r="G6" i="1"/>
  <c r="U55" i="1"/>
  <c r="U54" i="1"/>
  <c r="U52" i="1"/>
  <c r="U51" i="1"/>
  <c r="U50" i="1"/>
  <c r="U49" i="1"/>
  <c r="U48" i="1"/>
  <c r="U47" i="1"/>
  <c r="U46" i="1"/>
  <c r="U44" i="1"/>
  <c r="U43" i="1"/>
  <c r="U40" i="1"/>
  <c r="U39" i="1"/>
  <c r="U38" i="1"/>
  <c r="U37" i="1"/>
  <c r="U36" i="1"/>
  <c r="U35" i="1"/>
  <c r="U34" i="1"/>
  <c r="U32" i="1"/>
  <c r="U30" i="1"/>
  <c r="U29" i="1"/>
  <c r="U28" i="1"/>
  <c r="U27" i="1"/>
  <c r="U26" i="1"/>
  <c r="U25" i="1"/>
  <c r="U24" i="1"/>
  <c r="U23" i="1"/>
  <c r="U21" i="1"/>
  <c r="U18" i="1"/>
  <c r="U16" i="1"/>
  <c r="U15" i="1"/>
  <c r="U14" i="1"/>
  <c r="U13" i="1"/>
  <c r="U12" i="1"/>
  <c r="U8" i="1"/>
  <c r="U5" i="1"/>
  <c r="T46" i="1"/>
  <c r="T47" i="1"/>
  <c r="T48" i="1"/>
  <c r="T49" i="1"/>
  <c r="T50" i="1"/>
  <c r="T51" i="1"/>
  <c r="T54" i="1"/>
  <c r="T55" i="1"/>
  <c r="T34" i="1"/>
  <c r="T35" i="1"/>
  <c r="T36" i="1"/>
  <c r="T37" i="1"/>
  <c r="T38" i="1"/>
  <c r="T39" i="1"/>
  <c r="T40" i="1"/>
  <c r="T43" i="1"/>
  <c r="T44" i="1"/>
  <c r="T23" i="1"/>
  <c r="T24" i="1"/>
  <c r="T25" i="1"/>
  <c r="T26" i="1"/>
  <c r="T27" i="1"/>
  <c r="T28" i="1"/>
  <c r="T29" i="1"/>
  <c r="T30" i="1"/>
  <c r="T32" i="1"/>
  <c r="T12" i="1"/>
  <c r="T13" i="1"/>
  <c r="T14" i="1"/>
  <c r="T15" i="1"/>
  <c r="T16" i="1"/>
  <c r="T17" i="1"/>
  <c r="T18" i="1"/>
  <c r="T21" i="1"/>
  <c r="M1" i="1"/>
  <c r="W58" i="1"/>
  <c r="X58" i="1"/>
  <c r="AA58" i="1"/>
  <c r="Y58" i="1"/>
  <c r="Z58" i="1"/>
  <c r="AB58" i="1"/>
  <c r="V58" i="1"/>
  <c r="T8" i="1"/>
  <c r="T7" i="1"/>
  <c r="T6" i="1"/>
  <c r="T5" i="1"/>
  <c r="AB64" i="1"/>
  <c r="X64" i="1"/>
  <c r="AB62" i="1"/>
  <c r="Y62" i="1"/>
  <c r="AA62" i="1"/>
  <c r="W62" i="1"/>
  <c r="AB61" i="1"/>
  <c r="V61" i="1"/>
  <c r="X60" i="1"/>
  <c r="V60" i="1"/>
  <c r="AA59" i="1"/>
  <c r="X59" i="1"/>
  <c r="AB57" i="1"/>
  <c r="Z57" i="1"/>
  <c r="Y57" i="1"/>
  <c r="AA57" i="1"/>
  <c r="X57" i="1"/>
  <c r="W57" i="1"/>
  <c r="V57" i="1"/>
  <c r="O52" i="1"/>
  <c r="O51" i="1"/>
  <c r="J51" i="1"/>
  <c r="H51" i="1"/>
  <c r="O50" i="1"/>
  <c r="O53" i="1"/>
  <c r="O49" i="1"/>
  <c r="J49" i="1"/>
  <c r="H49" i="1"/>
  <c r="O48" i="1"/>
  <c r="J48" i="1"/>
  <c r="H48" i="1"/>
  <c r="O47" i="1"/>
  <c r="J47" i="1"/>
  <c r="H47" i="1"/>
  <c r="O46" i="1"/>
  <c r="Z62" i="1" s="1"/>
  <c r="J46" i="1"/>
  <c r="H46" i="1"/>
  <c r="I45" i="1"/>
  <c r="G45" i="1"/>
  <c r="F45" i="1"/>
  <c r="E45" i="1"/>
  <c r="J8" i="1" s="1"/>
  <c r="D45" i="1"/>
  <c r="O41" i="1"/>
  <c r="O40" i="1"/>
  <c r="O42" i="1"/>
  <c r="O39" i="1"/>
  <c r="O38" i="1"/>
  <c r="O37" i="1"/>
  <c r="Z61" i="1" s="1"/>
  <c r="J37" i="1"/>
  <c r="H37" i="1"/>
  <c r="O36" i="1"/>
  <c r="Y61" i="1" s="1"/>
  <c r="J36" i="1"/>
  <c r="H36" i="1"/>
  <c r="O35" i="1"/>
  <c r="W61" i="1" s="1"/>
  <c r="O34" i="1"/>
  <c r="I33" i="1"/>
  <c r="G33" i="1"/>
  <c r="F33" i="1"/>
  <c r="W64" i="1" s="1"/>
  <c r="E33" i="1"/>
  <c r="H8" i="1" s="1"/>
  <c r="D33" i="1"/>
  <c r="O29" i="1"/>
  <c r="O28" i="1"/>
  <c r="J28" i="1"/>
  <c r="H28" i="1"/>
  <c r="O27" i="1"/>
  <c r="H27" i="1"/>
  <c r="O31" i="1"/>
  <c r="H31" i="1"/>
  <c r="O30" i="1"/>
  <c r="O26" i="1"/>
  <c r="W60" i="1" s="1"/>
  <c r="J26" i="1"/>
  <c r="H26" i="1"/>
  <c r="O25" i="1"/>
  <c r="J25" i="1"/>
  <c r="H25" i="1"/>
  <c r="O24" i="1"/>
  <c r="AB60" i="1" s="1"/>
  <c r="J24" i="1"/>
  <c r="H24" i="1"/>
  <c r="O23" i="1"/>
  <c r="Y60" i="1" s="1"/>
  <c r="J23" i="1"/>
  <c r="H23" i="1"/>
  <c r="I22" i="1"/>
  <c r="G22" i="1"/>
  <c r="F22" i="1"/>
  <c r="Y64" i="1" s="1"/>
  <c r="E22" i="1"/>
  <c r="J7" i="1" s="1"/>
  <c r="D22" i="1"/>
  <c r="O19" i="1"/>
  <c r="O17" i="1"/>
  <c r="O20" i="1"/>
  <c r="O18" i="1"/>
  <c r="O16" i="1"/>
  <c r="AB59" i="1" s="1"/>
  <c r="J16" i="1"/>
  <c r="O15" i="1"/>
  <c r="J15" i="1"/>
  <c r="H15" i="1"/>
  <c r="H11" i="1" s="1"/>
  <c r="O14" i="1"/>
  <c r="O13" i="1"/>
  <c r="W59" i="1" s="1"/>
  <c r="O12" i="1"/>
  <c r="I11" i="1"/>
  <c r="G11" i="1"/>
  <c r="F11" i="1"/>
  <c r="E11" i="1"/>
  <c r="H7" i="1" s="1"/>
  <c r="D11" i="1"/>
  <c r="F8" i="1"/>
  <c r="F7" i="1"/>
  <c r="X62" i="1" l="1"/>
  <c r="Z60" i="1"/>
  <c r="Z59" i="1"/>
  <c r="S56" i="1"/>
  <c r="Q58" i="1"/>
  <c r="R57" i="1"/>
  <c r="R58" i="1"/>
  <c r="P33" i="1"/>
  <c r="Q57" i="1"/>
  <c r="P11" i="1"/>
  <c r="P22" i="1"/>
  <c r="P45" i="1"/>
  <c r="X61" i="1"/>
  <c r="AA64" i="1"/>
  <c r="V63" i="1"/>
  <c r="Z64" i="1"/>
  <c r="AA63" i="1"/>
  <c r="B7" i="1"/>
  <c r="D7" i="1" s="1"/>
  <c r="G7" i="1" s="1"/>
  <c r="X3" i="1"/>
  <c r="X56" i="1" s="1"/>
  <c r="B8" i="1"/>
  <c r="C8" i="1" s="1"/>
  <c r="I8" i="1" s="1"/>
  <c r="V62" i="1"/>
  <c r="H33" i="1"/>
  <c r="E7" i="1"/>
  <c r="H22" i="1"/>
  <c r="E8" i="1"/>
  <c r="AA3" i="1"/>
  <c r="AA56" i="1" s="1"/>
  <c r="Y3" i="1"/>
  <c r="Y56" i="1" s="1"/>
  <c r="H45" i="1"/>
  <c r="Z3" i="1"/>
  <c r="Z56" i="1" s="1"/>
  <c r="V3" i="1"/>
  <c r="V56" i="1" s="1"/>
  <c r="AA61" i="1"/>
  <c r="V64" i="1"/>
  <c r="Y59" i="1"/>
  <c r="AA60" i="1"/>
  <c r="W63" i="1"/>
  <c r="W65" i="1" s="1"/>
  <c r="X63" i="1"/>
  <c r="X65" i="1" s="1"/>
  <c r="W3" i="1"/>
  <c r="AB3" i="1"/>
  <c r="AB56" i="1" s="1"/>
  <c r="V59" i="1"/>
  <c r="Y63" i="1"/>
  <c r="Y65" i="1" s="1"/>
  <c r="Z63" i="1"/>
  <c r="AB63" i="1"/>
  <c r="AB65" i="1" s="1"/>
  <c r="AA65" i="1" l="1"/>
  <c r="Z65" i="1"/>
  <c r="C7" i="1"/>
  <c r="I7" i="1" s="1"/>
  <c r="D8" i="1"/>
  <c r="G8" i="1" s="1"/>
  <c r="V65" i="1"/>
  <c r="U3" i="1"/>
  <c r="W56" i="1"/>
</calcChain>
</file>

<file path=xl/sharedStrings.xml><?xml version="1.0" encoding="utf-8"?>
<sst xmlns="http://schemas.openxmlformats.org/spreadsheetml/2006/main" count="428" uniqueCount="164">
  <si>
    <t>TOTAL</t>
  </si>
  <si>
    <t>OTROS</t>
  </si>
  <si>
    <t>AD</t>
  </si>
  <si>
    <t>EXCESO</t>
  </si>
  <si>
    <t>X</t>
  </si>
  <si>
    <t>COFOTAP</t>
  </si>
  <si>
    <t>SE</t>
  </si>
  <si>
    <t>EE</t>
  </si>
  <si>
    <t>Pablo J.</t>
  </si>
  <si>
    <t>Módulos</t>
  </si>
  <si>
    <t>0551 Elementos de sistemas de telecomunicaciones</t>
  </si>
  <si>
    <t>0552 Sistemas informáticos y redes locales</t>
  </si>
  <si>
    <t>0713 Sistemas de telefonía fija y móvil</t>
  </si>
  <si>
    <t>0556 Sistemas de radiocomunicaciones</t>
  </si>
  <si>
    <t>0557 Sistemas integrados y hogar digital</t>
  </si>
  <si>
    <t>0555 Redes telemáticas</t>
  </si>
  <si>
    <t>0359 Electrónica aplicada</t>
  </si>
  <si>
    <t>0362 Instalaciones eléctricas básicas</t>
  </si>
  <si>
    <t>0360 Equipos microinformáticos</t>
  </si>
  <si>
    <t>0364 Circuito cerrado de televisión y seguridad electrónica</t>
  </si>
  <si>
    <t>0238 Instalaciones domóticas</t>
  </si>
  <si>
    <t>0363 Instalaciones de megafonía y sonorización</t>
  </si>
  <si>
    <t>0365 Instalaciones de radiocomunicaciones</t>
  </si>
  <si>
    <t>Mayor 55</t>
  </si>
  <si>
    <t>Jefatura Dpto.</t>
  </si>
  <si>
    <t>¿Apoyos?</t>
  </si>
  <si>
    <t>Tutor 1º GS</t>
  </si>
  <si>
    <t>1º GS</t>
  </si>
  <si>
    <t>2º GS</t>
  </si>
  <si>
    <t>1º GM</t>
  </si>
  <si>
    <t>2º GM</t>
  </si>
  <si>
    <t xml:space="preserve">1708 Sostenibilidad aplicada al sistema productivo </t>
  </si>
  <si>
    <t>0554 Sistemas de producción audiovisual</t>
  </si>
  <si>
    <t>Mïn</t>
  </si>
  <si>
    <t>Máx</t>
  </si>
  <si>
    <t>1709 Itinerario personal para la empleabilidad I</t>
  </si>
  <si>
    <t>1710 Itinerario personal para la empleabilidad II</t>
  </si>
  <si>
    <t>A997 Tutoría I</t>
  </si>
  <si>
    <t>H./Sem.</t>
  </si>
  <si>
    <t>H./Mod.</t>
  </si>
  <si>
    <t>A996 Tutoría II</t>
  </si>
  <si>
    <t>1664 Digitalización aplicada a los sectores productivos (GM)</t>
  </si>
  <si>
    <t xml:space="preserve">1713 Proyecto intermodular </t>
  </si>
  <si>
    <t>IT203</t>
  </si>
  <si>
    <t>STI304</t>
  </si>
  <si>
    <t>Curso</t>
  </si>
  <si>
    <t>H./IES</t>
  </si>
  <si>
    <t>H./FE</t>
  </si>
  <si>
    <t>%Dual</t>
  </si>
  <si>
    <t>NºRA Dual</t>
  </si>
  <si>
    <t>RA Dual</t>
  </si>
  <si>
    <t>Mínimo</t>
  </si>
  <si>
    <t>Real</t>
  </si>
  <si>
    <t>GM</t>
  </si>
  <si>
    <t>GS</t>
  </si>
  <si>
    <t>RA 1</t>
  </si>
  <si>
    <t>NºRAxMód</t>
  </si>
  <si>
    <t>1665 Digitalización aplicada a los sectores productivos (GS)</t>
  </si>
  <si>
    <t>0558 Proyecto intermodular de STI</t>
  </si>
  <si>
    <t>HORAS 1º</t>
  </si>
  <si>
    <t>5, NO suma</t>
  </si>
  <si>
    <t>4, NO suma</t>
  </si>
  <si>
    <t>RA 1,6,7</t>
  </si>
  <si>
    <t>RA 1,7</t>
  </si>
  <si>
    <t>RA 1,7,8</t>
  </si>
  <si>
    <t>RA 8,9</t>
  </si>
  <si>
    <t>RA 1,5,6</t>
  </si>
  <si>
    <t>RA 6,7</t>
  </si>
  <si>
    <t>Optativo - Programación de aplicaciones</t>
  </si>
  <si>
    <t>A172 Ofimática avanzada</t>
  </si>
  <si>
    <t>RA 2,3,9</t>
  </si>
  <si>
    <t>0525 Configuración de infraestructuras de sistemas de tele</t>
  </si>
  <si>
    <t>0601 Gestión de proyectos de instalaciones de teleco</t>
  </si>
  <si>
    <t>0553 Técnicas y procesos en infraestructuras de teleco</t>
  </si>
  <si>
    <t>Cl</t>
  </si>
  <si>
    <t>0237 Infra. comunes de teleco en viviendas y edificios</t>
  </si>
  <si>
    <t>0361 Infra. de redes de datos y sistemas de telefonía</t>
  </si>
  <si>
    <t>Profesorado</t>
  </si>
  <si>
    <t>0156 Inglés Profesoradosional (GM)</t>
  </si>
  <si>
    <t>0179 Inglés Profesoradosional</t>
  </si>
  <si>
    <t>Fidel V.</t>
  </si>
  <si>
    <t>Rafa S.</t>
  </si>
  <si>
    <t>Alejandro D.</t>
  </si>
  <si>
    <t>:Total</t>
  </si>
  <si>
    <t>:Exclusivo</t>
  </si>
  <si>
    <t>:No exclusivo</t>
  </si>
  <si>
    <t>H.Gestión</t>
  </si>
  <si>
    <t>¿Ajustado?</t>
  </si>
  <si>
    <t>Asociada a Docencia DEL DPTO</t>
  </si>
  <si>
    <t>Siglas</t>
  </si>
  <si>
    <t>Descripción</t>
  </si>
  <si>
    <t>Asignación profesorado</t>
  </si>
  <si>
    <t>Responsabilidad</t>
  </si>
  <si>
    <t>Horas dual</t>
  </si>
  <si>
    <t>Primero</t>
  </si>
  <si>
    <t>Segundo</t>
  </si>
  <si>
    <t>Resultados de aprendizaje</t>
  </si>
  <si>
    <t>Asociada a especialidad de Sistemas Electrónicos</t>
  </si>
  <si>
    <t>Asociada a especialidad de Equipos Electrónicos</t>
  </si>
  <si>
    <t>Aula</t>
  </si>
  <si>
    <t>CM1</t>
  </si>
  <si>
    <t>CM2</t>
  </si>
  <si>
    <t>ATECA</t>
  </si>
  <si>
    <t>CS1</t>
  </si>
  <si>
    <t>CS2</t>
  </si>
  <si>
    <t>C</t>
  </si>
  <si>
    <t>Módulo diseñado por Pablo J.</t>
  </si>
  <si>
    <t>Libros de texto</t>
  </si>
  <si>
    <t>MATERIA TÍTULO</t>
  </si>
  <si>
    <t>AUTORES</t>
  </si>
  <si>
    <t>EDITORIAL</t>
  </si>
  <si>
    <t>ISBN</t>
  </si>
  <si>
    <t>1 GM</t>
  </si>
  <si>
    <t>Electrónica Aplicada</t>
  </si>
  <si>
    <t>Mc Graw Hill</t>
  </si>
  <si>
    <t>978-84-481-7162-9</t>
  </si>
  <si>
    <t>Infraestructuras comunes de telecomunicación en viviendas y edificios 2.ª edición 2021</t>
  </si>
  <si>
    <t>Luis Miguel Cerdá Filiu, Tomás Hidalgo Iturralde</t>
  </si>
  <si>
    <t>978-84-136-6085-1</t>
  </si>
  <si>
    <t>Equipos Microinformáticos (2ª edición)</t>
  </si>
  <si>
    <t>Isidoro Berral Montero</t>
  </si>
  <si>
    <t>978-84-283-3854-7</t>
  </si>
  <si>
    <t>Instalaciones Eléctricas Básicas</t>
  </si>
  <si>
    <t>Juan Castillo Pedrosa</t>
  </si>
  <si>
    <t>978-84-481-7310-4</t>
  </si>
  <si>
    <t>Infraestructuras de redes de datos y sistemas de telefonía</t>
  </si>
  <si>
    <t>Miguel Moro Ballina</t>
  </si>
  <si>
    <t>978-84-9732-874-6</t>
  </si>
  <si>
    <t>2 GM</t>
  </si>
  <si>
    <t>Circuito Cerrado de Televisión y Seguridad Electrónica (2ª Edición)</t>
  </si>
  <si>
    <t>Julian Rodriguez Fernandez</t>
  </si>
  <si>
    <t>978-84-283-3929-2</t>
  </si>
  <si>
    <t>Instalaciones de Radiocomunicaciones(2ª Edición)</t>
  </si>
  <si>
    <t>Javier Garcia</t>
  </si>
  <si>
    <t>978-84-283-4007-6</t>
  </si>
  <si>
    <t>1 GS</t>
  </si>
  <si>
    <t>Configuración e infraestructuras de Sistemas de Telecomunicaciones</t>
  </si>
  <si>
    <t>Juan Millan Esteller</t>
  </si>
  <si>
    <t>978-84-973-2934-7</t>
  </si>
  <si>
    <t>ELEMENTOS DE SISTEMAS DE TELECOMUNICACIONES</t>
  </si>
  <si>
    <t>Sergio Gallardo Vazquez</t>
  </si>
  <si>
    <t>978-84-283-3663-5</t>
  </si>
  <si>
    <t>Gestión de proyectos de instalaciones de telecomunicaciones</t>
  </si>
  <si>
    <t>Ramon Ramirez Luz</t>
  </si>
  <si>
    <t>978-84-283-3867-7</t>
  </si>
  <si>
    <t>2 GS</t>
  </si>
  <si>
    <t>Sistemas de Radiocomunicaciones</t>
  </si>
  <si>
    <t>Ramón Ramirez</t>
  </si>
  <si>
    <t>978-84-973-2448-9</t>
  </si>
  <si>
    <t>Telemática</t>
  </si>
  <si>
    <t>Carlos Valdivia</t>
  </si>
  <si>
    <t>78-84-283-3-3487-7</t>
  </si>
  <si>
    <t>Sistemas integrados de Hogar digital</t>
  </si>
  <si>
    <t>Carlos Enrique Ruiz Buitron</t>
  </si>
  <si>
    <t>PANANINFO</t>
  </si>
  <si>
    <t>978-84-283-3996-4</t>
  </si>
  <si>
    <t>Guadalupe Carmona Rubio. Tomás Díaz Corbacho</t>
  </si>
  <si>
    <t>Paraninfo</t>
  </si>
  <si>
    <t>Módulos, aulas, horas y profesorado</t>
  </si>
  <si>
    <t>Luis G.</t>
  </si>
  <si>
    <t>Susana A.</t>
  </si>
  <si>
    <t>Eduardo A.</t>
  </si>
  <si>
    <t>Tutor Dual</t>
  </si>
  <si>
    <t>Tutor 2º 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</si>
</sst>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"/>
    <numFmt numFmtId="166" formatCode="[$-C0A]d\ &quot;de&quot;\ mmmm\ &quot;de&quot;\ yyyy;@"/>
  </numFmts>
  <fonts count="11" x14ac:knownFonts="1">
    <font>
      <sz val="10"/>
      <color rgb="FF000000"/>
      <name val="Arial"/>
    </font>
    <font>
      <b/>
      <sz val="11"/>
      <name val="Arial Narrow"/>
      <family val="2"/>
    </font>
    <font>
      <sz val="11"/>
      <name val="Arial Narrow"/>
      <family val="2"/>
    </font>
    <font>
      <sz val="10"/>
      <color rgb="FF000000"/>
      <name val="Arial"/>
    </font>
    <font>
      <sz val="8"/>
      <name val="Arial"/>
      <family val="2"/>
    </font>
    <font>
      <b/>
      <sz val="18"/>
      <name val="Arial Narrow"/>
      <family val="2"/>
    </font>
    <font>
      <b/>
      <sz val="11"/>
      <color rgb="FFFF0000"/>
      <name val="Arial Narrow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22"/>
      <name val="Arial Narrow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CFE2F3"/>
      </patternFill>
    </fill>
    <fill>
      <patternFill patternType="solid">
        <fgColor theme="4" tint="0.59999389629810485"/>
        <bgColor rgb="FF00B0F0"/>
      </patternFill>
    </fill>
    <fill>
      <patternFill patternType="solid">
        <fgColor theme="4" tint="0.59999389629810485"/>
        <bgColor rgb="FF6D9EEB"/>
      </patternFill>
    </fill>
    <fill>
      <patternFill patternType="solid">
        <fgColor theme="7" tint="0.59999389629810485"/>
        <bgColor rgb="FFFF99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92D05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rgb="FFFF9900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9" tint="0.79998168889431442"/>
        <bgColor rgb="FF6D9EEB"/>
      </patternFill>
    </fill>
    <fill>
      <patternFill patternType="solid">
        <fgColor theme="9" tint="0.79998168889431442"/>
        <bgColor rgb="FFCFE2F3"/>
      </patternFill>
    </fill>
    <fill>
      <patternFill patternType="solid">
        <fgColor theme="0" tint="-0.14999847407452621"/>
        <bgColor rgb="FFFF9900"/>
      </patternFill>
    </fill>
    <fill>
      <patternFill patternType="solid">
        <fgColor theme="0" tint="-0.14999847407452621"/>
        <bgColor rgb="FFFFE599"/>
      </patternFill>
    </fill>
    <fill>
      <patternFill patternType="solid">
        <fgColor theme="0" tint="-0.14999847407452621"/>
        <bgColor rgb="FF6D9EEB"/>
      </patternFill>
    </fill>
    <fill>
      <patternFill patternType="solid">
        <fgColor theme="0"/>
        <bgColor rgb="FFCFE2F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9900"/>
      </patternFill>
    </fill>
    <fill>
      <patternFill patternType="solid">
        <fgColor theme="0" tint="-4.9989318521683403E-2"/>
        <bgColor rgb="FFFFE599"/>
      </patternFill>
    </fill>
    <fill>
      <patternFill patternType="solid">
        <fgColor theme="0" tint="-4.9989318521683403E-2"/>
        <bgColor rgb="FF6D9EEB"/>
      </patternFill>
    </fill>
    <fill>
      <patternFill patternType="solid">
        <fgColor theme="0" tint="-4.9989318521683403E-2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93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" fillId="17" borderId="4" xfId="0" applyFont="1" applyFill="1" applyBorder="1" applyAlignment="1">
      <alignment horizontal="center" vertical="center"/>
    </xf>
    <xf numFmtId="0" fontId="1" fillId="17" borderId="24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/>
    </xf>
    <xf numFmtId="0" fontId="1" fillId="16" borderId="24" xfId="0" applyFont="1" applyFill="1" applyBorder="1" applyAlignment="1">
      <alignment horizontal="center" vertical="center"/>
    </xf>
    <xf numFmtId="0" fontId="1" fillId="18" borderId="24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2" fillId="4" borderId="27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11" borderId="52" xfId="0" applyFont="1" applyFill="1" applyBorder="1" applyAlignment="1">
      <alignment horizontal="left" vertical="center"/>
    </xf>
    <xf numFmtId="0" fontId="2" fillId="10" borderId="34" xfId="0" applyFont="1" applyFill="1" applyBorder="1" applyAlignment="1">
      <alignment vertical="center" wrapText="1"/>
    </xf>
    <xf numFmtId="0" fontId="2" fillId="10" borderId="54" xfId="0" applyFont="1" applyFill="1" applyBorder="1" applyAlignment="1">
      <alignment vertical="center" wrapText="1"/>
    </xf>
    <xf numFmtId="0" fontId="2" fillId="0" borderId="53" xfId="0" applyFont="1" applyBorder="1" applyAlignment="1">
      <alignment horizontal="right" vertical="center"/>
    </xf>
    <xf numFmtId="0" fontId="2" fillId="3" borderId="54" xfId="0" applyFont="1" applyFill="1" applyBorder="1" applyAlignment="1">
      <alignment vertical="center" wrapText="1"/>
    </xf>
    <xf numFmtId="0" fontId="2" fillId="3" borderId="34" xfId="0" applyFont="1" applyFill="1" applyBorder="1" applyAlignment="1">
      <alignment vertical="center" wrapText="1"/>
    </xf>
    <xf numFmtId="0" fontId="2" fillId="13" borderId="34" xfId="0" applyFont="1" applyFill="1" applyBorder="1" applyAlignment="1">
      <alignment vertical="center" wrapText="1"/>
    </xf>
    <xf numFmtId="0" fontId="2" fillId="0" borderId="55" xfId="0" applyFont="1" applyBorder="1" applyAlignment="1">
      <alignment horizontal="right" vertical="center" wrapText="1"/>
    </xf>
    <xf numFmtId="0" fontId="1" fillId="11" borderId="41" xfId="0" applyFont="1" applyFill="1" applyBorder="1" applyAlignment="1">
      <alignment vertical="center" wrapText="1"/>
    </xf>
    <xf numFmtId="0" fontId="2" fillId="2" borderId="34" xfId="0" applyFont="1" applyFill="1" applyBorder="1" applyAlignment="1">
      <alignment vertical="center" wrapText="1"/>
    </xf>
    <xf numFmtId="0" fontId="2" fillId="2" borderId="54" xfId="0" applyFont="1" applyFill="1" applyBorder="1" applyAlignment="1">
      <alignment vertical="center" wrapText="1"/>
    </xf>
    <xf numFmtId="0" fontId="2" fillId="0" borderId="34" xfId="0" applyFont="1" applyBorder="1" applyAlignment="1">
      <alignment horizontal="right" vertical="center"/>
    </xf>
    <xf numFmtId="0" fontId="1" fillId="21" borderId="37" xfId="0" applyFont="1" applyFill="1" applyBorder="1" applyAlignment="1">
      <alignment horizontal="left" vertical="center"/>
    </xf>
    <xf numFmtId="0" fontId="2" fillId="5" borderId="54" xfId="0" applyFont="1" applyFill="1" applyBorder="1" applyAlignment="1">
      <alignment vertical="center" wrapText="1"/>
    </xf>
    <xf numFmtId="0" fontId="2" fillId="5" borderId="34" xfId="0" applyFont="1" applyFill="1" applyBorder="1" applyAlignment="1">
      <alignment vertical="center" wrapText="1"/>
    </xf>
    <xf numFmtId="0" fontId="2" fillId="5" borderId="55" xfId="0" applyFont="1" applyFill="1" applyBorder="1" applyAlignment="1">
      <alignment vertical="center" wrapText="1"/>
    </xf>
    <xf numFmtId="0" fontId="1" fillId="16" borderId="12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center" vertical="center"/>
    </xf>
    <xf numFmtId="0" fontId="1" fillId="18" borderId="1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23" borderId="34" xfId="0" applyFont="1" applyFill="1" applyBorder="1" applyAlignment="1">
      <alignment horizontal="right" vertical="center" wrapText="1"/>
    </xf>
    <xf numFmtId="0" fontId="1" fillId="24" borderId="12" xfId="0" applyFont="1" applyFill="1" applyBorder="1" applyAlignment="1">
      <alignment horizontal="center" vertical="center"/>
    </xf>
    <xf numFmtId="0" fontId="2" fillId="23" borderId="12" xfId="0" applyFont="1" applyFill="1" applyBorder="1" applyAlignment="1">
      <alignment horizontal="center" vertical="center"/>
    </xf>
    <xf numFmtId="0" fontId="1" fillId="25" borderId="12" xfId="0" applyFont="1" applyFill="1" applyBorder="1" applyAlignment="1">
      <alignment horizontal="center" vertical="center"/>
    </xf>
    <xf numFmtId="0" fontId="1" fillId="26" borderId="12" xfId="0" applyFont="1" applyFill="1" applyBorder="1" applyAlignment="1">
      <alignment horizontal="center" vertical="center"/>
    </xf>
    <xf numFmtId="0" fontId="2" fillId="23" borderId="55" xfId="0" applyFont="1" applyFill="1" applyBorder="1" applyAlignment="1">
      <alignment horizontal="right" vertical="center" wrapText="1"/>
    </xf>
    <xf numFmtId="0" fontId="1" fillId="27" borderId="12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25" borderId="12" xfId="0" applyFont="1" applyFill="1" applyBorder="1" applyAlignment="1">
      <alignment horizontal="center" vertical="center"/>
    </xf>
    <xf numFmtId="0" fontId="1" fillId="15" borderId="17" xfId="0" applyFont="1" applyFill="1" applyBorder="1" applyAlignment="1">
      <alignment horizontal="center" vertical="center"/>
    </xf>
    <xf numFmtId="0" fontId="1" fillId="15" borderId="24" xfId="0" applyFont="1" applyFill="1" applyBorder="1" applyAlignment="1">
      <alignment horizontal="center" vertical="center"/>
    </xf>
    <xf numFmtId="0" fontId="2" fillId="24" borderId="12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10" borderId="36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9" fontId="2" fillId="0" borderId="39" xfId="0" applyNumberFormat="1" applyFont="1" applyBorder="1" applyAlignment="1">
      <alignment horizontal="center" vertical="center"/>
    </xf>
    <xf numFmtId="9" fontId="2" fillId="0" borderId="12" xfId="0" applyNumberFormat="1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11" borderId="25" xfId="0" applyFont="1" applyFill="1" applyBorder="1" applyAlignment="1">
      <alignment horizontal="center" vertical="center"/>
    </xf>
    <xf numFmtId="0" fontId="1" fillId="11" borderId="45" xfId="0" applyFont="1" applyFill="1" applyBorder="1" applyAlignment="1">
      <alignment horizontal="center" vertical="center"/>
    </xf>
    <xf numFmtId="0" fontId="1" fillId="11" borderId="53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165" fontId="2" fillId="0" borderId="39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0" fontId="1" fillId="19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165" fontId="2" fillId="0" borderId="20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1" fillId="19" borderId="1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8" borderId="12" xfId="0" applyFont="1" applyFill="1" applyBorder="1" applyAlignment="1">
      <alignment horizontal="center" vertical="center"/>
    </xf>
    <xf numFmtId="0" fontId="2" fillId="28" borderId="12" xfId="0" applyFont="1" applyFill="1" applyBorder="1" applyAlignment="1">
      <alignment horizontal="center" vertical="center"/>
    </xf>
    <xf numFmtId="0" fontId="1" fillId="11" borderId="8" xfId="0" applyFont="1" applyFill="1" applyBorder="1" applyAlignment="1">
      <alignment horizontal="center" vertical="center"/>
    </xf>
    <xf numFmtId="0" fontId="1" fillId="11" borderId="27" xfId="0" applyFont="1" applyFill="1" applyBorder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37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vertical="center"/>
    </xf>
    <xf numFmtId="0" fontId="1" fillId="11" borderId="50" xfId="0" applyFont="1" applyFill="1" applyBorder="1" applyAlignment="1">
      <alignment horizontal="center" vertical="center"/>
    </xf>
    <xf numFmtId="0" fontId="1" fillId="11" borderId="52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center" vertical="center"/>
    </xf>
    <xf numFmtId="0" fontId="1" fillId="19" borderId="24" xfId="0" applyFont="1" applyFill="1" applyBorder="1" applyAlignment="1">
      <alignment horizontal="center" vertical="center"/>
    </xf>
    <xf numFmtId="0" fontId="1" fillId="19" borderId="8" xfId="0" applyFont="1" applyFill="1" applyBorder="1" applyAlignment="1">
      <alignment horizontal="center" vertical="center"/>
    </xf>
    <xf numFmtId="0" fontId="1" fillId="19" borderId="37" xfId="0" applyFont="1" applyFill="1" applyBorder="1" applyAlignment="1">
      <alignment horizontal="center" vertical="center"/>
    </xf>
    <xf numFmtId="0" fontId="1" fillId="12" borderId="41" xfId="0" applyFont="1" applyFill="1" applyBorder="1" applyAlignment="1">
      <alignment horizontal="center" vertical="center"/>
    </xf>
    <xf numFmtId="0" fontId="1" fillId="11" borderId="5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9" fontId="2" fillId="9" borderId="12" xfId="1" applyFont="1" applyFill="1" applyBorder="1" applyAlignment="1">
      <alignment horizontal="center" vertical="center"/>
    </xf>
    <xf numFmtId="9" fontId="2" fillId="24" borderId="12" xfId="1" applyFont="1" applyFill="1" applyBorder="1" applyAlignment="1">
      <alignment horizontal="center" vertical="center"/>
    </xf>
    <xf numFmtId="0" fontId="2" fillId="10" borderId="25" xfId="0" applyFont="1" applyFill="1" applyBorder="1" applyAlignment="1">
      <alignment horizontal="center" vertical="center"/>
    </xf>
    <xf numFmtId="0" fontId="2" fillId="9" borderId="2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9" borderId="27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1" fillId="11" borderId="29" xfId="0" applyFont="1" applyFill="1" applyBorder="1" applyAlignment="1">
      <alignment horizontal="center" vertical="center"/>
    </xf>
    <xf numFmtId="0" fontId="1" fillId="11" borderId="3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1" fillId="4" borderId="36" xfId="0" applyFont="1" applyFill="1" applyBorder="1" applyAlignment="1">
      <alignment horizontal="center" vertical="center"/>
    </xf>
    <xf numFmtId="9" fontId="2" fillId="4" borderId="9" xfId="1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9" fontId="2" fillId="4" borderId="12" xfId="1" applyFont="1" applyFill="1" applyBorder="1" applyAlignment="1">
      <alignment horizontal="center" vertical="center"/>
    </xf>
    <xf numFmtId="9" fontId="2" fillId="0" borderId="12" xfId="1" applyFont="1" applyFill="1" applyBorder="1" applyAlignment="1">
      <alignment horizontal="center" vertical="center"/>
    </xf>
    <xf numFmtId="9" fontId="2" fillId="25" borderId="12" xfId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9" fontId="2" fillId="0" borderId="25" xfId="1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1" fillId="20" borderId="24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1" fillId="20" borderId="37" xfId="0" applyFont="1" applyFill="1" applyBorder="1" applyAlignment="1">
      <alignment horizontal="center" vertical="center"/>
    </xf>
    <xf numFmtId="0" fontId="2" fillId="19" borderId="29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0" fontId="2" fillId="14" borderId="28" xfId="0" applyFont="1" applyFill="1" applyBorder="1" applyAlignment="1">
      <alignment horizontal="center" vertical="center"/>
    </xf>
    <xf numFmtId="0" fontId="2" fillId="14" borderId="38" xfId="0" applyFont="1" applyFill="1" applyBorder="1" applyAlignment="1">
      <alignment horizontal="center" vertical="center"/>
    </xf>
    <xf numFmtId="0" fontId="1" fillId="14" borderId="36" xfId="0" applyFont="1" applyFill="1" applyBorder="1" applyAlignment="1">
      <alignment horizontal="center" vertical="center"/>
    </xf>
    <xf numFmtId="9" fontId="2" fillId="14" borderId="0" xfId="1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2" fillId="8" borderId="3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9" fontId="2" fillId="14" borderId="12" xfId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6" borderId="12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21" borderId="29" xfId="0" applyFont="1" applyFill="1" applyBorder="1" applyAlignment="1">
      <alignment horizontal="center" vertical="center"/>
    </xf>
    <xf numFmtId="0" fontId="2" fillId="21" borderId="2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2" fillId="6" borderId="38" xfId="0" applyFont="1" applyFill="1" applyBorder="1" applyAlignment="1">
      <alignment horizontal="center" vertical="center"/>
    </xf>
    <xf numFmtId="0" fontId="2" fillId="6" borderId="36" xfId="0" applyFont="1" applyFill="1" applyBorder="1" applyAlignment="1">
      <alignment horizontal="center" vertical="center"/>
    </xf>
    <xf numFmtId="0" fontId="1" fillId="6" borderId="36" xfId="0" applyFont="1" applyFill="1" applyBorder="1" applyAlignment="1">
      <alignment horizontal="center" vertical="center"/>
    </xf>
    <xf numFmtId="9" fontId="2" fillId="6" borderId="0" xfId="1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9" fontId="2" fillId="6" borderId="12" xfId="1" applyFont="1" applyFill="1" applyBorder="1" applyAlignment="1">
      <alignment horizontal="center" vertical="center"/>
    </xf>
    <xf numFmtId="0" fontId="1" fillId="22" borderId="12" xfId="0" applyFont="1" applyFill="1" applyBorder="1" applyAlignment="1">
      <alignment horizontal="center" vertical="center"/>
    </xf>
    <xf numFmtId="0" fontId="2" fillId="22" borderId="12" xfId="0" applyFont="1" applyFill="1" applyBorder="1" applyAlignment="1">
      <alignment horizontal="center" vertical="center"/>
    </xf>
    <xf numFmtId="0" fontId="2" fillId="27" borderId="12" xfId="0" applyFont="1" applyFill="1" applyBorder="1" applyAlignment="1">
      <alignment horizontal="center" vertical="center"/>
    </xf>
    <xf numFmtId="9" fontId="2" fillId="27" borderId="12" xfId="1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9" fontId="2" fillId="0" borderId="46" xfId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6" borderId="24" xfId="0" applyFont="1" applyFill="1" applyBorder="1" applyAlignment="1">
      <alignment horizontal="center" vertical="center"/>
    </xf>
    <xf numFmtId="0" fontId="2" fillId="22" borderId="24" xfId="0" applyFont="1" applyFill="1" applyBorder="1" applyAlignment="1">
      <alignment horizontal="center" vertical="center"/>
    </xf>
    <xf numFmtId="0" fontId="1" fillId="22" borderId="24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 vertical="center"/>
    </xf>
    <xf numFmtId="0" fontId="2" fillId="22" borderId="33" xfId="0" applyFont="1" applyFill="1" applyBorder="1" applyAlignment="1">
      <alignment horizontal="center" vertical="center"/>
    </xf>
    <xf numFmtId="0" fontId="2" fillId="22" borderId="16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19" borderId="30" xfId="0" applyFont="1" applyFill="1" applyBorder="1" applyAlignment="1">
      <alignment horizontal="center" vertical="center"/>
    </xf>
    <xf numFmtId="0" fontId="1" fillId="28" borderId="9" xfId="0" applyFont="1" applyFill="1" applyBorder="1" applyAlignment="1">
      <alignment horizontal="center" vertical="center"/>
    </xf>
    <xf numFmtId="0" fontId="1" fillId="28" borderId="17" xfId="0" applyFont="1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10" borderId="12" xfId="0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 vertical="center" wrapText="1"/>
    </xf>
    <xf numFmtId="0" fontId="1" fillId="10" borderId="17" xfId="0" applyFont="1" applyFill="1" applyBorder="1" applyAlignment="1">
      <alignment horizontal="center" vertical="center" wrapText="1"/>
    </xf>
    <xf numFmtId="0" fontId="1" fillId="23" borderId="1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3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164" fontId="2" fillId="0" borderId="32" xfId="0" applyNumberFormat="1" applyFont="1" applyBorder="1" applyAlignment="1">
      <alignment horizontal="left" vertical="center"/>
    </xf>
    <xf numFmtId="0" fontId="2" fillId="0" borderId="32" xfId="0" applyFont="1" applyBorder="1" applyAlignment="1">
      <alignment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6" borderId="28" xfId="0" applyFont="1" applyFill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10" borderId="32" xfId="0" applyFont="1" applyFill="1" applyBorder="1" applyAlignment="1">
      <alignment horizontal="center" vertical="center"/>
    </xf>
    <xf numFmtId="0" fontId="1" fillId="3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28" borderId="34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right" vertical="center"/>
    </xf>
    <xf numFmtId="166" fontId="2" fillId="0" borderId="0" xfId="0" applyNumberFormat="1" applyFont="1" applyAlignment="1">
      <alignment horizontal="center" vertical="center"/>
    </xf>
    <xf numFmtId="0" fontId="1" fillId="19" borderId="52" xfId="0" applyFont="1" applyFill="1" applyBorder="1" applyAlignment="1">
      <alignment horizontal="center" vertical="center"/>
    </xf>
    <xf numFmtId="0" fontId="1" fillId="9" borderId="54" xfId="0" applyFont="1" applyFill="1" applyBorder="1" applyAlignment="1">
      <alignment horizontal="center" vertical="center"/>
    </xf>
    <xf numFmtId="0" fontId="1" fillId="24" borderId="34" xfId="0" applyFont="1" applyFill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center" vertical="center"/>
    </xf>
    <xf numFmtId="0" fontId="1" fillId="25" borderId="34" xfId="0" applyFont="1" applyFill="1" applyBorder="1" applyAlignment="1">
      <alignment horizontal="center" vertical="center"/>
    </xf>
    <xf numFmtId="0" fontId="1" fillId="26" borderId="34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0" fontId="1" fillId="22" borderId="34" xfId="0" applyFont="1" applyFill="1" applyBorder="1" applyAlignment="1">
      <alignment horizontal="center" vertical="center"/>
    </xf>
    <xf numFmtId="0" fontId="1" fillId="27" borderId="55" xfId="0" applyFont="1" applyFill="1" applyBorder="1" applyAlignment="1">
      <alignment horizontal="center" vertical="center"/>
    </xf>
    <xf numFmtId="0" fontId="1" fillId="22" borderId="37" xfId="0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55" xfId="0" applyFont="1" applyBorder="1" applyAlignment="1">
      <alignment horizontal="left" vertical="center"/>
    </xf>
    <xf numFmtId="9" fontId="2" fillId="0" borderId="60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horizontal="center" vertical="center"/>
    </xf>
    <xf numFmtId="9" fontId="2" fillId="0" borderId="61" xfId="0" applyNumberFormat="1" applyFont="1" applyBorder="1" applyAlignment="1">
      <alignment horizontal="center" vertical="center"/>
    </xf>
    <xf numFmtId="0" fontId="1" fillId="0" borderId="59" xfId="0" applyFont="1" applyBorder="1" applyAlignment="1">
      <alignment vertical="center"/>
    </xf>
    <xf numFmtId="0" fontId="7" fillId="0" borderId="2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justify" vertical="center" wrapText="1"/>
    </xf>
    <xf numFmtId="0" fontId="8" fillId="0" borderId="62" xfId="0" applyFont="1" applyBorder="1" applyAlignment="1">
      <alignment horizontal="justify" vertical="center" wrapText="1"/>
    </xf>
    <xf numFmtId="0" fontId="0" fillId="0" borderId="62" xfId="0" applyBorder="1" applyAlignment="1">
      <alignment vertical="top" wrapText="1"/>
    </xf>
    <xf numFmtId="0" fontId="9" fillId="0" borderId="0" xfId="0" applyFont="1"/>
    <xf numFmtId="0" fontId="8" fillId="0" borderId="0" xfId="0" applyFont="1" applyAlignment="1">
      <alignment horizontal="justify" vertical="center"/>
    </xf>
    <xf numFmtId="0" fontId="8" fillId="0" borderId="31" xfId="0" applyFont="1" applyBorder="1" applyAlignment="1">
      <alignment horizontal="justify" vertical="center" wrapText="1"/>
    </xf>
    <xf numFmtId="0" fontId="2" fillId="29" borderId="0" xfId="0" applyFont="1" applyFill="1" applyAlignment="1">
      <alignment vertical="center"/>
    </xf>
    <xf numFmtId="0" fontId="10" fillId="29" borderId="0" xfId="0" applyFont="1" applyFill="1" applyAlignment="1">
      <alignment vertical="center"/>
    </xf>
    <xf numFmtId="0" fontId="1" fillId="29" borderId="0" xfId="0" applyFont="1" applyFill="1" applyAlignment="1">
      <alignment vertical="center"/>
    </xf>
    <xf numFmtId="0" fontId="1" fillId="11" borderId="33" xfId="0" applyFont="1" applyFill="1" applyBorder="1" applyAlignment="1">
      <alignment horizontal="center" vertical="center"/>
    </xf>
    <xf numFmtId="0" fontId="1" fillId="11" borderId="24" xfId="0" applyFont="1" applyFill="1" applyBorder="1" applyAlignment="1">
      <alignment horizontal="left" vertical="center"/>
    </xf>
    <xf numFmtId="0" fontId="2" fillId="0" borderId="26" xfId="0" applyFont="1" applyBorder="1" applyAlignment="1">
      <alignment vertical="center"/>
    </xf>
    <xf numFmtId="0" fontId="8" fillId="0" borderId="1" xfId="0" applyFont="1" applyBorder="1" applyAlignment="1">
      <alignment horizontal="justify" vertical="center" wrapText="1"/>
    </xf>
    <xf numFmtId="0" fontId="8" fillId="0" borderId="2" xfId="0" applyFont="1" applyBorder="1" applyAlignment="1">
      <alignment horizontal="justify" vertical="center" wrapText="1"/>
    </xf>
  </cellXfs>
  <cellStyles count="2">
    <cellStyle name="Normal" xfId="0" builtinId="0"/>
    <cellStyle name="Porcentaje" xfId="1" builtinId="5"/>
  </cellStyles>
  <dxfs count="2">
    <dxf>
      <font>
        <strike val="0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D66"/>
  <sheetViews>
    <sheetView showGridLines="0" tabSelected="1" zoomScale="85" zoomScaleNormal="85" workbookViewId="0">
      <pane ySplit="10" topLeftCell="A11" activePane="bottomLeft" state="frozen"/>
      <selection pane="bottomLeft" activeCell="Q41" sqref="Q41"/>
    </sheetView>
  </sheetViews>
  <sheetFormatPr baseColWidth="10" defaultColWidth="12.5546875" defaultRowHeight="12.6" customHeight="1" x14ac:dyDescent="0.25"/>
  <cols>
    <col min="1" max="2" width="5.44140625" style="2" customWidth="1"/>
    <col min="3" max="3" width="6" style="2" customWidth="1"/>
    <col min="4" max="4" width="10.21875" style="2" bestFit="1" customWidth="1"/>
    <col min="5" max="5" width="9.21875" style="2" customWidth="1"/>
    <col min="6" max="6" width="10.44140625" style="2" customWidth="1"/>
    <col min="7" max="10" width="7.21875" style="2" customWidth="1"/>
    <col min="11" max="11" width="8.44140625" style="2" bestFit="1" customWidth="1"/>
    <col min="12" max="12" width="8.44140625" style="2" customWidth="1"/>
    <col min="13" max="13" width="46.109375" style="4" bestFit="1" customWidth="1"/>
    <col min="14" max="14" width="16.77734375" style="3" bestFit="1" customWidth="1"/>
    <col min="15" max="15" width="9.6640625" style="2" customWidth="1"/>
    <col min="16" max="16" width="3.77734375" style="2" customWidth="1"/>
    <col min="17" max="18" width="5.44140625" style="2" customWidth="1"/>
    <col min="19" max="19" width="3.77734375" style="2" bestFit="1" customWidth="1"/>
    <col min="20" max="20" width="11.33203125" style="2" customWidth="1"/>
    <col min="21" max="21" width="12.77734375" style="3" customWidth="1"/>
    <col min="22" max="28" width="10.6640625" style="2" customWidth="1"/>
    <col min="29" max="29" width="12.5546875" style="4"/>
    <col min="30" max="30" width="12.5546875" style="285"/>
    <col min="31" max="16384" width="12.5546875" style="4"/>
  </cols>
  <sheetData>
    <row r="1" spans="1:30" ht="23.4" x14ac:dyDescent="0.25">
      <c r="A1" s="20" t="s">
        <v>158</v>
      </c>
      <c r="B1" s="3"/>
      <c r="F1" s="4"/>
      <c r="G1" s="4"/>
      <c r="I1" s="4"/>
      <c r="J1" s="4"/>
      <c r="K1" s="4"/>
      <c r="L1" s="4"/>
      <c r="M1" s="257">
        <f ca="1">TODAY()</f>
        <v>46100</v>
      </c>
      <c r="S1" s="4"/>
      <c r="T1" s="4"/>
      <c r="U1" s="20" t="s">
        <v>91</v>
      </c>
      <c r="V1" s="4"/>
      <c r="W1" s="4"/>
      <c r="X1" s="4"/>
      <c r="Y1" s="4"/>
      <c r="Z1" s="4"/>
      <c r="AA1" s="4"/>
      <c r="AB1" s="4"/>
    </row>
    <row r="2" spans="1:30" ht="12.6" customHeight="1" thickBot="1" x14ac:dyDescent="0.3">
      <c r="N2" s="212"/>
      <c r="O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30" ht="12.6" customHeight="1" x14ac:dyDescent="0.25">
      <c r="F3" s="256" t="s">
        <v>45</v>
      </c>
      <c r="G3" s="253" t="s">
        <v>94</v>
      </c>
      <c r="H3" s="226"/>
      <c r="I3" s="226" t="s">
        <v>95</v>
      </c>
      <c r="L3" s="271" t="s">
        <v>89</v>
      </c>
      <c r="M3" s="227" t="s">
        <v>90</v>
      </c>
      <c r="O3" s="3"/>
      <c r="T3" s="4"/>
      <c r="U3" s="7">
        <f>SUM(V3:AB3)</f>
        <v>120</v>
      </c>
      <c r="V3" s="67">
        <f>SUMIF(V5:V55,"x",$O$5:$O$55)</f>
        <v>17</v>
      </c>
      <c r="W3" s="65">
        <f>SUMIF(W5:W55,"x",$O$5:$O$55)</f>
        <v>19</v>
      </c>
      <c r="X3" s="65">
        <f>SUMIF(X5:X55,"x",$O$5:$O$55)</f>
        <v>16</v>
      </c>
      <c r="Y3" s="65">
        <f>SUMIF(Y5:Y55,"x",$O$5:$O$55)</f>
        <v>18</v>
      </c>
      <c r="Z3" s="65">
        <f>SUMIF(Z5:Z55,"x",$O$5:$O$55)</f>
        <v>18</v>
      </c>
      <c r="AA3" s="65">
        <f>SUMIF(AA5:AA55,"x",$O$5:$O$55)</f>
        <v>18</v>
      </c>
      <c r="AB3" s="68">
        <f>SUMIF(AB5:AB55,"x",$O$5:$O$55)</f>
        <v>14</v>
      </c>
    </row>
    <row r="4" spans="1:30" ht="12.6" customHeight="1" thickBot="1" x14ac:dyDescent="0.3">
      <c r="A4" s="63" t="s">
        <v>96</v>
      </c>
      <c r="B4" s="3"/>
      <c r="F4" s="271" t="s">
        <v>93</v>
      </c>
      <c r="G4" s="273">
        <v>140</v>
      </c>
      <c r="I4" s="273">
        <v>360</v>
      </c>
      <c r="L4" s="272" t="s">
        <v>2</v>
      </c>
      <c r="M4" s="228" t="s">
        <v>88</v>
      </c>
      <c r="N4" s="72" t="s">
        <v>92</v>
      </c>
      <c r="O4" s="72" t="s">
        <v>86</v>
      </c>
      <c r="S4" s="72" t="s">
        <v>2</v>
      </c>
      <c r="T4" s="72" t="s">
        <v>87</v>
      </c>
      <c r="U4" s="73" t="s">
        <v>77</v>
      </c>
      <c r="V4" s="73" t="s">
        <v>8</v>
      </c>
      <c r="W4" s="72" t="s">
        <v>80</v>
      </c>
      <c r="X4" s="72" t="s">
        <v>159</v>
      </c>
      <c r="Y4" s="72" t="s">
        <v>81</v>
      </c>
      <c r="Z4" s="72" t="s">
        <v>82</v>
      </c>
      <c r="AA4" s="72" t="s">
        <v>160</v>
      </c>
      <c r="AB4" s="74" t="s">
        <v>161</v>
      </c>
    </row>
    <row r="5" spans="1:30" ht="12.6" customHeight="1" thickTop="1" thickBot="1" x14ac:dyDescent="0.3">
      <c r="B5" s="3"/>
      <c r="C5" s="64" t="s">
        <v>33</v>
      </c>
      <c r="D5" s="65" t="s">
        <v>34</v>
      </c>
      <c r="G5" s="275" t="s">
        <v>51</v>
      </c>
      <c r="I5" s="277" t="s">
        <v>51</v>
      </c>
      <c r="L5" s="272" t="s">
        <v>6</v>
      </c>
      <c r="M5" s="229" t="s">
        <v>97</v>
      </c>
      <c r="N5" s="6" t="s">
        <v>24</v>
      </c>
      <c r="O5" s="210">
        <v>3</v>
      </c>
      <c r="S5" s="79"/>
      <c r="T5" s="2" t="str">
        <f>IF(COUNTIF(V5:AB5,"X")&lt;1,"NoK",IF(COUNTIF(V5:AB5,"X")=1,"oK","DUPLICADO"))</f>
        <v>oK</v>
      </c>
      <c r="U5" s="79" t="str">
        <f>_xlfn.XLOOKUP("X",V5:AB5,$V$4:$AB$4,"¿Profesorado?")</f>
        <v>Pablo J.</v>
      </c>
      <c r="V5" s="80" t="s">
        <v>4</v>
      </c>
      <c r="W5" s="81"/>
      <c r="X5" s="81"/>
      <c r="Y5" s="81"/>
      <c r="Z5" s="81"/>
      <c r="AA5" s="81"/>
      <c r="AB5" s="82"/>
    </row>
    <row r="6" spans="1:30" ht="12.6" customHeight="1" x14ac:dyDescent="0.25">
      <c r="B6" s="3" t="s">
        <v>0</v>
      </c>
      <c r="C6" s="69">
        <v>0.1</v>
      </c>
      <c r="D6" s="70">
        <v>0.2</v>
      </c>
      <c r="E6" s="68" t="s">
        <v>52</v>
      </c>
      <c r="F6" s="71" t="s">
        <v>59</v>
      </c>
      <c r="G6" s="274">
        <f>G4/(G4+I4)</f>
        <v>0.28000000000000003</v>
      </c>
      <c r="H6" s="66" t="s">
        <v>52</v>
      </c>
      <c r="I6" s="276">
        <v>0.72</v>
      </c>
      <c r="J6" s="66" t="s">
        <v>52</v>
      </c>
      <c r="L6" s="272" t="s">
        <v>7</v>
      </c>
      <c r="M6" s="229" t="s">
        <v>98</v>
      </c>
      <c r="N6" s="53" t="s">
        <v>5</v>
      </c>
      <c r="O6" s="211">
        <v>4</v>
      </c>
      <c r="S6" s="89"/>
      <c r="T6" s="89" t="str">
        <f>IF(COUNTIF(V6:AB6,"X")&lt;1,"NoK",IF(COUNTIF(V6:AB6,"X")=1,"oK","DUPLICADO"))</f>
        <v>oK</v>
      </c>
      <c r="U6" s="89" t="str">
        <f>_xlfn.XLOOKUP("X",V6:AB6,$V$4:$AB$4,"¿Profesorado?")</f>
        <v>Alejandro D.</v>
      </c>
      <c r="V6" s="42"/>
      <c r="W6" s="16"/>
      <c r="X6" s="16"/>
      <c r="Y6" s="16"/>
      <c r="Z6" s="16" t="s">
        <v>4</v>
      </c>
      <c r="AA6" s="16"/>
      <c r="AB6" s="22"/>
    </row>
    <row r="7" spans="1:30" ht="12.6" customHeight="1" x14ac:dyDescent="0.25">
      <c r="A7" s="43" t="s">
        <v>53</v>
      </c>
      <c r="B7" s="75">
        <f>D11+D22</f>
        <v>92</v>
      </c>
      <c r="C7" s="76">
        <f>$B7*C$6</f>
        <v>9.2000000000000011</v>
      </c>
      <c r="D7" s="77">
        <f>$B7*D$6</f>
        <v>18.400000000000002</v>
      </c>
      <c r="E7" s="75">
        <f>H7+J7</f>
        <v>17</v>
      </c>
      <c r="F7" s="78">
        <f>SUMIF(E12:E21,"&gt;0",F12:F21)</f>
        <v>10</v>
      </c>
      <c r="G7" s="76">
        <f>$D7*G$6</f>
        <v>5.152000000000001</v>
      </c>
      <c r="H7" s="45">
        <f>E11</f>
        <v>6</v>
      </c>
      <c r="I7" s="76">
        <f>$C7*I$6</f>
        <v>6.6240000000000006</v>
      </c>
      <c r="J7" s="45">
        <f>E22</f>
        <v>11</v>
      </c>
      <c r="N7" s="43" t="s">
        <v>23</v>
      </c>
      <c r="O7" s="90">
        <v>0</v>
      </c>
      <c r="S7" s="44" t="s">
        <v>4</v>
      </c>
      <c r="T7" s="44" t="str">
        <f>IF(COUNTIF(V7:AB7,"X")&lt;1,"NoK",IF(COUNTIF(V7:AB7,"X")=1,"oK","DUPLICADO"))</f>
        <v>NoK</v>
      </c>
      <c r="U7" s="44" t="str">
        <f>_xlfn.XLOOKUP("X",V7:AB7,$V$4:$AB$4,"¿Profesorado?")</f>
        <v>¿Profesorado?</v>
      </c>
      <c r="V7" s="43"/>
      <c r="W7" s="43"/>
      <c r="X7" s="43"/>
      <c r="Y7" s="43"/>
      <c r="Z7" s="43"/>
      <c r="AA7" s="43"/>
      <c r="AB7" s="208"/>
    </row>
    <row r="8" spans="1:30" ht="12.6" customHeight="1" thickBot="1" x14ac:dyDescent="0.3">
      <c r="A8" s="43" t="s">
        <v>54</v>
      </c>
      <c r="B8" s="75">
        <f>D33+D45</f>
        <v>99</v>
      </c>
      <c r="C8" s="83">
        <f>$B8*C$6</f>
        <v>9.9</v>
      </c>
      <c r="D8" s="84">
        <f>$B8*D$6</f>
        <v>19.8</v>
      </c>
      <c r="E8" s="85">
        <f>H8+J8</f>
        <v>17</v>
      </c>
      <c r="F8" s="86">
        <f>SUMIF(E34:E44,"&gt;0",F34:F44)</f>
        <v>10</v>
      </c>
      <c r="G8" s="83">
        <f>$D8*G$6</f>
        <v>5.5440000000000005</v>
      </c>
      <c r="H8" s="87">
        <f>E33</f>
        <v>6</v>
      </c>
      <c r="I8" s="83">
        <f>$C8*I$6</f>
        <v>7.1280000000000001</v>
      </c>
      <c r="J8" s="88">
        <f>E45</f>
        <v>11</v>
      </c>
      <c r="N8" s="90" t="s">
        <v>25</v>
      </c>
      <c r="O8" s="90">
        <v>0</v>
      </c>
      <c r="S8" s="91" t="s">
        <v>4</v>
      </c>
      <c r="T8" s="91" t="str">
        <f>IF(COUNTIF(V8:AB8,"X")&lt;1,"NoK",IF(COUNTIF(V8:AB8,"X")=1,"oK","DUPLICADO"))</f>
        <v>NoK</v>
      </c>
      <c r="U8" s="91" t="str">
        <f>_xlfn.XLOOKUP("X",V8:AB8,$V$4:$AB$4,"¿Profesorado?")</f>
        <v>¿Profesorado?</v>
      </c>
      <c r="V8" s="90"/>
      <c r="W8" s="90"/>
      <c r="X8" s="90"/>
      <c r="Y8" s="90"/>
      <c r="Z8" s="90"/>
      <c r="AA8" s="90"/>
      <c r="AB8" s="255"/>
    </row>
    <row r="9" spans="1:30" ht="12.6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290"/>
      <c r="N9" s="90" t="s">
        <v>105</v>
      </c>
      <c r="O9" s="90"/>
      <c r="P9" s="1"/>
      <c r="Q9" s="1"/>
      <c r="R9" s="1"/>
      <c r="S9" s="91"/>
      <c r="T9" s="91" t="str">
        <f>IF(COUNTIF(V9:AB9,"X")&lt;1,"NoK",IF(COUNTIF(V9:AB9,"X")=1,"oK","DUPLICADO"))</f>
        <v>NoK</v>
      </c>
      <c r="U9" s="44" t="str">
        <f>_xlfn.XLOOKUP("X",V9:AB9,$V$4:$AB$4,"¿Profesorado?")</f>
        <v>¿Profesorado?</v>
      </c>
      <c r="V9" s="90"/>
      <c r="W9" s="90"/>
      <c r="X9" s="90"/>
      <c r="Y9" s="90"/>
      <c r="Z9" s="90"/>
      <c r="AA9" s="90"/>
      <c r="AB9" s="255"/>
    </row>
    <row r="10" spans="1:30" ht="12.6" customHeight="1" thickBot="1" x14ac:dyDescent="0.3">
      <c r="A10" s="92" t="s">
        <v>43</v>
      </c>
      <c r="B10" s="92" t="s">
        <v>44</v>
      </c>
      <c r="C10" s="92" t="s">
        <v>45</v>
      </c>
      <c r="D10" s="92" t="s">
        <v>56</v>
      </c>
      <c r="E10" s="92" t="s">
        <v>49</v>
      </c>
      <c r="F10" s="92" t="s">
        <v>38</v>
      </c>
      <c r="G10" s="93" t="s">
        <v>39</v>
      </c>
      <c r="H10" s="288" t="s">
        <v>46</v>
      </c>
      <c r="I10" s="99" t="s">
        <v>47</v>
      </c>
      <c r="J10" s="99" t="s">
        <v>48</v>
      </c>
      <c r="K10" s="99" t="s">
        <v>50</v>
      </c>
      <c r="L10" s="99" t="s">
        <v>99</v>
      </c>
      <c r="M10" s="289" t="s">
        <v>9</v>
      </c>
      <c r="N10" s="95"/>
      <c r="O10" s="94"/>
      <c r="P10" s="94" t="s">
        <v>74</v>
      </c>
      <c r="Q10" s="97" t="s">
        <v>6</v>
      </c>
      <c r="R10" s="98" t="s">
        <v>7</v>
      </c>
      <c r="S10" s="94"/>
      <c r="T10" s="96"/>
      <c r="U10" s="94"/>
      <c r="V10" s="96"/>
      <c r="W10" s="96"/>
      <c r="X10" s="96"/>
      <c r="Y10" s="96"/>
      <c r="Z10" s="96"/>
      <c r="AA10" s="96"/>
      <c r="AB10" s="96"/>
      <c r="AD10" s="286" t="s">
        <v>107</v>
      </c>
    </row>
    <row r="11" spans="1:30" s="5" customFormat="1" ht="12.6" customHeight="1" thickTop="1" thickBot="1" x14ac:dyDescent="0.3">
      <c r="A11" s="99"/>
      <c r="B11" s="99"/>
      <c r="C11" s="100"/>
      <c r="D11" s="100">
        <f t="shared" ref="D11:I11" si="0">SUM(D12:D21)</f>
        <v>52</v>
      </c>
      <c r="E11" s="100">
        <f t="shared" si="0"/>
        <v>6</v>
      </c>
      <c r="F11" s="101">
        <f t="shared" si="0"/>
        <v>30</v>
      </c>
      <c r="G11" s="101">
        <f t="shared" si="0"/>
        <v>1000</v>
      </c>
      <c r="H11" s="101">
        <f t="shared" si="0"/>
        <v>193</v>
      </c>
      <c r="I11" s="101">
        <f t="shared" si="0"/>
        <v>140</v>
      </c>
      <c r="J11" s="101"/>
      <c r="K11" s="209"/>
      <c r="L11" s="258"/>
      <c r="M11" s="23"/>
      <c r="N11" s="103"/>
      <c r="O11" s="101"/>
      <c r="P11" s="101">
        <f>SUMIF(P12:P21,"X",O12:O21)</f>
        <v>30</v>
      </c>
      <c r="Q11" s="104"/>
      <c r="R11" s="98"/>
      <c r="S11" s="94"/>
      <c r="T11" s="96"/>
      <c r="U11" s="94"/>
      <c r="V11" s="96"/>
      <c r="W11" s="96"/>
      <c r="X11" s="96"/>
      <c r="Y11" s="96"/>
      <c r="Z11" s="96"/>
      <c r="AA11" s="96"/>
      <c r="AB11" s="96"/>
      <c r="AD11" s="287"/>
    </row>
    <row r="12" spans="1:30" ht="12.6" customHeight="1" thickTop="1" x14ac:dyDescent="0.25">
      <c r="A12" s="105" t="s">
        <v>4</v>
      </c>
      <c r="B12" s="105"/>
      <c r="C12" s="106">
        <v>1</v>
      </c>
      <c r="D12" s="106">
        <v>7</v>
      </c>
      <c r="E12" s="107"/>
      <c r="F12" s="106">
        <v>5</v>
      </c>
      <c r="G12" s="106">
        <v>167</v>
      </c>
      <c r="H12" s="106"/>
      <c r="I12" s="107"/>
      <c r="J12" s="106"/>
      <c r="K12" s="108"/>
      <c r="L12" s="108" t="s">
        <v>100</v>
      </c>
      <c r="M12" s="62" t="s">
        <v>75</v>
      </c>
      <c r="N12" s="213"/>
      <c r="O12" s="9">
        <f t="shared" ref="O12:O20" si="1">F12</f>
        <v>5</v>
      </c>
      <c r="P12" s="109" t="s">
        <v>4</v>
      </c>
      <c r="Q12" s="110"/>
      <c r="R12" s="17" t="s">
        <v>4</v>
      </c>
      <c r="S12" s="15" t="s">
        <v>4</v>
      </c>
      <c r="T12" s="15" t="str">
        <f t="shared" ref="T12:T18" si="2">IF(COUNTIF(V12:AB12,"X")&lt;1,"NoK",IF(COUNTIF(V12:AB12,"X")=1,"oK","DUPLICADO"))</f>
        <v>oK</v>
      </c>
      <c r="U12" s="15" t="str">
        <f t="shared" ref="U12:U18" si="3">_xlfn.XLOOKUP("X",V12:AB12,$V$4:$AB$4,"¿Profesorado?")</f>
        <v>Rafa S.</v>
      </c>
      <c r="V12" s="230"/>
      <c r="W12" s="230"/>
      <c r="X12" s="230"/>
      <c r="Y12" s="230" t="s">
        <v>4</v>
      </c>
      <c r="Z12" s="230"/>
      <c r="AA12" s="230"/>
      <c r="AB12" s="230"/>
    </row>
    <row r="13" spans="1:30" ht="12.6" customHeight="1" x14ac:dyDescent="0.25">
      <c r="A13" s="106" t="s">
        <v>4</v>
      </c>
      <c r="B13" s="106"/>
      <c r="C13" s="106">
        <v>1</v>
      </c>
      <c r="D13" s="106">
        <v>7</v>
      </c>
      <c r="E13" s="107"/>
      <c r="F13" s="106">
        <v>5</v>
      </c>
      <c r="G13" s="106">
        <v>167</v>
      </c>
      <c r="H13" s="111"/>
      <c r="I13" s="108"/>
      <c r="J13" s="111"/>
      <c r="K13" s="107"/>
      <c r="L13" s="259" t="s">
        <v>100</v>
      </c>
      <c r="M13" s="25" t="s">
        <v>16</v>
      </c>
      <c r="N13" s="214"/>
      <c r="O13" s="9">
        <f t="shared" si="1"/>
        <v>5</v>
      </c>
      <c r="P13" s="106" t="s">
        <v>4</v>
      </c>
      <c r="Q13" s="106" t="s">
        <v>4</v>
      </c>
      <c r="R13" s="106"/>
      <c r="S13" s="106" t="s">
        <v>4</v>
      </c>
      <c r="T13" s="106" t="str">
        <f t="shared" si="2"/>
        <v>oK</v>
      </c>
      <c r="U13" s="106" t="str">
        <f t="shared" si="3"/>
        <v>Fidel V.</v>
      </c>
      <c r="V13" s="107"/>
      <c r="W13" s="107" t="s">
        <v>4</v>
      </c>
      <c r="X13" s="107"/>
      <c r="Y13" s="107"/>
      <c r="Z13" s="107"/>
      <c r="AA13" s="107"/>
      <c r="AB13" s="107"/>
    </row>
    <row r="14" spans="1:30" ht="12.6" customHeight="1" x14ac:dyDescent="0.25">
      <c r="A14" s="105" t="s">
        <v>4</v>
      </c>
      <c r="B14" s="105"/>
      <c r="C14" s="106">
        <v>1</v>
      </c>
      <c r="D14" s="106">
        <v>7</v>
      </c>
      <c r="E14" s="107"/>
      <c r="F14" s="106">
        <v>3</v>
      </c>
      <c r="G14" s="106">
        <v>100</v>
      </c>
      <c r="H14" s="106"/>
      <c r="I14" s="107"/>
      <c r="J14" s="112"/>
      <c r="K14" s="107"/>
      <c r="L14" s="108" t="s">
        <v>100</v>
      </c>
      <c r="M14" s="24" t="s">
        <v>18</v>
      </c>
      <c r="N14" s="213"/>
      <c r="O14" s="9">
        <f t="shared" si="1"/>
        <v>3</v>
      </c>
      <c r="P14" s="106" t="s">
        <v>4</v>
      </c>
      <c r="Q14" s="106"/>
      <c r="R14" s="106" t="s">
        <v>4</v>
      </c>
      <c r="S14" s="106" t="s">
        <v>4</v>
      </c>
      <c r="T14" s="106" t="str">
        <f t="shared" si="2"/>
        <v>oK</v>
      </c>
      <c r="U14" s="106" t="str">
        <f t="shared" si="3"/>
        <v>Susana A.</v>
      </c>
      <c r="V14" s="107"/>
      <c r="W14" s="107"/>
      <c r="X14" s="107"/>
      <c r="Y14" s="107"/>
      <c r="Z14" s="107"/>
      <c r="AA14" s="107" t="s">
        <v>4</v>
      </c>
      <c r="AB14" s="107"/>
    </row>
    <row r="15" spans="1:30" ht="12.6" customHeight="1" x14ac:dyDescent="0.25">
      <c r="A15" s="105" t="s">
        <v>4</v>
      </c>
      <c r="B15" s="105"/>
      <c r="C15" s="106">
        <v>1</v>
      </c>
      <c r="D15" s="106">
        <v>9</v>
      </c>
      <c r="E15" s="107">
        <v>3</v>
      </c>
      <c r="F15" s="106">
        <v>4</v>
      </c>
      <c r="G15" s="106">
        <v>133</v>
      </c>
      <c r="H15" s="106">
        <f>G15-I15</f>
        <v>83</v>
      </c>
      <c r="I15" s="107">
        <v>50</v>
      </c>
      <c r="J15" s="112">
        <f>I15/G15</f>
        <v>0.37593984962406013</v>
      </c>
      <c r="K15" s="107" t="s">
        <v>70</v>
      </c>
      <c r="L15" s="259" t="s">
        <v>100</v>
      </c>
      <c r="M15" s="24" t="s">
        <v>76</v>
      </c>
      <c r="N15" s="213"/>
      <c r="O15" s="9">
        <f t="shared" si="1"/>
        <v>4</v>
      </c>
      <c r="P15" s="106" t="s">
        <v>4</v>
      </c>
      <c r="Q15" s="106" t="s">
        <v>4</v>
      </c>
      <c r="R15" s="106"/>
      <c r="S15" s="106" t="s">
        <v>4</v>
      </c>
      <c r="T15" s="106" t="str">
        <f t="shared" si="2"/>
        <v>oK</v>
      </c>
      <c r="U15" s="106" t="str">
        <f t="shared" si="3"/>
        <v>Pablo J.</v>
      </c>
      <c r="V15" s="107" t="s">
        <v>4</v>
      </c>
      <c r="W15" s="107"/>
      <c r="X15" s="107"/>
      <c r="Y15" s="107"/>
      <c r="Z15" s="107"/>
      <c r="AA15" s="107"/>
      <c r="AB15" s="107"/>
    </row>
    <row r="16" spans="1:30" ht="12.6" customHeight="1" x14ac:dyDescent="0.25">
      <c r="A16" s="105" t="s">
        <v>4</v>
      </c>
      <c r="B16" s="105"/>
      <c r="C16" s="106">
        <v>1</v>
      </c>
      <c r="D16" s="106">
        <v>7</v>
      </c>
      <c r="E16" s="107">
        <v>3</v>
      </c>
      <c r="F16" s="106">
        <v>6</v>
      </c>
      <c r="G16" s="106">
        <v>200</v>
      </c>
      <c r="H16" s="106">
        <v>110</v>
      </c>
      <c r="I16" s="107">
        <v>90</v>
      </c>
      <c r="J16" s="112">
        <f>I16/G16</f>
        <v>0.45</v>
      </c>
      <c r="K16" s="107" t="s">
        <v>62</v>
      </c>
      <c r="L16" s="108" t="s">
        <v>100</v>
      </c>
      <c r="M16" s="24" t="s">
        <v>17</v>
      </c>
      <c r="N16" s="213"/>
      <c r="O16" s="9">
        <f t="shared" si="1"/>
        <v>6</v>
      </c>
      <c r="P16" s="106" t="s">
        <v>4</v>
      </c>
      <c r="Q16" s="106"/>
      <c r="R16" s="106" t="s">
        <v>4</v>
      </c>
      <c r="S16" s="106" t="s">
        <v>4</v>
      </c>
      <c r="T16" s="106" t="str">
        <f t="shared" si="2"/>
        <v>oK</v>
      </c>
      <c r="U16" s="106" t="str">
        <f t="shared" si="3"/>
        <v>Eduardo A.</v>
      </c>
      <c r="V16" s="107"/>
      <c r="W16" s="107"/>
      <c r="X16" s="107"/>
      <c r="Y16" s="107"/>
      <c r="Z16" s="107"/>
      <c r="AA16" s="107"/>
      <c r="AB16" s="107" t="s">
        <v>4</v>
      </c>
    </row>
    <row r="17" spans="1:30" ht="12.6" customHeight="1" x14ac:dyDescent="0.25">
      <c r="A17" s="105" t="s">
        <v>4</v>
      </c>
      <c r="B17" s="105"/>
      <c r="C17" s="106">
        <v>1</v>
      </c>
      <c r="D17" s="106">
        <v>5</v>
      </c>
      <c r="E17" s="107"/>
      <c r="F17" s="106">
        <v>1</v>
      </c>
      <c r="G17" s="106">
        <v>33</v>
      </c>
      <c r="H17" s="106"/>
      <c r="I17" s="107"/>
      <c r="J17" s="106"/>
      <c r="K17" s="107"/>
      <c r="L17" s="259" t="s">
        <v>100</v>
      </c>
      <c r="M17" s="24" t="s">
        <v>41</v>
      </c>
      <c r="N17" s="215"/>
      <c r="O17" s="57">
        <f t="shared" si="1"/>
        <v>1</v>
      </c>
      <c r="P17" s="106" t="s">
        <v>4</v>
      </c>
      <c r="Q17" s="106" t="s">
        <v>4</v>
      </c>
      <c r="R17" s="106" t="s">
        <v>4</v>
      </c>
      <c r="S17" s="106" t="s">
        <v>4</v>
      </c>
      <c r="T17" s="106" t="str">
        <f t="shared" si="2"/>
        <v>oK</v>
      </c>
      <c r="U17" s="106" t="str">
        <f t="shared" si="3"/>
        <v>Alejandro D.</v>
      </c>
      <c r="V17" s="107"/>
      <c r="W17" s="107"/>
      <c r="X17" s="107"/>
      <c r="Y17" s="107"/>
      <c r="Z17" s="107" t="s">
        <v>4</v>
      </c>
      <c r="AA17" s="107"/>
      <c r="AB17" s="107"/>
    </row>
    <row r="18" spans="1:30" ht="12.6" customHeight="1" x14ac:dyDescent="0.25">
      <c r="A18" s="105" t="s">
        <v>4</v>
      </c>
      <c r="B18" s="105"/>
      <c r="C18" s="106">
        <v>1</v>
      </c>
      <c r="D18" s="44"/>
      <c r="E18" s="43"/>
      <c r="F18" s="44">
        <v>1</v>
      </c>
      <c r="G18" s="44">
        <v>33</v>
      </c>
      <c r="H18" s="44"/>
      <c r="I18" s="43"/>
      <c r="J18" s="44"/>
      <c r="K18" s="43"/>
      <c r="L18" s="259" t="s">
        <v>100</v>
      </c>
      <c r="M18" s="24" t="s">
        <v>37</v>
      </c>
      <c r="N18" s="213"/>
      <c r="O18" s="9">
        <f t="shared" si="1"/>
        <v>1</v>
      </c>
      <c r="P18" s="106" t="s">
        <v>4</v>
      </c>
      <c r="Q18" s="106" t="s">
        <v>4</v>
      </c>
      <c r="R18" s="106" t="s">
        <v>4</v>
      </c>
      <c r="S18" s="106" t="s">
        <v>4</v>
      </c>
      <c r="T18" s="106" t="str">
        <f t="shared" si="2"/>
        <v>oK</v>
      </c>
      <c r="U18" s="106" t="str">
        <f t="shared" si="3"/>
        <v>Rafa S.</v>
      </c>
      <c r="V18" s="107"/>
      <c r="W18" s="107"/>
      <c r="X18" s="107"/>
      <c r="Y18" s="107" t="s">
        <v>4</v>
      </c>
      <c r="Z18" s="107"/>
      <c r="AA18" s="107"/>
      <c r="AB18" s="107"/>
    </row>
    <row r="19" spans="1:30" ht="12.6" customHeight="1" x14ac:dyDescent="0.25">
      <c r="A19" s="48" t="s">
        <v>4</v>
      </c>
      <c r="B19" s="48"/>
      <c r="C19" s="59">
        <v>1</v>
      </c>
      <c r="D19" s="59">
        <v>5</v>
      </c>
      <c r="E19" s="47"/>
      <c r="F19" s="59">
        <v>2</v>
      </c>
      <c r="G19" s="59">
        <v>67</v>
      </c>
      <c r="H19" s="59"/>
      <c r="I19" s="47"/>
      <c r="J19" s="59"/>
      <c r="K19" s="47"/>
      <c r="L19" s="260" t="s">
        <v>100</v>
      </c>
      <c r="M19" s="46" t="s">
        <v>78</v>
      </c>
      <c r="N19" s="216"/>
      <c r="O19" s="47">
        <f t="shared" si="1"/>
        <v>2</v>
      </c>
      <c r="P19" s="59" t="s">
        <v>4</v>
      </c>
      <c r="Q19" s="59"/>
      <c r="R19" s="59"/>
      <c r="S19" s="59"/>
      <c r="T19" s="59"/>
      <c r="U19" s="59"/>
      <c r="V19" s="47"/>
      <c r="W19" s="47"/>
      <c r="X19" s="47"/>
      <c r="Y19" s="47"/>
      <c r="Z19" s="47"/>
      <c r="AA19" s="47"/>
      <c r="AB19" s="47"/>
    </row>
    <row r="20" spans="1:30" ht="12.6" customHeight="1" x14ac:dyDescent="0.25">
      <c r="A20" s="48" t="s">
        <v>4</v>
      </c>
      <c r="B20" s="48"/>
      <c r="C20" s="59">
        <v>1</v>
      </c>
      <c r="D20" s="59">
        <v>5</v>
      </c>
      <c r="E20" s="47"/>
      <c r="F20" s="59">
        <v>3</v>
      </c>
      <c r="G20" s="59">
        <v>100</v>
      </c>
      <c r="H20" s="59"/>
      <c r="I20" s="47"/>
      <c r="J20" s="113"/>
      <c r="K20" s="47"/>
      <c r="L20" s="260" t="s">
        <v>100</v>
      </c>
      <c r="M20" s="46" t="s">
        <v>35</v>
      </c>
      <c r="N20" s="216"/>
      <c r="O20" s="47">
        <f t="shared" si="1"/>
        <v>3</v>
      </c>
      <c r="P20" s="59" t="s">
        <v>4</v>
      </c>
      <c r="Q20" s="59"/>
      <c r="R20" s="59"/>
      <c r="S20" s="59"/>
      <c r="T20" s="59"/>
      <c r="U20" s="59"/>
      <c r="V20" s="47"/>
      <c r="W20" s="47"/>
      <c r="X20" s="47"/>
      <c r="Y20" s="47"/>
      <c r="Z20" s="47"/>
      <c r="AA20" s="47"/>
      <c r="AB20" s="47"/>
    </row>
    <row r="21" spans="1:30" ht="12.6" customHeight="1" thickBot="1" x14ac:dyDescent="0.3">
      <c r="A21" s="114" t="s">
        <v>4</v>
      </c>
      <c r="B21" s="114"/>
      <c r="C21" s="115">
        <v>1</v>
      </c>
      <c r="D21" s="116"/>
      <c r="E21" s="54"/>
      <c r="F21" s="117"/>
      <c r="G21" s="116"/>
      <c r="H21" s="116"/>
      <c r="I21" s="54"/>
      <c r="J21" s="116"/>
      <c r="K21" s="54"/>
      <c r="L21" s="261"/>
      <c r="M21" s="26"/>
      <c r="N21" s="54" t="s">
        <v>162</v>
      </c>
      <c r="O21" s="58"/>
      <c r="P21" s="106"/>
      <c r="Q21" s="119" t="s">
        <v>4</v>
      </c>
      <c r="R21" s="119" t="s">
        <v>4</v>
      </c>
      <c r="S21" s="118"/>
      <c r="T21" s="118" t="str">
        <f>IF(COUNTIF(V21:AB21,"X")&lt;1,"NoK",IF(COUNTIF(V21:AB21,"X")=1,"oK","DUPLICADO"))</f>
        <v>oK</v>
      </c>
      <c r="U21" s="118" t="str">
        <f>_xlfn.XLOOKUP("X",V21:AB21,$V$4:$AB$4,"¿Profesorado?")</f>
        <v>Susana A.</v>
      </c>
      <c r="V21" s="231"/>
      <c r="W21" s="231"/>
      <c r="X21" s="231"/>
      <c r="Y21" s="231"/>
      <c r="Z21" s="231"/>
      <c r="AA21" s="231" t="s">
        <v>4</v>
      </c>
      <c r="AB21" s="231"/>
    </row>
    <row r="22" spans="1:30" s="5" customFormat="1" ht="12.6" customHeight="1" thickTop="1" thickBot="1" x14ac:dyDescent="0.3">
      <c r="A22" s="120"/>
      <c r="B22" s="120"/>
      <c r="C22" s="100"/>
      <c r="D22" s="100">
        <f>SUM(D23:D28)</f>
        <v>40</v>
      </c>
      <c r="E22" s="100">
        <f>SUM(E23:E32)</f>
        <v>11</v>
      </c>
      <c r="F22" s="101">
        <f>SUM(F23:F32)</f>
        <v>30</v>
      </c>
      <c r="G22" s="101">
        <f>SUM(G23:G32)</f>
        <v>1000</v>
      </c>
      <c r="H22" s="101">
        <f>SUM(H23:H32)</f>
        <v>540</v>
      </c>
      <c r="I22" s="101">
        <f>SUM(I23:I32)</f>
        <v>360</v>
      </c>
      <c r="J22" s="101"/>
      <c r="K22" s="102"/>
      <c r="L22" s="140"/>
      <c r="M22" s="23"/>
      <c r="N22" s="103"/>
      <c r="O22" s="101"/>
      <c r="P22" s="101">
        <f>SUMIF(P23:P31,"X",O23:O31)</f>
        <v>30</v>
      </c>
      <c r="Q22" s="97"/>
      <c r="R22" s="121"/>
      <c r="S22" s="94"/>
      <c r="T22" s="96"/>
      <c r="U22" s="94"/>
      <c r="V22" s="96"/>
      <c r="W22" s="96"/>
      <c r="X22" s="96"/>
      <c r="Y22" s="96"/>
      <c r="Z22" s="96"/>
      <c r="AA22" s="96"/>
      <c r="AB22" s="96"/>
      <c r="AD22" s="287"/>
    </row>
    <row r="23" spans="1:30" ht="12.6" customHeight="1" thickTop="1" x14ac:dyDescent="0.25">
      <c r="A23" s="122" t="s">
        <v>4</v>
      </c>
      <c r="B23" s="122"/>
      <c r="C23" s="123">
        <v>2</v>
      </c>
      <c r="D23" s="123">
        <v>7</v>
      </c>
      <c r="E23" s="124">
        <v>2</v>
      </c>
      <c r="F23" s="125">
        <v>4</v>
      </c>
      <c r="G23" s="60">
        <v>133</v>
      </c>
      <c r="H23" s="61">
        <f>G23-I23</f>
        <v>73</v>
      </c>
      <c r="I23" s="126">
        <v>60</v>
      </c>
      <c r="J23" s="127">
        <f>I23/G23</f>
        <v>0.45112781954887216</v>
      </c>
      <c r="K23" s="128" t="s">
        <v>63</v>
      </c>
      <c r="L23" s="128" t="s">
        <v>101</v>
      </c>
      <c r="M23" s="27" t="s">
        <v>20</v>
      </c>
      <c r="N23" s="217"/>
      <c r="O23" s="8">
        <f t="shared" ref="O23:O31" si="4">F23</f>
        <v>4</v>
      </c>
      <c r="P23" s="61" t="s">
        <v>4</v>
      </c>
      <c r="Q23" s="123"/>
      <c r="R23" s="123" t="s">
        <v>4</v>
      </c>
      <c r="S23" s="60" t="s">
        <v>4</v>
      </c>
      <c r="T23" s="60" t="str">
        <f t="shared" ref="T23:T30" si="5">IF(COUNTIF(V23:AB23,"X")&lt;1,"NoK",IF(COUNTIF(V23:AB23,"X")=1,"oK","DUPLICADO"))</f>
        <v>oK</v>
      </c>
      <c r="U23" s="60" t="str">
        <f t="shared" ref="U23:U30" si="6">_xlfn.XLOOKUP("X",V23:AB23,$V$4:$AB$4,"¿Profesorado?")</f>
        <v>Rafa S.</v>
      </c>
      <c r="V23" s="232"/>
      <c r="W23" s="232"/>
      <c r="X23" s="232"/>
      <c r="Y23" s="232" t="s">
        <v>4</v>
      </c>
      <c r="Z23" s="232"/>
      <c r="AA23" s="232"/>
      <c r="AB23" s="232"/>
    </row>
    <row r="24" spans="1:30" ht="12.6" customHeight="1" x14ac:dyDescent="0.25">
      <c r="A24" s="129" t="s">
        <v>4</v>
      </c>
      <c r="B24" s="129"/>
      <c r="C24" s="55">
        <v>2</v>
      </c>
      <c r="D24" s="55">
        <v>7</v>
      </c>
      <c r="E24" s="130">
        <v>3</v>
      </c>
      <c r="F24" s="55">
        <v>6</v>
      </c>
      <c r="G24" s="55">
        <v>200</v>
      </c>
      <c r="H24" s="55">
        <f>G24-I24</f>
        <v>110</v>
      </c>
      <c r="I24" s="130">
        <v>90</v>
      </c>
      <c r="J24" s="127">
        <f>I24/G24</f>
        <v>0.45</v>
      </c>
      <c r="K24" s="130" t="s">
        <v>62</v>
      </c>
      <c r="L24" s="262" t="s">
        <v>101</v>
      </c>
      <c r="M24" s="28" t="s">
        <v>21</v>
      </c>
      <c r="N24" s="218"/>
      <c r="O24" s="39">
        <f t="shared" si="4"/>
        <v>6</v>
      </c>
      <c r="P24" s="55" t="s">
        <v>4</v>
      </c>
      <c r="Q24" s="55"/>
      <c r="R24" s="55" t="s">
        <v>4</v>
      </c>
      <c r="S24" s="55" t="s">
        <v>4</v>
      </c>
      <c r="T24" s="55" t="str">
        <f t="shared" si="5"/>
        <v>oK</v>
      </c>
      <c r="U24" s="55" t="str">
        <f t="shared" si="6"/>
        <v>Alejandro D.</v>
      </c>
      <c r="V24" s="130"/>
      <c r="W24" s="130"/>
      <c r="X24" s="130"/>
      <c r="Y24" s="130"/>
      <c r="Z24" s="130" t="s">
        <v>4</v>
      </c>
      <c r="AA24" s="130"/>
      <c r="AB24" s="130"/>
    </row>
    <row r="25" spans="1:30" ht="12.6" customHeight="1" x14ac:dyDescent="0.25">
      <c r="A25" s="129" t="s">
        <v>4</v>
      </c>
      <c r="B25" s="129"/>
      <c r="C25" s="55">
        <v>2</v>
      </c>
      <c r="D25" s="55">
        <v>8</v>
      </c>
      <c r="E25" s="130">
        <v>3</v>
      </c>
      <c r="F25" s="55">
        <v>6</v>
      </c>
      <c r="G25" s="55">
        <v>200</v>
      </c>
      <c r="H25" s="55">
        <f t="shared" ref="H25:H28" si="7">G25-I25</f>
        <v>110</v>
      </c>
      <c r="I25" s="131">
        <v>90</v>
      </c>
      <c r="J25" s="127">
        <f>I25/G25</f>
        <v>0.45</v>
      </c>
      <c r="K25" s="130" t="s">
        <v>64</v>
      </c>
      <c r="L25" s="263" t="s">
        <v>101</v>
      </c>
      <c r="M25" s="27" t="s">
        <v>19</v>
      </c>
      <c r="N25" s="218"/>
      <c r="O25" s="39">
        <f t="shared" si="4"/>
        <v>6</v>
      </c>
      <c r="P25" s="55" t="s">
        <v>4</v>
      </c>
      <c r="Q25" s="55"/>
      <c r="R25" s="55" t="s">
        <v>4</v>
      </c>
      <c r="S25" s="55" t="s">
        <v>4</v>
      </c>
      <c r="T25" s="55" t="str">
        <f t="shared" si="5"/>
        <v>oK</v>
      </c>
      <c r="U25" s="55" t="str">
        <f t="shared" si="6"/>
        <v>Eduardo A.</v>
      </c>
      <c r="V25" s="130"/>
      <c r="W25" s="130"/>
      <c r="X25" s="130"/>
      <c r="Y25" s="130"/>
      <c r="Z25" s="130"/>
      <c r="AA25" s="130"/>
      <c r="AB25" s="130" t="s">
        <v>4</v>
      </c>
    </row>
    <row r="26" spans="1:30" ht="12.6" customHeight="1" x14ac:dyDescent="0.25">
      <c r="A26" s="129" t="s">
        <v>4</v>
      </c>
      <c r="B26" s="129"/>
      <c r="C26" s="55">
        <v>2</v>
      </c>
      <c r="D26" s="55">
        <v>7</v>
      </c>
      <c r="E26" s="130">
        <v>2</v>
      </c>
      <c r="F26" s="55">
        <v>5</v>
      </c>
      <c r="G26" s="55">
        <v>167</v>
      </c>
      <c r="H26" s="55">
        <f t="shared" si="7"/>
        <v>92</v>
      </c>
      <c r="I26" s="130">
        <v>75</v>
      </c>
      <c r="J26" s="132">
        <f>I26/G26</f>
        <v>0.44910179640718562</v>
      </c>
      <c r="K26" s="130" t="s">
        <v>63</v>
      </c>
      <c r="L26" s="262" t="s">
        <v>101</v>
      </c>
      <c r="M26" s="28" t="s">
        <v>22</v>
      </c>
      <c r="N26" s="218"/>
      <c r="O26" s="39">
        <f t="shared" si="4"/>
        <v>5</v>
      </c>
      <c r="P26" s="55" t="s">
        <v>4</v>
      </c>
      <c r="Q26" s="55" t="s">
        <v>4</v>
      </c>
      <c r="R26" s="55"/>
      <c r="S26" s="55" t="s">
        <v>4</v>
      </c>
      <c r="T26" s="55" t="str">
        <f t="shared" si="5"/>
        <v>oK</v>
      </c>
      <c r="U26" s="55" t="str">
        <f t="shared" si="6"/>
        <v>Fidel V.</v>
      </c>
      <c r="V26" s="130"/>
      <c r="W26" s="130" t="s">
        <v>4</v>
      </c>
      <c r="X26" s="130"/>
      <c r="Y26" s="130"/>
      <c r="Z26" s="130"/>
      <c r="AA26" s="130"/>
      <c r="AB26" s="130"/>
    </row>
    <row r="27" spans="1:30" ht="12.6" customHeight="1" x14ac:dyDescent="0.25">
      <c r="A27" s="129" t="s">
        <v>4</v>
      </c>
      <c r="B27" s="129"/>
      <c r="C27" s="55">
        <v>2</v>
      </c>
      <c r="D27" s="55">
        <v>6</v>
      </c>
      <c r="E27" s="130"/>
      <c r="F27" s="55">
        <v>1</v>
      </c>
      <c r="G27" s="55">
        <v>33</v>
      </c>
      <c r="H27" s="55">
        <f t="shared" si="7"/>
        <v>33</v>
      </c>
      <c r="I27" s="130"/>
      <c r="J27" s="132"/>
      <c r="K27" s="130"/>
      <c r="L27" s="262" t="s">
        <v>101</v>
      </c>
      <c r="M27" s="28" t="s">
        <v>31</v>
      </c>
      <c r="N27" s="218"/>
      <c r="O27" s="39">
        <f t="shared" si="4"/>
        <v>1</v>
      </c>
      <c r="P27" s="55" t="s">
        <v>4</v>
      </c>
      <c r="Q27" s="55" t="s">
        <v>4</v>
      </c>
      <c r="R27" s="55" t="s">
        <v>4</v>
      </c>
      <c r="S27" s="55" t="s">
        <v>4</v>
      </c>
      <c r="T27" s="55" t="str">
        <f t="shared" si="5"/>
        <v>oK</v>
      </c>
      <c r="U27" s="55" t="str">
        <f t="shared" si="6"/>
        <v>Eduardo A.</v>
      </c>
      <c r="V27" s="130"/>
      <c r="W27" s="130"/>
      <c r="X27" s="130"/>
      <c r="Y27" s="130"/>
      <c r="Z27" s="130"/>
      <c r="AA27" s="130"/>
      <c r="AB27" s="130" t="s">
        <v>4</v>
      </c>
    </row>
    <row r="28" spans="1:30" ht="12.6" customHeight="1" x14ac:dyDescent="0.25">
      <c r="A28" s="129" t="s">
        <v>4</v>
      </c>
      <c r="B28" s="129"/>
      <c r="C28" s="55">
        <v>2</v>
      </c>
      <c r="D28" s="55">
        <v>5</v>
      </c>
      <c r="E28" s="130">
        <v>1</v>
      </c>
      <c r="F28" s="55">
        <v>3</v>
      </c>
      <c r="G28" s="55">
        <v>100</v>
      </c>
      <c r="H28" s="55">
        <f t="shared" si="7"/>
        <v>55</v>
      </c>
      <c r="I28" s="130">
        <v>45</v>
      </c>
      <c r="J28" s="132">
        <f>I28/G28</f>
        <v>0.45</v>
      </c>
      <c r="K28" s="128" t="s">
        <v>55</v>
      </c>
      <c r="L28" s="128" t="s">
        <v>101</v>
      </c>
      <c r="M28" s="28" t="s">
        <v>69</v>
      </c>
      <c r="N28" s="218"/>
      <c r="O28" s="39">
        <f t="shared" si="4"/>
        <v>3</v>
      </c>
      <c r="P28" s="55" t="s">
        <v>4</v>
      </c>
      <c r="Q28" s="55" t="s">
        <v>4</v>
      </c>
      <c r="R28" s="55" t="s">
        <v>4</v>
      </c>
      <c r="S28" s="55" t="s">
        <v>4</v>
      </c>
      <c r="T28" s="55" t="str">
        <f t="shared" si="5"/>
        <v>oK</v>
      </c>
      <c r="U28" s="55" t="str">
        <f t="shared" si="6"/>
        <v>Fidel V.</v>
      </c>
      <c r="V28" s="130"/>
      <c r="W28" s="130" t="s">
        <v>4</v>
      </c>
      <c r="X28" s="130"/>
      <c r="Y28" s="130"/>
      <c r="Z28" s="130"/>
      <c r="AA28" s="130"/>
      <c r="AB28" s="130"/>
    </row>
    <row r="29" spans="1:30" ht="12.6" customHeight="1" x14ac:dyDescent="0.25">
      <c r="A29" s="129" t="s">
        <v>4</v>
      </c>
      <c r="B29" s="129"/>
      <c r="C29" s="55">
        <v>2</v>
      </c>
      <c r="D29" s="44" t="s">
        <v>60</v>
      </c>
      <c r="E29" s="43">
        <v>0</v>
      </c>
      <c r="F29" s="44">
        <v>2</v>
      </c>
      <c r="G29" s="44">
        <v>67</v>
      </c>
      <c r="H29" s="44"/>
      <c r="I29" s="43"/>
      <c r="J29" s="133"/>
      <c r="K29" s="43"/>
      <c r="L29" s="208" t="s">
        <v>102</v>
      </c>
      <c r="M29" s="29" t="s">
        <v>42</v>
      </c>
      <c r="N29" s="218"/>
      <c r="O29" s="39">
        <f t="shared" si="4"/>
        <v>2</v>
      </c>
      <c r="P29" s="55" t="s">
        <v>4</v>
      </c>
      <c r="Q29" s="55" t="s">
        <v>4</v>
      </c>
      <c r="R29" s="55" t="s">
        <v>4</v>
      </c>
      <c r="S29" s="55" t="s">
        <v>4</v>
      </c>
      <c r="T29" s="55" t="str">
        <f t="shared" si="5"/>
        <v>oK</v>
      </c>
      <c r="U29" s="55" t="str">
        <f t="shared" si="6"/>
        <v>Rafa S.</v>
      </c>
      <c r="V29" s="130"/>
      <c r="W29" s="130"/>
      <c r="X29" s="130"/>
      <c r="Y29" s="130" t="s">
        <v>4</v>
      </c>
      <c r="Z29" s="130"/>
      <c r="AA29" s="130"/>
      <c r="AB29" s="130"/>
    </row>
    <row r="30" spans="1:30" ht="12.6" customHeight="1" x14ac:dyDescent="0.25">
      <c r="A30" s="129" t="s">
        <v>4</v>
      </c>
      <c r="B30" s="129"/>
      <c r="C30" s="55">
        <v>2</v>
      </c>
      <c r="D30" s="44"/>
      <c r="E30" s="43"/>
      <c r="F30" s="44">
        <v>1</v>
      </c>
      <c r="G30" s="44">
        <v>33</v>
      </c>
      <c r="H30" s="44"/>
      <c r="I30" s="43"/>
      <c r="J30" s="133"/>
      <c r="K30" s="43"/>
      <c r="L30" s="43" t="s">
        <v>101</v>
      </c>
      <c r="M30" s="18" t="s">
        <v>40</v>
      </c>
      <c r="N30" s="218"/>
      <c r="O30" s="39">
        <f t="shared" si="4"/>
        <v>1</v>
      </c>
      <c r="P30" s="55" t="s">
        <v>4</v>
      </c>
      <c r="Q30" s="55" t="s">
        <v>4</v>
      </c>
      <c r="R30" s="55" t="s">
        <v>4</v>
      </c>
      <c r="S30" s="55" t="s">
        <v>4</v>
      </c>
      <c r="T30" s="55" t="str">
        <f t="shared" si="5"/>
        <v>oK</v>
      </c>
      <c r="U30" s="55" t="str">
        <f t="shared" si="6"/>
        <v>Eduardo A.</v>
      </c>
      <c r="V30" s="130"/>
      <c r="W30" s="130"/>
      <c r="X30" s="130"/>
      <c r="Y30" s="130"/>
      <c r="Z30" s="130"/>
      <c r="AA30" s="130"/>
      <c r="AB30" s="130" t="s">
        <v>4</v>
      </c>
    </row>
    <row r="31" spans="1:30" ht="12.6" customHeight="1" x14ac:dyDescent="0.25">
      <c r="A31" s="48" t="s">
        <v>4</v>
      </c>
      <c r="B31" s="48"/>
      <c r="C31" s="56">
        <v>2</v>
      </c>
      <c r="D31" s="56">
        <v>5</v>
      </c>
      <c r="E31" s="49"/>
      <c r="F31" s="56">
        <v>2</v>
      </c>
      <c r="G31" s="56">
        <v>67</v>
      </c>
      <c r="H31" s="56">
        <f>G31-I31</f>
        <v>67</v>
      </c>
      <c r="I31" s="49"/>
      <c r="J31" s="134"/>
      <c r="K31" s="49"/>
      <c r="L31" s="264" t="s">
        <v>101</v>
      </c>
      <c r="M31" s="46" t="s">
        <v>36</v>
      </c>
      <c r="N31" s="216"/>
      <c r="O31" s="49">
        <f t="shared" si="4"/>
        <v>2</v>
      </c>
      <c r="P31" s="56" t="s">
        <v>4</v>
      </c>
      <c r="Q31" s="56"/>
      <c r="R31" s="56"/>
      <c r="S31" s="56"/>
      <c r="T31" s="56"/>
      <c r="U31" s="56"/>
      <c r="V31" s="49"/>
      <c r="W31" s="49"/>
      <c r="X31" s="49"/>
      <c r="Y31" s="49"/>
      <c r="Z31" s="49"/>
      <c r="AA31" s="49"/>
      <c r="AB31" s="49"/>
    </row>
    <row r="32" spans="1:30" ht="12.6" customHeight="1" thickBot="1" x14ac:dyDescent="0.3">
      <c r="A32" s="135" t="s">
        <v>4</v>
      </c>
      <c r="B32" s="135"/>
      <c r="C32" s="136">
        <v>2</v>
      </c>
      <c r="D32" s="116"/>
      <c r="E32" s="54"/>
      <c r="F32" s="116"/>
      <c r="G32" s="116"/>
      <c r="H32" s="116"/>
      <c r="I32" s="54"/>
      <c r="J32" s="137"/>
      <c r="K32" s="54"/>
      <c r="L32" s="261"/>
      <c r="M32" s="26"/>
      <c r="N32" s="54" t="s">
        <v>162</v>
      </c>
      <c r="O32" s="13"/>
      <c r="P32" s="55"/>
      <c r="Q32" s="138" t="s">
        <v>4</v>
      </c>
      <c r="R32" s="138" t="s">
        <v>4</v>
      </c>
      <c r="S32" s="21"/>
      <c r="T32" s="21" t="str">
        <f>IF(COUNTIF(V32:AB32,"X")&lt;1,"NoK",IF(COUNTIF(V32:AB32,"X")=1,"oK","DUPLICADO"))</f>
        <v>oK</v>
      </c>
      <c r="U32" s="21" t="str">
        <f>_xlfn.XLOOKUP("X",V32:AB32,$V$4:$AB$4,"¿Profesorado?")</f>
        <v>Susana A.</v>
      </c>
      <c r="V32" s="233"/>
      <c r="W32" s="233"/>
      <c r="X32" s="233"/>
      <c r="Y32" s="233"/>
      <c r="Z32" s="233"/>
      <c r="AA32" s="233" t="s">
        <v>4</v>
      </c>
      <c r="AB32" s="233"/>
    </row>
    <row r="33" spans="1:28" ht="12.6" customHeight="1" thickTop="1" thickBot="1" x14ac:dyDescent="0.3">
      <c r="A33" s="99"/>
      <c r="B33" s="99"/>
      <c r="C33" s="139"/>
      <c r="D33" s="139">
        <f t="shared" ref="D33:I33" si="8">SUM(D34:D44)</f>
        <v>60</v>
      </c>
      <c r="E33" s="139">
        <f t="shared" si="8"/>
        <v>6</v>
      </c>
      <c r="F33" s="101">
        <f t="shared" si="8"/>
        <v>30</v>
      </c>
      <c r="G33" s="101">
        <f t="shared" si="8"/>
        <v>999</v>
      </c>
      <c r="H33" s="140">
        <f t="shared" si="8"/>
        <v>193</v>
      </c>
      <c r="I33" s="140">
        <f t="shared" si="8"/>
        <v>140</v>
      </c>
      <c r="J33" s="140"/>
      <c r="K33" s="141"/>
      <c r="L33" s="141"/>
      <c r="M33" s="31"/>
      <c r="N33" s="103"/>
      <c r="O33" s="101"/>
      <c r="P33" s="101">
        <f>SUMIF(P34:P43,"X",O34:O43)</f>
        <v>30</v>
      </c>
      <c r="Q33" s="142"/>
      <c r="R33" s="142"/>
      <c r="S33" s="94"/>
      <c r="T33" s="96"/>
      <c r="U33" s="94"/>
      <c r="V33" s="96"/>
      <c r="W33" s="96"/>
      <c r="X33" s="96"/>
      <c r="Y33" s="96"/>
      <c r="Z33" s="96"/>
      <c r="AA33" s="96"/>
      <c r="AB33" s="96"/>
    </row>
    <row r="34" spans="1:28" ht="12.6" customHeight="1" thickTop="1" x14ac:dyDescent="0.25">
      <c r="A34" s="143"/>
      <c r="B34" s="143" t="s">
        <v>4</v>
      </c>
      <c r="C34" s="144">
        <v>1</v>
      </c>
      <c r="D34" s="144">
        <v>7</v>
      </c>
      <c r="E34" s="145"/>
      <c r="F34" s="146">
        <v>4</v>
      </c>
      <c r="G34" s="147">
        <v>133</v>
      </c>
      <c r="H34" s="148"/>
      <c r="I34" s="149"/>
      <c r="J34" s="150"/>
      <c r="K34" s="151"/>
      <c r="L34" s="151" t="s">
        <v>103</v>
      </c>
      <c r="M34" s="32" t="s">
        <v>71</v>
      </c>
      <c r="N34" s="219"/>
      <c r="O34" s="10">
        <f t="shared" ref="O34:O42" si="9">F34</f>
        <v>4</v>
      </c>
      <c r="P34" s="152" t="s">
        <v>4</v>
      </c>
      <c r="Q34" s="154" t="s">
        <v>4</v>
      </c>
      <c r="R34" s="144"/>
      <c r="S34" s="153" t="s">
        <v>4</v>
      </c>
      <c r="T34" s="153" t="str">
        <f t="shared" ref="T34:T40" si="10">IF(COUNTIF(V34:AB34,"X")&lt;1,"NoK",IF(COUNTIF(V34:AB34,"X")=1,"oK","DUPLICADO"))</f>
        <v>oK</v>
      </c>
      <c r="U34" s="153" t="str">
        <f t="shared" ref="U34:U40" si="11">_xlfn.XLOOKUP("X",V34:AB34,$V$4:$AB$4,"¿Profesorado?")</f>
        <v>Luis G.</v>
      </c>
      <c r="V34" s="234"/>
      <c r="W34" s="234"/>
      <c r="X34" s="234" t="s">
        <v>4</v>
      </c>
      <c r="Y34" s="234"/>
      <c r="Z34" s="234"/>
      <c r="AA34" s="234"/>
      <c r="AB34" s="234"/>
    </row>
    <row r="35" spans="1:28" ht="12.6" customHeight="1" x14ac:dyDescent="0.25">
      <c r="A35" s="155"/>
      <c r="B35" s="155" t="s">
        <v>4</v>
      </c>
      <c r="C35" s="156">
        <v>1</v>
      </c>
      <c r="D35" s="156">
        <v>5</v>
      </c>
      <c r="E35" s="157"/>
      <c r="F35" s="156">
        <v>4</v>
      </c>
      <c r="G35" s="156">
        <v>133</v>
      </c>
      <c r="H35" s="156"/>
      <c r="I35" s="157"/>
      <c r="J35" s="158"/>
      <c r="K35" s="157"/>
      <c r="L35" s="157" t="s">
        <v>103</v>
      </c>
      <c r="M35" s="33" t="s">
        <v>10</v>
      </c>
      <c r="N35" s="220"/>
      <c r="O35" s="40">
        <f t="shared" si="9"/>
        <v>4</v>
      </c>
      <c r="P35" s="156" t="s">
        <v>4</v>
      </c>
      <c r="Q35" s="156" t="s">
        <v>4</v>
      </c>
      <c r="R35" s="156"/>
      <c r="S35" s="156" t="s">
        <v>4</v>
      </c>
      <c r="T35" s="156" t="str">
        <f t="shared" si="10"/>
        <v>oK</v>
      </c>
      <c r="U35" s="156" t="str">
        <f t="shared" si="11"/>
        <v>Luis G.</v>
      </c>
      <c r="V35" s="157"/>
      <c r="W35" s="157"/>
      <c r="X35" s="157" t="s">
        <v>4</v>
      </c>
      <c r="Y35" s="157"/>
      <c r="Z35" s="157"/>
      <c r="AA35" s="157"/>
      <c r="AB35" s="157"/>
    </row>
    <row r="36" spans="1:28" ht="12.6" customHeight="1" x14ac:dyDescent="0.25">
      <c r="A36" s="159"/>
      <c r="B36" s="159" t="s">
        <v>4</v>
      </c>
      <c r="C36" s="156">
        <v>1</v>
      </c>
      <c r="D36" s="156">
        <v>7</v>
      </c>
      <c r="E36" s="157">
        <v>3</v>
      </c>
      <c r="F36" s="156">
        <v>4</v>
      </c>
      <c r="G36" s="156">
        <v>133</v>
      </c>
      <c r="H36" s="156">
        <f>G36-I36</f>
        <v>83</v>
      </c>
      <c r="I36" s="157">
        <v>50</v>
      </c>
      <c r="J36" s="158">
        <f>I36/G36</f>
        <v>0.37593984962406013</v>
      </c>
      <c r="K36" s="157" t="s">
        <v>62</v>
      </c>
      <c r="L36" s="151" t="s">
        <v>103</v>
      </c>
      <c r="M36" s="32" t="s">
        <v>11</v>
      </c>
      <c r="N36" s="220"/>
      <c r="O36" s="40">
        <f t="shared" si="9"/>
        <v>4</v>
      </c>
      <c r="P36" s="156" t="s">
        <v>4</v>
      </c>
      <c r="Q36" s="156"/>
      <c r="R36" s="156" t="s">
        <v>4</v>
      </c>
      <c r="S36" s="156" t="s">
        <v>4</v>
      </c>
      <c r="T36" s="156" t="str">
        <f t="shared" si="10"/>
        <v>oK</v>
      </c>
      <c r="U36" s="156" t="str">
        <f t="shared" si="11"/>
        <v>Rafa S.</v>
      </c>
      <c r="V36" s="157"/>
      <c r="W36" s="157"/>
      <c r="X36" s="157"/>
      <c r="Y36" s="157" t="s">
        <v>4</v>
      </c>
      <c r="Z36" s="157"/>
      <c r="AA36" s="157"/>
      <c r="AB36" s="157"/>
    </row>
    <row r="37" spans="1:28" ht="12.6" customHeight="1" x14ac:dyDescent="0.25">
      <c r="A37" s="159"/>
      <c r="B37" s="159" t="s">
        <v>4</v>
      </c>
      <c r="C37" s="156">
        <v>1</v>
      </c>
      <c r="D37" s="156">
        <v>8</v>
      </c>
      <c r="E37" s="157">
        <v>3</v>
      </c>
      <c r="F37" s="156">
        <v>6</v>
      </c>
      <c r="G37" s="156">
        <v>200</v>
      </c>
      <c r="H37" s="156">
        <f>G37-I37</f>
        <v>110</v>
      </c>
      <c r="I37" s="157">
        <v>90</v>
      </c>
      <c r="J37" s="158">
        <f>I37/G37</f>
        <v>0.45</v>
      </c>
      <c r="K37" s="157" t="s">
        <v>64</v>
      </c>
      <c r="L37" s="157" t="s">
        <v>103</v>
      </c>
      <c r="M37" s="32" t="s">
        <v>32</v>
      </c>
      <c r="N37" s="220"/>
      <c r="O37" s="40">
        <f t="shared" si="9"/>
        <v>6</v>
      </c>
      <c r="P37" s="156" t="s">
        <v>4</v>
      </c>
      <c r="Q37" s="156"/>
      <c r="R37" s="156" t="s">
        <v>4</v>
      </c>
      <c r="S37" s="156" t="s">
        <v>4</v>
      </c>
      <c r="T37" s="156" t="str">
        <f t="shared" si="10"/>
        <v>oK</v>
      </c>
      <c r="U37" s="156" t="str">
        <f t="shared" si="11"/>
        <v>Alejandro D.</v>
      </c>
      <c r="V37" s="157"/>
      <c r="W37" s="157"/>
      <c r="X37" s="157"/>
      <c r="Y37" s="157"/>
      <c r="Z37" s="157" t="s">
        <v>4</v>
      </c>
      <c r="AA37" s="157"/>
      <c r="AB37" s="157"/>
    </row>
    <row r="38" spans="1:28" ht="12.6" customHeight="1" x14ac:dyDescent="0.25">
      <c r="A38" s="159"/>
      <c r="B38" s="159" t="s">
        <v>4</v>
      </c>
      <c r="C38" s="156">
        <v>1</v>
      </c>
      <c r="D38" s="156">
        <v>8</v>
      </c>
      <c r="E38" s="157"/>
      <c r="F38" s="156">
        <v>2</v>
      </c>
      <c r="G38" s="156">
        <v>67</v>
      </c>
      <c r="H38" s="156"/>
      <c r="I38" s="157"/>
      <c r="J38" s="158"/>
      <c r="K38" s="157"/>
      <c r="L38" s="151" t="s">
        <v>103</v>
      </c>
      <c r="M38" s="32" t="s">
        <v>72</v>
      </c>
      <c r="N38" s="220"/>
      <c r="O38" s="40">
        <f t="shared" si="9"/>
        <v>2</v>
      </c>
      <c r="P38" s="156" t="s">
        <v>4</v>
      </c>
      <c r="Q38" s="156" t="s">
        <v>4</v>
      </c>
      <c r="R38" s="156"/>
      <c r="S38" s="156" t="s">
        <v>4</v>
      </c>
      <c r="T38" s="156" t="str">
        <f t="shared" si="10"/>
        <v>oK</v>
      </c>
      <c r="U38" s="156" t="str">
        <f t="shared" si="11"/>
        <v>Luis G.</v>
      </c>
      <c r="V38" s="157"/>
      <c r="W38" s="157"/>
      <c r="X38" s="157" t="s">
        <v>4</v>
      </c>
      <c r="Y38" s="157"/>
      <c r="Z38" s="157"/>
      <c r="AA38" s="157"/>
      <c r="AB38" s="157"/>
    </row>
    <row r="39" spans="1:28" ht="12.6" customHeight="1" x14ac:dyDescent="0.25">
      <c r="A39" s="159"/>
      <c r="B39" s="159" t="s">
        <v>4</v>
      </c>
      <c r="C39" s="156">
        <v>1</v>
      </c>
      <c r="D39" s="156">
        <v>8</v>
      </c>
      <c r="E39" s="157"/>
      <c r="F39" s="156">
        <v>4</v>
      </c>
      <c r="G39" s="156">
        <v>133</v>
      </c>
      <c r="H39" s="156"/>
      <c r="I39" s="157"/>
      <c r="J39" s="158"/>
      <c r="K39" s="157"/>
      <c r="L39" s="157" t="s">
        <v>103</v>
      </c>
      <c r="M39" s="32" t="s">
        <v>12</v>
      </c>
      <c r="N39" s="220"/>
      <c r="O39" s="40">
        <f t="shared" si="9"/>
        <v>4</v>
      </c>
      <c r="P39" s="156" t="s">
        <v>4</v>
      </c>
      <c r="Q39" s="156"/>
      <c r="R39" s="156" t="s">
        <v>4</v>
      </c>
      <c r="S39" s="156" t="s">
        <v>4</v>
      </c>
      <c r="T39" s="156" t="str">
        <f t="shared" si="10"/>
        <v>oK</v>
      </c>
      <c r="U39" s="156" t="str">
        <f t="shared" si="11"/>
        <v>Susana A.</v>
      </c>
      <c r="V39" s="157"/>
      <c r="W39" s="157"/>
      <c r="X39" s="157"/>
      <c r="Y39" s="157"/>
      <c r="Z39" s="157"/>
      <c r="AA39" s="157" t="s">
        <v>4</v>
      </c>
      <c r="AB39" s="157"/>
    </row>
    <row r="40" spans="1:28" ht="12.6" customHeight="1" x14ac:dyDescent="0.25">
      <c r="A40" s="159"/>
      <c r="B40" s="159" t="s">
        <v>4</v>
      </c>
      <c r="C40" s="156">
        <v>1</v>
      </c>
      <c r="D40" s="156">
        <v>6</v>
      </c>
      <c r="E40" s="157"/>
      <c r="F40" s="156">
        <v>1</v>
      </c>
      <c r="G40" s="156">
        <v>33</v>
      </c>
      <c r="H40" s="156"/>
      <c r="I40" s="157"/>
      <c r="J40" s="158"/>
      <c r="K40" s="157"/>
      <c r="L40" s="151" t="s">
        <v>103</v>
      </c>
      <c r="M40" s="32" t="s">
        <v>57</v>
      </c>
      <c r="N40" s="220"/>
      <c r="O40" s="40">
        <f t="shared" si="9"/>
        <v>1</v>
      </c>
      <c r="P40" s="156" t="s">
        <v>4</v>
      </c>
      <c r="Q40" s="156" t="s">
        <v>4</v>
      </c>
      <c r="R40" s="156" t="s">
        <v>4</v>
      </c>
      <c r="S40" s="156" t="s">
        <v>4</v>
      </c>
      <c r="T40" s="156" t="str">
        <f t="shared" si="10"/>
        <v>oK</v>
      </c>
      <c r="U40" s="156" t="str">
        <f t="shared" si="11"/>
        <v>Alejandro D.</v>
      </c>
      <c r="V40" s="157"/>
      <c r="W40" s="157"/>
      <c r="X40" s="157"/>
      <c r="Y40" s="157"/>
      <c r="Z40" s="157" t="s">
        <v>4</v>
      </c>
      <c r="AA40" s="157"/>
      <c r="AB40" s="157"/>
    </row>
    <row r="41" spans="1:28" ht="12.6" customHeight="1" x14ac:dyDescent="0.25">
      <c r="A41" s="48"/>
      <c r="B41" s="48" t="s">
        <v>4</v>
      </c>
      <c r="C41" s="160">
        <v>1</v>
      </c>
      <c r="D41" s="160">
        <v>6</v>
      </c>
      <c r="E41" s="50"/>
      <c r="F41" s="160">
        <v>2</v>
      </c>
      <c r="G41" s="160">
        <v>67</v>
      </c>
      <c r="H41" s="160"/>
      <c r="I41" s="50"/>
      <c r="J41" s="113"/>
      <c r="K41" s="50"/>
      <c r="L41" s="265" t="s">
        <v>103</v>
      </c>
      <c r="M41" s="46" t="s">
        <v>79</v>
      </c>
      <c r="N41" s="221"/>
      <c r="O41" s="50">
        <f t="shared" si="9"/>
        <v>2</v>
      </c>
      <c r="P41" s="160" t="s">
        <v>4</v>
      </c>
      <c r="Q41" s="160"/>
      <c r="R41" s="160"/>
      <c r="S41" s="160"/>
      <c r="T41" s="160"/>
      <c r="U41" s="160"/>
      <c r="V41" s="50"/>
      <c r="W41" s="50"/>
      <c r="X41" s="50"/>
      <c r="Y41" s="50"/>
      <c r="Z41" s="50"/>
      <c r="AA41" s="50"/>
      <c r="AB41" s="50"/>
    </row>
    <row r="42" spans="1:28" ht="12.6" customHeight="1" x14ac:dyDescent="0.25">
      <c r="A42" s="48"/>
      <c r="B42" s="48" t="s">
        <v>4</v>
      </c>
      <c r="C42" s="160">
        <v>1</v>
      </c>
      <c r="D42" s="160">
        <v>5</v>
      </c>
      <c r="E42" s="50"/>
      <c r="F42" s="160">
        <v>3</v>
      </c>
      <c r="G42" s="160">
        <v>100</v>
      </c>
      <c r="H42" s="160"/>
      <c r="I42" s="50"/>
      <c r="J42" s="113"/>
      <c r="K42" s="50"/>
      <c r="L42" s="265" t="s">
        <v>103</v>
      </c>
      <c r="M42" s="46" t="s">
        <v>35</v>
      </c>
      <c r="N42" s="216"/>
      <c r="O42" s="50">
        <f t="shared" si="9"/>
        <v>3</v>
      </c>
      <c r="P42" s="160" t="s">
        <v>4</v>
      </c>
      <c r="Q42" s="160"/>
      <c r="R42" s="160"/>
      <c r="S42" s="160"/>
      <c r="T42" s="160"/>
      <c r="U42" s="160"/>
      <c r="V42" s="50"/>
      <c r="W42" s="50"/>
      <c r="X42" s="50"/>
      <c r="Y42" s="50"/>
      <c r="Z42" s="50"/>
      <c r="AA42" s="50"/>
      <c r="AB42" s="50"/>
    </row>
    <row r="43" spans="1:28" ht="12.6" customHeight="1" x14ac:dyDescent="0.25">
      <c r="A43" s="159"/>
      <c r="B43" s="159" t="s">
        <v>4</v>
      </c>
      <c r="C43" s="156">
        <v>1</v>
      </c>
      <c r="D43" s="44"/>
      <c r="E43" s="43"/>
      <c r="F43" s="44"/>
      <c r="G43" s="44"/>
      <c r="H43" s="44"/>
      <c r="I43" s="43"/>
      <c r="J43" s="133"/>
      <c r="K43" s="43"/>
      <c r="L43" s="208"/>
      <c r="M43" s="34"/>
      <c r="N43" s="43" t="s">
        <v>26</v>
      </c>
      <c r="O43" s="40"/>
      <c r="P43" s="156"/>
      <c r="Q43" s="156" t="s">
        <v>4</v>
      </c>
      <c r="R43" s="156" t="s">
        <v>4</v>
      </c>
      <c r="S43" s="156"/>
      <c r="T43" s="156" t="str">
        <f>IF(COUNTIF(V43:AB43,"X")&lt;1,"NoK",IF(COUNTIF(V43:AB43,"X")=1,"oK","DUPLICADO"))</f>
        <v>oK</v>
      </c>
      <c r="U43" s="156" t="str">
        <f>_xlfn.XLOOKUP("X",V43:AB43,$V$4:$AB$4,"¿Profesorado?")</f>
        <v>Susana A.</v>
      </c>
      <c r="V43" s="157"/>
      <c r="W43" s="157"/>
      <c r="X43" s="157"/>
      <c r="Y43" s="157"/>
      <c r="Z43" s="157"/>
      <c r="AA43" s="157" t="s">
        <v>4</v>
      </c>
      <c r="AB43" s="157"/>
    </row>
    <row r="44" spans="1:28" ht="12.6" customHeight="1" thickBot="1" x14ac:dyDescent="0.3">
      <c r="A44" s="161"/>
      <c r="B44" s="161" t="s">
        <v>4</v>
      </c>
      <c r="C44" s="162">
        <v>1</v>
      </c>
      <c r="D44" s="116"/>
      <c r="E44" s="54"/>
      <c r="F44" s="116"/>
      <c r="G44" s="116"/>
      <c r="H44" s="116"/>
      <c r="I44" s="54"/>
      <c r="J44" s="137"/>
      <c r="K44" s="54"/>
      <c r="L44" s="261"/>
      <c r="M44" s="26"/>
      <c r="N44" s="54" t="s">
        <v>162</v>
      </c>
      <c r="O44" s="11"/>
      <c r="P44" s="156"/>
      <c r="Q44" s="164" t="s">
        <v>4</v>
      </c>
      <c r="R44" s="165" t="s">
        <v>4</v>
      </c>
      <c r="S44" s="163"/>
      <c r="T44" s="163" t="str">
        <f>IF(COUNTIF(V44:AB44,"X")&lt;1,"NoK",IF(COUNTIF(V44:AB44,"X")=1,"oK","DUPLICADO"))</f>
        <v>oK</v>
      </c>
      <c r="U44" s="163" t="str">
        <f>_xlfn.XLOOKUP("X",V44:AB44,$V$4:$AB$4,"¿Profesorado?")</f>
        <v>Luis G.</v>
      </c>
      <c r="V44" s="235"/>
      <c r="W44" s="235"/>
      <c r="X44" s="235" t="s">
        <v>4</v>
      </c>
      <c r="Y44" s="235"/>
      <c r="Z44" s="235"/>
      <c r="AA44" s="235"/>
      <c r="AB44" s="235"/>
    </row>
    <row r="45" spans="1:28" ht="12.6" customHeight="1" thickTop="1" thickBot="1" x14ac:dyDescent="0.3">
      <c r="A45" s="99"/>
      <c r="B45" s="99"/>
      <c r="C45" s="139"/>
      <c r="D45" s="139">
        <f>SUM(D46:D51)</f>
        <v>39</v>
      </c>
      <c r="E45" s="139">
        <f>SUM(E46:E55)</f>
        <v>11</v>
      </c>
      <c r="F45" s="101">
        <f>SUM(F46:F55)</f>
        <v>30</v>
      </c>
      <c r="G45" s="101">
        <f>SUM(G46:G55)</f>
        <v>1000</v>
      </c>
      <c r="H45" s="140">
        <f>SUM(H46:H55)</f>
        <v>473</v>
      </c>
      <c r="I45" s="140">
        <f>SUM(I46:I55)</f>
        <v>360</v>
      </c>
      <c r="J45" s="140"/>
      <c r="K45" s="141"/>
      <c r="L45" s="141"/>
      <c r="M45" s="35"/>
      <c r="N45" s="103"/>
      <c r="O45" s="101"/>
      <c r="P45" s="101">
        <f>SUMIF(P46:P55,"X",O46:O55)</f>
        <v>30</v>
      </c>
      <c r="Q45" s="166"/>
      <c r="R45" s="167"/>
      <c r="S45" s="94"/>
      <c r="T45" s="96"/>
      <c r="U45" s="94"/>
      <c r="V45" s="96"/>
      <c r="W45" s="96"/>
      <c r="X45" s="96"/>
      <c r="Y45" s="96"/>
      <c r="Z45" s="96"/>
      <c r="AA45" s="96"/>
      <c r="AB45" s="96"/>
    </row>
    <row r="46" spans="1:28" ht="12.6" customHeight="1" thickTop="1" x14ac:dyDescent="0.25">
      <c r="A46" s="168"/>
      <c r="B46" s="168" t="s">
        <v>4</v>
      </c>
      <c r="C46" s="169">
        <v>2</v>
      </c>
      <c r="D46" s="169">
        <v>9</v>
      </c>
      <c r="E46" s="170">
        <v>2</v>
      </c>
      <c r="F46" s="171">
        <v>4</v>
      </c>
      <c r="G46" s="172">
        <v>133</v>
      </c>
      <c r="H46" s="173">
        <f t="shared" ref="H46:H51" si="12">G46-I46</f>
        <v>73</v>
      </c>
      <c r="I46" s="174">
        <v>60</v>
      </c>
      <c r="J46" s="175">
        <f>I46/G46</f>
        <v>0.45112781954887216</v>
      </c>
      <c r="K46" s="170" t="s">
        <v>65</v>
      </c>
      <c r="L46" s="266" t="s">
        <v>104</v>
      </c>
      <c r="M46" s="36" t="s">
        <v>73</v>
      </c>
      <c r="N46" s="222"/>
      <c r="O46" s="12">
        <f t="shared" ref="O46:O53" si="13">F46</f>
        <v>4</v>
      </c>
      <c r="P46" s="172" t="s">
        <v>4</v>
      </c>
      <c r="Q46" s="177"/>
      <c r="R46" s="169" t="s">
        <v>4</v>
      </c>
      <c r="S46" s="176" t="s">
        <v>4</v>
      </c>
      <c r="T46" s="176" t="str">
        <f t="shared" ref="T46:T51" si="14">IF(COUNTIF(V46:AB46,"X")&lt;1,"NoK",IF(COUNTIF(V46:AB46,"X")=1,"oK","DUPLICADO"))</f>
        <v>oK</v>
      </c>
      <c r="U46" s="176" t="str">
        <f t="shared" ref="U46:U52" si="15">_xlfn.XLOOKUP("X",V46:AB46,$V$4:$AB$4,"¿Profesorado?")</f>
        <v>Susana A.</v>
      </c>
      <c r="V46" s="236"/>
      <c r="W46" s="236"/>
      <c r="X46" s="236"/>
      <c r="Y46" s="236"/>
      <c r="Z46" s="236"/>
      <c r="AA46" s="236" t="s">
        <v>4</v>
      </c>
      <c r="AB46" s="236"/>
    </row>
    <row r="47" spans="1:28" ht="12.6" customHeight="1" x14ac:dyDescent="0.25">
      <c r="A47" s="178"/>
      <c r="B47" s="178" t="s">
        <v>4</v>
      </c>
      <c r="C47" s="179">
        <v>2</v>
      </c>
      <c r="D47" s="179">
        <v>6</v>
      </c>
      <c r="E47" s="180">
        <v>3</v>
      </c>
      <c r="F47" s="179">
        <v>7</v>
      </c>
      <c r="G47" s="179">
        <v>233</v>
      </c>
      <c r="H47" s="179">
        <f t="shared" si="12"/>
        <v>133</v>
      </c>
      <c r="I47" s="180">
        <v>100</v>
      </c>
      <c r="J47" s="181">
        <f>I47/G47</f>
        <v>0.42918454935622319</v>
      </c>
      <c r="K47" s="180" t="s">
        <v>66</v>
      </c>
      <c r="L47" s="267" t="s">
        <v>104</v>
      </c>
      <c r="M47" s="37" t="s">
        <v>15</v>
      </c>
      <c r="N47" s="223"/>
      <c r="O47" s="41">
        <f t="shared" si="13"/>
        <v>7</v>
      </c>
      <c r="P47" s="179" t="s">
        <v>4</v>
      </c>
      <c r="Q47" s="179" t="s">
        <v>4</v>
      </c>
      <c r="R47" s="179"/>
      <c r="S47" s="179" t="s">
        <v>4</v>
      </c>
      <c r="T47" s="179" t="str">
        <f t="shared" si="14"/>
        <v>oK</v>
      </c>
      <c r="U47" s="179" t="str">
        <f t="shared" si="15"/>
        <v>Pablo J.</v>
      </c>
      <c r="V47" s="180" t="s">
        <v>4</v>
      </c>
      <c r="W47" s="180"/>
      <c r="X47" s="180"/>
      <c r="Y47" s="180"/>
      <c r="Z47" s="180"/>
      <c r="AA47" s="180"/>
      <c r="AB47" s="180"/>
    </row>
    <row r="48" spans="1:28" ht="12.6" customHeight="1" x14ac:dyDescent="0.25">
      <c r="A48" s="178"/>
      <c r="B48" s="178" t="s">
        <v>4</v>
      </c>
      <c r="C48" s="179">
        <v>2</v>
      </c>
      <c r="D48" s="179">
        <v>6</v>
      </c>
      <c r="E48" s="180">
        <v>3</v>
      </c>
      <c r="F48" s="179">
        <v>6</v>
      </c>
      <c r="G48" s="179">
        <v>200</v>
      </c>
      <c r="H48" s="179">
        <f t="shared" si="12"/>
        <v>110</v>
      </c>
      <c r="I48" s="180">
        <v>90</v>
      </c>
      <c r="J48" s="181">
        <f>I48/G48</f>
        <v>0.45</v>
      </c>
      <c r="K48" s="180" t="s">
        <v>66</v>
      </c>
      <c r="L48" s="266" t="s">
        <v>104</v>
      </c>
      <c r="M48" s="36" t="s">
        <v>13</v>
      </c>
      <c r="N48" s="223"/>
      <c r="O48" s="41">
        <f t="shared" si="13"/>
        <v>6</v>
      </c>
      <c r="P48" s="179" t="s">
        <v>4</v>
      </c>
      <c r="Q48" s="179" t="s">
        <v>4</v>
      </c>
      <c r="R48" s="179"/>
      <c r="S48" s="179" t="s">
        <v>4</v>
      </c>
      <c r="T48" s="179" t="str">
        <f t="shared" si="14"/>
        <v>oK</v>
      </c>
      <c r="U48" s="179" t="str">
        <f t="shared" si="15"/>
        <v>Fidel V.</v>
      </c>
      <c r="V48" s="180"/>
      <c r="W48" s="180" t="s">
        <v>4</v>
      </c>
      <c r="X48" s="180"/>
      <c r="Y48" s="180"/>
      <c r="Z48" s="180"/>
      <c r="AA48" s="180"/>
      <c r="AB48" s="180"/>
    </row>
    <row r="49" spans="1:30" ht="12.6" customHeight="1" x14ac:dyDescent="0.25">
      <c r="A49" s="178"/>
      <c r="B49" s="178" t="s">
        <v>4</v>
      </c>
      <c r="C49" s="179">
        <v>2</v>
      </c>
      <c r="D49" s="179">
        <v>7</v>
      </c>
      <c r="E49" s="180">
        <v>2</v>
      </c>
      <c r="F49" s="179">
        <v>5</v>
      </c>
      <c r="G49" s="179">
        <v>167</v>
      </c>
      <c r="H49" s="179">
        <f t="shared" si="12"/>
        <v>97</v>
      </c>
      <c r="I49" s="180">
        <v>70</v>
      </c>
      <c r="J49" s="181">
        <f>I49/G49</f>
        <v>0.41916167664670656</v>
      </c>
      <c r="K49" s="170" t="s">
        <v>67</v>
      </c>
      <c r="L49" s="267" t="s">
        <v>104</v>
      </c>
      <c r="M49" s="37" t="s">
        <v>14</v>
      </c>
      <c r="N49" s="223"/>
      <c r="O49" s="41">
        <f t="shared" si="13"/>
        <v>5</v>
      </c>
      <c r="P49" s="179" t="s">
        <v>4</v>
      </c>
      <c r="Q49" s="179" t="s">
        <v>4</v>
      </c>
      <c r="R49" s="179"/>
      <c r="S49" s="179" t="s">
        <v>4</v>
      </c>
      <c r="T49" s="179" t="str">
        <f t="shared" si="14"/>
        <v>oK</v>
      </c>
      <c r="U49" s="179" t="str">
        <f t="shared" si="15"/>
        <v>Luis G.</v>
      </c>
      <c r="V49" s="180"/>
      <c r="W49" s="180"/>
      <c r="X49" s="180" t="s">
        <v>4</v>
      </c>
      <c r="Y49" s="180"/>
      <c r="Z49" s="180"/>
      <c r="AA49" s="180"/>
      <c r="AB49" s="180"/>
    </row>
    <row r="50" spans="1:30" ht="12.6" customHeight="1" x14ac:dyDescent="0.25">
      <c r="A50" s="178"/>
      <c r="B50" s="178" t="s">
        <v>4</v>
      </c>
      <c r="C50" s="179">
        <v>2</v>
      </c>
      <c r="D50" s="179">
        <v>6</v>
      </c>
      <c r="E50" s="180"/>
      <c r="F50" s="179">
        <v>1</v>
      </c>
      <c r="G50" s="179">
        <v>33</v>
      </c>
      <c r="H50" s="179"/>
      <c r="I50" s="180"/>
      <c r="J50" s="179"/>
      <c r="K50" s="180"/>
      <c r="L50" s="266" t="s">
        <v>104</v>
      </c>
      <c r="M50" s="38" t="s">
        <v>31</v>
      </c>
      <c r="N50" s="223"/>
      <c r="O50" s="41">
        <f t="shared" si="13"/>
        <v>1</v>
      </c>
      <c r="P50" s="179" t="s">
        <v>4</v>
      </c>
      <c r="Q50" s="179" t="s">
        <v>4</v>
      </c>
      <c r="R50" s="179" t="s">
        <v>4</v>
      </c>
      <c r="S50" s="179" t="s">
        <v>4</v>
      </c>
      <c r="T50" s="179" t="str">
        <f t="shared" si="14"/>
        <v>oK</v>
      </c>
      <c r="U50" s="179" t="str">
        <f t="shared" si="15"/>
        <v>Luis G.</v>
      </c>
      <c r="V50" s="180"/>
      <c r="W50" s="180"/>
      <c r="X50" s="180" t="s">
        <v>4</v>
      </c>
      <c r="Y50" s="180"/>
      <c r="Z50" s="180"/>
      <c r="AA50" s="180"/>
      <c r="AB50" s="180"/>
    </row>
    <row r="51" spans="1:30" ht="12.6" customHeight="1" x14ac:dyDescent="0.25">
      <c r="A51" s="178"/>
      <c r="B51" s="178" t="s">
        <v>4</v>
      </c>
      <c r="C51" s="179">
        <v>2</v>
      </c>
      <c r="D51" s="179">
        <v>5</v>
      </c>
      <c r="E51" s="180">
        <v>1</v>
      </c>
      <c r="F51" s="179">
        <v>3</v>
      </c>
      <c r="G51" s="179">
        <v>100</v>
      </c>
      <c r="H51" s="179">
        <f t="shared" si="12"/>
        <v>60</v>
      </c>
      <c r="I51" s="180">
        <v>40</v>
      </c>
      <c r="J51" s="181">
        <f>I51/G51</f>
        <v>0.4</v>
      </c>
      <c r="K51" s="170" t="s">
        <v>55</v>
      </c>
      <c r="L51" s="267" t="s">
        <v>104</v>
      </c>
      <c r="M51" s="38" t="s">
        <v>68</v>
      </c>
      <c r="N51" s="223"/>
      <c r="O51" s="41">
        <f t="shared" si="13"/>
        <v>3</v>
      </c>
      <c r="P51" s="179" t="s">
        <v>4</v>
      </c>
      <c r="Q51" s="179" t="s">
        <v>4</v>
      </c>
      <c r="R51" s="179" t="s">
        <v>4</v>
      </c>
      <c r="S51" s="179" t="s">
        <v>4</v>
      </c>
      <c r="T51" s="179" t="str">
        <f t="shared" si="14"/>
        <v>oK</v>
      </c>
      <c r="U51" s="179" t="str">
        <f t="shared" si="15"/>
        <v>Pablo J.</v>
      </c>
      <c r="V51" s="180" t="s">
        <v>4</v>
      </c>
      <c r="W51" s="180"/>
      <c r="X51" s="180"/>
      <c r="Y51" s="180"/>
      <c r="Z51" s="180"/>
      <c r="AA51" s="180"/>
      <c r="AB51" s="180"/>
      <c r="AC51" s="4" t="s">
        <v>106</v>
      </c>
    </row>
    <row r="52" spans="1:30" ht="12.6" customHeight="1" x14ac:dyDescent="0.25">
      <c r="A52" s="178"/>
      <c r="B52" s="178" t="s">
        <v>4</v>
      </c>
      <c r="C52" s="179">
        <v>2</v>
      </c>
      <c r="D52" s="44" t="s">
        <v>61</v>
      </c>
      <c r="E52" s="182">
        <v>0</v>
      </c>
      <c r="F52" s="183">
        <v>2</v>
      </c>
      <c r="G52" s="183">
        <v>67</v>
      </c>
      <c r="H52" s="183"/>
      <c r="I52" s="182"/>
      <c r="J52" s="183"/>
      <c r="K52" s="182"/>
      <c r="L52" s="268" t="s">
        <v>102</v>
      </c>
      <c r="M52" s="29" t="s">
        <v>58</v>
      </c>
      <c r="N52" s="224"/>
      <c r="O52" s="41">
        <f t="shared" si="13"/>
        <v>2</v>
      </c>
      <c r="P52" s="179" t="s">
        <v>4</v>
      </c>
      <c r="Q52" s="179" t="s">
        <v>4</v>
      </c>
      <c r="R52" s="179" t="s">
        <v>4</v>
      </c>
      <c r="S52" s="179" t="s">
        <v>4</v>
      </c>
      <c r="T52" s="179"/>
      <c r="U52" s="179" t="str">
        <f t="shared" si="15"/>
        <v>Rafa S.</v>
      </c>
      <c r="V52" s="180"/>
      <c r="W52" s="180"/>
      <c r="X52" s="180"/>
      <c r="Y52" s="180" t="s">
        <v>4</v>
      </c>
      <c r="Z52" s="180"/>
      <c r="AA52" s="180"/>
      <c r="AB52" s="180"/>
    </row>
    <row r="53" spans="1:30" ht="12.6" customHeight="1" x14ac:dyDescent="0.25">
      <c r="A53" s="48"/>
      <c r="B53" s="48" t="s">
        <v>4</v>
      </c>
      <c r="C53" s="184">
        <v>2</v>
      </c>
      <c r="D53" s="184">
        <v>5</v>
      </c>
      <c r="E53" s="52"/>
      <c r="F53" s="184">
        <v>2</v>
      </c>
      <c r="G53" s="184">
        <v>67</v>
      </c>
      <c r="H53" s="184"/>
      <c r="I53" s="52"/>
      <c r="J53" s="185"/>
      <c r="K53" s="52"/>
      <c r="L53" s="269" t="s">
        <v>104</v>
      </c>
      <c r="M53" s="51" t="s">
        <v>36</v>
      </c>
      <c r="N53" s="216"/>
      <c r="O53" s="52">
        <f t="shared" si="13"/>
        <v>2</v>
      </c>
      <c r="P53" s="184" t="s">
        <v>4</v>
      </c>
      <c r="Q53" s="184"/>
      <c r="R53" s="184"/>
      <c r="S53" s="184"/>
      <c r="T53" s="184"/>
      <c r="U53" s="184"/>
      <c r="V53" s="52"/>
      <c r="W53" s="52"/>
      <c r="X53" s="52"/>
      <c r="Y53" s="52"/>
      <c r="Z53" s="52"/>
      <c r="AA53" s="52"/>
      <c r="AB53" s="52"/>
    </row>
    <row r="54" spans="1:30" ht="12.6" customHeight="1" x14ac:dyDescent="0.25">
      <c r="A54" s="178"/>
      <c r="B54" s="178"/>
      <c r="C54" s="179"/>
      <c r="D54" s="44"/>
      <c r="E54" s="43"/>
      <c r="F54" s="186"/>
      <c r="G54" s="187"/>
      <c r="H54" s="44"/>
      <c r="I54" s="43"/>
      <c r="J54" s="188"/>
      <c r="K54" s="43"/>
      <c r="L54" s="43"/>
      <c r="M54" s="30"/>
      <c r="N54" s="225" t="s">
        <v>163</v>
      </c>
      <c r="O54" s="41"/>
      <c r="P54" s="179"/>
      <c r="Q54" s="179" t="s">
        <v>4</v>
      </c>
      <c r="R54" s="179" t="s">
        <v>4</v>
      </c>
      <c r="S54" s="179"/>
      <c r="T54" s="179" t="str">
        <f>IF(COUNTIF(V54:AB54,"X")&lt;1,"NoK",IF(COUNTIF(V54:AB54,"X")=1,"oK","DUPLICADO"))</f>
        <v>oK</v>
      </c>
      <c r="U54" s="179" t="str">
        <f>_xlfn.XLOOKUP("X",V54:AB54,$V$4:$AB$4,"¿Profesorado?")</f>
        <v>Pablo J.</v>
      </c>
      <c r="V54" s="180" t="s">
        <v>4</v>
      </c>
      <c r="W54" s="180"/>
      <c r="X54" s="180"/>
      <c r="Y54" s="180"/>
      <c r="Z54" s="180"/>
      <c r="AA54" s="180"/>
      <c r="AB54" s="180"/>
    </row>
    <row r="55" spans="1:30" ht="12.6" customHeight="1" thickBot="1" x14ac:dyDescent="0.3">
      <c r="A55" s="189"/>
      <c r="B55" s="189" t="s">
        <v>4</v>
      </c>
      <c r="C55" s="190">
        <v>2</v>
      </c>
      <c r="D55" s="191"/>
      <c r="E55" s="192"/>
      <c r="F55" s="193"/>
      <c r="G55" s="194"/>
      <c r="H55" s="191"/>
      <c r="I55" s="192"/>
      <c r="J55" s="195"/>
      <c r="K55" s="192"/>
      <c r="L55" s="270"/>
      <c r="M55" s="26"/>
      <c r="N55" s="54" t="s">
        <v>162</v>
      </c>
      <c r="O55" s="14">
        <v>7</v>
      </c>
      <c r="P55" s="197"/>
      <c r="Q55" s="198" t="s">
        <v>4</v>
      </c>
      <c r="R55" s="190" t="s">
        <v>4</v>
      </c>
      <c r="S55" s="196"/>
      <c r="T55" s="196" t="str">
        <f>IF(COUNTIF(V55:AB55,"X")&lt;1,"NoK",IF(COUNTIF(V55:AB55,"X")=1,"oK","DUPLICADO"))</f>
        <v>oK</v>
      </c>
      <c r="U55" s="196" t="str">
        <f>_xlfn.XLOOKUP("X",V55:AB55,$V$4:$AB$4,"¿Profesorado?")</f>
        <v>Susana A.</v>
      </c>
      <c r="V55" s="237"/>
      <c r="W55" s="237"/>
      <c r="X55" s="237"/>
      <c r="Y55" s="237"/>
      <c r="Z55" s="237"/>
      <c r="AA55" s="237" t="s">
        <v>4</v>
      </c>
      <c r="AB55" s="238"/>
    </row>
    <row r="56" spans="1:30" s="5" customFormat="1" ht="12.6" customHeight="1" thickTop="1" x14ac:dyDescent="0.25">
      <c r="A56" s="3"/>
      <c r="B56" s="3"/>
      <c r="C56" s="3"/>
      <c r="D56" s="3"/>
      <c r="E56" s="3"/>
      <c r="F56" s="2"/>
      <c r="G56" s="3"/>
      <c r="H56" s="3"/>
      <c r="I56" s="3"/>
      <c r="J56" s="3"/>
      <c r="K56" s="3"/>
      <c r="L56" s="3"/>
      <c r="N56" s="3"/>
      <c r="P56" s="3"/>
      <c r="Q56" s="3"/>
      <c r="R56" s="3"/>
      <c r="S56" s="2">
        <f>SUMIF($S$5:$S$55,"X",$O$5:$O$55)</f>
        <v>106</v>
      </c>
      <c r="T56" s="63" t="s">
        <v>83</v>
      </c>
      <c r="U56" s="246"/>
      <c r="V56" s="7">
        <f t="shared" ref="V56:AB57" si="16">V3</f>
        <v>17</v>
      </c>
      <c r="W56" s="6">
        <f t="shared" si="16"/>
        <v>19</v>
      </c>
      <c r="X56" s="6">
        <f t="shared" si="16"/>
        <v>16</v>
      </c>
      <c r="Y56" s="6">
        <f t="shared" si="16"/>
        <v>18</v>
      </c>
      <c r="Z56" s="6">
        <f t="shared" si="16"/>
        <v>18</v>
      </c>
      <c r="AA56" s="7">
        <f t="shared" si="16"/>
        <v>18</v>
      </c>
      <c r="AB56" s="226">
        <f t="shared" si="16"/>
        <v>14</v>
      </c>
      <c r="AD56" s="287"/>
    </row>
    <row r="57" spans="1:30" ht="12.6" customHeight="1" thickBot="1" x14ac:dyDescent="0.3">
      <c r="F57" s="4"/>
      <c r="O57" s="4"/>
      <c r="Q57" s="2">
        <f>SUMIFS($O$12:$O$55,$Q$12:$Q$55,"X",$R$12:$R$55,"")</f>
        <v>42</v>
      </c>
      <c r="R57" s="2">
        <f>SUMIFS($O$12:$O$55,$R$12:$R$55,"X",$Q$12:$Q$55,"")</f>
        <v>48</v>
      </c>
      <c r="T57" s="5" t="s">
        <v>84</v>
      </c>
      <c r="U57" s="7"/>
      <c r="V57" s="200" t="str">
        <f t="shared" si="16"/>
        <v>Pablo J.</v>
      </c>
      <c r="W57" s="199" t="str">
        <f t="shared" si="16"/>
        <v>Fidel V.</v>
      </c>
      <c r="X57" s="199" t="str">
        <f t="shared" si="16"/>
        <v>Luis G.</v>
      </c>
      <c r="Y57" s="201" t="str">
        <f t="shared" si="16"/>
        <v>Rafa S.</v>
      </c>
      <c r="Z57" s="201" t="str">
        <f t="shared" si="16"/>
        <v>Alejandro D.</v>
      </c>
      <c r="AA57" s="200" t="str">
        <f t="shared" si="16"/>
        <v>Susana A.</v>
      </c>
      <c r="AB57" s="199" t="str">
        <f t="shared" si="16"/>
        <v>Eduardo A.</v>
      </c>
    </row>
    <row r="58" spans="1:30" ht="12.6" customHeight="1" x14ac:dyDescent="0.25">
      <c r="Q58" s="2">
        <f>SUMIFS($O$12:$O$55,$Q$12:$Q$55,"X")</f>
        <v>65</v>
      </c>
      <c r="R58" s="2">
        <f>SUMIFS($O$12:$O$55,$R$12:$R$55,"X")</f>
        <v>71</v>
      </c>
      <c r="T58" s="5" t="s">
        <v>85</v>
      </c>
      <c r="U58" s="202" t="s">
        <v>1</v>
      </c>
      <c r="V58" s="239">
        <f>SUMIF(V5:V8,"X",$O$5:$O$8)</f>
        <v>3</v>
      </c>
      <c r="W58" s="43">
        <f>SUMIF(W5:W8,"X",$O$5:$O$8)</f>
        <v>0</v>
      </c>
      <c r="X58" s="43">
        <f>SUMIF(X5:X8,"X",$O$5:$O$8)</f>
        <v>0</v>
      </c>
      <c r="Y58" s="43">
        <f>SUMIF(Y5:Y8,"X",$O$5:$O$8)</f>
        <v>0</v>
      </c>
      <c r="Z58" s="43">
        <f>SUMIF(Z5:Z8,"X",$O$5:$O$8)</f>
        <v>4</v>
      </c>
      <c r="AA58" s="43">
        <f>SUMIF(AA5:AA8,"X",$O$5:$O$8)</f>
        <v>0</v>
      </c>
      <c r="AB58" s="208">
        <f>SUMIF(AB5:AB8,"X",$O$5:$O$8)</f>
        <v>0</v>
      </c>
    </row>
    <row r="59" spans="1:30" ht="12.6" customHeight="1" x14ac:dyDescent="0.25">
      <c r="U59" s="202" t="s">
        <v>29</v>
      </c>
      <c r="V59" s="240">
        <f>SUMIF(V12:V21,"X",$O$12:$O$21)</f>
        <v>4</v>
      </c>
      <c r="W59" s="203">
        <f>SUMIF(W12:W21,"X",$O$12:$O$21)</f>
        <v>5</v>
      </c>
      <c r="X59" s="203">
        <f>SUMIF(X12:X21,"X",$O$12:$O$21)</f>
        <v>0</v>
      </c>
      <c r="Y59" s="203">
        <f>SUMIF(Y12:Y21,"X",$O$12:$O$21)</f>
        <v>6</v>
      </c>
      <c r="Z59" s="203">
        <f>SUMIF(Z12:Z21,"X",$O$12:$O$21)</f>
        <v>1</v>
      </c>
      <c r="AA59" s="203">
        <f>SUMIF(AA12:AA21,"X",$O$12:$O$21)</f>
        <v>3</v>
      </c>
      <c r="AB59" s="247">
        <f>SUMIF(AB12:AB21,"X",$O$12:$O$21)</f>
        <v>6</v>
      </c>
    </row>
    <row r="60" spans="1:30" ht="12.6" customHeight="1" x14ac:dyDescent="0.25">
      <c r="U60" s="202" t="s">
        <v>30</v>
      </c>
      <c r="V60" s="241">
        <f>SUMIF(V23:V32,"X",$O$23:$O$32)</f>
        <v>0</v>
      </c>
      <c r="W60" s="204">
        <f>SUMIF(W23:W32,"X",$O$23:$O$32)</f>
        <v>8</v>
      </c>
      <c r="X60" s="204">
        <f>SUMIF(X23:X32,"X",$O$23:$O$32)</f>
        <v>0</v>
      </c>
      <c r="Y60" s="204">
        <f>SUMIF(Y23:Y32,"X",$O$23:$O$32)</f>
        <v>6</v>
      </c>
      <c r="Z60" s="204">
        <f>SUMIF(Z23:Z32,"X",$O$23:$O$32)</f>
        <v>6</v>
      </c>
      <c r="AA60" s="204">
        <f>SUMIF(AA23:AA32,"X",$O$23:$O$32)</f>
        <v>0</v>
      </c>
      <c r="AB60" s="248">
        <f>SUMIF(AB23:AB32,"X",$O$23:$O$32)</f>
        <v>8</v>
      </c>
    </row>
    <row r="61" spans="1:30" ht="12.6" customHeight="1" x14ac:dyDescent="0.25">
      <c r="U61" s="202" t="s">
        <v>27</v>
      </c>
      <c r="V61" s="242">
        <f t="shared" ref="V61:AB61" si="17">SUMIF(V34:V44,"X",$O$34:$O$44)</f>
        <v>0</v>
      </c>
      <c r="W61" s="205">
        <f t="shared" si="17"/>
        <v>0</v>
      </c>
      <c r="X61" s="205">
        <f t="shared" si="17"/>
        <v>10</v>
      </c>
      <c r="Y61" s="205">
        <f t="shared" si="17"/>
        <v>4</v>
      </c>
      <c r="Z61" s="205">
        <f t="shared" si="17"/>
        <v>7</v>
      </c>
      <c r="AA61" s="205">
        <f t="shared" si="17"/>
        <v>4</v>
      </c>
      <c r="AB61" s="249">
        <f t="shared" si="17"/>
        <v>0</v>
      </c>
    </row>
    <row r="62" spans="1:30" ht="12.6" customHeight="1" x14ac:dyDescent="0.25">
      <c r="U62" s="202" t="s">
        <v>28</v>
      </c>
      <c r="V62" s="243">
        <f t="shared" ref="V62:AB62" si="18">SUMIF(V46:V55,"X",$O$46:$O$55)</f>
        <v>10</v>
      </c>
      <c r="W62" s="206">
        <f t="shared" si="18"/>
        <v>6</v>
      </c>
      <c r="X62" s="206">
        <f t="shared" si="18"/>
        <v>6</v>
      </c>
      <c r="Y62" s="206">
        <f t="shared" si="18"/>
        <v>2</v>
      </c>
      <c r="Z62" s="206">
        <f t="shared" si="18"/>
        <v>0</v>
      </c>
      <c r="AA62" s="206">
        <f t="shared" si="18"/>
        <v>11</v>
      </c>
      <c r="AB62" s="250">
        <f t="shared" si="18"/>
        <v>0</v>
      </c>
    </row>
    <row r="63" spans="1:30" ht="12.6" customHeight="1" x14ac:dyDescent="0.25">
      <c r="U63" s="202" t="s">
        <v>2</v>
      </c>
      <c r="V63" s="244">
        <f>SUMIFS($O$5:$O$55,V5:V55,"X",$S$5:$S$55,"X")</f>
        <v>14</v>
      </c>
      <c r="W63" s="53">
        <f>SUMIFS($O$5:$O$55,W5:W55,"X",$S$5:$S$55,"X")</f>
        <v>19</v>
      </c>
      <c r="X63" s="53">
        <f>SUMIFS($O$5:$O$55,X5:X55,"X",$S$5:$S$55,"X")</f>
        <v>16</v>
      </c>
      <c r="Y63" s="53">
        <f>SUMIFS($O$5:$O$55,Y5:Y55,"X",$S$5:$S$55,"X")</f>
        <v>18</v>
      </c>
      <c r="Z63" s="53">
        <f>SUMIFS($O$5:$O$55,Z5:Z55,"X",$S$5:$S$55,"X")</f>
        <v>14</v>
      </c>
      <c r="AA63" s="53">
        <f>SUMIFS($O$5:$O$55,AA5:AA55,"X",$S$5:$S$55,"X")</f>
        <v>11</v>
      </c>
      <c r="AB63" s="251">
        <f>SUMIFS($O$5:$O$55,AB5:AB55,"X",$S$5:$S$55,"X")</f>
        <v>14</v>
      </c>
    </row>
    <row r="64" spans="1:30" ht="12.6" customHeight="1" x14ac:dyDescent="0.25">
      <c r="U64" s="202" t="s">
        <v>0</v>
      </c>
      <c r="V64" s="245">
        <f>SUMIF(V5:V55,"X",$O$5:$O$55)</f>
        <v>17</v>
      </c>
      <c r="W64" s="207">
        <f ca="1">SUMIF(W5:W55,"X",$F$9:$F$55)</f>
        <v>4</v>
      </c>
      <c r="X64" s="207">
        <f ca="1">SUMIF(X5:X55,"X",$F$9:$F$55)</f>
        <v>17</v>
      </c>
      <c r="Y64" s="207">
        <f ca="1">SUMIF(Y5:Y55,"X",$F$9:$F$55)</f>
        <v>68</v>
      </c>
      <c r="Z64" s="207">
        <f ca="1">SUMIF(Z5:Z55,"X",$F$9:$F$55)</f>
        <v>5</v>
      </c>
      <c r="AA64" s="207">
        <f ca="1">SUMIF(AA5:AA55,"X",$F$9:$F$55)</f>
        <v>19</v>
      </c>
      <c r="AB64" s="252">
        <f ca="1">SUMIF(AB5:AB55,"X",$F$9:$F$55)</f>
        <v>11</v>
      </c>
    </row>
    <row r="65" spans="1:28" ht="12.6" customHeight="1" x14ac:dyDescent="0.25">
      <c r="U65" s="254" t="s">
        <v>3</v>
      </c>
      <c r="V65" s="7">
        <f t="shared" ref="V65:AB65" si="19">IF(V63&lt;16,V64-19,V64-18)</f>
        <v>-2</v>
      </c>
      <c r="W65" s="6">
        <f t="shared" ca="1" si="19"/>
        <v>-14</v>
      </c>
      <c r="X65" s="6">
        <f t="shared" ca="1" si="19"/>
        <v>-1</v>
      </c>
      <c r="Y65" s="6">
        <f ca="1">IF(Y63&lt;16,Y64-19,Y64-18)</f>
        <v>50</v>
      </c>
      <c r="Z65" s="6">
        <f ca="1">IF(Z63&lt;16,Z64-19,Z64-18)</f>
        <v>-14</v>
      </c>
      <c r="AA65" s="6">
        <f t="shared" ca="1" si="19"/>
        <v>0</v>
      </c>
      <c r="AB65" s="253">
        <f t="shared" ca="1" si="19"/>
        <v>-8</v>
      </c>
    </row>
    <row r="66" spans="1:28" ht="12.6" customHeight="1" x14ac:dyDescent="0.25">
      <c r="A66" s="1"/>
      <c r="B66" s="1"/>
      <c r="C66" s="1"/>
      <c r="D66" s="1"/>
      <c r="E66" s="1"/>
      <c r="F66" s="1"/>
      <c r="M66" s="19"/>
      <c r="N66" s="22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</sheetData>
  <phoneticPr fontId="4" type="noConversion"/>
  <conditionalFormatting sqref="Q1:R8">
    <cfRule type="cellIs" dxfId="1" priority="9" operator="equal">
      <formula>13</formula>
    </cfRule>
  </conditionalFormatting>
  <conditionalFormatting sqref="V3:AB3 V56:AB56">
    <cfRule type="expression" dxfId="0" priority="13">
      <formula>V$65&gt;=0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77" pageOrder="overThenDown" orientation="landscape" cellComments="atEnd" r:id="rId1"/>
  <ignoredErrors>
    <ignoredError sqref="D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6C066-35A6-4DCD-9258-5FD871697082}">
  <dimension ref="A1:E19"/>
  <sheetViews>
    <sheetView workbookViewId="0">
      <selection activeCell="B5" sqref="B5"/>
    </sheetView>
  </sheetViews>
  <sheetFormatPr baseColWidth="10" defaultColWidth="99.44140625" defaultRowHeight="13.2" x14ac:dyDescent="0.25"/>
  <cols>
    <col min="1" max="1" width="6.44140625" bestFit="1" customWidth="1"/>
    <col min="2" max="2" width="65.6640625" customWidth="1"/>
    <col min="3" max="3" width="46.21875" bestFit="1" customWidth="1"/>
    <col min="4" max="4" width="15.5546875" bestFit="1" customWidth="1"/>
    <col min="5" max="5" width="18.21875" bestFit="1" customWidth="1"/>
  </cols>
  <sheetData>
    <row r="1" spans="1:5" ht="27.6" x14ac:dyDescent="0.25">
      <c r="A1" s="278" t="s">
        <v>45</v>
      </c>
      <c r="B1" s="278" t="s">
        <v>108</v>
      </c>
      <c r="C1" s="278" t="s">
        <v>109</v>
      </c>
      <c r="D1" s="278" t="s">
        <v>110</v>
      </c>
      <c r="E1" s="278" t="s">
        <v>111</v>
      </c>
    </row>
    <row r="2" spans="1:5" s="282" customFormat="1" ht="13.95" customHeight="1" x14ac:dyDescent="0.25">
      <c r="A2" s="279" t="s">
        <v>112</v>
      </c>
      <c r="B2" s="284" t="s">
        <v>113</v>
      </c>
      <c r="C2" s="284" t="s">
        <v>156</v>
      </c>
      <c r="D2" s="284" t="s">
        <v>114</v>
      </c>
      <c r="E2" s="284" t="s">
        <v>115</v>
      </c>
    </row>
    <row r="3" spans="1:5" ht="27.6" x14ac:dyDescent="0.25">
      <c r="A3" s="279" t="s">
        <v>112</v>
      </c>
      <c r="B3" s="279" t="s">
        <v>116</v>
      </c>
      <c r="C3" s="279" t="s">
        <v>117</v>
      </c>
      <c r="D3" s="279" t="s">
        <v>157</v>
      </c>
      <c r="E3" s="279" t="s">
        <v>118</v>
      </c>
    </row>
    <row r="4" spans="1:5" ht="13.8" x14ac:dyDescent="0.25">
      <c r="A4" s="280" t="s">
        <v>112</v>
      </c>
      <c r="B4" s="280" t="s">
        <v>119</v>
      </c>
      <c r="C4" s="280" t="s">
        <v>120</v>
      </c>
      <c r="D4" s="279" t="s">
        <v>157</v>
      </c>
      <c r="E4" s="280" t="s">
        <v>121</v>
      </c>
    </row>
    <row r="5" spans="1:5" ht="13.8" x14ac:dyDescent="0.25">
      <c r="A5" s="280" t="s">
        <v>112</v>
      </c>
      <c r="B5" s="280" t="s">
        <v>122</v>
      </c>
      <c r="C5" s="280" t="s">
        <v>123</v>
      </c>
      <c r="D5" s="279" t="s">
        <v>114</v>
      </c>
      <c r="E5" s="280" t="s">
        <v>124</v>
      </c>
    </row>
    <row r="6" spans="1:5" ht="13.8" x14ac:dyDescent="0.25">
      <c r="A6" s="280" t="s">
        <v>112</v>
      </c>
      <c r="B6" s="280" t="s">
        <v>125</v>
      </c>
      <c r="C6" s="280" t="s">
        <v>126</v>
      </c>
      <c r="D6" s="279" t="s">
        <v>114</v>
      </c>
      <c r="E6" s="280" t="s">
        <v>127</v>
      </c>
    </row>
    <row r="7" spans="1:5" x14ac:dyDescent="0.25">
      <c r="A7" s="281"/>
      <c r="B7" s="281"/>
      <c r="C7" s="281"/>
      <c r="D7" s="281"/>
      <c r="E7" s="281"/>
    </row>
    <row r="8" spans="1:5" ht="13.8" x14ac:dyDescent="0.25">
      <c r="A8" s="280" t="s">
        <v>128</v>
      </c>
      <c r="B8" s="280" t="s">
        <v>129</v>
      </c>
      <c r="C8" s="280" t="s">
        <v>130</v>
      </c>
      <c r="D8" s="279" t="s">
        <v>157</v>
      </c>
      <c r="E8" s="280" t="s">
        <v>131</v>
      </c>
    </row>
    <row r="9" spans="1:5" ht="13.8" x14ac:dyDescent="0.25">
      <c r="A9" s="280" t="s">
        <v>128</v>
      </c>
      <c r="B9" s="280" t="s">
        <v>132</v>
      </c>
      <c r="C9" s="280" t="s">
        <v>133</v>
      </c>
      <c r="D9" s="279" t="s">
        <v>157</v>
      </c>
      <c r="E9" s="280" t="s">
        <v>134</v>
      </c>
    </row>
    <row r="10" spans="1:5" x14ac:dyDescent="0.25">
      <c r="A10" s="281"/>
      <c r="B10" s="281"/>
      <c r="C10" s="281"/>
      <c r="D10" s="281"/>
      <c r="E10" s="281"/>
    </row>
    <row r="11" spans="1:5" ht="13.8" x14ac:dyDescent="0.25">
      <c r="A11" s="280" t="s">
        <v>135</v>
      </c>
      <c r="B11" s="280" t="s">
        <v>136</v>
      </c>
      <c r="C11" s="280" t="s">
        <v>137</v>
      </c>
      <c r="D11" s="279" t="s">
        <v>157</v>
      </c>
      <c r="E11" s="280" t="s">
        <v>138</v>
      </c>
    </row>
    <row r="12" spans="1:5" ht="13.8" x14ac:dyDescent="0.25">
      <c r="A12" s="280" t="s">
        <v>135</v>
      </c>
      <c r="B12" s="280" t="s">
        <v>139</v>
      </c>
      <c r="C12" s="280" t="s">
        <v>140</v>
      </c>
      <c r="D12" s="279" t="s">
        <v>157</v>
      </c>
      <c r="E12" s="280" t="s">
        <v>141</v>
      </c>
    </row>
    <row r="13" spans="1:5" ht="13.8" x14ac:dyDescent="0.25">
      <c r="A13" s="280" t="s">
        <v>135</v>
      </c>
      <c r="B13" s="280" t="s">
        <v>142</v>
      </c>
      <c r="C13" s="280" t="s">
        <v>143</v>
      </c>
      <c r="D13" s="279" t="s">
        <v>157</v>
      </c>
      <c r="E13" s="280" t="s">
        <v>144</v>
      </c>
    </row>
    <row r="14" spans="1:5" x14ac:dyDescent="0.25">
      <c r="A14" s="281"/>
      <c r="B14" s="281"/>
      <c r="C14" s="281"/>
      <c r="D14" s="281"/>
      <c r="E14" s="281"/>
    </row>
    <row r="15" spans="1:5" ht="13.8" x14ac:dyDescent="0.25">
      <c r="A15" s="280" t="s">
        <v>145</v>
      </c>
      <c r="B15" s="280" t="s">
        <v>146</v>
      </c>
      <c r="C15" s="280" t="s">
        <v>147</v>
      </c>
      <c r="D15" s="279" t="s">
        <v>157</v>
      </c>
      <c r="E15" s="280" t="s">
        <v>148</v>
      </c>
    </row>
    <row r="16" spans="1:5" x14ac:dyDescent="0.25">
      <c r="A16" s="291" t="s">
        <v>145</v>
      </c>
      <c r="B16" s="291" t="s">
        <v>149</v>
      </c>
      <c r="C16" s="291" t="s">
        <v>150</v>
      </c>
      <c r="D16" s="291" t="s">
        <v>157</v>
      </c>
      <c r="E16" s="291" t="s">
        <v>151</v>
      </c>
    </row>
    <row r="17" spans="1:5" x14ac:dyDescent="0.25">
      <c r="A17" s="292"/>
      <c r="B17" s="292"/>
      <c r="C17" s="292"/>
      <c r="D17" s="292"/>
      <c r="E17" s="292"/>
    </row>
    <row r="18" spans="1:5" ht="13.8" x14ac:dyDescent="0.25">
      <c r="A18" s="280" t="s">
        <v>145</v>
      </c>
      <c r="B18" s="280" t="s">
        <v>152</v>
      </c>
      <c r="C18" s="280" t="s">
        <v>153</v>
      </c>
      <c r="D18" s="280" t="s">
        <v>154</v>
      </c>
      <c r="E18" s="280" t="s">
        <v>155</v>
      </c>
    </row>
    <row r="19" spans="1:5" ht="13.8" x14ac:dyDescent="0.25">
      <c r="A19" s="283"/>
    </row>
  </sheetData>
  <mergeCells count="5">
    <mergeCell ref="A16:A17"/>
    <mergeCell ref="B16:B17"/>
    <mergeCell ref="C16:C17"/>
    <mergeCell ref="D16:D17"/>
    <mergeCell ref="E16:E17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Resumen</vt:lpstr>
      <vt:lpstr>libros-poner en hoja principal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Sanz Prades</dc:creator>
  <cp:lastModifiedBy>Rafael Sanz Prades</cp:lastModifiedBy>
  <cp:lastPrinted>2026-03-19T18:59:04Z</cp:lastPrinted>
  <dcterms:created xsi:type="dcterms:W3CDTF">2025-01-03T07:33:00Z</dcterms:created>
  <dcterms:modified xsi:type="dcterms:W3CDTF">2026-03-19T20:07:05Z</dcterms:modified>
</cp:coreProperties>
</file>