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aveExternalLinkValues="0" updateLinks="never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PP\"/>
    </mc:Choice>
  </mc:AlternateContent>
  <xr:revisionPtr revIDLastSave="0" documentId="13_ncr:1_{B0207C89-E7CB-4118-A5A7-775A4CC9D1AD}" xr6:coauthVersionLast="47" xr6:coauthVersionMax="47" xr10:uidLastSave="{00000000-0000-0000-0000-000000000000}"/>
  <bookViews>
    <workbookView xWindow="-72" yWindow="24" windowWidth="29520" windowHeight="12288" tabRatio="912" firstSheet="1" activeTab="19" xr2:uid="{00000000-000D-0000-FFFF-FFFF00000000}"/>
  </bookViews>
  <sheets>
    <sheet name="UDs" sheetId="29" r:id="rId1"/>
    <sheet name="Fchs" sheetId="28" r:id="rId2"/>
    <sheet name="Sgmt" sheetId="51" r:id="rId3"/>
    <sheet name="Calnd" sheetId="27" r:id="rId4"/>
    <sheet name="Almnd" sheetId="31" r:id="rId5"/>
    <sheet name="Flts" sheetId="30" r:id="rId6"/>
    <sheet name="EvCnt" sheetId="22" r:id="rId7"/>
    <sheet name="EvGlb" sheetId="17" r:id="rId8"/>
    <sheet name="EvInd" sheetId="35" r:id="rId9"/>
    <sheet name="SEvUd" sheetId="44" r:id="rId10"/>
    <sheet name="EvLkrt" sheetId="50" r:id="rId11"/>
    <sheet name="SUDEjr" sheetId="42" r:id="rId12"/>
    <sheet name="SPrc" sheetId="41" r:id="rId13"/>
    <sheet name="SUDEjrPrc" sheetId="43" r:id="rId14"/>
    <sheet name="SDia" sheetId="38" r:id="rId15"/>
    <sheet name="SSmLis" sheetId="49" r:id="rId16"/>
    <sheet name="SMes" sheetId="46" r:id="rId17"/>
    <sheet name="SSmCua" sheetId="47" r:id="rId18"/>
    <sheet name="SFrms" sheetId="37" r:id="rId19"/>
    <sheet name="Info" sheetId="34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4" hidden="1">Almnd!$B$3:$L$3</definedName>
    <definedName name="_xlnm._FilterDatabase" localSheetId="6" hidden="1">EvCnt!$B$19:$AR$120</definedName>
    <definedName name="_xlnm._FilterDatabase" localSheetId="7" hidden="1">EvGlb!$C$5:$AC$5</definedName>
    <definedName name="_xlnm._FilterDatabase" localSheetId="10" hidden="1">EvLkrt!$C$14:$C$24</definedName>
    <definedName name="_xlnm._FilterDatabase" localSheetId="5" hidden="1">Flts!$B$11:$AR$43</definedName>
    <definedName name="_xlnm._FilterDatabase" localSheetId="14" hidden="1">SDia!$B$4:$L$229</definedName>
    <definedName name="_xlnm._FilterDatabase" localSheetId="9" hidden="1">SEvUd!#REF!</definedName>
    <definedName name="_xlnm._FilterDatabase" localSheetId="18" hidden="1">SFrms!$B$5:$E$364</definedName>
    <definedName name="_xlnm._FilterDatabase" localSheetId="13" hidden="1">SUDEjrPrc!$D$4:$V$4</definedName>
    <definedName name="ACTITUD1">[1]Calendario!$B$29</definedName>
    <definedName name="ACTITUD2">[1]Calendario!$B$30</definedName>
    <definedName name="ACTITUD3">[1]Calendario!$B$31</definedName>
    <definedName name="ACTITUD4">[1]Calendario!$B$32</definedName>
    <definedName name="ACTITUD5">[1]Calendario!$B$33</definedName>
    <definedName name="ACTITUDES">[1]Calendario!$B$28</definedName>
    <definedName name="AlAp01">Almnd!$D$4</definedName>
    <definedName name="AlAp02">Almnd!$D$5</definedName>
    <definedName name="AlAp03">Almnd!$D$6</definedName>
    <definedName name="AlAp04">Almnd!$D$7</definedName>
    <definedName name="AlAp05">Almnd!$D$8</definedName>
    <definedName name="AlAp06">Almnd!$D$9</definedName>
    <definedName name="AlAp07">Almnd!$D$10</definedName>
    <definedName name="AlAp08">Almnd!$D$11</definedName>
    <definedName name="AlAp09">Almnd!$D$12</definedName>
    <definedName name="AlAp10">Almnd!$D$13</definedName>
    <definedName name="AlAp11">Almnd!$D$14</definedName>
    <definedName name="AlAp12">Almnd!$D$15</definedName>
    <definedName name="AlAp13">Almnd!$D$16</definedName>
    <definedName name="AlAp14">Almnd!$D$17</definedName>
    <definedName name="AlAp15">Almnd!$D$18</definedName>
    <definedName name="AlAp16">Almnd!$D$19</definedName>
    <definedName name="AlAp17">Almnd!$D$20</definedName>
    <definedName name="AlAp18">Almnd!$D$21</definedName>
    <definedName name="AlAp19">Almnd!$D$22</definedName>
    <definedName name="AlAp20">Almnd!$D$23</definedName>
    <definedName name="AlAp21">Almnd!$D$24</definedName>
    <definedName name="AlAp22">Almnd!$D$25</definedName>
    <definedName name="AlAp23">Almnd!$D$26</definedName>
    <definedName name="AlAp24">Almnd!$D$27</definedName>
    <definedName name="AlAp25">Almnd!$D$28</definedName>
    <definedName name="AlAp26">Almnd!$D$29</definedName>
    <definedName name="AlAp27">Almnd!$D$30</definedName>
    <definedName name="AlAp28">Almnd!$D$31</definedName>
    <definedName name="AlAp29">Almnd!$D$32</definedName>
    <definedName name="AlAp30">Almnd!$D$33</definedName>
    <definedName name="AlCo01">Almnd!$B$4</definedName>
    <definedName name="AlCo02">Almnd!$B$5</definedName>
    <definedName name="AlCo03">Almnd!$B$6</definedName>
    <definedName name="AlCo04">Almnd!$B$7</definedName>
    <definedName name="AlCo05">Almnd!$B$8</definedName>
    <definedName name="AlCo06">Almnd!$B$9</definedName>
    <definedName name="AlCo07">Almnd!$B$10</definedName>
    <definedName name="AlCo08">Almnd!$B$11</definedName>
    <definedName name="AlCo09">Almnd!$B$12</definedName>
    <definedName name="AlCo10">Almnd!$B$13</definedName>
    <definedName name="AlCo11">Almnd!$B$14</definedName>
    <definedName name="AlCo12">Almnd!$B$15</definedName>
    <definedName name="AlCo13">Almnd!$B$16</definedName>
    <definedName name="AlCo14">Almnd!$B$17</definedName>
    <definedName name="AlCo15">Almnd!$B$18</definedName>
    <definedName name="AlCo16">Almnd!$B$19</definedName>
    <definedName name="AlCo17">Almnd!$B$20</definedName>
    <definedName name="AlCo18">Almnd!$B$21</definedName>
    <definedName name="AlCo19">Almnd!$B$22</definedName>
    <definedName name="AlCo20">Almnd!$B$23</definedName>
    <definedName name="AlCo21">Almnd!$B$24</definedName>
    <definedName name="AlCo22">Almnd!$B$25</definedName>
    <definedName name="AlCo23">Almnd!$B$26</definedName>
    <definedName name="AlCo24">Almnd!$B$27</definedName>
    <definedName name="AlCo25">Almnd!$B$28</definedName>
    <definedName name="AlCo26">Almnd!$B$29</definedName>
    <definedName name="AlCo27">Almnd!$B$30</definedName>
    <definedName name="AlCo28">Almnd!$B$31</definedName>
    <definedName name="AlCo29">Almnd!$B$32</definedName>
    <definedName name="AlCo30">Almnd!$B$33</definedName>
    <definedName name="AlEs01">Almnd!$C$4</definedName>
    <definedName name="AlEs02">Almnd!$C$5</definedName>
    <definedName name="AlEs03">Almnd!$C$6</definedName>
    <definedName name="AlEs04">Almnd!$C$7</definedName>
    <definedName name="AlEs05">Almnd!$C$8</definedName>
    <definedName name="AlEs06">Almnd!$C$9</definedName>
    <definedName name="AlEs07">Almnd!$C$10</definedName>
    <definedName name="AlEs08">Almnd!$C$11</definedName>
    <definedName name="AlEs09">Almnd!$C$12</definedName>
    <definedName name="AlEs10">Almnd!$C$13</definedName>
    <definedName name="AlEs11">Almnd!$C$14</definedName>
    <definedName name="AlEs12">Almnd!$C$15</definedName>
    <definedName name="AlEs13">Almnd!$C$16</definedName>
    <definedName name="AlEs14">Almnd!$C$17</definedName>
    <definedName name="AlEs15">Almnd!$C$18</definedName>
    <definedName name="AlEs16">Almnd!$C$19</definedName>
    <definedName name="AlEs17">Almnd!$C$20</definedName>
    <definedName name="AlEs18">Almnd!$C$21</definedName>
    <definedName name="AlEs19">Almnd!$C$22</definedName>
    <definedName name="AlEs20">Almnd!$C$23</definedName>
    <definedName name="AlEs21">Almnd!$C$24</definedName>
    <definedName name="AlEs22">Almnd!$C$25</definedName>
    <definedName name="AlEs23">Almnd!$C$26</definedName>
    <definedName name="AlEs24">Almnd!$C$27</definedName>
    <definedName name="AlEs25">Almnd!$C$28</definedName>
    <definedName name="AlEs26">Almnd!$C$29</definedName>
    <definedName name="AlEs27">Almnd!$C$30</definedName>
    <definedName name="AlEs28">Almnd!$C$31</definedName>
    <definedName name="AlEs29">Almnd!$C$32</definedName>
    <definedName name="AlEs30">Almnd!$C$33</definedName>
    <definedName name="AlNo01">Almnd!$E$4</definedName>
    <definedName name="AlNo02">Almnd!$E$5</definedName>
    <definedName name="AlNo03">Almnd!$E$6</definedName>
    <definedName name="AlNo04">Almnd!$E$7</definedName>
    <definedName name="AlNo05">Almnd!$E$8</definedName>
    <definedName name="AlNo06">Almnd!$E$9</definedName>
    <definedName name="AlNo07">Almnd!$E$10</definedName>
    <definedName name="AlNo08">Almnd!$E$11</definedName>
    <definedName name="AlNo09">Almnd!$E$12</definedName>
    <definedName name="AlNo10">Almnd!$E$13</definedName>
    <definedName name="AlNo11">Almnd!$E$14</definedName>
    <definedName name="AlNo12">Almnd!$E$15</definedName>
    <definedName name="AlNo13">Almnd!$E$16</definedName>
    <definedName name="AlNo14">Almnd!$E$17</definedName>
    <definedName name="AlNo15">Almnd!$E$18</definedName>
    <definedName name="AlNo16">Almnd!$E$19</definedName>
    <definedName name="AlNo17">Almnd!$E$20</definedName>
    <definedName name="AlNo18">Almnd!$E$21</definedName>
    <definedName name="AlNo19">Almnd!$E$22</definedName>
    <definedName name="AlNo20">Almnd!$E$23</definedName>
    <definedName name="AlNo21">Almnd!$E$24</definedName>
    <definedName name="AlNo22">Almnd!$E$25</definedName>
    <definedName name="AlNo23">Almnd!$E$26</definedName>
    <definedName name="AlNo24">Almnd!$E$27</definedName>
    <definedName name="AlNo25">Almnd!$E$28</definedName>
    <definedName name="AlNo26">Almnd!$E$29</definedName>
    <definedName name="AlNo27">Almnd!$E$30</definedName>
    <definedName name="AlNo28">Almnd!$E$31</definedName>
    <definedName name="AlNo29">Almnd!$E$32</definedName>
    <definedName name="AlNo30">Almnd!$E$33</definedName>
    <definedName name="anxx">[1]Alumnes!$AC$19:$AC$48</definedName>
    <definedName name="AñoI">Fchs!#REF!</definedName>
    <definedName name="AñoInicioCurso">Fchs!$C$5</definedName>
    <definedName name="AprSun1">DATE(EvLkrt!CalendarYearSig,4,1)-WEEKDAY(DATE(EvLkrt!CalendarYearSig,4,1))+1</definedName>
    <definedName name="_xlnm.Print_Area" localSheetId="4">Almnd!$A$1:$M$34</definedName>
    <definedName name="_xlnm.Print_Area" localSheetId="3">Calnd!$A$1:$S$146</definedName>
    <definedName name="_xlnm.Print_Area" localSheetId="7">EvGlb!$A$1:$AD$36</definedName>
    <definedName name="_xlnm.Print_Area" localSheetId="8">EvInd!$A$1:$P$42</definedName>
    <definedName name="_xlnm.Print_Area" localSheetId="10">EvLkrt!$A$1:$AK$25</definedName>
    <definedName name="_xlnm.Print_Area" localSheetId="1">Fchs!$A$1:$P$200</definedName>
    <definedName name="_xlnm.Print_Area" localSheetId="14">SDia!$A$1:$L$229</definedName>
    <definedName name="_xlnm.Print_Area" localSheetId="9">SEvUd!$A$1:$Z$37</definedName>
    <definedName name="_xlnm.Print_Area" localSheetId="18">SFrms!$A$1:$AI$230</definedName>
    <definedName name="_xlnm.Print_Area" localSheetId="2">Sgmt!$A$1:$AB$48</definedName>
    <definedName name="_xlnm.Print_Area" localSheetId="16">SMes!$A$1:$J$29</definedName>
    <definedName name="_xlnm.Print_Area" localSheetId="12">SPrc!$A$1:$AG$38</definedName>
    <definedName name="_xlnm.Print_Area" localSheetId="17">SSmCua!$A$1:$P$19</definedName>
    <definedName name="_xlnm.Print_Area" localSheetId="15">SSmLis!$A$1:$G$57</definedName>
    <definedName name="_xlnm.Print_Area" localSheetId="11">SUDEjr!$A$1:$AG$46</definedName>
    <definedName name="_xlnm.Print_Area" localSheetId="13">SUDEjrPrc!$A$1:$W$36</definedName>
    <definedName name="_xlnm.Print_Area" localSheetId="0">UDs!$A$1:$T$97</definedName>
    <definedName name="AssignmentDays" localSheetId="10">[2]Calendario!$L$4:$L$33</definedName>
    <definedName name="AssignmentDays">"Calendario'!$L$4:$L$33"</definedName>
    <definedName name="CalendarYear" localSheetId="3">Calnd!$I$4</definedName>
    <definedName name="CalendarYear" localSheetId="16">SMes!$I$3</definedName>
    <definedName name="CalendarYear" localSheetId="17">SSmCua!$O$2</definedName>
    <definedName name="CalendarYear" localSheetId="15">SSmLis!#REF!</definedName>
    <definedName name="CalendarYear">#REF!</definedName>
    <definedName name="CalendarYearSig" localSheetId="10">#N/A</definedName>
    <definedName name="CalendarYearSig" localSheetId="16">SMes!CalendarYear+1</definedName>
    <definedName name="CalendarYearSig" localSheetId="17">SSmCua!CalendarYear+1</definedName>
    <definedName name="CalendarYearSig" localSheetId="15">SSmLis!CalendarYear+1</definedName>
    <definedName name="CalendarYearSig">Calnd!CalendarYear+1</definedName>
    <definedName name="CONCEPTOS">[1]Calendario!$J$28</definedName>
    <definedName name="CoPR01">UDs!$B$62</definedName>
    <definedName name="CoPR02">UDs!$B$63</definedName>
    <definedName name="CoPR03">UDs!$B$64</definedName>
    <definedName name="CoPR04">UDs!$B$65</definedName>
    <definedName name="CoPR05">UDs!$B$66</definedName>
    <definedName name="CoPR06">UDs!$B$67</definedName>
    <definedName name="CoPR07">UDs!$B$68</definedName>
    <definedName name="CoPR08">UDs!$B$69</definedName>
    <definedName name="CoPR09">UDs!$B$70</definedName>
    <definedName name="CoPR10">UDs!$B$71</definedName>
    <definedName name="CoPR11">UDs!$B$72</definedName>
    <definedName name="CoPR12">UDs!$B$73</definedName>
    <definedName name="CoPR13">UDs!$B$74</definedName>
    <definedName name="CoPR14">UDs!$B$75</definedName>
    <definedName name="CoPR15">UDs!$B$76</definedName>
    <definedName name="CoPR16">UDs!$B$77</definedName>
    <definedName name="CoPR17">UDs!$B$78</definedName>
    <definedName name="CoPR18">UDs!$B$79</definedName>
    <definedName name="CoPR19">UDs!$B$80</definedName>
    <definedName name="CoPR20">UDs!$B$81</definedName>
    <definedName name="CoPR21">UDs!$B$82</definedName>
    <definedName name="CoPR22">UDs!$B$83</definedName>
    <definedName name="CoPR23">UDs!$B$84</definedName>
    <definedName name="CoPR24">UDs!$B$85</definedName>
    <definedName name="CoPR25">UDs!$B$86</definedName>
    <definedName name="CoPR26">UDs!$B$87</definedName>
    <definedName name="CoPR27">UDs!$B$88</definedName>
    <definedName name="CoPR28">UDs!$B$89</definedName>
    <definedName name="CoPR29">UDs!$B$90</definedName>
    <definedName name="CoPR30">UDs!$B$91</definedName>
    <definedName name="CoPR31">UDs!$B$92</definedName>
    <definedName name="CoPR32">UDs!$B$93</definedName>
    <definedName name="CoPR33">UDs!$B$94</definedName>
    <definedName name="CoRA01">UDs!$B$16</definedName>
    <definedName name="CoRA02">UDs!$B$17</definedName>
    <definedName name="CoRA03">UDs!$B$18</definedName>
    <definedName name="CoRA04">UDs!$B$19</definedName>
    <definedName name="CoRA05">UDs!$B$20</definedName>
    <definedName name="CoRA06">UDs!$B$21</definedName>
    <definedName name="CoRA07">UDs!$B$22</definedName>
    <definedName name="CoRA08">UDs!$B$23</definedName>
    <definedName name="CoRA09">UDs!$B$24</definedName>
    <definedName name="CoRA10">UDs!$B$25</definedName>
    <definedName name="CoRA11">UDs!$B$26</definedName>
    <definedName name="CoRA12">UDs!$B$27</definedName>
    <definedName name="CoUD00">UDs!$B$34</definedName>
    <definedName name="CoUD01">UDs!$B$35</definedName>
    <definedName name="CoUD02">UDs!$B$36</definedName>
    <definedName name="CoUD03">UDs!$B$37</definedName>
    <definedName name="CoUD04">UDs!$B$38</definedName>
    <definedName name="CoUD05">UDs!$B$39</definedName>
    <definedName name="CoUD06">UDs!$B$40</definedName>
    <definedName name="CoUD07">UDs!$B$41</definedName>
    <definedName name="CoUD08">UDs!$B$42</definedName>
    <definedName name="CoUD09">UDs!$B$43</definedName>
    <definedName name="CoUD10">UDs!$B$44</definedName>
    <definedName name="CoUD11">UDs!$B$45</definedName>
    <definedName name="CoUD12">UDs!$B$46</definedName>
    <definedName name="CoUD13">UDs!$B$47</definedName>
    <definedName name="CoUD14">UDs!$B$48</definedName>
    <definedName name="CoUD15">UDs!$B$49</definedName>
    <definedName name="CoUD16">UDs!$B$50</definedName>
    <definedName name="CoUD17">UDs!$B$51</definedName>
    <definedName name="CoUD18">UDs!$B$52</definedName>
    <definedName name="CoUD19">UDs!$B$53</definedName>
    <definedName name="CoUD20">UDs!$B$54</definedName>
    <definedName name="CoUDCM">UDs!$B$55</definedName>
    <definedName name="Desviación" localSheetId="10">[1]Programación!$C$40:$C$44</definedName>
    <definedName name="Desviación">Sgmt!$X$36:$X$39</definedName>
    <definedName name="FebSun1">DATE(EvLkrt!CalendarYearSig,2,1)-WEEKDAY(DATE(EvLkrt!CalendarYearSig,2,1))+1</definedName>
    <definedName name="Fecha1Eva">'[1]G-Dat'!$M$11</definedName>
    <definedName name="Fecha2Eva">'[1]G-Dat'!$M$12</definedName>
    <definedName name="Fecha3Eva">'[1]G-Dat'!$M$13</definedName>
    <definedName name="FechaFin">'[1]G-Dat'!$M$14</definedName>
    <definedName name="FechaFin1Tri">Fchs!$E$6</definedName>
    <definedName name="FechaFin2Tri">Fchs!$H$6</definedName>
    <definedName name="FechaFin3Tri">Fchs!$K$6</definedName>
    <definedName name="FechaFinEEva">Fchs!$N$6</definedName>
    <definedName name="FechaHoy" localSheetId="10">'[1]G-Dat'!$M$9</definedName>
    <definedName name="FechaHoy">Sgmt!$AD$8</definedName>
    <definedName name="FechaInicio">'[1]G-Dat'!$M$4</definedName>
    <definedName name="FechaInicio1Tri">Fchs!$E$5</definedName>
    <definedName name="FechaInicio2Tri">Fchs!$H$5</definedName>
    <definedName name="FechaInicio3Tri">Fchs!$K$5</definedName>
    <definedName name="FechaInicioEEva">Fchs!$N$5</definedName>
    <definedName name="FechaIniUD00">UDs!$F$34</definedName>
    <definedName name="FechaIniUD01">UDs!$F$35</definedName>
    <definedName name="FechaIniUD02">UDs!$F$36</definedName>
    <definedName name="FechaIniUD03">UDs!$F$37</definedName>
    <definedName name="FechaIniUD04">UDs!$F$38</definedName>
    <definedName name="FechaIniUD05">UDs!$F$39</definedName>
    <definedName name="FechaIniUD06">UDs!$F$40</definedName>
    <definedName name="FechaIniUD07">UDs!$F$41</definedName>
    <definedName name="FechaIniUD08">UDs!$F$42</definedName>
    <definedName name="FechaIniUD09">UDs!$F$43</definedName>
    <definedName name="FechaIniUD10">UDs!$F$44</definedName>
    <definedName name="FechaIniUD11">UDs!$F$45</definedName>
    <definedName name="FechaIniUD12">UDs!$F$46</definedName>
    <definedName name="FechaIniUD13">UDs!$F$47</definedName>
    <definedName name="FechaIniUD14">UDs!$F$48</definedName>
    <definedName name="FechaIniUD15">UDs!$F$49</definedName>
    <definedName name="FechaIniUD16">UDs!$F$50</definedName>
    <definedName name="FechaIniUD17">UDs!$F$51</definedName>
    <definedName name="FechaIniUD18">UDs!$F$52</definedName>
    <definedName name="FechaIniUD19">UDs!$F$53</definedName>
    <definedName name="FechaIniUD20">UDs!$F$54</definedName>
    <definedName name="FechaPEva">Fchs!#REF!</definedName>
    <definedName name="H1Tri">Fchs!$O$13</definedName>
    <definedName name="H2Tri">Fchs!$O$14</definedName>
    <definedName name="H3Tri">Fchs!$O$15</definedName>
    <definedName name="HBOA">UDs!$R$8</definedName>
    <definedName name="HImp1Tri">Flts!$E$6</definedName>
    <definedName name="HImp2Tri">Flts!$F$6</definedName>
    <definedName name="HImp3Tri">Flts!$G$6</definedName>
    <definedName name="HJue">Fchs!$M$12</definedName>
    <definedName name="HLun">Fchs!$J$12</definedName>
    <definedName name="HMar">Fchs!$K$12</definedName>
    <definedName name="HMie">Fchs!$L$12</definedName>
    <definedName name="HPrev1Tri">Flts!$E$5</definedName>
    <definedName name="HPrev2Tri">Flts!$F$5</definedName>
    <definedName name="HPrev3Tri">Flts!$G$5</definedName>
    <definedName name="HReal">Fchs!$O$16</definedName>
    <definedName name="HSem">UDs!$R$7</definedName>
    <definedName name="HVie">Fchs!$N$12</definedName>
    <definedName name="ICentro">UDs!$D$8</definedName>
    <definedName name="ICiclo">UDs!#REF!</definedName>
    <definedName name="IFP">UDs!#REF!</definedName>
    <definedName name="IModulo">UDs!$D$7</definedName>
    <definedName name="IProfesor">UDs!$D$9</definedName>
    <definedName name="JanSun1">DATE(EvLkrt!CalendarYearSig,1,1)-WEEKDAY(DATE(EvLkrt!CalendarYearSig,1,1))+1</definedName>
    <definedName name="JunSun1">DATE(EvLkrt!CalendarYearSig,6,1)-WEEKDAY(DATE(EvLkrt!CalendarYearSig,6,1))+1</definedName>
    <definedName name="MarSun1">DATE(EvLkrt!CalendarYearSig,3,1)-WEEKDAY(DATE(EvLkrt!CalendarYearSig,3,1))+1</definedName>
    <definedName name="MaySun1">DATE(EvLkrt!CalendarYearSig,5,1)-WEEKDAY(DATE(EvLkrt!CalendarYearSig,5,1))+1</definedName>
    <definedName name="Medidas" localSheetId="10">[1]Programación!$C$47:$C$49</definedName>
    <definedName name="Medidas">Sgmt!$X$43:$X$45</definedName>
    <definedName name="NClase">UDs!$O$8</definedName>
    <definedName name="NPract">UDs!$B$95</definedName>
    <definedName name="NTri">UDs!$L$7</definedName>
    <definedName name="NUD">UDs!$B$56</definedName>
    <definedName name="PEv">UDs!$O$7</definedName>
    <definedName name="Pon1Tri">Fchs!$G$13</definedName>
    <definedName name="Pon2Tri">Fchs!$G$14</definedName>
    <definedName name="Pon3Tri">Fchs!$G$15</definedName>
    <definedName name="PonCEActitud">UDs!$H$10</definedName>
    <definedName name="PonCEContenidos">UDs!$H$7</definedName>
    <definedName name="PonCEEjercicios">UDs!$H$8</definedName>
    <definedName name="PonCEPracticas">UDs!$H$9</definedName>
    <definedName name="PonRA01">UDs!$C$16</definedName>
    <definedName name="PonRA02">UDs!$C$17</definedName>
    <definedName name="PonRA03">UDs!$C$18</definedName>
    <definedName name="PonRA04">UDs!$C$19</definedName>
    <definedName name="PonRA05">UDs!$C$20</definedName>
    <definedName name="PonRA06">UDs!$C$21</definedName>
    <definedName name="PonRA07">UDs!$C$22</definedName>
    <definedName name="PonRA08">UDs!$C$23</definedName>
    <definedName name="PonRA09">UDs!$C$24</definedName>
    <definedName name="PonRA10">UDs!$C$25</definedName>
    <definedName name="PonRA11">UDs!$C$26</definedName>
    <definedName name="PonRA12">UDs!$C$27</definedName>
    <definedName name="Pract01">UDs!$D$62</definedName>
    <definedName name="Pract02">UDs!$D$63</definedName>
    <definedName name="Pract03">UDs!$D$64</definedName>
    <definedName name="Pract04">UDs!$D$65</definedName>
    <definedName name="Pract05">UDs!$D$66</definedName>
    <definedName name="Pract06">UDs!$D$67</definedName>
    <definedName name="Pract07">UDs!$D$68</definedName>
    <definedName name="Pract08">UDs!$D$69</definedName>
    <definedName name="Pract09">UDs!$D$70</definedName>
    <definedName name="Pract10">UDs!$D$71</definedName>
    <definedName name="Pract11">UDs!$D$72</definedName>
    <definedName name="Pract12">UDs!$D$73</definedName>
    <definedName name="Pract13">UDs!$D$74</definedName>
    <definedName name="Pract14">UDs!$D$75</definedName>
    <definedName name="Pract15">UDs!$D$76</definedName>
    <definedName name="Pract16">UDs!$D$77</definedName>
    <definedName name="Pract17">UDs!$D$78</definedName>
    <definedName name="Pract18">UDs!$D$79</definedName>
    <definedName name="Pract19">UDs!$D$80</definedName>
    <definedName name="Pract20">UDs!$D$81</definedName>
    <definedName name="Pract21">UDs!$D$82</definedName>
    <definedName name="Pract22">UDs!$D$83</definedName>
    <definedName name="Pract23">UDs!$D$84</definedName>
    <definedName name="Pract24">UDs!$D$85</definedName>
    <definedName name="Pract25">UDs!$D$86</definedName>
    <definedName name="Pract26">UDs!$D$87</definedName>
    <definedName name="Pract27">UDs!$D$88</definedName>
    <definedName name="Pract28">UDs!$D$89</definedName>
    <definedName name="Pract29">UDs!$D$90</definedName>
    <definedName name="Pract30">UDs!$D$91</definedName>
    <definedName name="Pract31">UDs!$D$92</definedName>
    <definedName name="Pract32">UDs!$D$93</definedName>
    <definedName name="Pract33">UDs!$D$94</definedName>
    <definedName name="Print_Area" localSheetId="3">Calnd!$A$1:$R$116</definedName>
    <definedName name="Print_Area" localSheetId="7">EvGlb!$C$1:$AC$20</definedName>
    <definedName name="Print_Area" localSheetId="10">EvLkrt!$G$1:$AJ$24</definedName>
    <definedName name="Print_Area" localSheetId="9">SEvUd!$C$1:$Y$20</definedName>
    <definedName name="Print_Area" localSheetId="16">SMes!$A$1:$I$28</definedName>
    <definedName name="Print_Area" localSheetId="17">SSmCua!$A$1:$F$18</definedName>
    <definedName name="Print_Area" localSheetId="15">SSmLis!$A$1:$F$18</definedName>
    <definedName name="Print_Area" localSheetId="13">SUDEjrPrc!$C$1:$V$20</definedName>
    <definedName name="PROCEDIMIENTOS">[1]Calendario!$J$31</definedName>
    <definedName name="ReAp01">UDs!$D$16</definedName>
    <definedName name="ReAp02">UDs!$D$17</definedName>
    <definedName name="ReAp03">UDs!$D$18</definedName>
    <definedName name="ReAp04">UDs!$D$19</definedName>
    <definedName name="ReAp05">UDs!$D$20</definedName>
    <definedName name="ReAp06">UDs!$D$21</definedName>
    <definedName name="ReAp07">UDs!$D$22</definedName>
    <definedName name="ReAp08">UDs!$D$23</definedName>
    <definedName name="ReAp09">UDs!$D$24</definedName>
    <definedName name="ReAp10">UDs!$D$25</definedName>
    <definedName name="ReAp11">UDs!$D$26</definedName>
    <definedName name="ReAp12">UDs!$D$27</definedName>
    <definedName name="_xlnm.Print_Titles" localSheetId="3">Calnd!$1:$1</definedName>
    <definedName name="_xlnm.Print_Titles" localSheetId="7">EvGlb!$A:$D,EvGlb!$1:$2</definedName>
    <definedName name="_xlnm.Print_Titles" localSheetId="1">Fchs!$1:$2</definedName>
    <definedName name="_xlnm.Print_Titles" localSheetId="5">Flts!$2:$11</definedName>
    <definedName name="_xlnm.Print_Titles" localSheetId="14">SDia!$A:$E,SDia!$1:$4</definedName>
    <definedName name="_xlnm.Print_Titles" localSheetId="9">SEvUd!$A:$D,SEvUd!$1:$5</definedName>
    <definedName name="_xlnm.Print_Titles" localSheetId="18">SFrms!$A:$E,SFrms!$1:$5</definedName>
    <definedName name="_xlnm.Print_Titles" localSheetId="16">SMes!$1:$2</definedName>
    <definedName name="_xlnm.Print_Titles" localSheetId="12">SPrc!$A:$C,SPrc!$1:$5</definedName>
    <definedName name="_xlnm.Print_Titles" localSheetId="17">SSmCua!$1:$2</definedName>
    <definedName name="_xlnm.Print_Titles" localSheetId="15">SSmLis!$1:$2</definedName>
    <definedName name="_xlnm.Print_Titles" localSheetId="11">SUDEjr!$A:$C,SUDEjr!$1:$5</definedName>
    <definedName name="_xlnm.Print_Titles" localSheetId="13">SUDEjrPrc!$A:$D,SUDEjrPrc!$1:$5</definedName>
    <definedName name="_xlnm.Print_Titles" localSheetId="0">UDs!$1:$1</definedName>
    <definedName name="Txt1Tri">Fchs!$D$13</definedName>
    <definedName name="Txt2Tri">Fchs!$D$14</definedName>
    <definedName name="Txt3Tri">Fchs!$D$15</definedName>
    <definedName name="TxtEEv">EvCnt!$D$13</definedName>
    <definedName name="TxtPonActitud">UDs!$G$10</definedName>
    <definedName name="TxtPonContenidos">UDs!$G$7</definedName>
    <definedName name="TxtPonEjercicios">UDs!$G$8</definedName>
    <definedName name="TxtPonPracticas">UDs!$G$9</definedName>
    <definedName name="UnDi00">UDs!$D$34</definedName>
    <definedName name="UnDi01">UDs!$D$35</definedName>
    <definedName name="UnDi02">UDs!$D$36</definedName>
    <definedName name="UnDi03">UDs!$D$37</definedName>
    <definedName name="UnDi04">UDs!$D$38</definedName>
    <definedName name="UnDi05">UDs!$D$39</definedName>
    <definedName name="UnDi06">UDs!$D$40</definedName>
    <definedName name="UnDi07">UDs!$D$41</definedName>
    <definedName name="UnDi08">UDs!$D$42</definedName>
    <definedName name="UnDi09">UDs!$D$43</definedName>
    <definedName name="UnDi10">UDs!$D$44</definedName>
    <definedName name="UnDi11">UDs!$D$45</definedName>
    <definedName name="UnDi12">UDs!$D$46</definedName>
    <definedName name="UnDi13">UDs!$D$47</definedName>
    <definedName name="UnDi14">UDs!$D$48</definedName>
    <definedName name="UnDi15">UDs!$D$49</definedName>
    <definedName name="UnDi16">UDs!$D$50</definedName>
    <definedName name="UnDi17">UDs!$D$51</definedName>
    <definedName name="UnDi18">UDs!$D$52</definedName>
    <definedName name="UnDi19">UDs!$D$53</definedName>
    <definedName name="UnDi20">UDs!$D$54</definedName>
    <definedName name="UnDiCM">UDs!$D$55</definedName>
    <definedName name="Valores_EncabezadoDía">ROW('[3]Cálc.'!$1:$32)</definedName>
    <definedName name="Valores_EncabezadoMes" localSheetId="10">EOMONTH(DATE([0]!AñoInicio,8,1),{0,1,2,3,4,5,6,7,8,9,10,11})+1</definedName>
    <definedName name="Valores_EncabezadoMes" localSheetId="5">EOMONTH(DATE([4]!AñoInicio,8,1),{0,1,2,3,4,5,6,7,8,9,10,11})+1</definedName>
    <definedName name="Valores_EncabezadoMes" localSheetId="14">EOMONTH(DATE([4]!AñoInicio,8,1),{0,1,2,3,4,5,6,7,8,9,10,11})+1</definedName>
    <definedName name="Valores_EncabezadoMes" localSheetId="9">EOMONTH(DATE([4]!AñoInicio,8,1),{0,1,2,3,4,5,6,7,8,9,10,11})+1</definedName>
    <definedName name="Valores_EncabezadoMes" localSheetId="16">EOMONTH(DATE([4]!AñoInicio,8,1),{0,1,2,3,4,5,6,7,8,9,10,11})+1</definedName>
    <definedName name="Valores_EncabezadoMes" localSheetId="12">EOMONTH(DATE([4]!AñoInicio,8,1),{0,1,2,3,4,5,6,7,8,9,10,11})+1</definedName>
    <definedName name="Valores_EncabezadoMes" localSheetId="17">EOMONTH(DATE([4]!AñoInicio,8,1),{0,1,2,3,4,5,6,7,8,9,10,11})+1</definedName>
    <definedName name="Valores_EncabezadoMes" localSheetId="15">EOMONTH(DATE([4]!AñoInicio,8,1),{0,1,2,3,4,5,6,7,8,9,10,11})+1</definedName>
    <definedName name="Valores_EncabezadoMes" localSheetId="11">EOMONTH(DATE([4]!AñoInicio,8,1),{0,1,2,3,4,5,6,7,8,9,10,11})+1</definedName>
    <definedName name="Valores_EncabezadoMes" localSheetId="13">EOMONTH(DATE([4]!AñoInicio,8,1),{0,1,2,3,4,5,6,7,8,9,10,11})+1</definedName>
    <definedName name="Valores_EncabezadoMes">EOMONTH(DATE([4]!AñoInicio,8,1),{0,1,2,3,4,5,6,7,8,9,10,11})+1</definedName>
    <definedName name="Vdias">Info!$AZ$3</definedName>
    <definedName name="Vmeses">Info!$AZ$4</definedName>
    <definedName name="Z_079ED3F8_D23E_413F_B7FA_1C4A43A9CEAB_.wvu.FilterData" localSheetId="4" hidden="1">Almnd!$B$3:$L$3</definedName>
    <definedName name="Z_079ED3F8_D23E_413F_B7FA_1C4A43A9CEAB_.wvu.FilterData" localSheetId="6" hidden="1">EvCnt!$B$19:$AR$120</definedName>
    <definedName name="Z_079ED3F8_D23E_413F_B7FA_1C4A43A9CEAB_.wvu.FilterData" localSheetId="7" hidden="1">EvGlb!$C$5:$AC$5</definedName>
    <definedName name="Z_079ED3F8_D23E_413F_B7FA_1C4A43A9CEAB_.wvu.FilterData" localSheetId="5" hidden="1">Flts!$B$11:$AR$43</definedName>
    <definedName name="Z_079ED3F8_D23E_413F_B7FA_1C4A43A9CEAB_.wvu.FilterData" localSheetId="14" hidden="1">SDia!$B$4:$L$165</definedName>
    <definedName name="Z_079ED3F8_D23E_413F_B7FA_1C4A43A9CEAB_.wvu.FilterData" localSheetId="9" hidden="1">SEvUd!#REF!</definedName>
    <definedName name="Z_079ED3F8_D23E_413F_B7FA_1C4A43A9CEAB_.wvu.FilterData" localSheetId="18" hidden="1">SFrms!$B$5:$E$166</definedName>
    <definedName name="Z_079ED3F8_D23E_413F_B7FA_1C4A43A9CEAB_.wvu.FilterData" localSheetId="13" hidden="1">SUDEjrPrc!$D$4:$V$4</definedName>
    <definedName name="Z_079ED3F8_D23E_413F_B7FA_1C4A43A9CEAB_.wvu.PrintArea" localSheetId="4" hidden="1">Almnd!$A$1:$L$34</definedName>
    <definedName name="Z_079ED3F8_D23E_413F_B7FA_1C4A43A9CEAB_.wvu.PrintArea" localSheetId="3" hidden="1">Calnd!$A$1:$R$146</definedName>
    <definedName name="Z_079ED3F8_D23E_413F_B7FA_1C4A43A9CEAB_.wvu.PrintArea" localSheetId="7" hidden="1">EvGlb!$A$1:$AC$36</definedName>
    <definedName name="Z_079ED3F8_D23E_413F_B7FA_1C4A43A9CEAB_.wvu.PrintArea" localSheetId="8" hidden="1">EvInd!$A$1:$O$41</definedName>
    <definedName name="Z_079ED3F8_D23E_413F_B7FA_1C4A43A9CEAB_.wvu.PrintArea" localSheetId="1" hidden="1">Fchs!$A$1:$N$199</definedName>
    <definedName name="Z_079ED3F8_D23E_413F_B7FA_1C4A43A9CEAB_.wvu.PrintArea" localSheetId="14" hidden="1">SDia!$A$1:$L$229</definedName>
    <definedName name="Z_079ED3F8_D23E_413F_B7FA_1C4A43A9CEAB_.wvu.PrintArea" localSheetId="9" hidden="1">SEvUd!$A$1:$Y$36</definedName>
    <definedName name="Z_079ED3F8_D23E_413F_B7FA_1C4A43A9CEAB_.wvu.PrintArea" localSheetId="18" hidden="1">SFrms!$A$1:$AI$166</definedName>
    <definedName name="Z_079ED3F8_D23E_413F_B7FA_1C4A43A9CEAB_.wvu.PrintArea" localSheetId="16" hidden="1">SMes!$A$1:$I$29</definedName>
    <definedName name="Z_079ED3F8_D23E_413F_B7FA_1C4A43A9CEAB_.wvu.PrintArea" localSheetId="12" hidden="1">SPrc!$A$1:$AG$38</definedName>
    <definedName name="Z_079ED3F8_D23E_413F_B7FA_1C4A43A9CEAB_.wvu.PrintArea" localSheetId="17" hidden="1">SSmCua!$A$1:$F$18</definedName>
    <definedName name="Z_079ED3F8_D23E_413F_B7FA_1C4A43A9CEAB_.wvu.PrintArea" localSheetId="15" hidden="1">SSmLis!$A$1:$F$18</definedName>
    <definedName name="Z_079ED3F8_D23E_413F_B7FA_1C4A43A9CEAB_.wvu.PrintArea" localSheetId="11" hidden="1">SUDEjr!$A$1:$AG$46</definedName>
    <definedName name="Z_079ED3F8_D23E_413F_B7FA_1C4A43A9CEAB_.wvu.PrintArea" localSheetId="13" hidden="1">SUDEjrPrc!$A$1:$V$36</definedName>
    <definedName name="Z_079ED3F8_D23E_413F_B7FA_1C4A43A9CEAB_.wvu.PrintArea" localSheetId="0" hidden="1">UDs!$A$1:$S$97</definedName>
    <definedName name="Z_079ED3F8_D23E_413F_B7FA_1C4A43A9CEAB_.wvu.PrintTitles" localSheetId="3" hidden="1">Calnd!$1:$1</definedName>
    <definedName name="Z_079ED3F8_D23E_413F_B7FA_1C4A43A9CEAB_.wvu.PrintTitles" localSheetId="7" hidden="1">EvGlb!$A:$D,EvGlb!$1:$2</definedName>
    <definedName name="Z_079ED3F8_D23E_413F_B7FA_1C4A43A9CEAB_.wvu.PrintTitles" localSheetId="1" hidden="1">Fchs!$1:$57</definedName>
    <definedName name="Z_079ED3F8_D23E_413F_B7FA_1C4A43A9CEAB_.wvu.PrintTitles" localSheetId="5" hidden="1">Flts!$2:$11</definedName>
    <definedName name="Z_079ED3F8_D23E_413F_B7FA_1C4A43A9CEAB_.wvu.PrintTitles" localSheetId="14" hidden="1">SDia!$A:$E,SDia!$1:$4</definedName>
    <definedName name="Z_079ED3F8_D23E_413F_B7FA_1C4A43A9CEAB_.wvu.PrintTitles" localSheetId="9" hidden="1">SEvUd!$A:$D,SEvUd!$1:$2</definedName>
    <definedName name="Z_079ED3F8_D23E_413F_B7FA_1C4A43A9CEAB_.wvu.PrintTitles" localSheetId="18" hidden="1">SFrms!$A:$E,SFrms!$1:$5</definedName>
    <definedName name="Z_079ED3F8_D23E_413F_B7FA_1C4A43A9CEAB_.wvu.PrintTitles" localSheetId="16" hidden="1">SMes!$1:$2</definedName>
    <definedName name="Z_079ED3F8_D23E_413F_B7FA_1C4A43A9CEAB_.wvu.PrintTitles" localSheetId="12" hidden="1">SPrc!$A:$C,SPrc!$1:$5</definedName>
    <definedName name="Z_079ED3F8_D23E_413F_B7FA_1C4A43A9CEAB_.wvu.PrintTitles" localSheetId="17" hidden="1">SSmCua!$1:$2</definedName>
    <definedName name="Z_079ED3F8_D23E_413F_B7FA_1C4A43A9CEAB_.wvu.PrintTitles" localSheetId="15" hidden="1">SSmLis!$1:$2</definedName>
    <definedName name="Z_079ED3F8_D23E_413F_B7FA_1C4A43A9CEAB_.wvu.PrintTitles" localSheetId="11" hidden="1">SUDEjr!$A:$C,SUDEjr!$1:$5</definedName>
    <definedName name="Z_079ED3F8_D23E_413F_B7FA_1C4A43A9CEAB_.wvu.PrintTitles" localSheetId="13" hidden="1">SUDEjrPrc!$A:$D,SUDEjrPrc!$1:$2</definedName>
    <definedName name="Z_079ED3F8_D23E_413F_B7FA_1C4A43A9CEAB_.wvu.PrintTitles" localSheetId="0" hidden="1">UDs!$1:$1</definedName>
    <definedName name="Z_386B8780_5573_460C_A780_6C59BEFB4DBF_.wvu.FilterData" localSheetId="4" hidden="1">Almnd!$B$3:$L$3</definedName>
    <definedName name="Z_386B8780_5573_460C_A780_6C59BEFB4DBF_.wvu.FilterData" localSheetId="6" hidden="1">EvCnt!$B$19:$AR$120</definedName>
    <definedName name="Z_386B8780_5573_460C_A780_6C59BEFB4DBF_.wvu.FilterData" localSheetId="7" hidden="1">EvGlb!$C$5:$AC$5</definedName>
    <definedName name="Z_386B8780_5573_460C_A780_6C59BEFB4DBF_.wvu.FilterData" localSheetId="5" hidden="1">Flts!$B$11:$AR$43</definedName>
    <definedName name="Z_386B8780_5573_460C_A780_6C59BEFB4DBF_.wvu.FilterData" localSheetId="14" hidden="1">SDia!$B$4:$L$165</definedName>
    <definedName name="Z_386B8780_5573_460C_A780_6C59BEFB4DBF_.wvu.FilterData" localSheetId="9" hidden="1">SEvUd!#REF!</definedName>
    <definedName name="Z_386B8780_5573_460C_A780_6C59BEFB4DBF_.wvu.FilterData" localSheetId="18" hidden="1">SFrms!$B$5:$E$166</definedName>
    <definedName name="Z_386B8780_5573_460C_A780_6C59BEFB4DBF_.wvu.FilterData" localSheetId="13" hidden="1">SUDEjrPrc!$D$4:$V$4</definedName>
    <definedName name="Z_386B8780_5573_460C_A780_6C59BEFB4DBF_.wvu.PrintArea" localSheetId="4" hidden="1">Almnd!$A$1:$L$34</definedName>
    <definedName name="Z_386B8780_5573_460C_A780_6C59BEFB4DBF_.wvu.PrintArea" localSheetId="3" hidden="1">Calnd!$A$1:$R$146</definedName>
    <definedName name="Z_386B8780_5573_460C_A780_6C59BEFB4DBF_.wvu.PrintArea" localSheetId="7" hidden="1">EvGlb!$A$1:$AC$36</definedName>
    <definedName name="Z_386B8780_5573_460C_A780_6C59BEFB4DBF_.wvu.PrintArea" localSheetId="8" hidden="1">EvInd!$A$1:$O$41</definedName>
    <definedName name="Z_386B8780_5573_460C_A780_6C59BEFB4DBF_.wvu.PrintArea" localSheetId="1" hidden="1">Fchs!$A$1:$N$199</definedName>
    <definedName name="Z_386B8780_5573_460C_A780_6C59BEFB4DBF_.wvu.PrintArea" localSheetId="14" hidden="1">SDia!$A$1:$L$229</definedName>
    <definedName name="Z_386B8780_5573_460C_A780_6C59BEFB4DBF_.wvu.PrintArea" localSheetId="9" hidden="1">SEvUd!$A$1:$Y$36</definedName>
    <definedName name="Z_386B8780_5573_460C_A780_6C59BEFB4DBF_.wvu.PrintArea" localSheetId="18" hidden="1">SFrms!$A$1:$AI$166</definedName>
    <definedName name="Z_386B8780_5573_460C_A780_6C59BEFB4DBF_.wvu.PrintArea" localSheetId="16" hidden="1">SMes!$A$1:$I$29</definedName>
    <definedName name="Z_386B8780_5573_460C_A780_6C59BEFB4DBF_.wvu.PrintArea" localSheetId="12" hidden="1">SPrc!$A$1:$AG$38</definedName>
    <definedName name="Z_386B8780_5573_460C_A780_6C59BEFB4DBF_.wvu.PrintArea" localSheetId="17" hidden="1">SSmCua!$A$1:$F$18</definedName>
    <definedName name="Z_386B8780_5573_460C_A780_6C59BEFB4DBF_.wvu.PrintArea" localSheetId="15" hidden="1">SSmLis!$A$1:$F$18</definedName>
    <definedName name="Z_386B8780_5573_460C_A780_6C59BEFB4DBF_.wvu.PrintArea" localSheetId="11" hidden="1">SUDEjr!$A$1:$AG$46</definedName>
    <definedName name="Z_386B8780_5573_460C_A780_6C59BEFB4DBF_.wvu.PrintArea" localSheetId="13" hidden="1">SUDEjrPrc!$A$1:$V$36</definedName>
    <definedName name="Z_386B8780_5573_460C_A780_6C59BEFB4DBF_.wvu.PrintArea" localSheetId="0" hidden="1">UDs!$A$1:$S$97</definedName>
    <definedName name="Z_386B8780_5573_460C_A780_6C59BEFB4DBF_.wvu.PrintTitles" localSheetId="3" hidden="1">Calnd!$1:$1</definedName>
    <definedName name="Z_386B8780_5573_460C_A780_6C59BEFB4DBF_.wvu.PrintTitles" localSheetId="7" hidden="1">EvGlb!$A:$D,EvGlb!$1:$2</definedName>
    <definedName name="Z_386B8780_5573_460C_A780_6C59BEFB4DBF_.wvu.PrintTitles" localSheetId="1" hidden="1">Fchs!$1:$57</definedName>
    <definedName name="Z_386B8780_5573_460C_A780_6C59BEFB4DBF_.wvu.PrintTitles" localSheetId="5" hidden="1">Flts!$2:$11</definedName>
    <definedName name="Z_386B8780_5573_460C_A780_6C59BEFB4DBF_.wvu.PrintTitles" localSheetId="14" hidden="1">SDia!$A:$E,SDia!$1:$4</definedName>
    <definedName name="Z_386B8780_5573_460C_A780_6C59BEFB4DBF_.wvu.PrintTitles" localSheetId="9" hidden="1">SEvUd!$A:$D,SEvUd!$1:$2</definedName>
    <definedName name="Z_386B8780_5573_460C_A780_6C59BEFB4DBF_.wvu.PrintTitles" localSheetId="18" hidden="1">SFrms!$A:$E,SFrms!$1:$5</definedName>
    <definedName name="Z_386B8780_5573_460C_A780_6C59BEFB4DBF_.wvu.PrintTitles" localSheetId="16" hidden="1">SMes!$1:$2</definedName>
    <definedName name="Z_386B8780_5573_460C_A780_6C59BEFB4DBF_.wvu.PrintTitles" localSheetId="12" hidden="1">SPrc!$A:$C,SPrc!$1:$5</definedName>
    <definedName name="Z_386B8780_5573_460C_A780_6C59BEFB4DBF_.wvu.PrintTitles" localSheetId="17" hidden="1">SSmCua!$1:$2</definedName>
    <definedName name="Z_386B8780_5573_460C_A780_6C59BEFB4DBF_.wvu.PrintTitles" localSheetId="15" hidden="1">SSmLis!$1:$2</definedName>
    <definedName name="Z_386B8780_5573_460C_A780_6C59BEFB4DBF_.wvu.PrintTitles" localSheetId="11" hidden="1">SUDEjr!$A:$C,SUDEjr!$1:$5</definedName>
    <definedName name="Z_386B8780_5573_460C_A780_6C59BEFB4DBF_.wvu.PrintTitles" localSheetId="13" hidden="1">SUDEjrPrc!$A:$D,SUDEjrPrc!$1:$2</definedName>
    <definedName name="Z_386B8780_5573_460C_A780_6C59BEFB4DBF_.wvu.PrintTitles" localSheetId="0" hidden="1">UDs!$1:$1</definedName>
    <definedName name="Z_748451F5_A0F3_420F_846E_9497A6A574EF_.wvu.FilterData" localSheetId="4" hidden="1">Almnd!$B$3:$L$3</definedName>
    <definedName name="Z_748451F5_A0F3_420F_846E_9497A6A574EF_.wvu.FilterData" localSheetId="6" hidden="1">EvCnt!$B$19:$AR$120</definedName>
    <definedName name="Z_748451F5_A0F3_420F_846E_9497A6A574EF_.wvu.FilterData" localSheetId="7" hidden="1">EvGlb!$C$5:$AC$5</definedName>
    <definedName name="Z_748451F5_A0F3_420F_846E_9497A6A574EF_.wvu.FilterData" localSheetId="5" hidden="1">Flts!$B$11:$AR$43</definedName>
    <definedName name="Z_748451F5_A0F3_420F_846E_9497A6A574EF_.wvu.FilterData" localSheetId="14" hidden="1">SDia!$B$4:$L$165</definedName>
    <definedName name="Z_748451F5_A0F3_420F_846E_9497A6A574EF_.wvu.FilterData" localSheetId="9" hidden="1">SEvUd!#REF!</definedName>
    <definedName name="Z_748451F5_A0F3_420F_846E_9497A6A574EF_.wvu.FilterData" localSheetId="18" hidden="1">SFrms!$B$5:$E$166</definedName>
    <definedName name="Z_748451F5_A0F3_420F_846E_9497A6A574EF_.wvu.FilterData" localSheetId="13" hidden="1">SUDEjrPrc!$D$4:$V$4</definedName>
    <definedName name="Z_748451F5_A0F3_420F_846E_9497A6A574EF_.wvu.PrintArea" localSheetId="4" hidden="1">Almnd!$A$1:$L$34</definedName>
    <definedName name="Z_748451F5_A0F3_420F_846E_9497A6A574EF_.wvu.PrintArea" localSheetId="3" hidden="1">Calnd!$A$1:$R$146</definedName>
    <definedName name="Z_748451F5_A0F3_420F_846E_9497A6A574EF_.wvu.PrintArea" localSheetId="7" hidden="1">EvGlb!$A$1:$AC$36</definedName>
    <definedName name="Z_748451F5_A0F3_420F_846E_9497A6A574EF_.wvu.PrintArea" localSheetId="8" hidden="1">EvInd!$A$1:$O$41</definedName>
    <definedName name="Z_748451F5_A0F3_420F_846E_9497A6A574EF_.wvu.PrintArea" localSheetId="1" hidden="1">Fchs!$A$1:$N$199</definedName>
    <definedName name="Z_748451F5_A0F3_420F_846E_9497A6A574EF_.wvu.PrintArea" localSheetId="14" hidden="1">SDia!$A$1:$L$229</definedName>
    <definedName name="Z_748451F5_A0F3_420F_846E_9497A6A574EF_.wvu.PrintArea" localSheetId="9" hidden="1">SEvUd!$A$1:$Y$36</definedName>
    <definedName name="Z_748451F5_A0F3_420F_846E_9497A6A574EF_.wvu.PrintArea" localSheetId="18" hidden="1">SFrms!$A$1:$AI$230</definedName>
    <definedName name="Z_748451F5_A0F3_420F_846E_9497A6A574EF_.wvu.PrintArea" localSheetId="16" hidden="1">SMes!$A$1:$I$29</definedName>
    <definedName name="Z_748451F5_A0F3_420F_846E_9497A6A574EF_.wvu.PrintArea" localSheetId="12" hidden="1">SPrc!$A$1:$AG$38</definedName>
    <definedName name="Z_748451F5_A0F3_420F_846E_9497A6A574EF_.wvu.PrintArea" localSheetId="17" hidden="1">SSmCua!$A$1:$F$18</definedName>
    <definedName name="Z_748451F5_A0F3_420F_846E_9497A6A574EF_.wvu.PrintArea" localSheetId="15" hidden="1">SSmLis!$A$1:$F$18</definedName>
    <definedName name="Z_748451F5_A0F3_420F_846E_9497A6A574EF_.wvu.PrintArea" localSheetId="11" hidden="1">SUDEjr!$A$1:$AG$46</definedName>
    <definedName name="Z_748451F5_A0F3_420F_846E_9497A6A574EF_.wvu.PrintArea" localSheetId="13" hidden="1">SUDEjrPrc!$A$1:$V$36</definedName>
    <definedName name="Z_748451F5_A0F3_420F_846E_9497A6A574EF_.wvu.PrintArea" localSheetId="0" hidden="1">UDs!$A$1:$S$97</definedName>
    <definedName name="Z_748451F5_A0F3_420F_846E_9497A6A574EF_.wvu.PrintTitles" localSheetId="3" hidden="1">Calnd!$1:$1</definedName>
    <definedName name="Z_748451F5_A0F3_420F_846E_9497A6A574EF_.wvu.PrintTitles" localSheetId="7" hidden="1">EvGlb!$A:$D,EvGlb!$1:$2</definedName>
    <definedName name="Z_748451F5_A0F3_420F_846E_9497A6A574EF_.wvu.PrintTitles" localSheetId="1" hidden="1">Fchs!$1:$57</definedName>
    <definedName name="Z_748451F5_A0F3_420F_846E_9497A6A574EF_.wvu.PrintTitles" localSheetId="5" hidden="1">Flts!$2:$11</definedName>
    <definedName name="Z_748451F5_A0F3_420F_846E_9497A6A574EF_.wvu.PrintTitles" localSheetId="14" hidden="1">SDia!$A:$E,SDia!$1:$4</definedName>
    <definedName name="Z_748451F5_A0F3_420F_846E_9497A6A574EF_.wvu.PrintTitles" localSheetId="9" hidden="1">SEvUd!$A:$D,SEvUd!$1:$2</definedName>
    <definedName name="Z_748451F5_A0F3_420F_846E_9497A6A574EF_.wvu.PrintTitles" localSheetId="18" hidden="1">SFrms!$A:$E,SFrms!$1:$5</definedName>
    <definedName name="Z_748451F5_A0F3_420F_846E_9497A6A574EF_.wvu.PrintTitles" localSheetId="16" hidden="1">SMes!$1:$2</definedName>
    <definedName name="Z_748451F5_A0F3_420F_846E_9497A6A574EF_.wvu.PrintTitles" localSheetId="12" hidden="1">SPrc!$A:$C,SPrc!$1:$5</definedName>
    <definedName name="Z_748451F5_A0F3_420F_846E_9497A6A574EF_.wvu.PrintTitles" localSheetId="17" hidden="1">SSmCua!$1:$2</definedName>
    <definedName name="Z_748451F5_A0F3_420F_846E_9497A6A574EF_.wvu.PrintTitles" localSheetId="15" hidden="1">SSmLis!$1:$2</definedName>
    <definedName name="Z_748451F5_A0F3_420F_846E_9497A6A574EF_.wvu.PrintTitles" localSheetId="11" hidden="1">SUDEjr!$A:$C,SUDEjr!$1:$5</definedName>
    <definedName name="Z_748451F5_A0F3_420F_846E_9497A6A574EF_.wvu.PrintTitles" localSheetId="13" hidden="1">SUDEjrPrc!$A:$D,SUDEjrPrc!$1:$2</definedName>
    <definedName name="Z_748451F5_A0F3_420F_846E_9497A6A574EF_.wvu.PrintTitles" localSheetId="0" hidden="1">UDs!$1:$1</definedName>
    <definedName name="Z_81A05B8F_D3E4_4CEB_B8F2_C34A1F15FDB9_.wvu.FilterData" localSheetId="4" hidden="1">Almnd!$B$3:$L$3</definedName>
    <definedName name="Z_81A05B8F_D3E4_4CEB_B8F2_C34A1F15FDB9_.wvu.FilterData" localSheetId="6" hidden="1">EvCnt!$B$19:$AR$120</definedName>
    <definedName name="Z_81A05B8F_D3E4_4CEB_B8F2_C34A1F15FDB9_.wvu.FilterData" localSheetId="7" hidden="1">EvGlb!$C$5:$AC$5</definedName>
    <definedName name="Z_81A05B8F_D3E4_4CEB_B8F2_C34A1F15FDB9_.wvu.FilterData" localSheetId="5" hidden="1">Flts!$B$11:$AR$43</definedName>
    <definedName name="Z_81A05B8F_D3E4_4CEB_B8F2_C34A1F15FDB9_.wvu.FilterData" localSheetId="9" hidden="1">SEvUd!#REF!</definedName>
    <definedName name="Z_81A05B8F_D3E4_4CEB_B8F2_C34A1F15FDB9_.wvu.FilterData" localSheetId="13" hidden="1">SUDEjrPrc!$D$4:$V$4</definedName>
    <definedName name="Z_81A05B8F_D3E4_4CEB_B8F2_C34A1F15FDB9_.wvu.PrintArea" localSheetId="4" hidden="1">Almnd!$A$1:$L$34</definedName>
    <definedName name="Z_81A05B8F_D3E4_4CEB_B8F2_C34A1F15FDB9_.wvu.PrintArea" localSheetId="3" hidden="1">Calnd!$A$1:$R$146</definedName>
    <definedName name="Z_81A05B8F_D3E4_4CEB_B8F2_C34A1F15FDB9_.wvu.PrintArea" localSheetId="7" hidden="1">EvGlb!$A$1:$AC$36</definedName>
    <definedName name="Z_81A05B8F_D3E4_4CEB_B8F2_C34A1F15FDB9_.wvu.PrintArea" localSheetId="8" hidden="1">EvInd!$A$1:$O$41</definedName>
    <definedName name="Z_81A05B8F_D3E4_4CEB_B8F2_C34A1F15FDB9_.wvu.PrintArea" localSheetId="1" hidden="1">Fchs!$A$1:$N$199</definedName>
    <definedName name="Z_81A05B8F_D3E4_4CEB_B8F2_C34A1F15FDB9_.wvu.PrintArea" localSheetId="9" hidden="1">SEvUd!$A$1:$Y$36</definedName>
    <definedName name="Z_81A05B8F_D3E4_4CEB_B8F2_C34A1F15FDB9_.wvu.PrintArea" localSheetId="16" hidden="1">SMes!$A$1:$I$29</definedName>
    <definedName name="Z_81A05B8F_D3E4_4CEB_B8F2_C34A1F15FDB9_.wvu.PrintArea" localSheetId="17" hidden="1">SSmCua!$A$1:$F$18</definedName>
    <definedName name="Z_81A05B8F_D3E4_4CEB_B8F2_C34A1F15FDB9_.wvu.PrintArea" localSheetId="15" hidden="1">SSmLis!$A$1:$F$18</definedName>
    <definedName name="Z_81A05B8F_D3E4_4CEB_B8F2_C34A1F15FDB9_.wvu.PrintArea" localSheetId="13" hidden="1">SUDEjrPrc!$A$1:$V$36</definedName>
    <definedName name="Z_81A05B8F_D3E4_4CEB_B8F2_C34A1F15FDB9_.wvu.PrintArea" localSheetId="0" hidden="1">UDs!$A$1:$S$97</definedName>
    <definedName name="Z_81A05B8F_D3E4_4CEB_B8F2_C34A1F15FDB9_.wvu.PrintTitles" localSheetId="3" hidden="1">Calnd!$1:$1</definedName>
    <definedName name="Z_81A05B8F_D3E4_4CEB_B8F2_C34A1F15FDB9_.wvu.PrintTitles" localSheetId="7" hidden="1">EvGlb!$A:$D,EvGlb!$1:$2</definedName>
    <definedName name="Z_81A05B8F_D3E4_4CEB_B8F2_C34A1F15FDB9_.wvu.PrintTitles" localSheetId="1" hidden="1">Fchs!$1:$57</definedName>
    <definedName name="Z_81A05B8F_D3E4_4CEB_B8F2_C34A1F15FDB9_.wvu.PrintTitles" localSheetId="5" hidden="1">Flts!$2:$11</definedName>
    <definedName name="Z_81A05B8F_D3E4_4CEB_B8F2_C34A1F15FDB9_.wvu.PrintTitles" localSheetId="9" hidden="1">SEvUd!$A:$D,SEvUd!$1:$2</definedName>
    <definedName name="Z_81A05B8F_D3E4_4CEB_B8F2_C34A1F15FDB9_.wvu.PrintTitles" localSheetId="16" hidden="1">SMes!$1:$2</definedName>
    <definedName name="Z_81A05B8F_D3E4_4CEB_B8F2_C34A1F15FDB9_.wvu.PrintTitles" localSheetId="17" hidden="1">SSmCua!$1:$2</definedName>
    <definedName name="Z_81A05B8F_D3E4_4CEB_B8F2_C34A1F15FDB9_.wvu.PrintTitles" localSheetId="15" hidden="1">SSmLis!$1:$2</definedName>
    <definedName name="Z_81A05B8F_D3E4_4CEB_B8F2_C34A1F15FDB9_.wvu.PrintTitles" localSheetId="13" hidden="1">SUDEjrPrc!$A:$D,SUDEjrPrc!$1:$2</definedName>
    <definedName name="Z_81A05B8F_D3E4_4CEB_B8F2_C34A1F15FDB9_.wvu.PrintTitles" localSheetId="0" hidden="1">UDs!$1:$1</definedName>
    <definedName name="Z_BBFF7A3C_7579_4BB0_AAA9_66CE11DC0C92_.wvu.FilterData" localSheetId="4" hidden="1">Almnd!$B$3:$L$3</definedName>
    <definedName name="Z_BBFF7A3C_7579_4BB0_AAA9_66CE11DC0C92_.wvu.FilterData" localSheetId="6" hidden="1">EvCnt!$B$19:$AR$120</definedName>
    <definedName name="Z_BBFF7A3C_7579_4BB0_AAA9_66CE11DC0C92_.wvu.FilterData" localSheetId="7" hidden="1">EvGlb!$C$5:$AC$5</definedName>
    <definedName name="Z_BBFF7A3C_7579_4BB0_AAA9_66CE11DC0C92_.wvu.FilterData" localSheetId="5" hidden="1">Flts!$B$11:$AR$43</definedName>
    <definedName name="Z_BBFF7A3C_7579_4BB0_AAA9_66CE11DC0C92_.wvu.FilterData" localSheetId="14" hidden="1">SDia!$B$4:$L$165</definedName>
    <definedName name="Z_BBFF7A3C_7579_4BB0_AAA9_66CE11DC0C92_.wvu.FilterData" localSheetId="9" hidden="1">SEvUd!#REF!</definedName>
    <definedName name="Z_BBFF7A3C_7579_4BB0_AAA9_66CE11DC0C92_.wvu.FilterData" localSheetId="18" hidden="1">SFrms!$B$5:$E$166</definedName>
    <definedName name="Z_BBFF7A3C_7579_4BB0_AAA9_66CE11DC0C92_.wvu.FilterData" localSheetId="13" hidden="1">SUDEjrPrc!$D$4:$V$4</definedName>
    <definedName name="Z_BBFF7A3C_7579_4BB0_AAA9_66CE11DC0C92_.wvu.PrintArea" localSheetId="4" hidden="1">Almnd!$A$1:$L$34</definedName>
    <definedName name="Z_BBFF7A3C_7579_4BB0_AAA9_66CE11DC0C92_.wvu.PrintArea" localSheetId="3" hidden="1">Calnd!$A$1:$R$146</definedName>
    <definedName name="Z_BBFF7A3C_7579_4BB0_AAA9_66CE11DC0C92_.wvu.PrintArea" localSheetId="7" hidden="1">EvGlb!$A$1:$AC$36</definedName>
    <definedName name="Z_BBFF7A3C_7579_4BB0_AAA9_66CE11DC0C92_.wvu.PrintArea" localSheetId="8" hidden="1">EvInd!$A$1:$O$41</definedName>
    <definedName name="Z_BBFF7A3C_7579_4BB0_AAA9_66CE11DC0C92_.wvu.PrintArea" localSheetId="1" hidden="1">Fchs!$A$1:$N$199</definedName>
    <definedName name="Z_BBFF7A3C_7579_4BB0_AAA9_66CE11DC0C92_.wvu.PrintArea" localSheetId="14" hidden="1">SDia!$A$1:$L$229</definedName>
    <definedName name="Z_BBFF7A3C_7579_4BB0_AAA9_66CE11DC0C92_.wvu.PrintArea" localSheetId="9" hidden="1">SEvUd!$A$1:$Y$36</definedName>
    <definedName name="Z_BBFF7A3C_7579_4BB0_AAA9_66CE11DC0C92_.wvu.PrintArea" localSheetId="18" hidden="1">SFrms!$A$1:$AI$166</definedName>
    <definedName name="Z_BBFF7A3C_7579_4BB0_AAA9_66CE11DC0C92_.wvu.PrintArea" localSheetId="16" hidden="1">SMes!$A$1:$I$29</definedName>
    <definedName name="Z_BBFF7A3C_7579_4BB0_AAA9_66CE11DC0C92_.wvu.PrintArea" localSheetId="12" hidden="1">SPrc!$A$1:$AG$38</definedName>
    <definedName name="Z_BBFF7A3C_7579_4BB0_AAA9_66CE11DC0C92_.wvu.PrintArea" localSheetId="17" hidden="1">SSmCua!$A$1:$F$18</definedName>
    <definedName name="Z_BBFF7A3C_7579_4BB0_AAA9_66CE11DC0C92_.wvu.PrintArea" localSheetId="15" hidden="1">SSmLis!$A$1:$F$18</definedName>
    <definedName name="Z_BBFF7A3C_7579_4BB0_AAA9_66CE11DC0C92_.wvu.PrintArea" localSheetId="11" hidden="1">SUDEjr!$A$1:$AG$46</definedName>
    <definedName name="Z_BBFF7A3C_7579_4BB0_AAA9_66CE11DC0C92_.wvu.PrintArea" localSheetId="13" hidden="1">SUDEjrPrc!$A$1:$V$36</definedName>
    <definedName name="Z_BBFF7A3C_7579_4BB0_AAA9_66CE11DC0C92_.wvu.PrintArea" localSheetId="0" hidden="1">UDs!$A$1:$S$97</definedName>
    <definedName name="Z_BBFF7A3C_7579_4BB0_AAA9_66CE11DC0C92_.wvu.PrintTitles" localSheetId="3" hidden="1">Calnd!$1:$1</definedName>
    <definedName name="Z_BBFF7A3C_7579_4BB0_AAA9_66CE11DC0C92_.wvu.PrintTitles" localSheetId="7" hidden="1">EvGlb!$A:$D,EvGlb!$1:$2</definedName>
    <definedName name="Z_BBFF7A3C_7579_4BB0_AAA9_66CE11DC0C92_.wvu.PrintTitles" localSheetId="1" hidden="1">Fchs!$1:$57</definedName>
    <definedName name="Z_BBFF7A3C_7579_4BB0_AAA9_66CE11DC0C92_.wvu.PrintTitles" localSheetId="5" hidden="1">Flts!$2:$11</definedName>
    <definedName name="Z_BBFF7A3C_7579_4BB0_AAA9_66CE11DC0C92_.wvu.PrintTitles" localSheetId="14" hidden="1">SDia!$A:$E,SDia!$1:$4</definedName>
    <definedName name="Z_BBFF7A3C_7579_4BB0_AAA9_66CE11DC0C92_.wvu.PrintTitles" localSheetId="9" hidden="1">SEvUd!$A:$D,SEvUd!$1:$2</definedName>
    <definedName name="Z_BBFF7A3C_7579_4BB0_AAA9_66CE11DC0C92_.wvu.PrintTitles" localSheetId="18" hidden="1">SFrms!$A:$E,SFrms!$1:$5</definedName>
    <definedName name="Z_BBFF7A3C_7579_4BB0_AAA9_66CE11DC0C92_.wvu.PrintTitles" localSheetId="16" hidden="1">SMes!$1:$2</definedName>
    <definedName name="Z_BBFF7A3C_7579_4BB0_AAA9_66CE11DC0C92_.wvu.PrintTitles" localSheetId="12" hidden="1">SPrc!$A:$C,SPrc!$1:$5</definedName>
    <definedName name="Z_BBFF7A3C_7579_4BB0_AAA9_66CE11DC0C92_.wvu.PrintTitles" localSheetId="17" hidden="1">SSmCua!$1:$2</definedName>
    <definedName name="Z_BBFF7A3C_7579_4BB0_AAA9_66CE11DC0C92_.wvu.PrintTitles" localSheetId="15" hidden="1">SSmLis!$1:$2</definedName>
    <definedName name="Z_BBFF7A3C_7579_4BB0_AAA9_66CE11DC0C92_.wvu.PrintTitles" localSheetId="11" hidden="1">SUDEjr!$A:$C,SUDEjr!$1:$5</definedName>
    <definedName name="Z_BBFF7A3C_7579_4BB0_AAA9_66CE11DC0C92_.wvu.PrintTitles" localSheetId="13" hidden="1">SUDEjrPrc!$A:$D,SUDEjrPrc!$1:$2</definedName>
    <definedName name="Z_BBFF7A3C_7579_4BB0_AAA9_66CE11DC0C92_.wvu.PrintTitles" localSheetId="0" hidden="1">UDs!$1:$1</definedName>
    <definedName name="Z_BD068B93_E4D1_4024_99A3_E780D89EEAD3_.wvu.Cols" localSheetId="10" hidden="1">EvLkrt!$V:$AJ</definedName>
    <definedName name="Z_BD068B93_E4D1_4024_99A3_E780D89EEAD3_.wvu.FilterData" localSheetId="10" hidden="1">EvLkrt!$C$14:$C$24</definedName>
    <definedName name="Z_BD068B93_E4D1_4024_99A3_E780D89EEAD3_.wvu.PrintArea" localSheetId="10" hidden="1">EvLkrt!$G$1:$AJ$24</definedName>
    <definedName name="Z_BEE73D72_37A1_4B7A_85D2_C39E053A4017_.wvu.FilterData" localSheetId="4" hidden="1">Almnd!$B$3:$L$3</definedName>
    <definedName name="Z_BEE73D72_37A1_4B7A_85D2_C39E053A4017_.wvu.FilterData" localSheetId="6" hidden="1">EvCnt!$B$19:$AR$120</definedName>
    <definedName name="Z_BEE73D72_37A1_4B7A_85D2_C39E053A4017_.wvu.FilterData" localSheetId="7" hidden="1">EvGlb!$C$5:$AC$5</definedName>
    <definedName name="Z_BEE73D72_37A1_4B7A_85D2_C39E053A4017_.wvu.FilterData" localSheetId="5" hidden="1">Flts!$B$11:$AR$43</definedName>
    <definedName name="Z_BEE73D72_37A1_4B7A_85D2_C39E053A4017_.wvu.FilterData" localSheetId="9" hidden="1">SEvUd!#REF!</definedName>
    <definedName name="Z_BEE73D72_37A1_4B7A_85D2_C39E053A4017_.wvu.FilterData" localSheetId="13" hidden="1">SUDEjrPrc!$D$4:$V$4</definedName>
    <definedName name="Z_BEE73D72_37A1_4B7A_85D2_C39E053A4017_.wvu.PrintArea" localSheetId="4" hidden="1">Almnd!$A$1:$L$34</definedName>
    <definedName name="Z_BEE73D72_37A1_4B7A_85D2_C39E053A4017_.wvu.PrintArea" localSheetId="3" hidden="1">Calnd!$A$1:$R$146</definedName>
    <definedName name="Z_BEE73D72_37A1_4B7A_85D2_C39E053A4017_.wvu.PrintArea" localSheetId="7" hidden="1">EvGlb!$A$1:$AC$36</definedName>
    <definedName name="Z_BEE73D72_37A1_4B7A_85D2_C39E053A4017_.wvu.PrintArea" localSheetId="8" hidden="1">EvInd!$A$1:$O$41</definedName>
    <definedName name="Z_BEE73D72_37A1_4B7A_85D2_C39E053A4017_.wvu.PrintArea" localSheetId="1" hidden="1">Fchs!$A$1:$N$199</definedName>
    <definedName name="Z_BEE73D72_37A1_4B7A_85D2_C39E053A4017_.wvu.PrintArea" localSheetId="9" hidden="1">SEvUd!$A$1:$Y$36</definedName>
    <definedName name="Z_BEE73D72_37A1_4B7A_85D2_C39E053A4017_.wvu.PrintArea" localSheetId="16" hidden="1">SMes!$A$1:$I$29</definedName>
    <definedName name="Z_BEE73D72_37A1_4B7A_85D2_C39E053A4017_.wvu.PrintArea" localSheetId="17" hidden="1">SSmCua!$A$1:$F$18</definedName>
    <definedName name="Z_BEE73D72_37A1_4B7A_85D2_C39E053A4017_.wvu.PrintArea" localSheetId="15" hidden="1">SSmLis!$A$1:$F$18</definedName>
    <definedName name="Z_BEE73D72_37A1_4B7A_85D2_C39E053A4017_.wvu.PrintArea" localSheetId="13" hidden="1">SUDEjrPrc!$A$1:$V$36</definedName>
    <definedName name="Z_BEE73D72_37A1_4B7A_85D2_C39E053A4017_.wvu.PrintArea" localSheetId="0" hidden="1">UDs!$A$1:$S$97</definedName>
    <definedName name="Z_BEE73D72_37A1_4B7A_85D2_C39E053A4017_.wvu.PrintTitles" localSheetId="3" hidden="1">Calnd!$1:$1</definedName>
    <definedName name="Z_BEE73D72_37A1_4B7A_85D2_C39E053A4017_.wvu.PrintTitles" localSheetId="7" hidden="1">EvGlb!$A:$D,EvGlb!$1:$2</definedName>
    <definedName name="Z_BEE73D72_37A1_4B7A_85D2_C39E053A4017_.wvu.PrintTitles" localSheetId="1" hidden="1">Fchs!$1:$57</definedName>
    <definedName name="Z_BEE73D72_37A1_4B7A_85D2_C39E053A4017_.wvu.PrintTitles" localSheetId="5" hidden="1">Flts!$2:$11</definedName>
    <definedName name="Z_BEE73D72_37A1_4B7A_85D2_C39E053A4017_.wvu.PrintTitles" localSheetId="9" hidden="1">SEvUd!$A:$D,SEvUd!$1:$2</definedName>
    <definedName name="Z_BEE73D72_37A1_4B7A_85D2_C39E053A4017_.wvu.PrintTitles" localSheetId="16" hidden="1">SMes!$1:$2</definedName>
    <definedName name="Z_BEE73D72_37A1_4B7A_85D2_C39E053A4017_.wvu.PrintTitles" localSheetId="17" hidden="1">SSmCua!$1:$2</definedName>
    <definedName name="Z_BEE73D72_37A1_4B7A_85D2_C39E053A4017_.wvu.PrintTitles" localSheetId="15" hidden="1">SSmLis!$1:$2</definedName>
    <definedName name="Z_BEE73D72_37A1_4B7A_85D2_C39E053A4017_.wvu.PrintTitles" localSheetId="13" hidden="1">SUDEjrPrc!$A:$D,SUDEjrPrc!$1:$2</definedName>
    <definedName name="Z_BEE73D72_37A1_4B7A_85D2_C39E053A4017_.wvu.PrintTitles" localSheetId="0" hidden="1">UDs!$1:$1</definedName>
    <definedName name="Z_F7B70AA1_76FA_4435_9A67_9279D653C53A_.wvu.Cols" localSheetId="10" hidden="1">EvLkrt!$V:$AJ</definedName>
    <definedName name="Z_F7B70AA1_76FA_4435_9A67_9279D653C53A_.wvu.FilterData" localSheetId="10" hidden="1">EvLkrt!$C$14:$C$24</definedName>
    <definedName name="Z_F7B70AA1_76FA_4435_9A67_9279D653C53A_.wvu.PrintArea" localSheetId="10" hidden="1">EvLkrt!$G$1:$AJ$24</definedName>
  </definedNames>
  <calcPr calcId="191029"/>
  <customWorkbookViews>
    <customWorkbookView name="Firma-09-01-10" guid="{BEE73D72-37A1-4B7A-85D2-C39E053A4017}" xWindow="-1641" yWindow="16" windowWidth="1625" windowHeight="1048" tabRatio="854" activeSheetId="37"/>
    <customWorkbookView name="Resumen" guid="{81A05B8F-D3E4-4CEB-B8F2-C34A1F15FDB9}" maximized="1" xWindow="1912" yWindow="-8" windowWidth="1936" windowHeight="1186" tabRatio="854" activeSheetId="17"/>
    <customWorkbookView name="Contenidos" guid="{079ED3F8-D23E-413F-B7FA-1C4A43A9CEAB}" maximized="1" xWindow="-11" yWindow="-11" windowWidth="1836" windowHeight="1102" tabRatio="854" activeSheetId="42" showComments="commIndAndComment"/>
    <customWorkbookView name="Prácticas" guid="{BBFF7A3C-7579-4BB0-AAA9-66CE11DC0C92}" maximized="1" xWindow="-11" yWindow="-11" windowWidth="1836" windowHeight="1102" tabRatio="854" activeSheetId="41" showComments="commIndAndComment"/>
    <customWorkbookView name="Seguimiento" guid="{386B8780-5573-460C-A780-6C59BEFB4DBF}" maximized="1" xWindow="-11" yWindow="-11" windowWidth="1836" windowHeight="1102" tabRatio="854" activeSheetId="38" showComments="commIndAndComment"/>
    <customWorkbookView name="Firmas" guid="{748451F5-A0F3-420F-846E-9497A6A574EF}" maximized="1" xWindow="-11" yWindow="-11" windowWidth="1836" windowHeight="1102" tabRatio="854" activeSheetId="37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27" l="1"/>
  <c r="B89" i="27"/>
  <c r="B60" i="27"/>
  <c r="C62" i="27"/>
  <c r="I62" i="27"/>
  <c r="L62" i="27"/>
  <c r="R62" i="27"/>
  <c r="B31" i="27"/>
  <c r="B2" i="27"/>
  <c r="S96" i="29"/>
  <c r="AA47" i="51"/>
  <c r="B2" i="51"/>
  <c r="O12" i="28"/>
  <c r="L7" i="29"/>
  <c r="I15" i="28" s="1"/>
  <c r="R8" i="29" a="1"/>
  <c r="R8" i="29" s="1"/>
  <c r="H11" i="29"/>
  <c r="G11" i="29" s="1"/>
  <c r="B16" i="29"/>
  <c r="B17" i="29"/>
  <c r="B18" i="29"/>
  <c r="B19" i="29"/>
  <c r="B20" i="29"/>
  <c r="B21" i="29"/>
  <c r="B22" i="29"/>
  <c r="B23" i="29"/>
  <c r="B24" i="29"/>
  <c r="B25" i="29"/>
  <c r="B26" i="29"/>
  <c r="B27" i="29"/>
  <c r="C28" i="29"/>
  <c r="D28" i="29" s="1"/>
  <c r="C21" i="28"/>
  <c r="G21" i="28"/>
  <c r="J21" i="28"/>
  <c r="O21" i="28"/>
  <c r="C22" i="28"/>
  <c r="G22" i="28"/>
  <c r="J22" i="28"/>
  <c r="O22" i="28"/>
  <c r="C23" i="28"/>
  <c r="G23" i="28"/>
  <c r="J23" i="28"/>
  <c r="O23" i="28"/>
  <c r="C24" i="28"/>
  <c r="G24" i="28"/>
  <c r="I24" i="28"/>
  <c r="J24" i="28"/>
  <c r="O24" i="28"/>
  <c r="C25" i="28"/>
  <c r="G25" i="28"/>
  <c r="I25" i="28"/>
  <c r="J25" i="28"/>
  <c r="O25" i="28"/>
  <c r="C26" i="28"/>
  <c r="G26" i="28"/>
  <c r="I26" i="28"/>
  <c r="J26" i="28"/>
  <c r="O26" i="28"/>
  <c r="C27" i="28"/>
  <c r="G27" i="28"/>
  <c r="I27" i="28"/>
  <c r="J27" i="28"/>
  <c r="O27" i="28"/>
  <c r="C28" i="28"/>
  <c r="G28" i="28"/>
  <c r="I28" i="28"/>
  <c r="J28" i="28"/>
  <c r="O28" i="28"/>
  <c r="C29" i="28"/>
  <c r="G29" i="28"/>
  <c r="I29" i="28"/>
  <c r="J29" i="28"/>
  <c r="O29" i="28"/>
  <c r="C30" i="28"/>
  <c r="G30" i="28"/>
  <c r="I30" i="28"/>
  <c r="J30" i="28"/>
  <c r="O30" i="28"/>
  <c r="C31" i="28"/>
  <c r="G31" i="28"/>
  <c r="I31" i="28"/>
  <c r="J31" i="28"/>
  <c r="O31" i="28"/>
  <c r="C32" i="28"/>
  <c r="G32" i="28"/>
  <c r="I32" i="28"/>
  <c r="J32" i="28"/>
  <c r="O32" i="28"/>
  <c r="C33" i="28"/>
  <c r="G33" i="28"/>
  <c r="I33" i="28"/>
  <c r="J33" i="28"/>
  <c r="O33" i="28"/>
  <c r="C34" i="28"/>
  <c r="G34" i="28"/>
  <c r="I34" i="28"/>
  <c r="J34" i="28"/>
  <c r="O34" i="28"/>
  <c r="C35" i="28"/>
  <c r="G35" i="28"/>
  <c r="I35" i="28"/>
  <c r="J35" i="28"/>
  <c r="O35" i="28"/>
  <c r="C36" i="28"/>
  <c r="G36" i="28"/>
  <c r="I36" i="28"/>
  <c r="J36" i="28"/>
  <c r="O36" i="28"/>
  <c r="C37" i="28"/>
  <c r="G37" i="28"/>
  <c r="I37" i="28"/>
  <c r="J37" i="28"/>
  <c r="O37" i="28"/>
  <c r="C38" i="28"/>
  <c r="G38" i="28"/>
  <c r="I38" i="28"/>
  <c r="J38" i="28"/>
  <c r="O38" i="28"/>
  <c r="C39" i="28"/>
  <c r="G39" i="28"/>
  <c r="I39" i="28"/>
  <c r="J39" i="28"/>
  <c r="O39" i="28"/>
  <c r="C40" i="28"/>
  <c r="G40" i="28"/>
  <c r="I40" i="28"/>
  <c r="J40" i="28"/>
  <c r="O40" i="28"/>
  <c r="C41" i="28"/>
  <c r="G41" i="28"/>
  <c r="I41" i="28"/>
  <c r="J41" i="28"/>
  <c r="O41" i="28"/>
  <c r="I42" i="28"/>
  <c r="J42" i="28"/>
  <c r="O42" i="28"/>
  <c r="I43" i="28"/>
  <c r="J43" i="28"/>
  <c r="O43" i="28"/>
  <c r="I44" i="28"/>
  <c r="J44" i="28"/>
  <c r="O44" i="28"/>
  <c r="I45" i="28"/>
  <c r="J45" i="28"/>
  <c r="O45" i="28"/>
  <c r="I46" i="28"/>
  <c r="J46" i="28"/>
  <c r="O46" i="28"/>
  <c r="I47" i="28"/>
  <c r="J47" i="28"/>
  <c r="O47" i="28"/>
  <c r="I48" i="28"/>
  <c r="J48" i="28"/>
  <c r="O48" i="28"/>
  <c r="I49" i="28"/>
  <c r="J49" i="28"/>
  <c r="O49" i="28"/>
  <c r="I50" i="28"/>
  <c r="J50" i="28"/>
  <c r="O50" i="28"/>
  <c r="I51" i="28"/>
  <c r="J51" i="28"/>
  <c r="O51" i="28"/>
  <c r="I52" i="28"/>
  <c r="J52" i="28"/>
  <c r="O52" i="28"/>
  <c r="I53" i="28"/>
  <c r="J53" i="28"/>
  <c r="O53" i="28"/>
  <c r="B55" i="28"/>
  <c r="B59" i="28"/>
  <c r="C59" i="28" s="1"/>
  <c r="O59" i="28"/>
  <c r="B151" i="28"/>
  <c r="B103" i="28"/>
  <c r="A1" i="28"/>
  <c r="B2" i="29"/>
  <c r="AC5" i="51"/>
  <c r="AD5" i="51"/>
  <c r="AC6" i="51"/>
  <c r="AC8" i="51"/>
  <c r="AD8" i="51"/>
  <c r="F16" i="28"/>
  <c r="E16" i="28"/>
  <c r="C14" i="28"/>
  <c r="B14" i="28"/>
  <c r="C13" i="28"/>
  <c r="B13" i="28"/>
  <c r="X45" i="51"/>
  <c r="T45" i="51" s="1"/>
  <c r="B45" i="51"/>
  <c r="X44" i="51"/>
  <c r="D44" i="51" s="1"/>
  <c r="B44" i="51"/>
  <c r="X43" i="51"/>
  <c r="F43" i="51" s="1"/>
  <c r="B43" i="51"/>
  <c r="X42" i="51"/>
  <c r="B42" i="51"/>
  <c r="X39" i="51"/>
  <c r="L39" i="51" s="1"/>
  <c r="B39" i="51"/>
  <c r="X38" i="51"/>
  <c r="N38" i="51" s="1"/>
  <c r="B38" i="51"/>
  <c r="X37" i="51"/>
  <c r="P37" i="51" s="1"/>
  <c r="B37" i="51"/>
  <c r="X36" i="51"/>
  <c r="R36" i="51" s="1"/>
  <c r="B36" i="51"/>
  <c r="X35" i="51"/>
  <c r="B35" i="51"/>
  <c r="C9" i="51"/>
  <c r="C10" i="51" s="1"/>
  <c r="C11" i="51" s="1"/>
  <c r="C12" i="51" s="1"/>
  <c r="C13" i="51" s="1"/>
  <c r="C14" i="51" s="1"/>
  <c r="C15" i="51" s="1"/>
  <c r="I59" i="28" l="1"/>
  <c r="I61" i="28" s="1"/>
  <c r="F59" i="28"/>
  <c r="F61" i="28" s="1"/>
  <c r="L59" i="28"/>
  <c r="L60" i="28" s="1"/>
  <c r="C60" i="28"/>
  <c r="C61" i="28" s="1"/>
  <c r="G15" i="28"/>
  <c r="I12" i="28"/>
  <c r="G14" i="28"/>
  <c r="B15" i="28"/>
  <c r="I14" i="28"/>
  <c r="C15" i="28"/>
  <c r="D15" i="28"/>
  <c r="G13" i="28"/>
  <c r="T36" i="51"/>
  <c r="D45" i="51"/>
  <c r="R39" i="51"/>
  <c r="T39" i="51"/>
  <c r="T37" i="51"/>
  <c r="R38" i="51"/>
  <c r="T38" i="51"/>
  <c r="V36" i="51"/>
  <c r="V39" i="51"/>
  <c r="F45" i="51"/>
  <c r="T43" i="51"/>
  <c r="V43" i="51"/>
  <c r="V37" i="51"/>
  <c r="H45" i="51"/>
  <c r="J45" i="51"/>
  <c r="L45" i="51"/>
  <c r="P38" i="51"/>
  <c r="R43" i="51"/>
  <c r="F44" i="51"/>
  <c r="V38" i="51"/>
  <c r="H43" i="51"/>
  <c r="J44" i="51"/>
  <c r="N45" i="51"/>
  <c r="J43" i="51"/>
  <c r="L44" i="51"/>
  <c r="P45" i="51"/>
  <c r="L43" i="51"/>
  <c r="N44" i="51"/>
  <c r="R45" i="51"/>
  <c r="H44" i="51"/>
  <c r="N39" i="51"/>
  <c r="N43" i="51"/>
  <c r="P44" i="51"/>
  <c r="V45" i="51"/>
  <c r="R37" i="51"/>
  <c r="P39" i="51"/>
  <c r="P43" i="51"/>
  <c r="R44" i="51"/>
  <c r="C16" i="51"/>
  <c r="J36" i="51"/>
  <c r="H37" i="51"/>
  <c r="F38" i="51"/>
  <c r="D39" i="51"/>
  <c r="T44" i="51"/>
  <c r="D36" i="51"/>
  <c r="L36" i="51"/>
  <c r="J37" i="51"/>
  <c r="H38" i="51"/>
  <c r="F39" i="51"/>
  <c r="V44" i="51"/>
  <c r="F36" i="51"/>
  <c r="F37" i="51"/>
  <c r="N36" i="51"/>
  <c r="L37" i="51"/>
  <c r="J38" i="51"/>
  <c r="H39" i="51"/>
  <c r="H36" i="51"/>
  <c r="D38" i="51"/>
  <c r="P36" i="51"/>
  <c r="N37" i="51"/>
  <c r="L38" i="51"/>
  <c r="J39" i="51"/>
  <c r="D43" i="51"/>
  <c r="D37" i="51"/>
  <c r="Y37" i="44"/>
  <c r="O6" i="28"/>
  <c r="O5" i="28"/>
  <c r="O155" i="28"/>
  <c r="O107" i="28"/>
  <c r="L6" i="28"/>
  <c r="L5" i="28"/>
  <c r="I6" i="28"/>
  <c r="I5" i="28"/>
  <c r="F6" i="28"/>
  <c r="F5" i="28"/>
  <c r="B2" i="50"/>
  <c r="B2" i="22"/>
  <c r="AJ13" i="50"/>
  <c r="AI13" i="50"/>
  <c r="AH13" i="50"/>
  <c r="AG13" i="50"/>
  <c r="AF13" i="50"/>
  <c r="AE13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AJ11" i="50"/>
  <c r="AI11" i="50"/>
  <c r="AH11" i="50"/>
  <c r="AG11" i="50"/>
  <c r="AF11" i="50"/>
  <c r="AE11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D5" i="50"/>
  <c r="E5" i="50"/>
  <c r="D6" i="50"/>
  <c r="E6" i="50"/>
  <c r="D7" i="50"/>
  <c r="E7" i="50"/>
  <c r="D8" i="50"/>
  <c r="E8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Z14" i="50"/>
  <c r="AA14" i="50"/>
  <c r="AB14" i="50"/>
  <c r="AC14" i="50"/>
  <c r="AD14" i="50"/>
  <c r="AE14" i="50"/>
  <c r="AF14" i="50"/>
  <c r="AG14" i="50"/>
  <c r="AH14" i="50"/>
  <c r="AI14" i="50"/>
  <c r="AJ14" i="50"/>
  <c r="D15" i="50"/>
  <c r="E15" i="50"/>
  <c r="D16" i="50"/>
  <c r="E16" i="50"/>
  <c r="D17" i="50"/>
  <c r="E17" i="50"/>
  <c r="D18" i="50"/>
  <c r="E18" i="50"/>
  <c r="D19" i="50"/>
  <c r="E19" i="50"/>
  <c r="D20" i="50"/>
  <c r="E20" i="50"/>
  <c r="D21" i="50"/>
  <c r="E21" i="50"/>
  <c r="D22" i="50"/>
  <c r="E22" i="50"/>
  <c r="D23" i="50"/>
  <c r="E23" i="50"/>
  <c r="D24" i="50"/>
  <c r="E24" i="50"/>
  <c r="AS26" i="34"/>
  <c r="AS25" i="34"/>
  <c r="AS24" i="34"/>
  <c r="AS23" i="34"/>
  <c r="AS22" i="34"/>
  <c r="AS21" i="34"/>
  <c r="AS20" i="34"/>
  <c r="AS19" i="34"/>
  <c r="AS18" i="34"/>
  <c r="AS17" i="34"/>
  <c r="AS16" i="34"/>
  <c r="AS15" i="34"/>
  <c r="AS14" i="34"/>
  <c r="AS13" i="34"/>
  <c r="AS12" i="34"/>
  <c r="AS11" i="34"/>
  <c r="AS10" i="34"/>
  <c r="AS9" i="34"/>
  <c r="AS8" i="34"/>
  <c r="AS7" i="34"/>
  <c r="AS6" i="34"/>
  <c r="AS5" i="34"/>
  <c r="AS4" i="34"/>
  <c r="AS3" i="34"/>
  <c r="AN4" i="34"/>
  <c r="AN5" i="34"/>
  <c r="AN6" i="34"/>
  <c r="AN7" i="34"/>
  <c r="AN8" i="34"/>
  <c r="AN3" i="34"/>
  <c r="AN10" i="34"/>
  <c r="A1" i="47" s="1"/>
  <c r="AN11" i="34"/>
  <c r="AN12" i="34"/>
  <c r="AN13" i="34"/>
  <c r="AN14" i="34"/>
  <c r="AN9" i="34"/>
  <c r="D35" i="44"/>
  <c r="C35" i="44"/>
  <c r="D34" i="44"/>
  <c r="C34" i="44"/>
  <c r="D33" i="44"/>
  <c r="C33" i="44"/>
  <c r="D32" i="44"/>
  <c r="C32" i="44"/>
  <c r="D31" i="44"/>
  <c r="C31" i="44"/>
  <c r="D30" i="44"/>
  <c r="C30" i="44"/>
  <c r="D29" i="44"/>
  <c r="C29" i="44"/>
  <c r="D28" i="44"/>
  <c r="C28" i="44"/>
  <c r="D27" i="44"/>
  <c r="C27" i="44"/>
  <c r="D26" i="44"/>
  <c r="C26" i="44"/>
  <c r="D25" i="44"/>
  <c r="C25" i="44"/>
  <c r="D24" i="44"/>
  <c r="C24" i="44"/>
  <c r="D23" i="44"/>
  <c r="C23" i="44"/>
  <c r="D22" i="44"/>
  <c r="C22" i="44"/>
  <c r="D21" i="44"/>
  <c r="C21" i="44"/>
  <c r="D20" i="44"/>
  <c r="C20" i="44"/>
  <c r="D19" i="44"/>
  <c r="C19" i="44"/>
  <c r="D18" i="44"/>
  <c r="C18" i="44"/>
  <c r="D17" i="44"/>
  <c r="C17" i="44"/>
  <c r="D16" i="44"/>
  <c r="C16" i="44"/>
  <c r="D15" i="44"/>
  <c r="C15" i="44"/>
  <c r="D14" i="44"/>
  <c r="C14" i="44"/>
  <c r="D13" i="44"/>
  <c r="C13" i="44"/>
  <c r="D12" i="44"/>
  <c r="C12" i="44"/>
  <c r="D11" i="44"/>
  <c r="C11" i="44"/>
  <c r="D10" i="44"/>
  <c r="C10" i="44"/>
  <c r="D9" i="44"/>
  <c r="C9" i="44"/>
  <c r="D8" i="44"/>
  <c r="C8" i="44"/>
  <c r="D7" i="44"/>
  <c r="C7" i="44"/>
  <c r="D6" i="44"/>
  <c r="C6" i="44"/>
  <c r="B2" i="44"/>
  <c r="V4" i="43"/>
  <c r="U4" i="43"/>
  <c r="T4" i="43"/>
  <c r="Q4" i="43"/>
  <c r="P4" i="43"/>
  <c r="O4" i="43"/>
  <c r="N4" i="43"/>
  <c r="K4" i="43"/>
  <c r="E4" i="43"/>
  <c r="H4" i="43"/>
  <c r="I4" i="43"/>
  <c r="J4" i="43"/>
  <c r="C6" i="43"/>
  <c r="D3" i="41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D3" i="42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B2" i="43"/>
  <c r="C6" i="28"/>
  <c r="A1" i="27"/>
  <c r="H6" i="35"/>
  <c r="H5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T4" i="17"/>
  <c r="S4" i="17"/>
  <c r="U4" i="17"/>
  <c r="V4" i="17"/>
  <c r="W4" i="17"/>
  <c r="X4" i="17"/>
  <c r="Y4" i="17"/>
  <c r="Z4" i="17"/>
  <c r="AA4" i="17"/>
  <c r="AB4" i="17"/>
  <c r="AC4" i="17"/>
  <c r="R4" i="17"/>
  <c r="O32" i="34"/>
  <c r="O23" i="34"/>
  <c r="O24" i="34"/>
  <c r="O31" i="34"/>
  <c r="O30" i="34"/>
  <c r="O29" i="34"/>
  <c r="O28" i="34"/>
  <c r="O27" i="34"/>
  <c r="O26" i="34"/>
  <c r="O25" i="34"/>
  <c r="O22" i="34"/>
  <c r="O13" i="34"/>
  <c r="O21" i="34"/>
  <c r="O20" i="34"/>
  <c r="O19" i="34"/>
  <c r="O18" i="34"/>
  <c r="O17" i="34"/>
  <c r="O16" i="34"/>
  <c r="O15" i="34"/>
  <c r="O14" i="34"/>
  <c r="O12" i="34"/>
  <c r="O11" i="34"/>
  <c r="O10" i="34"/>
  <c r="L61" i="28" l="1"/>
  <c r="I60" i="28"/>
  <c r="F60" i="28"/>
  <c r="G16" i="28"/>
  <c r="Y1" i="51"/>
  <c r="C44" i="51"/>
  <c r="C45" i="51"/>
  <c r="C43" i="51"/>
  <c r="C38" i="51"/>
  <c r="C37" i="51"/>
  <c r="C36" i="51"/>
  <c r="C39" i="51"/>
  <c r="C17" i="51"/>
  <c r="B16" i="51"/>
  <c r="A1" i="46"/>
  <c r="T1" i="43"/>
  <c r="Q1" i="29"/>
  <c r="A1" i="49"/>
  <c r="B3" i="49"/>
  <c r="E4" i="49" s="1"/>
  <c r="D4" i="49" s="1"/>
  <c r="O2" i="47"/>
  <c r="I3" i="46"/>
  <c r="C3" i="46"/>
  <c r="B5" i="46" s="1"/>
  <c r="C10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9" i="17"/>
  <c r="C8" i="17"/>
  <c r="C7" i="17"/>
  <c r="C6" i="17"/>
  <c r="B33" i="31"/>
  <c r="AJ12" i="50" s="1"/>
  <c r="B32" i="31"/>
  <c r="AI12" i="50" s="1"/>
  <c r="C34" i="31"/>
  <c r="B12" i="31"/>
  <c r="O12" i="50" s="1"/>
  <c r="B11" i="31"/>
  <c r="N12" i="50" s="1"/>
  <c r="B10" i="31"/>
  <c r="B9" i="31"/>
  <c r="B8" i="31"/>
  <c r="K12" i="50" s="1"/>
  <c r="B7" i="31"/>
  <c r="J12" i="50" s="1"/>
  <c r="B6" i="31"/>
  <c r="B5" i="31"/>
  <c r="B4" i="31"/>
  <c r="B31" i="31"/>
  <c r="AH12" i="50" s="1"/>
  <c r="B30" i="31"/>
  <c r="AG12" i="50" s="1"/>
  <c r="B29" i="31"/>
  <c r="B28" i="31"/>
  <c r="B27" i="31"/>
  <c r="AD12" i="50" s="1"/>
  <c r="B26" i="31"/>
  <c r="AC12" i="50" s="1"/>
  <c r="B25" i="31"/>
  <c r="B24" i="31"/>
  <c r="AA12" i="50" s="1"/>
  <c r="B23" i="31"/>
  <c r="B22" i="31"/>
  <c r="Y12" i="50" s="1"/>
  <c r="B21" i="31"/>
  <c r="B20" i="31"/>
  <c r="W12" i="50" s="1"/>
  <c r="B19" i="31"/>
  <c r="B18" i="31"/>
  <c r="U12" i="50" s="1"/>
  <c r="B17" i="31"/>
  <c r="B16" i="31"/>
  <c r="S12" i="50" s="1"/>
  <c r="B15" i="31"/>
  <c r="R12" i="50" s="1"/>
  <c r="B14" i="31"/>
  <c r="Q12" i="50" s="1"/>
  <c r="B13" i="31"/>
  <c r="P12" i="50" s="1"/>
  <c r="B2" i="28"/>
  <c r="B155" i="28"/>
  <c r="B107" i="28"/>
  <c r="K23" i="34"/>
  <c r="K22" i="34"/>
  <c r="K21" i="34"/>
  <c r="K20" i="34"/>
  <c r="K19" i="34"/>
  <c r="K18" i="34"/>
  <c r="K17" i="34"/>
  <c r="M14" i="34"/>
  <c r="M13" i="34"/>
  <c r="M12" i="34"/>
  <c r="M11" i="34"/>
  <c r="B26" i="17" l="1"/>
  <c r="C18" i="51"/>
  <c r="B17" i="51"/>
  <c r="B7" i="44"/>
  <c r="H12" i="50"/>
  <c r="B8" i="44"/>
  <c r="I12" i="50"/>
  <c r="B12" i="44"/>
  <c r="M12" i="50"/>
  <c r="B23" i="44"/>
  <c r="X12" i="50"/>
  <c r="B11" i="44"/>
  <c r="L12" i="50"/>
  <c r="B21" i="44"/>
  <c r="V12" i="50"/>
  <c r="B25" i="44"/>
  <c r="Z12" i="50"/>
  <c r="B6" i="44"/>
  <c r="G12" i="50"/>
  <c r="B30" i="44"/>
  <c r="AE12" i="50"/>
  <c r="B19" i="44"/>
  <c r="T12" i="50"/>
  <c r="B27" i="44"/>
  <c r="AB12" i="50"/>
  <c r="B31" i="44"/>
  <c r="AF12" i="50"/>
  <c r="C4" i="49"/>
  <c r="F2" i="49"/>
  <c r="E5" i="49"/>
  <c r="C4" i="47"/>
  <c r="D4" i="47" s="1"/>
  <c r="C5" i="46"/>
  <c r="B15" i="43"/>
  <c r="B15" i="44"/>
  <c r="B18" i="43"/>
  <c r="B18" i="44"/>
  <c r="B22" i="43"/>
  <c r="B22" i="44"/>
  <c r="B26" i="43"/>
  <c r="B26" i="44"/>
  <c r="B10" i="43"/>
  <c r="B10" i="44"/>
  <c r="B14" i="43"/>
  <c r="B14" i="44"/>
  <c r="B16" i="43"/>
  <c r="B16" i="44"/>
  <c r="B20" i="43"/>
  <c r="B20" i="44"/>
  <c r="B24" i="43"/>
  <c r="B24" i="44"/>
  <c r="B28" i="43"/>
  <c r="B28" i="44"/>
  <c r="B32" i="43"/>
  <c r="B32" i="44"/>
  <c r="B34" i="43"/>
  <c r="B34" i="44"/>
  <c r="B17" i="43"/>
  <c r="B17" i="44"/>
  <c r="B29" i="43"/>
  <c r="B29" i="44"/>
  <c r="B33" i="43"/>
  <c r="B33" i="44"/>
  <c r="B9" i="43"/>
  <c r="B9" i="44"/>
  <c r="B13" i="43"/>
  <c r="B13" i="44"/>
  <c r="B35" i="43"/>
  <c r="B35" i="44"/>
  <c r="B12" i="43"/>
  <c r="O9" i="34"/>
  <c r="B11" i="43"/>
  <c r="O8" i="34"/>
  <c r="B30" i="17"/>
  <c r="B30" i="43"/>
  <c r="O3" i="34"/>
  <c r="B6" i="43"/>
  <c r="M4" i="34"/>
  <c r="M8" i="34"/>
  <c r="B19" i="17"/>
  <c r="B19" i="43"/>
  <c r="B23" i="17"/>
  <c r="B23" i="43"/>
  <c r="B27" i="17"/>
  <c r="B27" i="43"/>
  <c r="B31" i="17"/>
  <c r="B31" i="43"/>
  <c r="O4" i="34"/>
  <c r="B7" i="43"/>
  <c r="M7" i="34"/>
  <c r="M5" i="34"/>
  <c r="M9" i="34"/>
  <c r="O5" i="34"/>
  <c r="B8" i="43"/>
  <c r="M6" i="34"/>
  <c r="M10" i="34"/>
  <c r="B21" i="17"/>
  <c r="B21" i="43"/>
  <c r="B25" i="17"/>
  <c r="B25" i="43"/>
  <c r="B9" i="17"/>
  <c r="O6" i="34"/>
  <c r="B10" i="17"/>
  <c r="O7" i="34"/>
  <c r="B22" i="17"/>
  <c r="B7" i="17"/>
  <c r="B8" i="17"/>
  <c r="B14" i="17"/>
  <c r="B18" i="17"/>
  <c r="B33" i="17"/>
  <c r="B17" i="17"/>
  <c r="B34" i="17"/>
  <c r="B11" i="17"/>
  <c r="B6" i="17"/>
  <c r="B15" i="17"/>
  <c r="B35" i="17"/>
  <c r="B13" i="17"/>
  <c r="B29" i="17"/>
  <c r="B12" i="17"/>
  <c r="B16" i="17"/>
  <c r="B20" i="17"/>
  <c r="B24" i="17"/>
  <c r="B28" i="17"/>
  <c r="B32" i="17"/>
  <c r="M3" i="34"/>
  <c r="H21" i="35"/>
  <c r="K22" i="35"/>
  <c r="J22" i="35"/>
  <c r="I23" i="35"/>
  <c r="K23" i="35"/>
  <c r="J23" i="35"/>
  <c r="I24" i="35"/>
  <c r="K24" i="35"/>
  <c r="J24" i="35"/>
  <c r="K25" i="35"/>
  <c r="J25" i="35"/>
  <c r="H29" i="35"/>
  <c r="H28" i="35"/>
  <c r="K29" i="35"/>
  <c r="J29" i="35"/>
  <c r="I30" i="35"/>
  <c r="K30" i="35"/>
  <c r="J30" i="35"/>
  <c r="I31" i="35"/>
  <c r="K31" i="35"/>
  <c r="J31" i="35"/>
  <c r="K32" i="35"/>
  <c r="J32" i="35"/>
  <c r="H36" i="35"/>
  <c r="K36" i="35"/>
  <c r="J36" i="35"/>
  <c r="I37" i="35"/>
  <c r="K37" i="35"/>
  <c r="J37" i="35"/>
  <c r="I38" i="35"/>
  <c r="K38" i="35"/>
  <c r="J38" i="35"/>
  <c r="K39" i="35"/>
  <c r="J39" i="35"/>
  <c r="C19" i="51" l="1"/>
  <c r="B18" i="51"/>
  <c r="D5" i="49"/>
  <c r="E6" i="49"/>
  <c r="C6" i="49" s="1"/>
  <c r="C5" i="49"/>
  <c r="E2" i="47"/>
  <c r="D3" i="47"/>
  <c r="D5" i="46"/>
  <c r="E5" i="46" s="1"/>
  <c r="F5" i="46" s="1"/>
  <c r="G5" i="46" s="1"/>
  <c r="H5" i="46" s="1"/>
  <c r="I5" i="46" s="1"/>
  <c r="C5" i="47"/>
  <c r="C3" i="47"/>
  <c r="B2" i="35"/>
  <c r="B2" i="17"/>
  <c r="B2" i="30"/>
  <c r="B2" i="31"/>
  <c r="B34" i="29"/>
  <c r="B21" i="28" s="1"/>
  <c r="B8" i="51" l="1"/>
  <c r="C20" i="51"/>
  <c r="B19" i="51"/>
  <c r="E7" i="49"/>
  <c r="D6" i="49"/>
  <c r="E4" i="47"/>
  <c r="E3" i="47" s="1"/>
  <c r="D5" i="47"/>
  <c r="C9" i="46"/>
  <c r="K3" i="34"/>
  <c r="E5" i="44"/>
  <c r="H35" i="35"/>
  <c r="H7" i="35"/>
  <c r="I320" i="30"/>
  <c r="I286" i="30"/>
  <c r="I252" i="30"/>
  <c r="I184" i="30"/>
  <c r="I150" i="30"/>
  <c r="I116" i="30"/>
  <c r="I82" i="30"/>
  <c r="I48" i="30"/>
  <c r="I14" i="30"/>
  <c r="I218" i="30"/>
  <c r="E350" i="30"/>
  <c r="N7" i="28"/>
  <c r="H7" i="28"/>
  <c r="K7" i="28"/>
  <c r="E7" i="28"/>
  <c r="B20" i="51" l="1"/>
  <c r="C21" i="51"/>
  <c r="E8" i="49"/>
  <c r="C8" i="49" s="1"/>
  <c r="D7" i="49"/>
  <c r="C7" i="49"/>
  <c r="F4" i="47"/>
  <c r="F3" i="47" s="1"/>
  <c r="E5" i="47"/>
  <c r="D9" i="46"/>
  <c r="B9" i="46"/>
  <c r="B13" i="46" s="1"/>
  <c r="B17" i="46" s="1"/>
  <c r="I36" i="35"/>
  <c r="L29" i="35"/>
  <c r="O29" i="35" s="1"/>
  <c r="C7" i="28"/>
  <c r="L36" i="35"/>
  <c r="O36" i="35" s="1"/>
  <c r="L37" i="35"/>
  <c r="O37" i="35" s="1"/>
  <c r="L38" i="35"/>
  <c r="O38" i="35" s="1"/>
  <c r="L39" i="35"/>
  <c r="O39" i="35" s="1"/>
  <c r="I22" i="35"/>
  <c r="L23" i="35"/>
  <c r="O23" i="35" s="1"/>
  <c r="L24" i="35"/>
  <c r="O24" i="35" s="1"/>
  <c r="L25" i="35"/>
  <c r="O25" i="35" s="1"/>
  <c r="L22" i="35"/>
  <c r="O22" i="35" s="1"/>
  <c r="I29" i="35"/>
  <c r="L32" i="35"/>
  <c r="O32" i="35" s="1"/>
  <c r="L30" i="35"/>
  <c r="O30" i="35" s="1"/>
  <c r="L31" i="35"/>
  <c r="O31" i="35" s="1"/>
  <c r="E35" i="29"/>
  <c r="C45" i="42"/>
  <c r="C43" i="42"/>
  <c r="C41" i="42"/>
  <c r="C39" i="42"/>
  <c r="C37" i="42"/>
  <c r="C35" i="42"/>
  <c r="C33" i="42"/>
  <c r="C31" i="42"/>
  <c r="C29" i="42"/>
  <c r="C27" i="42"/>
  <c r="C25" i="42"/>
  <c r="C23" i="42"/>
  <c r="C21" i="42"/>
  <c r="C19" i="42"/>
  <c r="C17" i="42"/>
  <c r="C15" i="42"/>
  <c r="C13" i="42"/>
  <c r="C11" i="42"/>
  <c r="C9" i="42"/>
  <c r="C6" i="42"/>
  <c r="C7" i="42"/>
  <c r="AG5" i="42"/>
  <c r="AF5" i="42"/>
  <c r="AE5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AG4" i="42"/>
  <c r="AF4" i="42"/>
  <c r="AE4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B2" i="42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AG5" i="41"/>
  <c r="AF5" i="41"/>
  <c r="AE5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AG4" i="41"/>
  <c r="AF4" i="41"/>
  <c r="AE4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B2" i="41"/>
  <c r="B2" i="38"/>
  <c r="B2" i="37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L34" i="31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I23" i="28" s="1"/>
  <c r="B63" i="29"/>
  <c r="I22" i="28" s="1"/>
  <c r="B62" i="29"/>
  <c r="I21" i="28" s="1"/>
  <c r="B54" i="29"/>
  <c r="B41" i="28" s="1"/>
  <c r="B53" i="29"/>
  <c r="B40" i="28" s="1"/>
  <c r="B52" i="29"/>
  <c r="B39" i="28" s="1"/>
  <c r="B51" i="29"/>
  <c r="B38" i="28" s="1"/>
  <c r="B50" i="29"/>
  <c r="B37" i="28" s="1"/>
  <c r="B49" i="29"/>
  <c r="B36" i="28" s="1"/>
  <c r="B48" i="29"/>
  <c r="B35" i="28" s="1"/>
  <c r="B47" i="29"/>
  <c r="B34" i="28" s="1"/>
  <c r="B46" i="29"/>
  <c r="B33" i="28" s="1"/>
  <c r="B45" i="29"/>
  <c r="B32" i="28" s="1"/>
  <c r="B44" i="29"/>
  <c r="B31" i="28" s="1"/>
  <c r="B43" i="29"/>
  <c r="B30" i="28" s="1"/>
  <c r="B42" i="29"/>
  <c r="B29" i="28" s="1"/>
  <c r="B41" i="29"/>
  <c r="B28" i="28" s="1"/>
  <c r="B40" i="29"/>
  <c r="B27" i="28" s="1"/>
  <c r="B39" i="29"/>
  <c r="B26" i="28" s="1"/>
  <c r="B38" i="29"/>
  <c r="B25" i="28" s="1"/>
  <c r="B37" i="29"/>
  <c r="B24" i="28" s="1"/>
  <c r="B36" i="29"/>
  <c r="B23" i="28" s="1"/>
  <c r="B35" i="29"/>
  <c r="B22" i="28" s="1"/>
  <c r="AI5" i="37"/>
  <c r="AH5" i="37"/>
  <c r="AG5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AI4" i="37"/>
  <c r="AH4" i="37"/>
  <c r="AG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AO5" i="30"/>
  <c r="AN5" i="30"/>
  <c r="AM5" i="30"/>
  <c r="AL5" i="30"/>
  <c r="AK5" i="30"/>
  <c r="AJ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AI4" i="22"/>
  <c r="F3" i="22"/>
  <c r="G3" i="22"/>
  <c r="H3" i="22"/>
  <c r="C17" i="35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AC36" i="17"/>
  <c r="AZ121" i="22"/>
  <c r="B12" i="22"/>
  <c r="B13" i="22"/>
  <c r="L4" i="27"/>
  <c r="L6" i="27" s="1"/>
  <c r="C4" i="27"/>
  <c r="B11" i="51" l="1"/>
  <c r="B12" i="51"/>
  <c r="B9" i="51"/>
  <c r="B10" i="51"/>
  <c r="B13" i="51"/>
  <c r="B14" i="51"/>
  <c r="B21" i="51"/>
  <c r="C22" i="51"/>
  <c r="E9" i="49"/>
  <c r="D8" i="49"/>
  <c r="F5" i="47"/>
  <c r="G4" i="47"/>
  <c r="G3" i="47" s="1"/>
  <c r="E9" i="46"/>
  <c r="U5" i="44"/>
  <c r="F5" i="44"/>
  <c r="V5" i="44"/>
  <c r="S5" i="44"/>
  <c r="W5" i="44"/>
  <c r="Y5" i="44"/>
  <c r="T5" i="44"/>
  <c r="X5" i="44"/>
  <c r="B25" i="35"/>
  <c r="J5" i="44"/>
  <c r="B33" i="35"/>
  <c r="R5" i="44"/>
  <c r="B22" i="35"/>
  <c r="G5" i="44"/>
  <c r="B26" i="35"/>
  <c r="K5" i="44"/>
  <c r="B23" i="35"/>
  <c r="H5" i="44"/>
  <c r="B31" i="35"/>
  <c r="P5" i="44"/>
  <c r="B24" i="35"/>
  <c r="I5" i="44"/>
  <c r="B32" i="35"/>
  <c r="Q5" i="44"/>
  <c r="B30" i="35"/>
  <c r="O5" i="44"/>
  <c r="B29" i="35"/>
  <c r="N5" i="44"/>
  <c r="B28" i="35"/>
  <c r="M5" i="44"/>
  <c r="B27" i="35"/>
  <c r="L5" i="44"/>
  <c r="B95" i="29"/>
  <c r="L9" i="29" s="1"/>
  <c r="B56" i="29"/>
  <c r="L8" i="29" s="1"/>
  <c r="B35" i="42"/>
  <c r="B35" i="35"/>
  <c r="B39" i="35"/>
  <c r="B36" i="35"/>
  <c r="B40" i="35"/>
  <c r="K4" i="34"/>
  <c r="B21" i="35"/>
  <c r="B37" i="35"/>
  <c r="B34" i="35"/>
  <c r="B38" i="35"/>
  <c r="K8" i="34"/>
  <c r="K12" i="34"/>
  <c r="K16" i="34"/>
  <c r="K7" i="34"/>
  <c r="K9" i="34"/>
  <c r="K13" i="34"/>
  <c r="K11" i="34"/>
  <c r="K15" i="34"/>
  <c r="K5" i="34"/>
  <c r="K6" i="34"/>
  <c r="K10" i="34"/>
  <c r="K14" i="34"/>
  <c r="I62" i="28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L1" i="38"/>
  <c r="L1" i="31"/>
  <c r="B9" i="41"/>
  <c r="B11" i="42"/>
  <c r="B43" i="42"/>
  <c r="B19" i="42"/>
  <c r="B8" i="41"/>
  <c r="B27" i="42"/>
  <c r="F77" i="29"/>
  <c r="M36" i="28" s="1"/>
  <c r="F81" i="29"/>
  <c r="M40" i="28" s="1"/>
  <c r="F85" i="29"/>
  <c r="M44" i="28" s="1"/>
  <c r="F89" i="29"/>
  <c r="M48" i="28" s="1"/>
  <c r="F93" i="29"/>
  <c r="M52" i="28" s="1"/>
  <c r="F84" i="29"/>
  <c r="M43" i="28" s="1"/>
  <c r="F74" i="29"/>
  <c r="M33" i="28" s="1"/>
  <c r="F78" i="29"/>
  <c r="M37" i="28" s="1"/>
  <c r="F82" i="29"/>
  <c r="M41" i="28" s="1"/>
  <c r="F86" i="29"/>
  <c r="M45" i="28" s="1"/>
  <c r="F90" i="29"/>
  <c r="M49" i="28" s="1"/>
  <c r="F94" i="29"/>
  <c r="M53" i="28" s="1"/>
  <c r="F80" i="29"/>
  <c r="M39" i="28" s="1"/>
  <c r="F92" i="29"/>
  <c r="M51" i="28" s="1"/>
  <c r="F75" i="29"/>
  <c r="M34" i="28" s="1"/>
  <c r="F79" i="29"/>
  <c r="M38" i="28" s="1"/>
  <c r="F83" i="29"/>
  <c r="M42" i="28" s="1"/>
  <c r="F87" i="29"/>
  <c r="M46" i="28" s="1"/>
  <c r="F91" i="29"/>
  <c r="M50" i="28" s="1"/>
  <c r="F76" i="29"/>
  <c r="M35" i="28" s="1"/>
  <c r="F88" i="29"/>
  <c r="M47" i="28" s="1"/>
  <c r="B6" i="41"/>
  <c r="B38" i="41"/>
  <c r="B7" i="42"/>
  <c r="B15" i="42"/>
  <c r="B23" i="42"/>
  <c r="B31" i="42"/>
  <c r="B39" i="42"/>
  <c r="B7" i="41"/>
  <c r="E36" i="29"/>
  <c r="B6" i="42"/>
  <c r="B9" i="42"/>
  <c r="B13" i="42"/>
  <c r="B17" i="42"/>
  <c r="B21" i="42"/>
  <c r="B25" i="42"/>
  <c r="B29" i="42"/>
  <c r="B33" i="42"/>
  <c r="B37" i="42"/>
  <c r="B41" i="42"/>
  <c r="B45" i="42"/>
  <c r="B10" i="41"/>
  <c r="B22" i="41"/>
  <c r="B26" i="41"/>
  <c r="B14" i="41"/>
  <c r="B30" i="41"/>
  <c r="B18" i="41"/>
  <c r="B34" i="41"/>
  <c r="B16" i="41"/>
  <c r="B12" i="41"/>
  <c r="B24" i="41"/>
  <c r="B28" i="41"/>
  <c r="B32" i="41"/>
  <c r="B11" i="41"/>
  <c r="B13" i="41"/>
  <c r="B15" i="41"/>
  <c r="B17" i="41"/>
  <c r="B19" i="41"/>
  <c r="B21" i="41"/>
  <c r="B23" i="41"/>
  <c r="B25" i="41"/>
  <c r="B27" i="41"/>
  <c r="B29" i="41"/>
  <c r="B31" i="41"/>
  <c r="B33" i="41"/>
  <c r="B35" i="41"/>
  <c r="B37" i="41"/>
  <c r="B20" i="41"/>
  <c r="B36" i="41"/>
  <c r="M6" i="27"/>
  <c r="N6" i="27" s="1"/>
  <c r="C6" i="27"/>
  <c r="D6" i="27" s="1"/>
  <c r="C23" i="51" l="1"/>
  <c r="B22" i="51"/>
  <c r="D9" i="49"/>
  <c r="E10" i="49"/>
  <c r="C9" i="49"/>
  <c r="G5" i="47"/>
  <c r="H4" i="47"/>
  <c r="H3" i="47" s="1"/>
  <c r="F9" i="46"/>
  <c r="G75" i="29"/>
  <c r="N34" i="28" s="1"/>
  <c r="G74" i="29"/>
  <c r="N33" i="28" s="1"/>
  <c r="G87" i="29"/>
  <c r="N46" i="28" s="1"/>
  <c r="G92" i="29"/>
  <c r="N51" i="28" s="1"/>
  <c r="G86" i="29"/>
  <c r="N45" i="28" s="1"/>
  <c r="G84" i="29"/>
  <c r="N43" i="28" s="1"/>
  <c r="G81" i="29"/>
  <c r="N40" i="28" s="1"/>
  <c r="G91" i="29"/>
  <c r="N50" i="28" s="1"/>
  <c r="G90" i="29"/>
  <c r="N49" i="28" s="1"/>
  <c r="G85" i="29"/>
  <c r="N44" i="28" s="1"/>
  <c r="G88" i="29"/>
  <c r="N47" i="28" s="1"/>
  <c r="G83" i="29"/>
  <c r="N42" i="28" s="1"/>
  <c r="G80" i="29"/>
  <c r="N39" i="28" s="1"/>
  <c r="G82" i="29"/>
  <c r="N41" i="28" s="1"/>
  <c r="G93" i="29"/>
  <c r="N52" i="28" s="1"/>
  <c r="G77" i="29"/>
  <c r="N36" i="28" s="1"/>
  <c r="G76" i="29"/>
  <c r="N35" i="28" s="1"/>
  <c r="G79" i="29"/>
  <c r="N38" i="28" s="1"/>
  <c r="G94" i="29"/>
  <c r="N53" i="28" s="1"/>
  <c r="G78" i="29"/>
  <c r="N37" i="28" s="1"/>
  <c r="G89" i="29"/>
  <c r="N48" i="28" s="1"/>
  <c r="B4" i="41"/>
  <c r="F62" i="28"/>
  <c r="F63" i="28" s="1"/>
  <c r="F64" i="28" s="1"/>
  <c r="F65" i="28" s="1"/>
  <c r="F66" i="28" s="1"/>
  <c r="F67" i="28" s="1"/>
  <c r="F68" i="28" s="1"/>
  <c r="F69" i="28" s="1"/>
  <c r="F70" i="28" s="1"/>
  <c r="F71" i="28" s="1"/>
  <c r="F72" i="28" s="1"/>
  <c r="F73" i="28" s="1"/>
  <c r="F74" i="28" s="1"/>
  <c r="E6" i="27"/>
  <c r="F6" i="27" s="1"/>
  <c r="E37" i="29"/>
  <c r="O6" i="27"/>
  <c r="C24" i="51" l="1"/>
  <c r="B23" i="51"/>
  <c r="E11" i="49"/>
  <c r="C11" i="49" s="1"/>
  <c r="D10" i="49"/>
  <c r="C10" i="49"/>
  <c r="I4" i="47"/>
  <c r="I3" i="47" s="1"/>
  <c r="H5" i="47"/>
  <c r="G9" i="46"/>
  <c r="P6" i="27"/>
  <c r="Q6" i="27" s="1"/>
  <c r="E38" i="29"/>
  <c r="G6" i="27"/>
  <c r="B24" i="51" l="1"/>
  <c r="C25" i="51"/>
  <c r="E12" i="49"/>
  <c r="D11" i="49"/>
  <c r="I5" i="47"/>
  <c r="J4" i="47"/>
  <c r="J3" i="47" s="1"/>
  <c r="H9" i="46"/>
  <c r="H6" i="27"/>
  <c r="E39" i="29"/>
  <c r="R6" i="27"/>
  <c r="C26" i="51" l="1"/>
  <c r="B25" i="51"/>
  <c r="E13" i="49"/>
  <c r="C13" i="49" s="1"/>
  <c r="D12" i="49"/>
  <c r="C12" i="49"/>
  <c r="K4" i="47"/>
  <c r="K3" i="47" s="1"/>
  <c r="J5" i="47"/>
  <c r="I9" i="46"/>
  <c r="I6" i="27"/>
  <c r="E40" i="29"/>
  <c r="B26" i="51" l="1"/>
  <c r="C27" i="51"/>
  <c r="E14" i="49"/>
  <c r="D13" i="49"/>
  <c r="K5" i="47"/>
  <c r="L4" i="47"/>
  <c r="L3" i="47" s="1"/>
  <c r="C13" i="46"/>
  <c r="E41" i="29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13" i="22"/>
  <c r="E11" i="22"/>
  <c r="E9" i="22"/>
  <c r="E7" i="22"/>
  <c r="F5" i="22"/>
  <c r="R120" i="27"/>
  <c r="L120" i="27"/>
  <c r="I120" i="27"/>
  <c r="C120" i="27"/>
  <c r="R91" i="27"/>
  <c r="L91" i="27"/>
  <c r="I91" i="27"/>
  <c r="C91" i="27"/>
  <c r="B64" i="27"/>
  <c r="R33" i="27"/>
  <c r="L33" i="27"/>
  <c r="I33" i="27"/>
  <c r="C33" i="27"/>
  <c r="R4" i="27"/>
  <c r="B6" i="27"/>
  <c r="I4" i="27"/>
  <c r="AK11" i="22"/>
  <c r="D13" i="22"/>
  <c r="AV350" i="30"/>
  <c r="O42" i="35"/>
  <c r="O199" i="28"/>
  <c r="BB51" i="34"/>
  <c r="B27" i="51" l="1"/>
  <c r="C28" i="51"/>
  <c r="B28" i="51" s="1"/>
  <c r="E15" i="49"/>
  <c r="C15" i="49" s="1"/>
  <c r="D14" i="49"/>
  <c r="C14" i="49"/>
  <c r="M4" i="47"/>
  <c r="M3" i="47" s="1"/>
  <c r="L5" i="47"/>
  <c r="C21" i="46"/>
  <c r="D13" i="46"/>
  <c r="E42" i="29"/>
  <c r="BB1" i="34"/>
  <c r="AT1" i="30"/>
  <c r="C35" i="27"/>
  <c r="K35" i="27"/>
  <c r="L35" i="27"/>
  <c r="M35" i="27" s="1"/>
  <c r="K64" i="27"/>
  <c r="L64" i="27"/>
  <c r="C64" i="27"/>
  <c r="D64" i="27" s="1"/>
  <c r="E64" i="27" s="1"/>
  <c r="F64" i="27" s="1"/>
  <c r="C93" i="27"/>
  <c r="L93" i="27"/>
  <c r="M93" i="27" s="1"/>
  <c r="N93" i="27" s="1"/>
  <c r="C122" i="27"/>
  <c r="D122" i="27" s="1"/>
  <c r="K122" i="27"/>
  <c r="L122" i="27"/>
  <c r="M122" i="27" s="1"/>
  <c r="N122" i="27" s="1"/>
  <c r="B122" i="27"/>
  <c r="B93" i="27"/>
  <c r="K93" i="27"/>
  <c r="B35" i="27"/>
  <c r="K6" i="27"/>
  <c r="C10" i="27"/>
  <c r="N1" i="28"/>
  <c r="S94" i="29"/>
  <c r="R94" i="29"/>
  <c r="Q94" i="29"/>
  <c r="P94" i="29"/>
  <c r="O94" i="29"/>
  <c r="N94" i="29"/>
  <c r="M94" i="29"/>
  <c r="L94" i="29"/>
  <c r="K94" i="29"/>
  <c r="J94" i="29"/>
  <c r="I94" i="29"/>
  <c r="H94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S90" i="29"/>
  <c r="R90" i="29"/>
  <c r="Q90" i="29"/>
  <c r="P90" i="29"/>
  <c r="O90" i="29"/>
  <c r="N90" i="29"/>
  <c r="M90" i="29"/>
  <c r="L90" i="29"/>
  <c r="K90" i="29"/>
  <c r="J90" i="29"/>
  <c r="I90" i="29"/>
  <c r="H90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S81" i="29"/>
  <c r="R81" i="29"/>
  <c r="Q81" i="29"/>
  <c r="P81" i="29"/>
  <c r="O81" i="29"/>
  <c r="N81" i="29"/>
  <c r="M81" i="29"/>
  <c r="L81" i="29"/>
  <c r="K81" i="29"/>
  <c r="J81" i="29"/>
  <c r="I81" i="29"/>
  <c r="H81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E16" i="49" l="1"/>
  <c r="D15" i="49"/>
  <c r="M5" i="47"/>
  <c r="N4" i="47"/>
  <c r="N3" i="47" s="1"/>
  <c r="D21" i="46"/>
  <c r="E13" i="46"/>
  <c r="B21" i="46"/>
  <c r="D35" i="27"/>
  <c r="E122" i="27"/>
  <c r="D93" i="27"/>
  <c r="M64" i="27"/>
  <c r="E43" i="29"/>
  <c r="G64" i="27"/>
  <c r="O122" i="27"/>
  <c r="O93" i="27"/>
  <c r="N35" i="27"/>
  <c r="B10" i="27"/>
  <c r="B14" i="27" s="1"/>
  <c r="B18" i="27" s="1"/>
  <c r="D10" i="27"/>
  <c r="E17" i="49" l="1"/>
  <c r="C17" i="49" s="1"/>
  <c r="D16" i="49"/>
  <c r="C16" i="49"/>
  <c r="N5" i="47"/>
  <c r="O4" i="47"/>
  <c r="O5" i="47" s="1"/>
  <c r="F13" i="46"/>
  <c r="E21" i="46"/>
  <c r="O35" i="27"/>
  <c r="N64" i="27"/>
  <c r="E35" i="27"/>
  <c r="F122" i="27"/>
  <c r="E93" i="27"/>
  <c r="E44" i="29"/>
  <c r="P93" i="27"/>
  <c r="P122" i="27"/>
  <c r="H64" i="27"/>
  <c r="E10" i="27"/>
  <c r="O3" i="47" l="1"/>
  <c r="D17" i="49"/>
  <c r="E18" i="49"/>
  <c r="C8" i="47"/>
  <c r="G13" i="46"/>
  <c r="F21" i="46"/>
  <c r="G122" i="27"/>
  <c r="F35" i="27"/>
  <c r="O64" i="27"/>
  <c r="F93" i="27"/>
  <c r="P35" i="27"/>
  <c r="E45" i="29"/>
  <c r="Q122" i="27"/>
  <c r="I64" i="27"/>
  <c r="Q93" i="27"/>
  <c r="L10" i="27"/>
  <c r="F10" i="27"/>
  <c r="C95" i="29"/>
  <c r="E19" i="49" l="1"/>
  <c r="C19" i="49" s="1"/>
  <c r="D18" i="49"/>
  <c r="C18" i="49"/>
  <c r="D8" i="47"/>
  <c r="D7" i="47" s="1"/>
  <c r="C9" i="47"/>
  <c r="C7" i="47"/>
  <c r="G21" i="46"/>
  <c r="H13" i="46"/>
  <c r="Q35" i="27"/>
  <c r="P64" i="27"/>
  <c r="G93" i="27"/>
  <c r="G35" i="27"/>
  <c r="H122" i="27"/>
  <c r="I122" i="27" s="1"/>
  <c r="C126" i="27" s="1"/>
  <c r="E46" i="29"/>
  <c r="C68" i="27"/>
  <c r="R93" i="27"/>
  <c r="R122" i="27"/>
  <c r="K10" i="27"/>
  <c r="K14" i="27" s="1"/>
  <c r="K18" i="27" s="1"/>
  <c r="M10" i="27"/>
  <c r="G10" i="27"/>
  <c r="E20" i="49" l="1"/>
  <c r="D19" i="49"/>
  <c r="E8" i="47"/>
  <c r="E7" i="47" s="1"/>
  <c r="D9" i="47"/>
  <c r="H21" i="46"/>
  <c r="I13" i="46"/>
  <c r="H35" i="27"/>
  <c r="R35" i="27"/>
  <c r="Q64" i="27"/>
  <c r="H93" i="27"/>
  <c r="E47" i="29"/>
  <c r="L126" i="27"/>
  <c r="B68" i="27"/>
  <c r="B72" i="27" s="1"/>
  <c r="B76" i="27" s="1"/>
  <c r="D68" i="27"/>
  <c r="B126" i="27"/>
  <c r="B130" i="27" s="1"/>
  <c r="B134" i="27" s="1"/>
  <c r="D126" i="27"/>
  <c r="N10" i="27"/>
  <c r="H10" i="27"/>
  <c r="D4" i="17"/>
  <c r="E21" i="49" l="1"/>
  <c r="C21" i="49" s="1"/>
  <c r="D20" i="49"/>
  <c r="C20" i="49"/>
  <c r="E9" i="47"/>
  <c r="F8" i="47"/>
  <c r="G8" i="47" s="1"/>
  <c r="I21" i="46"/>
  <c r="C17" i="46"/>
  <c r="I93" i="27"/>
  <c r="R64" i="27"/>
  <c r="L39" i="27"/>
  <c r="I35" i="27"/>
  <c r="E48" i="29"/>
  <c r="E68" i="27"/>
  <c r="K126" i="27"/>
  <c r="K130" i="27" s="1"/>
  <c r="K134" i="27" s="1"/>
  <c r="M126" i="27"/>
  <c r="I10" i="27"/>
  <c r="E126" i="27"/>
  <c r="L97" i="27"/>
  <c r="O10" i="27"/>
  <c r="AV11" i="22"/>
  <c r="AU11" i="22"/>
  <c r="AT11" i="22"/>
  <c r="AS11" i="22"/>
  <c r="AR11" i="22"/>
  <c r="AQ11" i="22"/>
  <c r="AP11" i="22"/>
  <c r="AO11" i="22"/>
  <c r="AN11" i="22"/>
  <c r="AM11" i="22"/>
  <c r="AL11" i="22"/>
  <c r="D21" i="49" l="1"/>
  <c r="E22" i="49"/>
  <c r="F7" i="47"/>
  <c r="F9" i="47"/>
  <c r="G7" i="47"/>
  <c r="H8" i="47"/>
  <c r="G9" i="47"/>
  <c r="D17" i="46"/>
  <c r="C25" i="46"/>
  <c r="L68" i="27"/>
  <c r="K39" i="27"/>
  <c r="K43" i="27" s="1"/>
  <c r="K47" i="27" s="1"/>
  <c r="M39" i="27"/>
  <c r="C39" i="27"/>
  <c r="C97" i="27"/>
  <c r="E49" i="29"/>
  <c r="F68" i="27"/>
  <c r="N126" i="27"/>
  <c r="C14" i="27"/>
  <c r="F126" i="27"/>
  <c r="M97" i="27"/>
  <c r="K97" i="27"/>
  <c r="K101" i="27" s="1"/>
  <c r="K105" i="27" s="1"/>
  <c r="P10" i="2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B10" i="22"/>
  <c r="D11" i="22"/>
  <c r="E23" i="49" l="1"/>
  <c r="C23" i="49" s="1"/>
  <c r="D22" i="49"/>
  <c r="C22" i="49"/>
  <c r="H7" i="47"/>
  <c r="I8" i="47"/>
  <c r="H9" i="47"/>
  <c r="E17" i="46"/>
  <c r="D25" i="46"/>
  <c r="B25" i="46"/>
  <c r="B39" i="27"/>
  <c r="B43" i="27" s="1"/>
  <c r="B47" i="27" s="1"/>
  <c r="D39" i="27"/>
  <c r="K68" i="27"/>
  <c r="K72" i="27" s="1"/>
  <c r="K76" i="27" s="1"/>
  <c r="M68" i="27"/>
  <c r="B97" i="27"/>
  <c r="B101" i="27" s="1"/>
  <c r="B105" i="27" s="1"/>
  <c r="D97" i="27"/>
  <c r="N39" i="27"/>
  <c r="E50" i="29"/>
  <c r="O126" i="27"/>
  <c r="G68" i="27"/>
  <c r="I155" i="28"/>
  <c r="F155" i="28"/>
  <c r="C22" i="27"/>
  <c r="D14" i="27"/>
  <c r="G126" i="27"/>
  <c r="N97" i="27"/>
  <c r="Q10" i="27"/>
  <c r="E24" i="49" l="1"/>
  <c r="D23" i="49"/>
  <c r="I7" i="47"/>
  <c r="J8" i="47"/>
  <c r="I9" i="47"/>
  <c r="E25" i="46"/>
  <c r="F17" i="46"/>
  <c r="E97" i="27"/>
  <c r="O39" i="27"/>
  <c r="N68" i="27"/>
  <c r="E39" i="27"/>
  <c r="E51" i="29"/>
  <c r="F49" i="29"/>
  <c r="E36" i="28" s="1"/>
  <c r="F156" i="28"/>
  <c r="F157" i="28" s="1"/>
  <c r="F158" i="28" s="1"/>
  <c r="F159" i="28" s="1"/>
  <c r="F160" i="28" s="1"/>
  <c r="F161" i="28" s="1"/>
  <c r="F162" i="28" s="1"/>
  <c r="F163" i="28" s="1"/>
  <c r="F164" i="28" s="1"/>
  <c r="F165" i="28" s="1"/>
  <c r="F166" i="28" s="1"/>
  <c r="F167" i="28" s="1"/>
  <c r="F168" i="28" s="1"/>
  <c r="F169" i="28" s="1"/>
  <c r="F170" i="28" s="1"/>
  <c r="H68" i="27"/>
  <c r="P126" i="27"/>
  <c r="I156" i="28"/>
  <c r="I157" i="28" s="1"/>
  <c r="I158" i="28" s="1"/>
  <c r="I159" i="28" s="1"/>
  <c r="I160" i="28" s="1"/>
  <c r="I161" i="28" s="1"/>
  <c r="I162" i="28" s="1"/>
  <c r="I163" i="28" s="1"/>
  <c r="I164" i="28" s="1"/>
  <c r="I165" i="28" s="1"/>
  <c r="I166" i="28" s="1"/>
  <c r="I167" i="28" s="1"/>
  <c r="I168" i="28" s="1"/>
  <c r="I169" i="28" s="1"/>
  <c r="I170" i="28" s="1"/>
  <c r="B22" i="27"/>
  <c r="D22" i="27"/>
  <c r="E14" i="27"/>
  <c r="H126" i="27"/>
  <c r="O97" i="27"/>
  <c r="R10" i="27"/>
  <c r="Z23" i="51" l="1"/>
  <c r="Y23" i="51"/>
  <c r="AA23" i="51"/>
  <c r="E25" i="49"/>
  <c r="D24" i="49"/>
  <c r="C24" i="49"/>
  <c r="J7" i="47"/>
  <c r="K8" i="47"/>
  <c r="J9" i="47"/>
  <c r="F25" i="46"/>
  <c r="G17" i="46"/>
  <c r="G49" i="29"/>
  <c r="F36" i="28" s="1"/>
  <c r="T4" i="44"/>
  <c r="P39" i="27"/>
  <c r="O68" i="27"/>
  <c r="F39" i="27"/>
  <c r="F97" i="27"/>
  <c r="E52" i="29"/>
  <c r="F50" i="29"/>
  <c r="E37" i="28" s="1"/>
  <c r="I184" i="28"/>
  <c r="I171" i="28"/>
  <c r="F184" i="28"/>
  <c r="F171" i="28"/>
  <c r="Q126" i="27"/>
  <c r="I68" i="27"/>
  <c r="E22" i="27"/>
  <c r="F14" i="27"/>
  <c r="I126" i="27"/>
  <c r="P97" i="27"/>
  <c r="L14" i="27"/>
  <c r="AR317" i="30"/>
  <c r="AR282" i="30"/>
  <c r="AR249" i="30"/>
  <c r="AR181" i="30"/>
  <c r="Y24" i="51" l="1"/>
  <c r="Z24" i="51"/>
  <c r="AA24" i="51"/>
  <c r="E26" i="49"/>
  <c r="C26" i="49" s="1"/>
  <c r="D25" i="49"/>
  <c r="C25" i="49"/>
  <c r="K7" i="47"/>
  <c r="L8" i="47"/>
  <c r="K9" i="47"/>
  <c r="H17" i="46"/>
  <c r="G25" i="46"/>
  <c r="G50" i="29"/>
  <c r="F37" i="28" s="1"/>
  <c r="U4" i="44"/>
  <c r="Q39" i="27"/>
  <c r="G97" i="27"/>
  <c r="P68" i="27"/>
  <c r="G39" i="27"/>
  <c r="E53" i="29"/>
  <c r="F51" i="29"/>
  <c r="E38" i="28" s="1"/>
  <c r="C72" i="27"/>
  <c r="F172" i="28"/>
  <c r="F185" i="28"/>
  <c r="I172" i="28"/>
  <c r="I185" i="28"/>
  <c r="R126" i="27"/>
  <c r="F22" i="27"/>
  <c r="G14" i="27"/>
  <c r="C130" i="27"/>
  <c r="Q97" i="27"/>
  <c r="L22" i="27"/>
  <c r="M14" i="27"/>
  <c r="C37" i="22"/>
  <c r="C63" i="22"/>
  <c r="C39" i="22"/>
  <c r="C40" i="22"/>
  <c r="C41" i="22"/>
  <c r="C67" i="22"/>
  <c r="C43" i="22"/>
  <c r="Z25" i="51" l="1"/>
  <c r="Y25" i="51"/>
  <c r="AA25" i="51"/>
  <c r="E27" i="49"/>
  <c r="C27" i="49" s="1"/>
  <c r="D26" i="49"/>
  <c r="L7" i="47"/>
  <c r="M8" i="47"/>
  <c r="M7" i="47" s="1"/>
  <c r="L9" i="47"/>
  <c r="I17" i="46"/>
  <c r="H25" i="46"/>
  <c r="G51" i="29"/>
  <c r="F38" i="28" s="1"/>
  <c r="V4" i="44"/>
  <c r="H97" i="27"/>
  <c r="Q68" i="27"/>
  <c r="H39" i="27"/>
  <c r="R39" i="27"/>
  <c r="E54" i="29"/>
  <c r="E55" i="29" s="1"/>
  <c r="F52" i="29"/>
  <c r="E39" i="28" s="1"/>
  <c r="I173" i="28"/>
  <c r="I186" i="28"/>
  <c r="F173" i="28"/>
  <c r="F186" i="28"/>
  <c r="C80" i="27"/>
  <c r="D72" i="27"/>
  <c r="L130" i="27"/>
  <c r="G22" i="27"/>
  <c r="H14" i="27"/>
  <c r="D130" i="27"/>
  <c r="C138" i="27"/>
  <c r="R97" i="27"/>
  <c r="N14" i="27"/>
  <c r="M22" i="27"/>
  <c r="K22" i="27"/>
  <c r="C38" i="22"/>
  <c r="C66" i="22"/>
  <c r="C42" i="22"/>
  <c r="C65" i="22"/>
  <c r="C68" i="22"/>
  <c r="C64" i="22"/>
  <c r="AA26" i="51" l="1"/>
  <c r="Z26" i="51"/>
  <c r="Y26" i="51"/>
  <c r="E28" i="49"/>
  <c r="C28" i="49" s="1"/>
  <c r="D27" i="49"/>
  <c r="N8" i="47"/>
  <c r="N7" i="47" s="1"/>
  <c r="M9" i="47"/>
  <c r="I25" i="46"/>
  <c r="G52" i="29"/>
  <c r="F39" i="28" s="1"/>
  <c r="W4" i="44"/>
  <c r="L43" i="27"/>
  <c r="R68" i="27"/>
  <c r="I39" i="27"/>
  <c r="I97" i="27"/>
  <c r="F53" i="29"/>
  <c r="E40" i="28" s="1"/>
  <c r="L138" i="27"/>
  <c r="M130" i="27"/>
  <c r="E72" i="27"/>
  <c r="D80" i="27"/>
  <c r="B80" i="27"/>
  <c r="F187" i="28"/>
  <c r="F174" i="28"/>
  <c r="I187" i="28"/>
  <c r="I174" i="28"/>
  <c r="H22" i="27"/>
  <c r="I14" i="27"/>
  <c r="B138" i="27"/>
  <c r="E130" i="27"/>
  <c r="D138" i="27"/>
  <c r="L101" i="27"/>
  <c r="O14" i="27"/>
  <c r="N22" i="27"/>
  <c r="B9" i="22"/>
  <c r="B7" i="22"/>
  <c r="Z27" i="51" l="1"/>
  <c r="AA27" i="51"/>
  <c r="Y27" i="51"/>
  <c r="E29" i="49"/>
  <c r="D28" i="49"/>
  <c r="O8" i="47"/>
  <c r="O7" i="47" s="1"/>
  <c r="N9" i="47"/>
  <c r="G53" i="29"/>
  <c r="F40" i="28" s="1"/>
  <c r="X4" i="44"/>
  <c r="C43" i="27"/>
  <c r="M43" i="27"/>
  <c r="L51" i="27"/>
  <c r="C101" i="27"/>
  <c r="L72" i="27"/>
  <c r="E80" i="27"/>
  <c r="F72" i="27"/>
  <c r="M138" i="27"/>
  <c r="N130" i="27"/>
  <c r="K138" i="27"/>
  <c r="I188" i="28"/>
  <c r="I175" i="28"/>
  <c r="F188" i="28"/>
  <c r="F175" i="28"/>
  <c r="I22" i="27"/>
  <c r="C18" i="27"/>
  <c r="E138" i="27"/>
  <c r="F130" i="27"/>
  <c r="L109" i="27"/>
  <c r="M101" i="27"/>
  <c r="O22" i="27"/>
  <c r="P14" i="27"/>
  <c r="D29" i="49" l="1"/>
  <c r="E30" i="49"/>
  <c r="C29" i="49"/>
  <c r="O9" i="47"/>
  <c r="D101" i="27"/>
  <c r="C109" i="27"/>
  <c r="M72" i="27"/>
  <c r="L80" i="27"/>
  <c r="K51" i="27"/>
  <c r="D43" i="27"/>
  <c r="C51" i="27"/>
  <c r="N43" i="27"/>
  <c r="M51" i="27"/>
  <c r="N138" i="27"/>
  <c r="O130" i="27"/>
  <c r="F80" i="27"/>
  <c r="G72" i="27"/>
  <c r="F189" i="28"/>
  <c r="F176" i="28"/>
  <c r="I189" i="28"/>
  <c r="I176" i="28"/>
  <c r="C26" i="27"/>
  <c r="D18" i="27"/>
  <c r="G130" i="27"/>
  <c r="F138" i="27"/>
  <c r="N101" i="27"/>
  <c r="M109" i="27"/>
  <c r="K109" i="27"/>
  <c r="P22" i="27"/>
  <c r="Q14" i="27"/>
  <c r="D10" i="22"/>
  <c r="E31" i="49" l="1"/>
  <c r="C31" i="49" s="1"/>
  <c r="D30" i="49"/>
  <c r="C30" i="49"/>
  <c r="C12" i="47"/>
  <c r="E43" i="27"/>
  <c r="D51" i="27"/>
  <c r="N51" i="27"/>
  <c r="O43" i="27"/>
  <c r="K80" i="27"/>
  <c r="B109" i="27"/>
  <c r="B51" i="27"/>
  <c r="N72" i="27"/>
  <c r="M80" i="27"/>
  <c r="E101" i="27"/>
  <c r="D109" i="27"/>
  <c r="I177" i="28"/>
  <c r="I190" i="28"/>
  <c r="F177" i="28"/>
  <c r="F190" i="28"/>
  <c r="H72" i="27"/>
  <c r="G80" i="27"/>
  <c r="P130" i="27"/>
  <c r="O138" i="27"/>
  <c r="D26" i="27"/>
  <c r="E18" i="27"/>
  <c r="B26" i="27"/>
  <c r="H130" i="27"/>
  <c r="G138" i="27"/>
  <c r="N109" i="27"/>
  <c r="O101" i="27"/>
  <c r="R14" i="27"/>
  <c r="Q22" i="27"/>
  <c r="E32" i="49" l="1"/>
  <c r="C32" i="49" s="1"/>
  <c r="D31" i="49"/>
  <c r="C13" i="47"/>
  <c r="D12" i="47"/>
  <c r="C11" i="47"/>
  <c r="F43" i="27"/>
  <c r="E51" i="27"/>
  <c r="E109" i="27"/>
  <c r="F101" i="27"/>
  <c r="N80" i="27"/>
  <c r="O72" i="27"/>
  <c r="P43" i="27"/>
  <c r="O51" i="27"/>
  <c r="Q130" i="27"/>
  <c r="P138" i="27"/>
  <c r="H80" i="27"/>
  <c r="I72" i="27"/>
  <c r="F178" i="28"/>
  <c r="F191" i="28"/>
  <c r="I178" i="28"/>
  <c r="I191" i="28"/>
  <c r="E26" i="27"/>
  <c r="F18" i="27"/>
  <c r="I130" i="27"/>
  <c r="H138" i="27"/>
  <c r="O109" i="27"/>
  <c r="P101" i="27"/>
  <c r="L18" i="27"/>
  <c r="R22" i="27"/>
  <c r="D7" i="22"/>
  <c r="E33" i="49" l="1"/>
  <c r="D32" i="49"/>
  <c r="E12" i="47"/>
  <c r="F12" i="47" s="1"/>
  <c r="D11" i="47"/>
  <c r="D13" i="47"/>
  <c r="P72" i="27"/>
  <c r="O80" i="27"/>
  <c r="G101" i="27"/>
  <c r="F109" i="27"/>
  <c r="F51" i="27"/>
  <c r="G43" i="27"/>
  <c r="Q43" i="27"/>
  <c r="P51" i="27"/>
  <c r="I192" i="28"/>
  <c r="I179" i="28"/>
  <c r="F192" i="28"/>
  <c r="F179" i="28"/>
  <c r="C76" i="27"/>
  <c r="I80" i="27"/>
  <c r="R130" i="27"/>
  <c r="Q138" i="27"/>
  <c r="F26" i="27"/>
  <c r="G18" i="27"/>
  <c r="I138" i="27"/>
  <c r="C134" i="27"/>
  <c r="P109" i="27"/>
  <c r="Q101" i="27"/>
  <c r="L26" i="27"/>
  <c r="M18" i="27"/>
  <c r="D6" i="22"/>
  <c r="E34" i="49" l="1"/>
  <c r="C34" i="49" s="1"/>
  <c r="D33" i="49"/>
  <c r="C33" i="49"/>
  <c r="E13" i="47"/>
  <c r="E11" i="47"/>
  <c r="F11" i="47"/>
  <c r="G12" i="47"/>
  <c r="F13" i="47"/>
  <c r="G109" i="27"/>
  <c r="H101" i="27"/>
  <c r="Q72" i="27"/>
  <c r="P80" i="27"/>
  <c r="R43" i="27"/>
  <c r="Q51" i="27"/>
  <c r="H43" i="27"/>
  <c r="G51" i="27"/>
  <c r="D76" i="27"/>
  <c r="C84" i="27"/>
  <c r="F193" i="28"/>
  <c r="F180" i="28"/>
  <c r="I193" i="28"/>
  <c r="I180" i="28"/>
  <c r="L134" i="27"/>
  <c r="R138" i="27"/>
  <c r="G26" i="27"/>
  <c r="H18" i="27"/>
  <c r="C142" i="27"/>
  <c r="D134" i="27"/>
  <c r="R101" i="27"/>
  <c r="Q109" i="27"/>
  <c r="K26" i="27"/>
  <c r="M26" i="27"/>
  <c r="N18" i="27"/>
  <c r="E35" i="49" l="1"/>
  <c r="C35" i="49" s="1"/>
  <c r="D34" i="49"/>
  <c r="G11" i="47"/>
  <c r="H12" i="47"/>
  <c r="G13" i="47"/>
  <c r="H109" i="27"/>
  <c r="I101" i="27"/>
  <c r="R72" i="27"/>
  <c r="Q80" i="27"/>
  <c r="I43" i="27"/>
  <c r="H51" i="27"/>
  <c r="R51" i="27"/>
  <c r="L47" i="27"/>
  <c r="L142" i="27"/>
  <c r="M134" i="27"/>
  <c r="I194" i="28"/>
  <c r="I181" i="28"/>
  <c r="F194" i="28"/>
  <c r="F181" i="28"/>
  <c r="B84" i="27"/>
  <c r="E76" i="27"/>
  <c r="D84" i="27"/>
  <c r="H26" i="27"/>
  <c r="I18" i="27"/>
  <c r="E134" i="27"/>
  <c r="D142" i="27"/>
  <c r="B142" i="27"/>
  <c r="R109" i="27"/>
  <c r="L105" i="27"/>
  <c r="O18" i="27"/>
  <c r="N26" i="27"/>
  <c r="E36" i="49" l="1"/>
  <c r="C36" i="49" s="1"/>
  <c r="D35" i="49"/>
  <c r="H11" i="47"/>
  <c r="I12" i="47"/>
  <c r="H13" i="47"/>
  <c r="L55" i="27"/>
  <c r="M47" i="27"/>
  <c r="R80" i="27"/>
  <c r="L76" i="27"/>
  <c r="I51" i="27"/>
  <c r="C47" i="27"/>
  <c r="I109" i="27"/>
  <c r="C105" i="27"/>
  <c r="F76" i="27"/>
  <c r="E84" i="27"/>
  <c r="F195" i="28"/>
  <c r="F182" i="28"/>
  <c r="I195" i="28"/>
  <c r="I182" i="28"/>
  <c r="N134" i="27"/>
  <c r="M142" i="27"/>
  <c r="K142" i="27"/>
  <c r="I26" i="27"/>
  <c r="F134" i="27"/>
  <c r="E142" i="27"/>
  <c r="L113" i="27"/>
  <c r="M105" i="27"/>
  <c r="P18" i="27"/>
  <c r="O26" i="27"/>
  <c r="E37" i="49" l="1"/>
  <c r="D36" i="49"/>
  <c r="I11" i="47"/>
  <c r="J12" i="47"/>
  <c r="J11" i="47" s="1"/>
  <c r="I13" i="47"/>
  <c r="D105" i="27"/>
  <c r="C113" i="27"/>
  <c r="C55" i="27"/>
  <c r="D47" i="27"/>
  <c r="N47" i="27"/>
  <c r="M55" i="27"/>
  <c r="K55" i="27"/>
  <c r="L84" i="27"/>
  <c r="M76" i="27"/>
  <c r="O134" i="27"/>
  <c r="N142" i="27"/>
  <c r="I196" i="28"/>
  <c r="I183" i="28"/>
  <c r="I197" i="28" s="1"/>
  <c r="F196" i="28"/>
  <c r="F183" i="28"/>
  <c r="F197" i="28" s="1"/>
  <c r="G76" i="27"/>
  <c r="F84" i="27"/>
  <c r="G134" i="27"/>
  <c r="F142" i="27"/>
  <c r="M113" i="27"/>
  <c r="N105" i="27"/>
  <c r="K113" i="27"/>
  <c r="P26" i="27"/>
  <c r="Q18" i="27"/>
  <c r="D37" i="49" l="1"/>
  <c r="E38" i="49"/>
  <c r="C38" i="49" s="1"/>
  <c r="C37" i="49"/>
  <c r="K12" i="47"/>
  <c r="K11" i="47" s="1"/>
  <c r="J13" i="47"/>
  <c r="K84" i="27"/>
  <c r="E47" i="27"/>
  <c r="D55" i="27"/>
  <c r="B113" i="27"/>
  <c r="N55" i="27"/>
  <c r="O47" i="27"/>
  <c r="B55" i="27"/>
  <c r="E105" i="27"/>
  <c r="D113" i="27"/>
  <c r="M84" i="27"/>
  <c r="N76" i="27"/>
  <c r="H76" i="27"/>
  <c r="G84" i="27"/>
  <c r="P134" i="27"/>
  <c r="O142" i="27"/>
  <c r="G142" i="27"/>
  <c r="H134" i="27"/>
  <c r="N113" i="27"/>
  <c r="O105" i="27"/>
  <c r="Q26" i="27"/>
  <c r="R18" i="27"/>
  <c r="AQ317" i="30"/>
  <c r="AP317" i="30"/>
  <c r="AQ282" i="30"/>
  <c r="AP282" i="30"/>
  <c r="AQ249" i="30"/>
  <c r="AP249" i="30"/>
  <c r="AQ181" i="30"/>
  <c r="AP181" i="30"/>
  <c r="E39" i="49" l="1"/>
  <c r="C39" i="49" s="1"/>
  <c r="D38" i="49"/>
  <c r="L12" i="47"/>
  <c r="L11" i="47" s="1"/>
  <c r="K13" i="47"/>
  <c r="O76" i="27"/>
  <c r="N84" i="27"/>
  <c r="F105" i="27"/>
  <c r="E113" i="27"/>
  <c r="B14" i="30"/>
  <c r="C286" i="30"/>
  <c r="D286" i="30"/>
  <c r="C320" i="30"/>
  <c r="D320" i="30"/>
  <c r="E55" i="27"/>
  <c r="F47" i="27"/>
  <c r="P47" i="27"/>
  <c r="O55" i="27"/>
  <c r="P142" i="27"/>
  <c r="Q134" i="27"/>
  <c r="I76" i="27"/>
  <c r="H84" i="27"/>
  <c r="I134" i="27"/>
  <c r="H142" i="27"/>
  <c r="P105" i="27"/>
  <c r="O113" i="27"/>
  <c r="R26" i="27"/>
  <c r="AR116" i="30"/>
  <c r="AQ116" i="30"/>
  <c r="AP116" i="30"/>
  <c r="AR252" i="30"/>
  <c r="AQ252" i="30"/>
  <c r="AP252" i="30"/>
  <c r="AR14" i="30"/>
  <c r="AQ14" i="30"/>
  <c r="AP14" i="30"/>
  <c r="AP150" i="30"/>
  <c r="AQ150" i="30"/>
  <c r="AR150" i="30"/>
  <c r="AR286" i="30"/>
  <c r="AQ286" i="30"/>
  <c r="AP286" i="30"/>
  <c r="AP48" i="30"/>
  <c r="AR48" i="30"/>
  <c r="AQ48" i="30"/>
  <c r="AP184" i="30"/>
  <c r="AR184" i="30"/>
  <c r="AQ184" i="30"/>
  <c r="AQ320" i="30"/>
  <c r="AP320" i="30"/>
  <c r="AR320" i="30"/>
  <c r="AP82" i="30"/>
  <c r="AR82" i="30"/>
  <c r="AQ82" i="30"/>
  <c r="AQ218" i="30"/>
  <c r="AP218" i="30"/>
  <c r="AR218" i="30"/>
  <c r="B150" i="30"/>
  <c r="B184" i="30"/>
  <c r="B218" i="30"/>
  <c r="B252" i="30"/>
  <c r="B286" i="30"/>
  <c r="B114" i="30"/>
  <c r="B116" i="30"/>
  <c r="B46" i="30"/>
  <c r="B48" i="30"/>
  <c r="B320" i="30"/>
  <c r="B82" i="30"/>
  <c r="B182" i="30"/>
  <c r="B80" i="30"/>
  <c r="I117" i="30"/>
  <c r="B12" i="30"/>
  <c r="I83" i="30"/>
  <c r="I49" i="30"/>
  <c r="I185" i="30"/>
  <c r="I151" i="30"/>
  <c r="B148" i="30"/>
  <c r="I287" i="30"/>
  <c r="B284" i="30"/>
  <c r="I219" i="30"/>
  <c r="B216" i="30"/>
  <c r="B318" i="30"/>
  <c r="I15" i="30"/>
  <c r="B250" i="30"/>
  <c r="I253" i="30"/>
  <c r="I321" i="30"/>
  <c r="E40" i="49" l="1"/>
  <c r="C40" i="49" s="1"/>
  <c r="D39" i="49"/>
  <c r="M12" i="47"/>
  <c r="L13" i="47"/>
  <c r="AS286" i="30"/>
  <c r="AT286" i="30" s="1"/>
  <c r="AS320" i="30"/>
  <c r="AT320" i="30" s="1"/>
  <c r="B15" i="30"/>
  <c r="C321" i="30"/>
  <c r="D321" i="30"/>
  <c r="C287" i="30"/>
  <c r="D287" i="30"/>
  <c r="G47" i="27"/>
  <c r="F55" i="27"/>
  <c r="P55" i="27"/>
  <c r="Q47" i="27"/>
  <c r="F113" i="27"/>
  <c r="G105" i="27"/>
  <c r="P76" i="27"/>
  <c r="O84" i="27"/>
  <c r="I84" i="27"/>
  <c r="Q142" i="27"/>
  <c r="R134" i="27"/>
  <c r="I142" i="27"/>
  <c r="P113" i="27"/>
  <c r="Q105" i="27"/>
  <c r="AQ83" i="30"/>
  <c r="AR83" i="30"/>
  <c r="AP83" i="30"/>
  <c r="AP219" i="30"/>
  <c r="AR219" i="30"/>
  <c r="AQ219" i="30"/>
  <c r="AQ151" i="30"/>
  <c r="AP151" i="30"/>
  <c r="AR151" i="30"/>
  <c r="AP321" i="30"/>
  <c r="AQ321" i="30"/>
  <c r="AR321" i="30"/>
  <c r="AQ253" i="30"/>
  <c r="AR253" i="30"/>
  <c r="AP253" i="30"/>
  <c r="AP15" i="30"/>
  <c r="AQ15" i="30"/>
  <c r="AR15" i="30"/>
  <c r="AR185" i="30"/>
  <c r="AP185" i="30"/>
  <c r="AQ185" i="30"/>
  <c r="AP117" i="30"/>
  <c r="AQ117" i="30"/>
  <c r="AR117" i="30"/>
  <c r="AR287" i="30"/>
  <c r="AP287" i="30"/>
  <c r="AQ287" i="30"/>
  <c r="AP49" i="30"/>
  <c r="AQ49" i="30"/>
  <c r="AR49" i="30"/>
  <c r="B185" i="30"/>
  <c r="B219" i="30"/>
  <c r="B321" i="30"/>
  <c r="B253" i="30"/>
  <c r="B287" i="30"/>
  <c r="B49" i="30"/>
  <c r="B83" i="30"/>
  <c r="B151" i="30"/>
  <c r="I186" i="30"/>
  <c r="B117" i="30"/>
  <c r="I118" i="30"/>
  <c r="I50" i="30"/>
  <c r="I84" i="30"/>
  <c r="I220" i="30"/>
  <c r="I152" i="30"/>
  <c r="I288" i="30"/>
  <c r="I322" i="30"/>
  <c r="I254" i="30"/>
  <c r="I16" i="30"/>
  <c r="E41" i="49" l="1"/>
  <c r="C41" i="49" s="1"/>
  <c r="D40" i="49"/>
  <c r="M11" i="47"/>
  <c r="N12" i="47"/>
  <c r="N11" i="47" s="1"/>
  <c r="M13" i="47"/>
  <c r="AS287" i="30"/>
  <c r="AT287" i="30" s="1"/>
  <c r="AS321" i="30"/>
  <c r="AT321" i="30" s="1"/>
  <c r="C322" i="30"/>
  <c r="D322" i="30"/>
  <c r="C288" i="30"/>
  <c r="D288" i="30"/>
  <c r="H105" i="27"/>
  <c r="G113" i="27"/>
  <c r="Q55" i="27"/>
  <c r="R47" i="27"/>
  <c r="Q76" i="27"/>
  <c r="P84" i="27"/>
  <c r="G55" i="27"/>
  <c r="H47" i="27"/>
  <c r="R142" i="27"/>
  <c r="Q113" i="27"/>
  <c r="R105" i="27"/>
  <c r="AP16" i="30"/>
  <c r="AQ16" i="30"/>
  <c r="AR16" i="30"/>
  <c r="AQ220" i="30"/>
  <c r="AP220" i="30"/>
  <c r="AR220" i="30"/>
  <c r="AP288" i="30"/>
  <c r="AQ288" i="30"/>
  <c r="AR288" i="30"/>
  <c r="AQ50" i="30"/>
  <c r="AR50" i="30"/>
  <c r="AP50" i="30"/>
  <c r="AR152" i="30"/>
  <c r="AP152" i="30"/>
  <c r="AQ152" i="30"/>
  <c r="AP118" i="30"/>
  <c r="AQ118" i="30"/>
  <c r="AR118" i="30"/>
  <c r="AR254" i="30"/>
  <c r="AQ254" i="30"/>
  <c r="AP254" i="30"/>
  <c r="AQ322" i="30"/>
  <c r="AR322" i="30"/>
  <c r="AP322" i="30"/>
  <c r="AR84" i="30"/>
  <c r="AP84" i="30"/>
  <c r="AQ84" i="30"/>
  <c r="I187" i="30"/>
  <c r="AP186" i="30"/>
  <c r="AQ186" i="30"/>
  <c r="AR186" i="30"/>
  <c r="B288" i="30"/>
  <c r="B50" i="30"/>
  <c r="B322" i="30"/>
  <c r="B118" i="30"/>
  <c r="B254" i="30"/>
  <c r="B84" i="30"/>
  <c r="B16" i="30"/>
  <c r="B152" i="30"/>
  <c r="B220" i="30"/>
  <c r="B186" i="30"/>
  <c r="I119" i="30"/>
  <c r="I85" i="30"/>
  <c r="I51" i="30"/>
  <c r="I289" i="30"/>
  <c r="I153" i="30"/>
  <c r="I221" i="30"/>
  <c r="I17" i="30"/>
  <c r="I255" i="30"/>
  <c r="I323" i="30"/>
  <c r="B11" i="22"/>
  <c r="B8" i="22"/>
  <c r="B6" i="22"/>
  <c r="D9" i="22"/>
  <c r="E42" i="49" l="1"/>
  <c r="C42" i="49" s="1"/>
  <c r="D41" i="49"/>
  <c r="O12" i="47"/>
  <c r="O11" i="47" s="1"/>
  <c r="N13" i="47"/>
  <c r="AS322" i="30"/>
  <c r="AT322" i="30" s="1"/>
  <c r="AS288" i="30"/>
  <c r="AT288" i="30" s="1"/>
  <c r="I47" i="27"/>
  <c r="H55" i="27"/>
  <c r="I105" i="27"/>
  <c r="H113" i="27"/>
  <c r="Q84" i="27"/>
  <c r="R76" i="27"/>
  <c r="R55" i="27"/>
  <c r="C323" i="30"/>
  <c r="D323" i="30"/>
  <c r="C289" i="30"/>
  <c r="D289" i="30"/>
  <c r="B187" i="30"/>
  <c r="I188" i="30"/>
  <c r="AQ188" i="30" s="1"/>
  <c r="R113" i="27"/>
  <c r="AR51" i="30"/>
  <c r="AP51" i="30"/>
  <c r="AQ51" i="30"/>
  <c r="AR323" i="30"/>
  <c r="AP323" i="30"/>
  <c r="AQ323" i="30"/>
  <c r="AP85" i="30"/>
  <c r="AQ85" i="30"/>
  <c r="AR85" i="30"/>
  <c r="AP255" i="30"/>
  <c r="AQ255" i="30"/>
  <c r="AR255" i="30"/>
  <c r="AP153" i="30"/>
  <c r="AQ153" i="30"/>
  <c r="AR153" i="30"/>
  <c r="AQ119" i="30"/>
  <c r="AR119" i="30"/>
  <c r="AP119" i="30"/>
  <c r="AP187" i="30"/>
  <c r="AQ187" i="30"/>
  <c r="AR187" i="30"/>
  <c r="AP289" i="30"/>
  <c r="AQ289" i="30"/>
  <c r="AR289" i="30"/>
  <c r="AR221" i="30"/>
  <c r="AQ221" i="30"/>
  <c r="AP221" i="30"/>
  <c r="AQ17" i="30"/>
  <c r="AR17" i="30"/>
  <c r="AP17" i="30"/>
  <c r="B323" i="30"/>
  <c r="B85" i="30"/>
  <c r="B221" i="30"/>
  <c r="B51" i="30"/>
  <c r="B119" i="30"/>
  <c r="B17" i="30"/>
  <c r="B289" i="30"/>
  <c r="B255" i="30"/>
  <c r="B153" i="30"/>
  <c r="D8" i="22"/>
  <c r="I120" i="30"/>
  <c r="I86" i="30"/>
  <c r="I52" i="30"/>
  <c r="I154" i="30"/>
  <c r="I222" i="30"/>
  <c r="I290" i="30"/>
  <c r="I324" i="30"/>
  <c r="I256" i="30"/>
  <c r="I18" i="30"/>
  <c r="E43" i="49" l="1"/>
  <c r="C43" i="49" s="1"/>
  <c r="D42" i="49"/>
  <c r="O13" i="47"/>
  <c r="AS323" i="30"/>
  <c r="AT323" i="30" s="1"/>
  <c r="AS289" i="30"/>
  <c r="AT289" i="30" s="1"/>
  <c r="C290" i="30"/>
  <c r="D290" i="30"/>
  <c r="C324" i="30"/>
  <c r="D324" i="30"/>
  <c r="R84" i="27"/>
  <c r="I113" i="27"/>
  <c r="I55" i="27"/>
  <c r="AP188" i="30"/>
  <c r="B188" i="30"/>
  <c r="AR188" i="30"/>
  <c r="I189" i="30"/>
  <c r="AP222" i="30"/>
  <c r="AQ222" i="30"/>
  <c r="AR222" i="30"/>
  <c r="AP154" i="30"/>
  <c r="AR154" i="30"/>
  <c r="AQ154" i="30"/>
  <c r="AR18" i="30"/>
  <c r="AP18" i="30"/>
  <c r="AQ18" i="30"/>
  <c r="AP86" i="30"/>
  <c r="AQ86" i="30"/>
  <c r="AR86" i="30"/>
  <c r="AP256" i="30"/>
  <c r="AQ256" i="30"/>
  <c r="AR256" i="30"/>
  <c r="I121" i="30"/>
  <c r="AR120" i="30"/>
  <c r="AP120" i="30"/>
  <c r="AQ120" i="30"/>
  <c r="AP324" i="30"/>
  <c r="AQ324" i="30"/>
  <c r="AR324" i="30"/>
  <c r="AQ290" i="30"/>
  <c r="AR290" i="30"/>
  <c r="AP290" i="30"/>
  <c r="AP52" i="30"/>
  <c r="AQ52" i="30"/>
  <c r="AR52" i="30"/>
  <c r="B290" i="30"/>
  <c r="B256" i="30"/>
  <c r="B86" i="30"/>
  <c r="B324" i="30"/>
  <c r="B154" i="30"/>
  <c r="B52" i="30"/>
  <c r="B18" i="30"/>
  <c r="B222" i="30"/>
  <c r="B120" i="30"/>
  <c r="I53" i="30"/>
  <c r="I87" i="30"/>
  <c r="I155" i="30"/>
  <c r="I223" i="30"/>
  <c r="I291" i="30"/>
  <c r="I19" i="30"/>
  <c r="I257" i="30"/>
  <c r="I325" i="30"/>
  <c r="E44" i="49" l="1"/>
  <c r="D43" i="49"/>
  <c r="C16" i="47"/>
  <c r="AS324" i="30"/>
  <c r="AT324" i="30" s="1"/>
  <c r="AS290" i="30"/>
  <c r="AT290" i="30" s="1"/>
  <c r="C325" i="30"/>
  <c r="D325" i="30"/>
  <c r="AQ189" i="30"/>
  <c r="C291" i="30"/>
  <c r="D291" i="30"/>
  <c r="AP189" i="30"/>
  <c r="I190" i="30"/>
  <c r="I191" i="30" s="1"/>
  <c r="B189" i="30"/>
  <c r="AR189" i="30"/>
  <c r="B121" i="30"/>
  <c r="I122" i="30"/>
  <c r="AQ155" i="30"/>
  <c r="AP155" i="30"/>
  <c r="AR155" i="30"/>
  <c r="AQ87" i="30"/>
  <c r="AR87" i="30"/>
  <c r="AP87" i="30"/>
  <c r="AP121" i="30"/>
  <c r="AQ121" i="30"/>
  <c r="AR121" i="30"/>
  <c r="AP19" i="30"/>
  <c r="AQ19" i="30"/>
  <c r="AR19" i="30"/>
  <c r="AR291" i="30"/>
  <c r="AP291" i="30"/>
  <c r="AQ291" i="30"/>
  <c r="AP325" i="30"/>
  <c r="AQ325" i="30"/>
  <c r="AR325" i="30"/>
  <c r="AQ257" i="30"/>
  <c r="AR257" i="30"/>
  <c r="AP257" i="30"/>
  <c r="AP223" i="30"/>
  <c r="AQ223" i="30"/>
  <c r="AR223" i="30"/>
  <c r="AP53" i="30"/>
  <c r="AQ53" i="30"/>
  <c r="AR53" i="30"/>
  <c r="B257" i="30"/>
  <c r="B223" i="30"/>
  <c r="B53" i="30"/>
  <c r="B291" i="30"/>
  <c r="B87" i="30"/>
  <c r="B325" i="30"/>
  <c r="B19" i="30"/>
  <c r="B155" i="30"/>
  <c r="I88" i="30"/>
  <c r="I54" i="30"/>
  <c r="I224" i="30"/>
  <c r="I156" i="30"/>
  <c r="I292" i="30"/>
  <c r="I258" i="30"/>
  <c r="I326" i="30"/>
  <c r="I20" i="30"/>
  <c r="E45" i="49" l="1"/>
  <c r="C45" i="49" s="1"/>
  <c r="D44" i="49"/>
  <c r="C44" i="49"/>
  <c r="C17" i="47"/>
  <c r="D16" i="47"/>
  <c r="D15" i="47" s="1"/>
  <c r="C15" i="47"/>
  <c r="AS325" i="30"/>
  <c r="AT325" i="30" s="1"/>
  <c r="AS291" i="30"/>
  <c r="AT291" i="30" s="1"/>
  <c r="C326" i="30"/>
  <c r="D326" i="30"/>
  <c r="C292" i="30"/>
  <c r="D292" i="30"/>
  <c r="AP190" i="30"/>
  <c r="B190" i="30"/>
  <c r="AR190" i="30"/>
  <c r="AQ190" i="30"/>
  <c r="AQ156" i="30"/>
  <c r="AQ122" i="30"/>
  <c r="AR122" i="30"/>
  <c r="I123" i="30"/>
  <c r="AP122" i="30"/>
  <c r="B122" i="30"/>
  <c r="AP292" i="30"/>
  <c r="AQ292" i="30"/>
  <c r="AR292" i="30"/>
  <c r="AQ54" i="30"/>
  <c r="AR54" i="30"/>
  <c r="AP54" i="30"/>
  <c r="AP20" i="30"/>
  <c r="AQ20" i="30"/>
  <c r="AR20" i="30"/>
  <c r="AR156" i="30"/>
  <c r="AP156" i="30"/>
  <c r="AR88" i="30"/>
  <c r="AP88" i="30"/>
  <c r="AQ88" i="30"/>
  <c r="AQ326" i="30"/>
  <c r="AR326" i="30"/>
  <c r="AP326" i="30"/>
  <c r="AQ224" i="30"/>
  <c r="AP224" i="30"/>
  <c r="AR224" i="30"/>
  <c r="AR258" i="30"/>
  <c r="AP258" i="30"/>
  <c r="AQ258" i="30"/>
  <c r="AP191" i="30"/>
  <c r="AQ191" i="30"/>
  <c r="AR191" i="30"/>
  <c r="B292" i="30"/>
  <c r="B54" i="30"/>
  <c r="B191" i="30"/>
  <c r="B258" i="30"/>
  <c r="B326" i="30"/>
  <c r="B224" i="30"/>
  <c r="B20" i="30"/>
  <c r="B156" i="30"/>
  <c r="B88" i="30"/>
  <c r="I89" i="30"/>
  <c r="I55" i="30"/>
  <c r="I157" i="30"/>
  <c r="I293" i="30"/>
  <c r="I225" i="30"/>
  <c r="I192" i="30"/>
  <c r="I259" i="30"/>
  <c r="I21" i="30"/>
  <c r="I327" i="30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D45" i="49" l="1"/>
  <c r="E46" i="49"/>
  <c r="E16" i="47"/>
  <c r="E15" i="47" s="1"/>
  <c r="D17" i="47"/>
  <c r="AS292" i="30"/>
  <c r="AT292" i="30" s="1"/>
  <c r="AS326" i="30"/>
  <c r="AT326" i="30" s="1"/>
  <c r="C293" i="30"/>
  <c r="D293" i="30"/>
  <c r="C327" i="30"/>
  <c r="D327" i="30"/>
  <c r="AQ123" i="30"/>
  <c r="I124" i="30"/>
  <c r="I125" i="30" s="1"/>
  <c r="AR123" i="30"/>
  <c r="B123" i="30"/>
  <c r="AP123" i="30"/>
  <c r="AR327" i="30"/>
  <c r="AP327" i="30"/>
  <c r="AQ327" i="30"/>
  <c r="AR225" i="30"/>
  <c r="AP225" i="30"/>
  <c r="AQ225" i="30"/>
  <c r="AP89" i="30"/>
  <c r="AQ89" i="30"/>
  <c r="AR89" i="30"/>
  <c r="AP293" i="30"/>
  <c r="AQ293" i="30"/>
  <c r="AR293" i="30"/>
  <c r="AQ21" i="30"/>
  <c r="AR21" i="30"/>
  <c r="AP21" i="30"/>
  <c r="AP259" i="30"/>
  <c r="AR259" i="30"/>
  <c r="AQ259" i="30"/>
  <c r="AP157" i="30"/>
  <c r="AQ157" i="30"/>
  <c r="AR157" i="30"/>
  <c r="AQ192" i="30"/>
  <c r="AR192" i="30"/>
  <c r="AP192" i="30"/>
  <c r="AR55" i="30"/>
  <c r="AP55" i="30"/>
  <c r="AQ55" i="30"/>
  <c r="B21" i="30"/>
  <c r="B293" i="30"/>
  <c r="B327" i="30"/>
  <c r="B225" i="30"/>
  <c r="B89" i="30"/>
  <c r="B192" i="30"/>
  <c r="B55" i="30"/>
  <c r="B259" i="30"/>
  <c r="B157" i="30"/>
  <c r="I56" i="30"/>
  <c r="I90" i="30"/>
  <c r="I193" i="30"/>
  <c r="I226" i="30"/>
  <c r="I294" i="30"/>
  <c r="I158" i="30"/>
  <c r="I328" i="30"/>
  <c r="I22" i="30"/>
  <c r="I260" i="30"/>
  <c r="D120" i="22"/>
  <c r="AK120" i="22"/>
  <c r="AL120" i="22"/>
  <c r="AM120" i="22"/>
  <c r="AN120" i="22"/>
  <c r="AO120" i="22"/>
  <c r="AP120" i="22"/>
  <c r="AQ120" i="22"/>
  <c r="AR120" i="22"/>
  <c r="AS120" i="22"/>
  <c r="AT120" i="22"/>
  <c r="AU120" i="22"/>
  <c r="AV120" i="22"/>
  <c r="AQ124" i="30" l="1"/>
  <c r="E47" i="49"/>
  <c r="C47" i="49" s="1"/>
  <c r="D46" i="49"/>
  <c r="C46" i="49"/>
  <c r="E17" i="47"/>
  <c r="F16" i="47"/>
  <c r="F15" i="47" s="1"/>
  <c r="AS327" i="30"/>
  <c r="AT327" i="30" s="1"/>
  <c r="AS293" i="30"/>
  <c r="AT293" i="30" s="1"/>
  <c r="C294" i="30"/>
  <c r="D294" i="30"/>
  <c r="C328" i="30"/>
  <c r="D328" i="30"/>
  <c r="B124" i="30"/>
  <c r="AR124" i="30"/>
  <c r="AP124" i="30"/>
  <c r="AR22" i="30"/>
  <c r="AP22" i="30"/>
  <c r="AQ22" i="30"/>
  <c r="AP56" i="30"/>
  <c r="AQ56" i="30"/>
  <c r="AR56" i="30"/>
  <c r="AP328" i="30"/>
  <c r="AQ328" i="30"/>
  <c r="AR328" i="30"/>
  <c r="AR193" i="30"/>
  <c r="AP193" i="30"/>
  <c r="AQ193" i="30"/>
  <c r="AP158" i="30"/>
  <c r="AQ158" i="30"/>
  <c r="AR158" i="30"/>
  <c r="AP125" i="30"/>
  <c r="AQ125" i="30"/>
  <c r="AR125" i="30"/>
  <c r="AP260" i="30"/>
  <c r="AQ260" i="30"/>
  <c r="AR260" i="30"/>
  <c r="AQ294" i="30"/>
  <c r="AR294" i="30"/>
  <c r="AP294" i="30"/>
  <c r="AP90" i="30"/>
  <c r="AQ90" i="30"/>
  <c r="AR90" i="30"/>
  <c r="AR226" i="30"/>
  <c r="AP226" i="30"/>
  <c r="AQ226" i="30"/>
  <c r="B158" i="30"/>
  <c r="B328" i="30"/>
  <c r="B193" i="30"/>
  <c r="B226" i="30"/>
  <c r="B125" i="30"/>
  <c r="B56" i="30"/>
  <c r="B22" i="30"/>
  <c r="B260" i="30"/>
  <c r="B294" i="30"/>
  <c r="B90" i="30"/>
  <c r="I57" i="30"/>
  <c r="I126" i="30"/>
  <c r="I91" i="30"/>
  <c r="I159" i="30"/>
  <c r="I295" i="30"/>
  <c r="I227" i="30"/>
  <c r="I194" i="30"/>
  <c r="I261" i="30"/>
  <c r="I23" i="30"/>
  <c r="I329" i="30"/>
  <c r="D118" i="22"/>
  <c r="D119" i="22"/>
  <c r="E48" i="49" l="1"/>
  <c r="C48" i="49" s="1"/>
  <c r="D47" i="49"/>
  <c r="F17" i="47"/>
  <c r="G16" i="47"/>
  <c r="G15" i="47" s="1"/>
  <c r="AS294" i="30"/>
  <c r="AT294" i="30" s="1"/>
  <c r="AS328" i="30"/>
  <c r="AT328" i="30" s="1"/>
  <c r="C329" i="30"/>
  <c r="D329" i="30"/>
  <c r="C295" i="30"/>
  <c r="D295" i="30"/>
  <c r="AP194" i="30"/>
  <c r="AQ194" i="30"/>
  <c r="AR194" i="30"/>
  <c r="AQ261" i="30"/>
  <c r="AR261" i="30"/>
  <c r="AP261" i="30"/>
  <c r="AQ159" i="30"/>
  <c r="AP159" i="30"/>
  <c r="AR159" i="30"/>
  <c r="AP329" i="30"/>
  <c r="AQ329" i="30"/>
  <c r="AR329" i="30"/>
  <c r="AP227" i="30"/>
  <c r="AQ227" i="30"/>
  <c r="AR227" i="30"/>
  <c r="AP126" i="30"/>
  <c r="AQ126" i="30"/>
  <c r="AR126" i="30"/>
  <c r="AQ91" i="30"/>
  <c r="AR91" i="30"/>
  <c r="AP91" i="30"/>
  <c r="AP23" i="30"/>
  <c r="AQ23" i="30"/>
  <c r="AR23" i="30"/>
  <c r="AR295" i="30"/>
  <c r="AP295" i="30"/>
  <c r="AQ295" i="30"/>
  <c r="AP57" i="30"/>
  <c r="AQ57" i="30"/>
  <c r="AR57" i="30"/>
  <c r="B261" i="30"/>
  <c r="B159" i="30"/>
  <c r="B295" i="30"/>
  <c r="B23" i="30"/>
  <c r="B57" i="30"/>
  <c r="B329" i="30"/>
  <c r="B227" i="30"/>
  <c r="B126" i="30"/>
  <c r="B194" i="30"/>
  <c r="B91" i="30"/>
  <c r="I92" i="30"/>
  <c r="I127" i="30"/>
  <c r="I58" i="30"/>
  <c r="I195" i="30"/>
  <c r="I228" i="30"/>
  <c r="I296" i="30"/>
  <c r="I160" i="30"/>
  <c r="I330" i="30"/>
  <c r="I24" i="30"/>
  <c r="I262" i="30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88" i="22"/>
  <c r="AV85" i="22"/>
  <c r="AU85" i="22"/>
  <c r="AT85" i="22"/>
  <c r="AK107" i="22"/>
  <c r="AL107" i="22"/>
  <c r="AM107" i="22"/>
  <c r="AN107" i="22"/>
  <c r="AO107" i="22"/>
  <c r="AP107" i="22"/>
  <c r="AQ107" i="22"/>
  <c r="AR107" i="22"/>
  <c r="AS107" i="22"/>
  <c r="AT107" i="22"/>
  <c r="AU107" i="22"/>
  <c r="AV107" i="22"/>
  <c r="AK108" i="22"/>
  <c r="AL108" i="22"/>
  <c r="AM108" i="22"/>
  <c r="AN108" i="22"/>
  <c r="AO108" i="22"/>
  <c r="AP108" i="22"/>
  <c r="AQ108" i="22"/>
  <c r="AR108" i="22"/>
  <c r="AS108" i="22"/>
  <c r="AT108" i="22"/>
  <c r="AU108" i="22"/>
  <c r="AV108" i="22"/>
  <c r="AK109" i="22"/>
  <c r="AL109" i="22"/>
  <c r="AM109" i="22"/>
  <c r="AN109" i="22"/>
  <c r="AO109" i="22"/>
  <c r="AP109" i="22"/>
  <c r="AQ109" i="22"/>
  <c r="AR109" i="22"/>
  <c r="AS109" i="22"/>
  <c r="AT109" i="22"/>
  <c r="AU109" i="22"/>
  <c r="AV109" i="22"/>
  <c r="AK110" i="22"/>
  <c r="AL110" i="22"/>
  <c r="AM110" i="22"/>
  <c r="AN110" i="22"/>
  <c r="AO110" i="22"/>
  <c r="AP110" i="22"/>
  <c r="AQ110" i="22"/>
  <c r="AR110" i="22"/>
  <c r="AS110" i="22"/>
  <c r="AT110" i="22"/>
  <c r="AU110" i="22"/>
  <c r="AV110" i="22"/>
  <c r="AK111" i="22"/>
  <c r="AL111" i="22"/>
  <c r="AM111" i="22"/>
  <c r="AN111" i="22"/>
  <c r="AO111" i="22"/>
  <c r="AP111" i="22"/>
  <c r="AQ111" i="22"/>
  <c r="AR111" i="22"/>
  <c r="AS111" i="22"/>
  <c r="AT111" i="22"/>
  <c r="AU111" i="22"/>
  <c r="AV111" i="22"/>
  <c r="AK112" i="22"/>
  <c r="AL112" i="22"/>
  <c r="AM112" i="22"/>
  <c r="AN112" i="22"/>
  <c r="AO112" i="22"/>
  <c r="AP112" i="22"/>
  <c r="AQ112" i="22"/>
  <c r="AR112" i="22"/>
  <c r="AS112" i="22"/>
  <c r="AT112" i="22"/>
  <c r="AU112" i="22"/>
  <c r="AV112" i="22"/>
  <c r="AK113" i="22"/>
  <c r="AL113" i="22"/>
  <c r="AM113" i="22"/>
  <c r="AN113" i="22"/>
  <c r="AO113" i="22"/>
  <c r="AP113" i="22"/>
  <c r="AQ113" i="22"/>
  <c r="AR113" i="22"/>
  <c r="AS113" i="22"/>
  <c r="AT113" i="22"/>
  <c r="AU113" i="22"/>
  <c r="AV113" i="22"/>
  <c r="AK114" i="22"/>
  <c r="AL114" i="22"/>
  <c r="AM114" i="22"/>
  <c r="AN114" i="22"/>
  <c r="AO114" i="22"/>
  <c r="AP114" i="22"/>
  <c r="AQ114" i="22"/>
  <c r="AR114" i="22"/>
  <c r="AS114" i="22"/>
  <c r="AT114" i="22"/>
  <c r="AU114" i="22"/>
  <c r="AV114" i="22"/>
  <c r="AK115" i="22"/>
  <c r="AL115" i="22"/>
  <c r="AM115" i="22"/>
  <c r="AN115" i="22"/>
  <c r="AO115" i="22"/>
  <c r="AP115" i="22"/>
  <c r="AQ115" i="22"/>
  <c r="AR115" i="22"/>
  <c r="AS115" i="22"/>
  <c r="AT115" i="22"/>
  <c r="AU115" i="22"/>
  <c r="AV115" i="22"/>
  <c r="AK116" i="22"/>
  <c r="AL116" i="22"/>
  <c r="AM116" i="22"/>
  <c r="AN116" i="22"/>
  <c r="AO116" i="22"/>
  <c r="AP116" i="22"/>
  <c r="AQ116" i="22"/>
  <c r="AR116" i="22"/>
  <c r="AS116" i="22"/>
  <c r="AT116" i="22"/>
  <c r="AU116" i="22"/>
  <c r="AV116" i="22"/>
  <c r="AK117" i="22"/>
  <c r="AL117" i="22"/>
  <c r="AM117" i="22"/>
  <c r="AN117" i="22"/>
  <c r="AO117" i="22"/>
  <c r="AP117" i="22"/>
  <c r="AQ117" i="22"/>
  <c r="AR117" i="22"/>
  <c r="AS117" i="22"/>
  <c r="AT117" i="22"/>
  <c r="AU117" i="22"/>
  <c r="AV117" i="22"/>
  <c r="AK118" i="22"/>
  <c r="AL118" i="22"/>
  <c r="AM118" i="22"/>
  <c r="AN118" i="22"/>
  <c r="AO118" i="22"/>
  <c r="AP118" i="22"/>
  <c r="AQ118" i="22"/>
  <c r="AR118" i="22"/>
  <c r="AS118" i="22"/>
  <c r="AT118" i="22"/>
  <c r="AU118" i="22"/>
  <c r="AV118" i="22"/>
  <c r="AK119" i="22"/>
  <c r="AL119" i="22"/>
  <c r="AM119" i="22"/>
  <c r="AN119" i="22"/>
  <c r="AO119" i="22"/>
  <c r="AP119" i="22"/>
  <c r="AQ119" i="22"/>
  <c r="AR119" i="22"/>
  <c r="AS119" i="22"/>
  <c r="AT119" i="22"/>
  <c r="AU119" i="22"/>
  <c r="AV119" i="22"/>
  <c r="E49" i="49" l="1"/>
  <c r="D48" i="49"/>
  <c r="H16" i="47"/>
  <c r="I16" i="47" s="1"/>
  <c r="G17" i="47"/>
  <c r="AS329" i="30"/>
  <c r="AT329" i="30" s="1"/>
  <c r="AS295" i="30"/>
  <c r="AT295" i="30" s="1"/>
  <c r="C296" i="30"/>
  <c r="D296" i="30"/>
  <c r="C330" i="30"/>
  <c r="D330" i="30"/>
  <c r="AQ330" i="30"/>
  <c r="AR330" i="30"/>
  <c r="AP330" i="30"/>
  <c r="AP195" i="30"/>
  <c r="AQ195" i="30"/>
  <c r="AR195" i="30"/>
  <c r="AR160" i="30"/>
  <c r="AP160" i="30"/>
  <c r="AQ160" i="30"/>
  <c r="AQ58" i="30"/>
  <c r="AR58" i="30"/>
  <c r="AP58" i="30"/>
  <c r="AR262" i="30"/>
  <c r="AQ262" i="30"/>
  <c r="AP262" i="30"/>
  <c r="AP296" i="30"/>
  <c r="AQ296" i="30"/>
  <c r="AR296" i="30"/>
  <c r="AQ127" i="30"/>
  <c r="AR127" i="30"/>
  <c r="AP127" i="30"/>
  <c r="AP24" i="30"/>
  <c r="AQ24" i="30"/>
  <c r="AR24" i="30"/>
  <c r="AQ228" i="30"/>
  <c r="AR228" i="30"/>
  <c r="AP228" i="30"/>
  <c r="AR92" i="30"/>
  <c r="AP92" i="30"/>
  <c r="AQ92" i="30"/>
  <c r="B330" i="30"/>
  <c r="B195" i="30"/>
  <c r="B262" i="30"/>
  <c r="B24" i="30"/>
  <c r="B228" i="30"/>
  <c r="B127" i="30"/>
  <c r="B92" i="30"/>
  <c r="B296" i="30"/>
  <c r="B160" i="30"/>
  <c r="B58" i="30"/>
  <c r="I128" i="30"/>
  <c r="I93" i="30"/>
  <c r="I59" i="30"/>
  <c r="I161" i="30"/>
  <c r="I297" i="30"/>
  <c r="I229" i="30"/>
  <c r="I196" i="30"/>
  <c r="I263" i="30"/>
  <c r="I25" i="30"/>
  <c r="I331" i="30"/>
  <c r="AK88" i="22"/>
  <c r="AL88" i="22"/>
  <c r="AM88" i="22"/>
  <c r="AN88" i="22"/>
  <c r="AO88" i="22"/>
  <c r="AP88" i="22"/>
  <c r="AQ88" i="22"/>
  <c r="AR88" i="22"/>
  <c r="AS88" i="22"/>
  <c r="AT88" i="22"/>
  <c r="AU88" i="22"/>
  <c r="AV88" i="22"/>
  <c r="AK89" i="22"/>
  <c r="AL89" i="22"/>
  <c r="AM89" i="22"/>
  <c r="AN89" i="22"/>
  <c r="AO89" i="22"/>
  <c r="AP89" i="22"/>
  <c r="AQ89" i="22"/>
  <c r="AR89" i="22"/>
  <c r="AS89" i="22"/>
  <c r="AT89" i="22"/>
  <c r="AU89" i="22"/>
  <c r="AV89" i="22"/>
  <c r="AK90" i="22"/>
  <c r="AL90" i="22"/>
  <c r="AM90" i="22"/>
  <c r="AN90" i="22"/>
  <c r="AO90" i="22"/>
  <c r="AP90" i="22"/>
  <c r="AQ90" i="22"/>
  <c r="AR90" i="22"/>
  <c r="AS90" i="22"/>
  <c r="AT90" i="22"/>
  <c r="AU90" i="22"/>
  <c r="AV90" i="22"/>
  <c r="AK91" i="22"/>
  <c r="AL91" i="22"/>
  <c r="AM91" i="22"/>
  <c r="AN91" i="22"/>
  <c r="AO91" i="22"/>
  <c r="AP91" i="22"/>
  <c r="AQ91" i="22"/>
  <c r="AR91" i="22"/>
  <c r="AS91" i="22"/>
  <c r="AT91" i="22"/>
  <c r="AU91" i="22"/>
  <c r="AV91" i="22"/>
  <c r="AK92" i="22"/>
  <c r="AL92" i="22"/>
  <c r="AM92" i="22"/>
  <c r="AN92" i="22"/>
  <c r="AO92" i="22"/>
  <c r="AP92" i="22"/>
  <c r="AQ92" i="22"/>
  <c r="AR92" i="22"/>
  <c r="AS92" i="22"/>
  <c r="AT92" i="22"/>
  <c r="AU92" i="22"/>
  <c r="AV92" i="22"/>
  <c r="AK93" i="22"/>
  <c r="AL93" i="22"/>
  <c r="AM93" i="22"/>
  <c r="AN93" i="22"/>
  <c r="AO93" i="22"/>
  <c r="AP93" i="22"/>
  <c r="AQ93" i="22"/>
  <c r="AR93" i="22"/>
  <c r="AS93" i="22"/>
  <c r="AT93" i="22"/>
  <c r="AU93" i="22"/>
  <c r="AV93" i="22"/>
  <c r="AK94" i="22"/>
  <c r="AL94" i="22"/>
  <c r="AM94" i="22"/>
  <c r="AN94" i="22"/>
  <c r="AO94" i="22"/>
  <c r="AP94" i="22"/>
  <c r="AQ94" i="22"/>
  <c r="AR94" i="22"/>
  <c r="AS94" i="22"/>
  <c r="AT94" i="22"/>
  <c r="AU94" i="22"/>
  <c r="AV94" i="22"/>
  <c r="AK95" i="22"/>
  <c r="AL95" i="22"/>
  <c r="AM95" i="22"/>
  <c r="AN95" i="22"/>
  <c r="AO95" i="22"/>
  <c r="AP95" i="22"/>
  <c r="AQ95" i="22"/>
  <c r="AR95" i="22"/>
  <c r="AS95" i="22"/>
  <c r="AT95" i="22"/>
  <c r="AU95" i="22"/>
  <c r="AV95" i="22"/>
  <c r="AK96" i="22"/>
  <c r="AL96" i="22"/>
  <c r="AM96" i="22"/>
  <c r="AN96" i="22"/>
  <c r="AO96" i="22"/>
  <c r="AP96" i="22"/>
  <c r="AQ96" i="22"/>
  <c r="AR96" i="22"/>
  <c r="AS96" i="22"/>
  <c r="AT96" i="22"/>
  <c r="AU96" i="22"/>
  <c r="AV96" i="22"/>
  <c r="AK97" i="22"/>
  <c r="AL97" i="22"/>
  <c r="AM97" i="22"/>
  <c r="AN97" i="22"/>
  <c r="AO97" i="22"/>
  <c r="AP97" i="22"/>
  <c r="AQ97" i="22"/>
  <c r="AR97" i="22"/>
  <c r="AS97" i="22"/>
  <c r="AT97" i="22"/>
  <c r="AU97" i="22"/>
  <c r="AV97" i="22"/>
  <c r="AK98" i="22"/>
  <c r="AL98" i="22"/>
  <c r="AM98" i="22"/>
  <c r="AN98" i="22"/>
  <c r="AO98" i="22"/>
  <c r="AP98" i="22"/>
  <c r="AQ98" i="22"/>
  <c r="AR98" i="22"/>
  <c r="AS98" i="22"/>
  <c r="AT98" i="22"/>
  <c r="AU98" i="22"/>
  <c r="AV98" i="22"/>
  <c r="AK99" i="22"/>
  <c r="AL99" i="22"/>
  <c r="AM99" i="22"/>
  <c r="AN99" i="22"/>
  <c r="AO99" i="22"/>
  <c r="AP99" i="22"/>
  <c r="AQ99" i="22"/>
  <c r="AR99" i="22"/>
  <c r="AS99" i="22"/>
  <c r="AT99" i="22"/>
  <c r="AU99" i="22"/>
  <c r="AV99" i="22"/>
  <c r="AK100" i="22"/>
  <c r="AL100" i="22"/>
  <c r="AM100" i="22"/>
  <c r="AN100" i="22"/>
  <c r="AO100" i="22"/>
  <c r="AP100" i="22"/>
  <c r="AQ100" i="22"/>
  <c r="AR100" i="22"/>
  <c r="AS100" i="22"/>
  <c r="AT100" i="22"/>
  <c r="AU100" i="22"/>
  <c r="AV100" i="22"/>
  <c r="AK101" i="22"/>
  <c r="AL101" i="22"/>
  <c r="AM101" i="22"/>
  <c r="AN101" i="22"/>
  <c r="AO101" i="22"/>
  <c r="AP101" i="22"/>
  <c r="AQ101" i="22"/>
  <c r="AR101" i="22"/>
  <c r="AS101" i="22"/>
  <c r="AT101" i="22"/>
  <c r="AU101" i="22"/>
  <c r="AV101" i="22"/>
  <c r="AK102" i="22"/>
  <c r="AL102" i="22"/>
  <c r="AM102" i="22"/>
  <c r="AN102" i="22"/>
  <c r="AO102" i="22"/>
  <c r="AP102" i="22"/>
  <c r="AQ102" i="22"/>
  <c r="AR102" i="22"/>
  <c r="AS102" i="22"/>
  <c r="AT102" i="22"/>
  <c r="AU102" i="22"/>
  <c r="AV102" i="22"/>
  <c r="AK103" i="22"/>
  <c r="AL103" i="22"/>
  <c r="AM103" i="22"/>
  <c r="AN103" i="22"/>
  <c r="AO103" i="22"/>
  <c r="AP103" i="22"/>
  <c r="AQ103" i="22"/>
  <c r="AR103" i="22"/>
  <c r="AS103" i="22"/>
  <c r="AT103" i="22"/>
  <c r="AU103" i="22"/>
  <c r="AV103" i="22"/>
  <c r="AK104" i="22"/>
  <c r="AL104" i="22"/>
  <c r="AM104" i="22"/>
  <c r="AN104" i="22"/>
  <c r="AO104" i="22"/>
  <c r="AP104" i="22"/>
  <c r="AQ104" i="22"/>
  <c r="AR104" i="22"/>
  <c r="AS104" i="22"/>
  <c r="AT104" i="22"/>
  <c r="AU104" i="22"/>
  <c r="AV104" i="22"/>
  <c r="AK105" i="22"/>
  <c r="AL105" i="22"/>
  <c r="AM105" i="22"/>
  <c r="AN105" i="22"/>
  <c r="AO105" i="22"/>
  <c r="AP105" i="22"/>
  <c r="AQ105" i="22"/>
  <c r="AR105" i="22"/>
  <c r="AS105" i="22"/>
  <c r="AT105" i="22"/>
  <c r="AU105" i="22"/>
  <c r="AV105" i="22"/>
  <c r="AK106" i="22"/>
  <c r="AL106" i="22"/>
  <c r="AM106" i="22"/>
  <c r="AN106" i="22"/>
  <c r="AO106" i="22"/>
  <c r="AP106" i="22"/>
  <c r="AQ106" i="22"/>
  <c r="AR106" i="22"/>
  <c r="AS106" i="22"/>
  <c r="AT106" i="22"/>
  <c r="AU106" i="22"/>
  <c r="AV106" i="22"/>
  <c r="S61" i="29"/>
  <c r="R61" i="29"/>
  <c r="Q61" i="29"/>
  <c r="D49" i="49" l="1"/>
  <c r="E50" i="49"/>
  <c r="C50" i="49" s="1"/>
  <c r="C49" i="49"/>
  <c r="H17" i="47"/>
  <c r="H15" i="47"/>
  <c r="I15" i="47"/>
  <c r="J16" i="47"/>
  <c r="J15" i="47" s="1"/>
  <c r="I17" i="47"/>
  <c r="AS296" i="30"/>
  <c r="AT296" i="30" s="1"/>
  <c r="AS330" i="30"/>
  <c r="AT330" i="30" s="1"/>
  <c r="C331" i="30"/>
  <c r="D331" i="30"/>
  <c r="C297" i="30"/>
  <c r="D297" i="30"/>
  <c r="AP263" i="30"/>
  <c r="AQ263" i="30"/>
  <c r="AR263" i="30"/>
  <c r="AR161" i="30"/>
  <c r="AP161" i="30"/>
  <c r="AQ161" i="30"/>
  <c r="AQ196" i="30"/>
  <c r="AR196" i="30"/>
  <c r="AP196" i="30"/>
  <c r="AR59" i="30"/>
  <c r="AP59" i="30"/>
  <c r="AQ59" i="30"/>
  <c r="AR331" i="30"/>
  <c r="AP331" i="30"/>
  <c r="AQ331" i="30"/>
  <c r="AR229" i="30"/>
  <c r="AP229" i="30"/>
  <c r="AQ229" i="30"/>
  <c r="AP93" i="30"/>
  <c r="AQ93" i="30"/>
  <c r="AR93" i="30"/>
  <c r="AQ25" i="30"/>
  <c r="AR25" i="30"/>
  <c r="AP25" i="30"/>
  <c r="AP297" i="30"/>
  <c r="AQ297" i="30"/>
  <c r="AR297" i="30"/>
  <c r="AR128" i="30"/>
  <c r="AP128" i="30"/>
  <c r="AQ128" i="30"/>
  <c r="B196" i="30"/>
  <c r="B59" i="30"/>
  <c r="B128" i="30"/>
  <c r="B263" i="30"/>
  <c r="B161" i="30"/>
  <c r="B25" i="30"/>
  <c r="B297" i="30"/>
  <c r="B331" i="30"/>
  <c r="B229" i="30"/>
  <c r="B93" i="30"/>
  <c r="I129" i="30"/>
  <c r="I60" i="30"/>
  <c r="I94" i="30"/>
  <c r="I197" i="30"/>
  <c r="I230" i="30"/>
  <c r="I298" i="30"/>
  <c r="I162" i="30"/>
  <c r="I332" i="30"/>
  <c r="I26" i="30"/>
  <c r="I264" i="30"/>
  <c r="E51" i="49" l="1"/>
  <c r="C51" i="49" s="1"/>
  <c r="D50" i="49"/>
  <c r="K16" i="47"/>
  <c r="K15" i="47" s="1"/>
  <c r="J17" i="47"/>
  <c r="AS297" i="30"/>
  <c r="AT297" i="30" s="1"/>
  <c r="AS331" i="30"/>
  <c r="AT331" i="30" s="1"/>
  <c r="C332" i="30"/>
  <c r="D332" i="30"/>
  <c r="C298" i="30"/>
  <c r="D298" i="30"/>
  <c r="AR197" i="30"/>
  <c r="AP197" i="30"/>
  <c r="AQ197" i="30"/>
  <c r="AP332" i="30"/>
  <c r="AQ332" i="30"/>
  <c r="AR332" i="30"/>
  <c r="AP162" i="30"/>
  <c r="AQ162" i="30"/>
  <c r="AR162" i="30"/>
  <c r="AP94" i="30"/>
  <c r="AQ94" i="30"/>
  <c r="AR94" i="30"/>
  <c r="AP264" i="30"/>
  <c r="AQ264" i="30"/>
  <c r="AR264" i="30"/>
  <c r="AQ298" i="30"/>
  <c r="AR298" i="30"/>
  <c r="AP298" i="30"/>
  <c r="AP60" i="30"/>
  <c r="AQ60" i="30"/>
  <c r="AR60" i="30"/>
  <c r="AR26" i="30"/>
  <c r="AP26" i="30"/>
  <c r="AQ26" i="30"/>
  <c r="AQ230" i="30"/>
  <c r="AR230" i="30"/>
  <c r="AP230" i="30"/>
  <c r="AP129" i="30"/>
  <c r="AQ129" i="30"/>
  <c r="AR129" i="30"/>
  <c r="B60" i="30"/>
  <c r="B162" i="30"/>
  <c r="B94" i="30"/>
  <c r="B298" i="30"/>
  <c r="B332" i="30"/>
  <c r="B197" i="30"/>
  <c r="B129" i="30"/>
  <c r="B264" i="30"/>
  <c r="B26" i="30"/>
  <c r="B230" i="30"/>
  <c r="I130" i="30"/>
  <c r="I95" i="30"/>
  <c r="I61" i="30"/>
  <c r="I163" i="30"/>
  <c r="I299" i="30"/>
  <c r="I231" i="30"/>
  <c r="I198" i="30"/>
  <c r="I265" i="30"/>
  <c r="I27" i="30"/>
  <c r="I333" i="30"/>
  <c r="E52" i="49" l="1"/>
  <c r="D51" i="49"/>
  <c r="L16" i="47"/>
  <c r="L15" i="47" s="1"/>
  <c r="K17" i="47"/>
  <c r="AS298" i="30"/>
  <c r="AT298" i="30" s="1"/>
  <c r="AS332" i="30"/>
  <c r="AT332" i="30" s="1"/>
  <c r="C333" i="30"/>
  <c r="D333" i="30"/>
  <c r="C299" i="30"/>
  <c r="D299" i="30"/>
  <c r="AP130" i="30"/>
  <c r="AQ130" i="30"/>
  <c r="AR130" i="30"/>
  <c r="AQ265" i="30"/>
  <c r="AR265" i="30"/>
  <c r="AP265" i="30"/>
  <c r="AQ163" i="30"/>
  <c r="AR163" i="30"/>
  <c r="AP163" i="30"/>
  <c r="AP27" i="30"/>
  <c r="AQ27" i="30"/>
  <c r="AR27" i="30"/>
  <c r="AR299" i="30"/>
  <c r="AP299" i="30"/>
  <c r="AQ299" i="30"/>
  <c r="AP198" i="30"/>
  <c r="AQ198" i="30"/>
  <c r="AR198" i="30"/>
  <c r="AP61" i="30"/>
  <c r="AQ61" i="30"/>
  <c r="AR61" i="30"/>
  <c r="AP333" i="30"/>
  <c r="AQ333" i="30"/>
  <c r="AR333" i="30"/>
  <c r="AP231" i="30"/>
  <c r="AQ231" i="30"/>
  <c r="AR231" i="30"/>
  <c r="AQ95" i="30"/>
  <c r="AR95" i="30"/>
  <c r="AP95" i="30"/>
  <c r="B231" i="30"/>
  <c r="B198" i="30"/>
  <c r="B61" i="30"/>
  <c r="B27" i="30"/>
  <c r="B265" i="30"/>
  <c r="B163" i="30"/>
  <c r="B299" i="30"/>
  <c r="B130" i="30"/>
  <c r="B333" i="30"/>
  <c r="B95" i="30"/>
  <c r="I131" i="30"/>
  <c r="I62" i="30"/>
  <c r="I96" i="30"/>
  <c r="I199" i="30"/>
  <c r="I232" i="30"/>
  <c r="I300" i="30"/>
  <c r="I164" i="30"/>
  <c r="I334" i="30"/>
  <c r="I28" i="30"/>
  <c r="I266" i="30"/>
  <c r="E53" i="49" l="1"/>
  <c r="D52" i="49"/>
  <c r="C52" i="49"/>
  <c r="M16" i="47"/>
  <c r="L17" i="47"/>
  <c r="AS299" i="30"/>
  <c r="AT299" i="30" s="1"/>
  <c r="AS333" i="30"/>
  <c r="AT333" i="30" s="1"/>
  <c r="C334" i="30"/>
  <c r="D334" i="30"/>
  <c r="C300" i="30"/>
  <c r="D300" i="30"/>
  <c r="AR266" i="30"/>
  <c r="AP266" i="30"/>
  <c r="AQ266" i="30"/>
  <c r="AQ62" i="30"/>
  <c r="AR62" i="30"/>
  <c r="AP62" i="30"/>
  <c r="AQ131" i="30"/>
  <c r="AR131" i="30"/>
  <c r="AP131" i="30"/>
  <c r="AQ334" i="30"/>
  <c r="AR334" i="30"/>
  <c r="AP334" i="30"/>
  <c r="AP199" i="30"/>
  <c r="AQ199" i="30"/>
  <c r="AR199" i="30"/>
  <c r="AP300" i="30"/>
  <c r="AQ300" i="30"/>
  <c r="AR300" i="30"/>
  <c r="AP28" i="30"/>
  <c r="AQ28" i="30"/>
  <c r="AR28" i="30"/>
  <c r="AQ232" i="30"/>
  <c r="AP232" i="30"/>
  <c r="AR232" i="30"/>
  <c r="AR164" i="30"/>
  <c r="AP164" i="30"/>
  <c r="AQ164" i="30"/>
  <c r="AR96" i="30"/>
  <c r="AP96" i="30"/>
  <c r="AQ96" i="30"/>
  <c r="B62" i="30"/>
  <c r="B164" i="30"/>
  <c r="B96" i="30"/>
  <c r="B131" i="30"/>
  <c r="B334" i="30"/>
  <c r="B199" i="30"/>
  <c r="B28" i="30"/>
  <c r="B232" i="30"/>
  <c r="B266" i="30"/>
  <c r="B300" i="30"/>
  <c r="I63" i="30"/>
  <c r="I132" i="30"/>
  <c r="I97" i="30"/>
  <c r="I165" i="30"/>
  <c r="I301" i="30"/>
  <c r="I233" i="30"/>
  <c r="I200" i="30"/>
  <c r="I267" i="30"/>
  <c r="I29" i="30"/>
  <c r="I335" i="30"/>
  <c r="E54" i="49" l="1"/>
  <c r="C54" i="49" s="1"/>
  <c r="D53" i="49"/>
  <c r="C53" i="49"/>
  <c r="M15" i="47"/>
  <c r="N16" i="47"/>
  <c r="N15" i="47" s="1"/>
  <c r="M17" i="47"/>
  <c r="AS334" i="30"/>
  <c r="AT334" i="30" s="1"/>
  <c r="AS300" i="30"/>
  <c r="AT300" i="30" s="1"/>
  <c r="C301" i="30"/>
  <c r="D301" i="30"/>
  <c r="C335" i="30"/>
  <c r="D335" i="30"/>
  <c r="AQ165" i="30"/>
  <c r="AR165" i="30"/>
  <c r="AP165" i="30"/>
  <c r="AQ200" i="30"/>
  <c r="AR200" i="30"/>
  <c r="AP200" i="30"/>
  <c r="AP97" i="30"/>
  <c r="AQ97" i="30"/>
  <c r="AR97" i="30"/>
  <c r="AR335" i="30"/>
  <c r="AP335" i="30"/>
  <c r="AQ335" i="30"/>
  <c r="AR233" i="30"/>
  <c r="AP233" i="30"/>
  <c r="AQ233" i="30"/>
  <c r="AR132" i="30"/>
  <c r="AP132" i="30"/>
  <c r="AQ132" i="30"/>
  <c r="AQ29" i="30"/>
  <c r="AR29" i="30"/>
  <c r="AP29" i="30"/>
  <c r="AP301" i="30"/>
  <c r="AQ301" i="30"/>
  <c r="AR301" i="30"/>
  <c r="AR63" i="30"/>
  <c r="AP63" i="30"/>
  <c r="AQ63" i="30"/>
  <c r="AP267" i="30"/>
  <c r="AR267" i="30"/>
  <c r="AQ267" i="30"/>
  <c r="B335" i="30"/>
  <c r="B233" i="30"/>
  <c r="B132" i="30"/>
  <c r="B200" i="30"/>
  <c r="B97" i="30"/>
  <c r="B165" i="30"/>
  <c r="B267" i="30"/>
  <c r="B301" i="30"/>
  <c r="B63" i="30"/>
  <c r="B29" i="30"/>
  <c r="I133" i="30"/>
  <c r="I98" i="30"/>
  <c r="I64" i="30"/>
  <c r="I201" i="30"/>
  <c r="I234" i="30"/>
  <c r="I302" i="30"/>
  <c r="I166" i="30"/>
  <c r="I336" i="30"/>
  <c r="I30" i="30"/>
  <c r="I268" i="30"/>
  <c r="E55" i="49" l="1"/>
  <c r="D55" i="49" s="1"/>
  <c r="D54" i="49"/>
  <c r="O16" i="47"/>
  <c r="O15" i="47" s="1"/>
  <c r="N17" i="47"/>
  <c r="AS335" i="30"/>
  <c r="AT335" i="30" s="1"/>
  <c r="AS301" i="30"/>
  <c r="AT301" i="30" s="1"/>
  <c r="C336" i="30"/>
  <c r="D336" i="30"/>
  <c r="C302" i="30"/>
  <c r="D302" i="30"/>
  <c r="AP336" i="30"/>
  <c r="AQ336" i="30"/>
  <c r="AR336" i="30"/>
  <c r="AR201" i="30"/>
  <c r="AP201" i="30"/>
  <c r="AQ201" i="30"/>
  <c r="AP166" i="30"/>
  <c r="AQ166" i="30"/>
  <c r="AR166" i="30"/>
  <c r="AP64" i="30"/>
  <c r="AQ64" i="30"/>
  <c r="AR64" i="30"/>
  <c r="AP268" i="30"/>
  <c r="AQ268" i="30"/>
  <c r="AR268" i="30"/>
  <c r="AQ302" i="30"/>
  <c r="AR302" i="30"/>
  <c r="AP302" i="30"/>
  <c r="AP98" i="30"/>
  <c r="AQ98" i="30"/>
  <c r="AR98" i="30"/>
  <c r="AR30" i="30"/>
  <c r="AP30" i="30"/>
  <c r="AQ30" i="30"/>
  <c r="AP234" i="30"/>
  <c r="AQ234" i="30"/>
  <c r="AR234" i="30"/>
  <c r="AP133" i="30"/>
  <c r="AQ133" i="30"/>
  <c r="AR133" i="30"/>
  <c r="B336" i="30"/>
  <c r="B268" i="30"/>
  <c r="B302" i="30"/>
  <c r="B98" i="30"/>
  <c r="B166" i="30"/>
  <c r="B64" i="30"/>
  <c r="B201" i="30"/>
  <c r="B133" i="30"/>
  <c r="B234" i="30"/>
  <c r="B30" i="30"/>
  <c r="I65" i="30"/>
  <c r="I134" i="30"/>
  <c r="I99" i="30"/>
  <c r="I167" i="30"/>
  <c r="I303" i="30"/>
  <c r="I235" i="30"/>
  <c r="I202" i="30"/>
  <c r="I31" i="30"/>
  <c r="I269" i="30"/>
  <c r="I337" i="30"/>
  <c r="C55" i="49" l="1"/>
  <c r="O17" i="47"/>
  <c r="AS336" i="30"/>
  <c r="AT336" i="30" s="1"/>
  <c r="AS302" i="30"/>
  <c r="AT302" i="30" s="1"/>
  <c r="C337" i="30"/>
  <c r="D337" i="30"/>
  <c r="C303" i="30"/>
  <c r="D303" i="30"/>
  <c r="AQ167" i="30"/>
  <c r="AP167" i="30"/>
  <c r="AR167" i="30"/>
  <c r="AP202" i="30"/>
  <c r="AQ202" i="30"/>
  <c r="AR202" i="30"/>
  <c r="AQ99" i="30"/>
  <c r="AR99" i="30"/>
  <c r="AP99" i="30"/>
  <c r="AP31" i="30"/>
  <c r="AQ31" i="30"/>
  <c r="AR31" i="30"/>
  <c r="AP337" i="30"/>
  <c r="AQ337" i="30"/>
  <c r="AR337" i="30"/>
  <c r="AP235" i="30"/>
  <c r="AR235" i="30"/>
  <c r="AQ235" i="30"/>
  <c r="AP134" i="30"/>
  <c r="AQ134" i="30"/>
  <c r="AR134" i="30"/>
  <c r="AQ269" i="30"/>
  <c r="AR269" i="30"/>
  <c r="AP269" i="30"/>
  <c r="AR303" i="30"/>
  <c r="AP303" i="30"/>
  <c r="AQ303" i="30"/>
  <c r="AP65" i="30"/>
  <c r="AQ65" i="30"/>
  <c r="AR65" i="30"/>
  <c r="B269" i="30"/>
  <c r="B337" i="30"/>
  <c r="B202" i="30"/>
  <c r="B99" i="30"/>
  <c r="B167" i="30"/>
  <c r="B134" i="30"/>
  <c r="B303" i="30"/>
  <c r="B65" i="30"/>
  <c r="B235" i="30"/>
  <c r="B31" i="30"/>
  <c r="I66" i="30"/>
  <c r="I100" i="30"/>
  <c r="I135" i="30"/>
  <c r="I203" i="30"/>
  <c r="I236" i="30"/>
  <c r="I304" i="30"/>
  <c r="I168" i="30"/>
  <c r="I338" i="30"/>
  <c r="I270" i="30"/>
  <c r="I32" i="30"/>
  <c r="AS303" i="30" l="1"/>
  <c r="AT303" i="30" s="1"/>
  <c r="AS337" i="30"/>
  <c r="AT337" i="30" s="1"/>
  <c r="C304" i="30"/>
  <c r="D304" i="30"/>
  <c r="C338" i="30"/>
  <c r="D338" i="30"/>
  <c r="AP32" i="30"/>
  <c r="AQ32" i="30"/>
  <c r="AR32" i="30"/>
  <c r="AP304" i="30"/>
  <c r="AQ304" i="30"/>
  <c r="AR304" i="30"/>
  <c r="AR100" i="30"/>
  <c r="AP100" i="30"/>
  <c r="AQ100" i="30"/>
  <c r="AR270" i="30"/>
  <c r="AQ270" i="30"/>
  <c r="AP270" i="30"/>
  <c r="AQ236" i="30"/>
  <c r="AP236" i="30"/>
  <c r="AR236" i="30"/>
  <c r="AQ66" i="30"/>
  <c r="AR66" i="30"/>
  <c r="AP66" i="30"/>
  <c r="AQ338" i="30"/>
  <c r="AR338" i="30"/>
  <c r="AP338" i="30"/>
  <c r="AP203" i="30"/>
  <c r="AQ203" i="30"/>
  <c r="AR203" i="30"/>
  <c r="AR168" i="30"/>
  <c r="AP168" i="30"/>
  <c r="AQ168" i="30"/>
  <c r="AQ135" i="30"/>
  <c r="AR135" i="30"/>
  <c r="AP135" i="30"/>
  <c r="B66" i="30"/>
  <c r="B338" i="30"/>
  <c r="B203" i="30"/>
  <c r="B236" i="30"/>
  <c r="B304" i="30"/>
  <c r="B135" i="30"/>
  <c r="B100" i="30"/>
  <c r="B270" i="30"/>
  <c r="B168" i="30"/>
  <c r="B32" i="30"/>
  <c r="I136" i="30"/>
  <c r="I101" i="30"/>
  <c r="I67" i="30"/>
  <c r="I169" i="30"/>
  <c r="I305" i="30"/>
  <c r="I237" i="30"/>
  <c r="I204" i="30"/>
  <c r="I33" i="30"/>
  <c r="I271" i="30"/>
  <c r="I339" i="30"/>
  <c r="AS338" i="30" l="1"/>
  <c r="AT338" i="30" s="1"/>
  <c r="AS304" i="30"/>
  <c r="AT304" i="30" s="1"/>
  <c r="C305" i="30"/>
  <c r="D305" i="30"/>
  <c r="C339" i="30"/>
  <c r="D339" i="30"/>
  <c r="AR67" i="30"/>
  <c r="AP67" i="30"/>
  <c r="AQ67" i="30"/>
  <c r="AR339" i="30"/>
  <c r="AP339" i="30"/>
  <c r="AQ339" i="30"/>
  <c r="AQ237" i="30"/>
  <c r="AR237" i="30"/>
  <c r="AP237" i="30"/>
  <c r="AP101" i="30"/>
  <c r="AQ101" i="30"/>
  <c r="AR101" i="30"/>
  <c r="AQ33" i="30"/>
  <c r="AR33" i="30"/>
  <c r="AP33" i="30"/>
  <c r="AP271" i="30"/>
  <c r="AQ271" i="30"/>
  <c r="AR271" i="30"/>
  <c r="AP305" i="30"/>
  <c r="AQ305" i="30"/>
  <c r="AR305" i="30"/>
  <c r="AR136" i="30"/>
  <c r="AP136" i="30"/>
  <c r="AQ136" i="30"/>
  <c r="AP169" i="30"/>
  <c r="AQ169" i="30"/>
  <c r="AR169" i="30"/>
  <c r="AQ204" i="30"/>
  <c r="AR204" i="30"/>
  <c r="AP204" i="30"/>
  <c r="B339" i="30"/>
  <c r="B271" i="30"/>
  <c r="B305" i="30"/>
  <c r="B136" i="30"/>
  <c r="B237" i="30"/>
  <c r="B101" i="30"/>
  <c r="B204" i="30"/>
  <c r="B67" i="30"/>
  <c r="B33" i="30"/>
  <c r="B169" i="30"/>
  <c r="I68" i="30"/>
  <c r="I102" i="30"/>
  <c r="I137" i="30"/>
  <c r="I205" i="30"/>
  <c r="I238" i="30"/>
  <c r="I306" i="30"/>
  <c r="I170" i="30"/>
  <c r="I340" i="30"/>
  <c r="I272" i="30"/>
  <c r="I34" i="30"/>
  <c r="AS305" i="30" l="1"/>
  <c r="AT305" i="30" s="1"/>
  <c r="AS339" i="30"/>
  <c r="AT339" i="30" s="1"/>
  <c r="C340" i="30"/>
  <c r="D340" i="30"/>
  <c r="C306" i="30"/>
  <c r="D306" i="30"/>
  <c r="AR34" i="30"/>
  <c r="AP34" i="30"/>
  <c r="AQ34" i="30"/>
  <c r="AQ306" i="30"/>
  <c r="AR306" i="30"/>
  <c r="AP306" i="30"/>
  <c r="AP102" i="30"/>
  <c r="AQ102" i="30"/>
  <c r="AR102" i="30"/>
  <c r="AP340" i="30"/>
  <c r="AQ340" i="30"/>
  <c r="AR340" i="30"/>
  <c r="AQ170" i="30"/>
  <c r="AR170" i="30"/>
  <c r="AP170" i="30"/>
  <c r="AP272" i="30"/>
  <c r="AQ272" i="30"/>
  <c r="AR272" i="30"/>
  <c r="AR238" i="30"/>
  <c r="AP238" i="30"/>
  <c r="AQ238" i="30"/>
  <c r="AP68" i="30"/>
  <c r="AQ68" i="30"/>
  <c r="AR68" i="30"/>
  <c r="AR205" i="30"/>
  <c r="AP205" i="30"/>
  <c r="AQ205" i="30"/>
  <c r="AP137" i="30"/>
  <c r="AQ137" i="30"/>
  <c r="AR137" i="30"/>
  <c r="B34" i="30"/>
  <c r="B137" i="30"/>
  <c r="B102" i="30"/>
  <c r="B170" i="30"/>
  <c r="B340" i="30"/>
  <c r="B205" i="30"/>
  <c r="B306" i="30"/>
  <c r="B272" i="30"/>
  <c r="B238" i="30"/>
  <c r="B68" i="30"/>
  <c r="O1" i="35"/>
  <c r="AA1" i="17"/>
  <c r="R1" i="27"/>
  <c r="AX1" i="22"/>
  <c r="I69" i="30"/>
  <c r="I138" i="30"/>
  <c r="I103" i="30"/>
  <c r="I171" i="30"/>
  <c r="I307" i="30"/>
  <c r="I239" i="30"/>
  <c r="I206" i="30"/>
  <c r="I35" i="30"/>
  <c r="I273" i="30"/>
  <c r="I341" i="30"/>
  <c r="AS306" i="30" l="1"/>
  <c r="AT306" i="30" s="1"/>
  <c r="AS340" i="30"/>
  <c r="AT340" i="30" s="1"/>
  <c r="C307" i="30"/>
  <c r="D307" i="30"/>
  <c r="C341" i="30"/>
  <c r="D341" i="30"/>
  <c r="AP341" i="30"/>
  <c r="AQ341" i="30"/>
  <c r="AR341" i="30"/>
  <c r="AP138" i="30"/>
  <c r="AQ138" i="30"/>
  <c r="AR138" i="30"/>
  <c r="AP206" i="30"/>
  <c r="AQ206" i="30"/>
  <c r="AR206" i="30"/>
  <c r="AQ103" i="30"/>
  <c r="AR103" i="30"/>
  <c r="AP103" i="30"/>
  <c r="AP239" i="30"/>
  <c r="AQ239" i="30"/>
  <c r="AR239" i="30"/>
  <c r="AR273" i="30"/>
  <c r="AP273" i="30"/>
  <c r="AQ273" i="30"/>
  <c r="AR307" i="30"/>
  <c r="AP307" i="30"/>
  <c r="AQ307" i="30"/>
  <c r="AP69" i="30"/>
  <c r="AQ69" i="30"/>
  <c r="AR69" i="30"/>
  <c r="AP35" i="30"/>
  <c r="AQ35" i="30"/>
  <c r="AR35" i="30"/>
  <c r="AR171" i="30"/>
  <c r="AP171" i="30"/>
  <c r="AQ171" i="30"/>
  <c r="B138" i="30"/>
  <c r="B69" i="30"/>
  <c r="B273" i="30"/>
  <c r="B341" i="30"/>
  <c r="B206" i="30"/>
  <c r="B103" i="30"/>
  <c r="B35" i="30"/>
  <c r="B171" i="30"/>
  <c r="B239" i="30"/>
  <c r="B307" i="30"/>
  <c r="I139" i="30"/>
  <c r="I104" i="30"/>
  <c r="I70" i="30"/>
  <c r="I207" i="30"/>
  <c r="I240" i="30"/>
  <c r="I308" i="30"/>
  <c r="I172" i="30"/>
  <c r="I342" i="30"/>
  <c r="I274" i="30"/>
  <c r="I36" i="30"/>
  <c r="AS307" i="30" l="1"/>
  <c r="AT307" i="30" s="1"/>
  <c r="AS341" i="30"/>
  <c r="AT341" i="30" s="1"/>
  <c r="C342" i="30"/>
  <c r="D342" i="30"/>
  <c r="C308" i="30"/>
  <c r="D308" i="30"/>
  <c r="AP36" i="30"/>
  <c r="AQ36" i="30"/>
  <c r="AR36" i="30"/>
  <c r="AP308" i="30"/>
  <c r="AQ308" i="30"/>
  <c r="AR308" i="30"/>
  <c r="AR274" i="30"/>
  <c r="AP274" i="30"/>
  <c r="AQ274" i="30"/>
  <c r="AP240" i="30"/>
  <c r="AQ240" i="30"/>
  <c r="AR240" i="30"/>
  <c r="AQ342" i="30"/>
  <c r="AR342" i="30"/>
  <c r="AP342" i="30"/>
  <c r="AP207" i="30"/>
  <c r="AQ207" i="30"/>
  <c r="AR207" i="30"/>
  <c r="AR104" i="30"/>
  <c r="AP104" i="30"/>
  <c r="AQ104" i="30"/>
  <c r="AQ139" i="30"/>
  <c r="AR139" i="30"/>
  <c r="AP139" i="30"/>
  <c r="AP172" i="30"/>
  <c r="AQ172" i="30"/>
  <c r="AR172" i="30"/>
  <c r="AQ70" i="30"/>
  <c r="AR70" i="30"/>
  <c r="AP70" i="30"/>
  <c r="B342" i="30"/>
  <c r="B308" i="30"/>
  <c r="B207" i="30"/>
  <c r="B104" i="30"/>
  <c r="B36" i="30"/>
  <c r="B274" i="30"/>
  <c r="B172" i="30"/>
  <c r="B240" i="30"/>
  <c r="B70" i="30"/>
  <c r="B139" i="30"/>
  <c r="I105" i="30"/>
  <c r="I140" i="30"/>
  <c r="I71" i="30"/>
  <c r="I173" i="30"/>
  <c r="I309" i="30"/>
  <c r="I241" i="30"/>
  <c r="I208" i="30"/>
  <c r="I275" i="30"/>
  <c r="I37" i="30"/>
  <c r="I343" i="30"/>
  <c r="C18" i="35"/>
  <c r="C16" i="35"/>
  <c r="C15" i="35"/>
  <c r="C14" i="35"/>
  <c r="C13" i="35"/>
  <c r="C12" i="35"/>
  <c r="C11" i="35"/>
  <c r="C10" i="35"/>
  <c r="C9" i="35"/>
  <c r="C8" i="35"/>
  <c r="C7" i="35"/>
  <c r="B4" i="35"/>
  <c r="E24" i="35" l="1"/>
  <c r="E28" i="35"/>
  <c r="E32" i="35"/>
  <c r="E36" i="35"/>
  <c r="E40" i="35"/>
  <c r="D24" i="35"/>
  <c r="D28" i="35"/>
  <c r="D32" i="35"/>
  <c r="D36" i="35"/>
  <c r="D40" i="35"/>
  <c r="E27" i="35"/>
  <c r="E35" i="35"/>
  <c r="D27" i="35"/>
  <c r="D39" i="35"/>
  <c r="E21" i="35"/>
  <c r="E25" i="35"/>
  <c r="E29" i="35"/>
  <c r="E33" i="35"/>
  <c r="E37" i="35"/>
  <c r="D21" i="35"/>
  <c r="D25" i="35"/>
  <c r="D29" i="35"/>
  <c r="D33" i="35"/>
  <c r="D37" i="35"/>
  <c r="E31" i="35"/>
  <c r="D23" i="35"/>
  <c r="D35" i="35"/>
  <c r="E22" i="35"/>
  <c r="E26" i="35"/>
  <c r="E30" i="35"/>
  <c r="E34" i="35"/>
  <c r="E38" i="35"/>
  <c r="D22" i="35"/>
  <c r="D26" i="35"/>
  <c r="D30" i="35"/>
  <c r="D34" i="35"/>
  <c r="D38" i="35"/>
  <c r="E23" i="35"/>
  <c r="E39" i="35"/>
  <c r="D31" i="35"/>
  <c r="AS342" i="30"/>
  <c r="AT342" i="30" s="1"/>
  <c r="AS308" i="30"/>
  <c r="AT308" i="30" s="1"/>
  <c r="C309" i="30"/>
  <c r="D309" i="30"/>
  <c r="C343" i="30"/>
  <c r="D343" i="30"/>
  <c r="AR343" i="30"/>
  <c r="AP343" i="30"/>
  <c r="AQ343" i="30"/>
  <c r="AQ241" i="30"/>
  <c r="AR241" i="30"/>
  <c r="AP241" i="30"/>
  <c r="AR140" i="30"/>
  <c r="AP140" i="30"/>
  <c r="AQ140" i="30"/>
  <c r="AP309" i="30"/>
  <c r="AQ309" i="30"/>
  <c r="AR309" i="30"/>
  <c r="AP275" i="30"/>
  <c r="AQ275" i="30"/>
  <c r="AR275" i="30"/>
  <c r="AP173" i="30"/>
  <c r="AQ173" i="30"/>
  <c r="AR173" i="30"/>
  <c r="AQ37" i="30"/>
  <c r="AR37" i="30"/>
  <c r="AP37" i="30"/>
  <c r="AP105" i="30"/>
  <c r="AQ105" i="30"/>
  <c r="AR105" i="30"/>
  <c r="AQ208" i="30"/>
  <c r="AR208" i="30"/>
  <c r="AP208" i="30"/>
  <c r="AR71" i="30"/>
  <c r="AP71" i="30"/>
  <c r="AQ71" i="30"/>
  <c r="B241" i="30"/>
  <c r="B309" i="30"/>
  <c r="B173" i="30"/>
  <c r="B71" i="30"/>
  <c r="B140" i="30"/>
  <c r="B343" i="30"/>
  <c r="B37" i="30"/>
  <c r="B275" i="30"/>
  <c r="B208" i="30"/>
  <c r="B105" i="30"/>
  <c r="I106" i="30"/>
  <c r="I72" i="30"/>
  <c r="I141" i="30"/>
  <c r="I242" i="30"/>
  <c r="I174" i="30"/>
  <c r="I209" i="30"/>
  <c r="I310" i="30"/>
  <c r="I344" i="30"/>
  <c r="I276" i="30"/>
  <c r="I38" i="30"/>
  <c r="AS343" i="30" l="1"/>
  <c r="AT343" i="30" s="1"/>
  <c r="AS309" i="30"/>
  <c r="AT309" i="30" s="1"/>
  <c r="C310" i="30"/>
  <c r="D310" i="30"/>
  <c r="C344" i="30"/>
  <c r="D344" i="30"/>
  <c r="AQ310" i="30"/>
  <c r="AR310" i="30"/>
  <c r="AP310" i="30"/>
  <c r="AR38" i="30"/>
  <c r="AP38" i="30"/>
  <c r="AQ38" i="30"/>
  <c r="AR209" i="30"/>
  <c r="AP209" i="30"/>
  <c r="AQ209" i="30"/>
  <c r="AP72" i="30"/>
  <c r="AQ72" i="30"/>
  <c r="AR72" i="30"/>
  <c r="AQ174" i="30"/>
  <c r="AR174" i="30"/>
  <c r="AP174" i="30"/>
  <c r="AQ141" i="30"/>
  <c r="AR141" i="30"/>
  <c r="AP141" i="30"/>
  <c r="AQ276" i="30"/>
  <c r="AR276" i="30"/>
  <c r="AP276" i="30"/>
  <c r="AP106" i="30"/>
  <c r="AQ106" i="30"/>
  <c r="AR106" i="30"/>
  <c r="AP344" i="30"/>
  <c r="AQ344" i="30"/>
  <c r="AR344" i="30"/>
  <c r="AR242" i="30"/>
  <c r="AP242" i="30"/>
  <c r="AQ242" i="30"/>
  <c r="B242" i="30"/>
  <c r="B209" i="30"/>
  <c r="B72" i="30"/>
  <c r="B174" i="30"/>
  <c r="B38" i="30"/>
  <c r="B276" i="30"/>
  <c r="B344" i="30"/>
  <c r="B310" i="30"/>
  <c r="B141" i="30"/>
  <c r="B106" i="30"/>
  <c r="I142" i="30"/>
  <c r="I73" i="30"/>
  <c r="I107" i="30"/>
  <c r="I311" i="30"/>
  <c r="I210" i="30"/>
  <c r="I175" i="30"/>
  <c r="I243" i="30"/>
  <c r="I277" i="30"/>
  <c r="I39" i="30"/>
  <c r="I345" i="30"/>
  <c r="E343" i="30" l="1"/>
  <c r="AS344" i="30"/>
  <c r="AT344" i="30" s="1"/>
  <c r="AS310" i="30"/>
  <c r="AT310" i="30" s="1"/>
  <c r="C311" i="30"/>
  <c r="D311" i="30"/>
  <c r="C345" i="30"/>
  <c r="D345" i="30"/>
  <c r="AP142" i="30"/>
  <c r="AQ142" i="30"/>
  <c r="AR142" i="30"/>
  <c r="AP345" i="30"/>
  <c r="AQ345" i="30"/>
  <c r="AR345" i="30"/>
  <c r="AR175" i="30"/>
  <c r="AP175" i="30"/>
  <c r="AQ175" i="30"/>
  <c r="AP73" i="30"/>
  <c r="AQ73" i="30"/>
  <c r="AR73" i="30"/>
  <c r="AP210" i="30"/>
  <c r="AQ210" i="30"/>
  <c r="AR210" i="30"/>
  <c r="AR277" i="30"/>
  <c r="AP277" i="30"/>
  <c r="AQ277" i="30"/>
  <c r="AR311" i="30"/>
  <c r="AQ311" i="30"/>
  <c r="AP311" i="30"/>
  <c r="AP39" i="30"/>
  <c r="AQ39" i="30"/>
  <c r="AR39" i="30"/>
  <c r="AP243" i="30"/>
  <c r="AQ243" i="30"/>
  <c r="AR243" i="30"/>
  <c r="AQ107" i="30"/>
  <c r="AR107" i="30"/>
  <c r="AP107" i="30"/>
  <c r="B210" i="30"/>
  <c r="B142" i="30"/>
  <c r="B311" i="30"/>
  <c r="B107" i="30"/>
  <c r="B73" i="30"/>
  <c r="B345" i="30"/>
  <c r="B277" i="30"/>
  <c r="B39" i="30"/>
  <c r="B243" i="30"/>
  <c r="B175" i="30"/>
  <c r="I108" i="30"/>
  <c r="I74" i="30"/>
  <c r="I143" i="30"/>
  <c r="I211" i="30"/>
  <c r="I312" i="30"/>
  <c r="I244" i="30"/>
  <c r="I176" i="30"/>
  <c r="I346" i="30"/>
  <c r="I40" i="30"/>
  <c r="I278" i="30"/>
  <c r="E344" i="30" l="1"/>
  <c r="AS311" i="30"/>
  <c r="AT311" i="30" s="1"/>
  <c r="AS345" i="30"/>
  <c r="AT345" i="30" s="1"/>
  <c r="C346" i="30"/>
  <c r="D346" i="30"/>
  <c r="C312" i="30"/>
  <c r="D312" i="30"/>
  <c r="I212" i="30"/>
  <c r="AQ346" i="30"/>
  <c r="AR346" i="30"/>
  <c r="AP346" i="30"/>
  <c r="AP176" i="30"/>
  <c r="AQ176" i="30"/>
  <c r="AR176" i="30"/>
  <c r="AQ143" i="30"/>
  <c r="AP143" i="30"/>
  <c r="AR143" i="30"/>
  <c r="AQ278" i="30"/>
  <c r="AR278" i="30"/>
  <c r="AP278" i="30"/>
  <c r="AP244" i="30"/>
  <c r="AQ244" i="30"/>
  <c r="AR244" i="30"/>
  <c r="AQ74" i="30"/>
  <c r="AR74" i="30"/>
  <c r="AP74" i="30"/>
  <c r="AP40" i="30"/>
  <c r="AQ40" i="30"/>
  <c r="AR40" i="30"/>
  <c r="AP312" i="30"/>
  <c r="AQ312" i="30"/>
  <c r="AR312" i="30"/>
  <c r="AR108" i="30"/>
  <c r="AP108" i="30"/>
  <c r="AQ108" i="30"/>
  <c r="AP211" i="30"/>
  <c r="AQ211" i="30"/>
  <c r="AR211" i="30"/>
  <c r="B143" i="30"/>
  <c r="B244" i="30"/>
  <c r="B108" i="30"/>
  <c r="B312" i="30"/>
  <c r="B211" i="30"/>
  <c r="B278" i="30"/>
  <c r="B346" i="30"/>
  <c r="B176" i="30"/>
  <c r="B74" i="30"/>
  <c r="B40" i="30"/>
  <c r="I75" i="30"/>
  <c r="I144" i="30"/>
  <c r="I109" i="30"/>
  <c r="I177" i="30"/>
  <c r="I245" i="30"/>
  <c r="I313" i="30"/>
  <c r="I41" i="30"/>
  <c r="I279" i="30"/>
  <c r="I347" i="30"/>
  <c r="E345" i="30" l="1"/>
  <c r="AS346" i="30"/>
  <c r="AT346" i="30" s="1"/>
  <c r="AS312" i="30"/>
  <c r="AT312" i="30" s="1"/>
  <c r="C313" i="30"/>
  <c r="D313" i="30"/>
  <c r="C347" i="30"/>
  <c r="D347" i="30"/>
  <c r="AQ212" i="30"/>
  <c r="AR347" i="30"/>
  <c r="AP347" i="30"/>
  <c r="AQ347" i="30"/>
  <c r="AR144" i="30"/>
  <c r="AP144" i="30"/>
  <c r="AQ144" i="30"/>
  <c r="AP279" i="30"/>
  <c r="AQ279" i="30"/>
  <c r="AR279" i="30"/>
  <c r="AR75" i="30"/>
  <c r="AP75" i="30"/>
  <c r="AQ75" i="30"/>
  <c r="AQ41" i="30"/>
  <c r="AR41" i="30"/>
  <c r="AP41" i="30"/>
  <c r="AP177" i="30"/>
  <c r="AQ177" i="30"/>
  <c r="AR177" i="30"/>
  <c r="AP313" i="30"/>
  <c r="AQ313" i="30"/>
  <c r="AR313" i="30"/>
  <c r="AQ245" i="30"/>
  <c r="AR245" i="30"/>
  <c r="AP245" i="30"/>
  <c r="AR212" i="30"/>
  <c r="AP212" i="30"/>
  <c r="AP109" i="30"/>
  <c r="AQ109" i="30"/>
  <c r="AR109" i="30"/>
  <c r="B245" i="30"/>
  <c r="B177" i="30"/>
  <c r="B109" i="30"/>
  <c r="B279" i="30"/>
  <c r="B41" i="30"/>
  <c r="B144" i="30"/>
  <c r="B75" i="30"/>
  <c r="B313" i="30"/>
  <c r="B347" i="30"/>
  <c r="B212" i="30"/>
  <c r="I76" i="30"/>
  <c r="I110" i="30"/>
  <c r="I145" i="30"/>
  <c r="I314" i="30"/>
  <c r="I246" i="30"/>
  <c r="I178" i="30"/>
  <c r="I280" i="30"/>
  <c r="I348" i="30"/>
  <c r="I42" i="30"/>
  <c r="E346" i="30" l="1"/>
  <c r="AS313" i="30"/>
  <c r="AT313" i="30" s="1"/>
  <c r="AS347" i="30"/>
  <c r="AT347" i="30" s="1"/>
  <c r="C348" i="30"/>
  <c r="D348" i="30"/>
  <c r="C314" i="30"/>
  <c r="D314" i="30"/>
  <c r="AQ314" i="30"/>
  <c r="AR314" i="30"/>
  <c r="AP314" i="30"/>
  <c r="AQ178" i="30"/>
  <c r="AR178" i="30"/>
  <c r="AP178" i="30"/>
  <c r="AQ110" i="30"/>
  <c r="AP110" i="30"/>
  <c r="AR110" i="30"/>
  <c r="AR42" i="30"/>
  <c r="AP42" i="30"/>
  <c r="AQ42" i="30"/>
  <c r="AR246" i="30"/>
  <c r="AP246" i="30"/>
  <c r="AQ246" i="30"/>
  <c r="AP76" i="30"/>
  <c r="AQ76" i="30"/>
  <c r="AR76" i="30"/>
  <c r="AP348" i="30"/>
  <c r="AQ348" i="30"/>
  <c r="AR348" i="30"/>
  <c r="AQ280" i="30"/>
  <c r="AP280" i="30"/>
  <c r="AR280" i="30"/>
  <c r="AP145" i="30"/>
  <c r="AQ145" i="30"/>
  <c r="AR145" i="30"/>
  <c r="I43" i="30"/>
  <c r="B314" i="30"/>
  <c r="B246" i="30"/>
  <c r="B145" i="30"/>
  <c r="B42" i="30"/>
  <c r="B348" i="30"/>
  <c r="B280" i="30"/>
  <c r="B178" i="30"/>
  <c r="B110" i="30"/>
  <c r="B76" i="30"/>
  <c r="I111" i="30"/>
  <c r="I146" i="30"/>
  <c r="I77" i="30"/>
  <c r="I179" i="30"/>
  <c r="I247" i="30"/>
  <c r="I315" i="30"/>
  <c r="I349" i="30"/>
  <c r="I281" i="30"/>
  <c r="E347" i="30" l="1"/>
  <c r="AS314" i="30"/>
  <c r="AT314" i="30" s="1"/>
  <c r="AS348" i="30"/>
  <c r="AT348" i="30" s="1"/>
  <c r="C315" i="30"/>
  <c r="D315" i="30"/>
  <c r="C349" i="30"/>
  <c r="D349" i="30"/>
  <c r="AR315" i="30"/>
  <c r="AP315" i="30"/>
  <c r="AQ315" i="30"/>
  <c r="AP146" i="30"/>
  <c r="AR146" i="30"/>
  <c r="AQ146" i="30"/>
  <c r="AP349" i="30"/>
  <c r="AQ349" i="30"/>
  <c r="AR349" i="30"/>
  <c r="AP77" i="30"/>
  <c r="AQ77" i="30"/>
  <c r="AR77" i="30"/>
  <c r="AP247" i="30"/>
  <c r="AQ247" i="30"/>
  <c r="AR247" i="30"/>
  <c r="AR111" i="30"/>
  <c r="AP111" i="30"/>
  <c r="AQ111" i="30"/>
  <c r="AR281" i="30"/>
  <c r="AP281" i="30"/>
  <c r="AQ281" i="30"/>
  <c r="AR179" i="30"/>
  <c r="AP179" i="30"/>
  <c r="AQ179" i="30"/>
  <c r="AP43" i="30"/>
  <c r="AQ43" i="30"/>
  <c r="AR43" i="30"/>
  <c r="B111" i="30"/>
  <c r="B281" i="30"/>
  <c r="B43" i="30"/>
  <c r="B349" i="30"/>
  <c r="B77" i="30"/>
  <c r="B315" i="30"/>
  <c r="B146" i="30"/>
  <c r="B247" i="30"/>
  <c r="B179" i="30"/>
  <c r="I78" i="30"/>
  <c r="I316" i="30"/>
  <c r="I248" i="30"/>
  <c r="I180" i="30"/>
  <c r="C6" i="46" l="1"/>
  <c r="I23" i="46"/>
  <c r="I26" i="46"/>
  <c r="E26" i="46"/>
  <c r="D26" i="46"/>
  <c r="D7" i="46"/>
  <c r="E7" i="46"/>
  <c r="G26" i="46"/>
  <c r="G27" i="46"/>
  <c r="C27" i="46"/>
  <c r="H26" i="46"/>
  <c r="E27" i="46"/>
  <c r="I27" i="46"/>
  <c r="I22" i="46"/>
  <c r="H27" i="46"/>
  <c r="D6" i="46"/>
  <c r="F26" i="46"/>
  <c r="F27" i="46"/>
  <c r="C26" i="46"/>
  <c r="D27" i="46"/>
  <c r="C7" i="46"/>
  <c r="E348" i="30"/>
  <c r="AS349" i="30"/>
  <c r="AT349" i="30" s="1"/>
  <c r="AS315" i="30"/>
  <c r="AT315" i="30" s="1"/>
  <c r="F143" i="27"/>
  <c r="E85" i="27"/>
  <c r="E143" i="27"/>
  <c r="L7" i="27"/>
  <c r="Q128" i="27"/>
  <c r="P128" i="27"/>
  <c r="E135" i="27"/>
  <c r="I131" i="27"/>
  <c r="D128" i="27"/>
  <c r="M139" i="27"/>
  <c r="P124" i="27"/>
  <c r="E87" i="27"/>
  <c r="P28" i="27"/>
  <c r="H128" i="27"/>
  <c r="D135" i="27"/>
  <c r="N145" i="27"/>
  <c r="E145" i="27"/>
  <c r="F135" i="27"/>
  <c r="C139" i="27"/>
  <c r="L127" i="27"/>
  <c r="G29" i="27"/>
  <c r="E127" i="27"/>
  <c r="O28" i="27"/>
  <c r="R123" i="27"/>
  <c r="I27" i="27"/>
  <c r="L9" i="27"/>
  <c r="E136" i="27"/>
  <c r="N127" i="27"/>
  <c r="N144" i="27"/>
  <c r="F144" i="27"/>
  <c r="H27" i="27"/>
  <c r="L131" i="27"/>
  <c r="D27" i="27"/>
  <c r="L86" i="27"/>
  <c r="F27" i="27"/>
  <c r="F123" i="27"/>
  <c r="F87" i="27"/>
  <c r="D140" i="27"/>
  <c r="C131" i="27"/>
  <c r="R128" i="27"/>
  <c r="H131" i="27"/>
  <c r="L132" i="27"/>
  <c r="L136" i="27"/>
  <c r="O29" i="27"/>
  <c r="N29" i="27"/>
  <c r="C123" i="27"/>
  <c r="O139" i="27"/>
  <c r="C95" i="27"/>
  <c r="F131" i="27"/>
  <c r="I123" i="27"/>
  <c r="M127" i="27"/>
  <c r="N139" i="27"/>
  <c r="I128" i="27"/>
  <c r="P140" i="27"/>
  <c r="N27" i="27"/>
  <c r="L144" i="27"/>
  <c r="M128" i="27"/>
  <c r="O128" i="27"/>
  <c r="Q127" i="27"/>
  <c r="C140" i="27"/>
  <c r="P139" i="27"/>
  <c r="G131" i="27"/>
  <c r="H123" i="27"/>
  <c r="D136" i="27"/>
  <c r="D123" i="27"/>
  <c r="P127" i="27"/>
  <c r="E27" i="27"/>
  <c r="R124" i="27"/>
  <c r="C124" i="27"/>
  <c r="C132" i="27"/>
  <c r="R127" i="27"/>
  <c r="G135" i="27"/>
  <c r="D132" i="27"/>
  <c r="N123" i="27"/>
  <c r="M131" i="27"/>
  <c r="E128" i="27"/>
  <c r="N124" i="27"/>
  <c r="N128" i="27"/>
  <c r="M115" i="27"/>
  <c r="D28" i="27"/>
  <c r="F29" i="27"/>
  <c r="M123" i="27"/>
  <c r="F132" i="27"/>
  <c r="N140" i="27"/>
  <c r="H132" i="27"/>
  <c r="O135" i="27"/>
  <c r="N132" i="27"/>
  <c r="L114" i="27"/>
  <c r="H28" i="27"/>
  <c r="M145" i="27"/>
  <c r="O127" i="27"/>
  <c r="E124" i="27"/>
  <c r="F128" i="27"/>
  <c r="F124" i="27"/>
  <c r="D127" i="27"/>
  <c r="F85" i="27"/>
  <c r="P27" i="27"/>
  <c r="I132" i="27"/>
  <c r="R82" i="27"/>
  <c r="L123" i="27"/>
  <c r="M114" i="27"/>
  <c r="I124" i="27"/>
  <c r="N135" i="27"/>
  <c r="M132" i="27"/>
  <c r="I28" i="27"/>
  <c r="N136" i="27"/>
  <c r="N143" i="27"/>
  <c r="Q140" i="27"/>
  <c r="Q123" i="27"/>
  <c r="M143" i="27"/>
  <c r="M144" i="27"/>
  <c r="E123" i="27"/>
  <c r="L116" i="27"/>
  <c r="R139" i="27"/>
  <c r="Q139" i="27"/>
  <c r="R131" i="27"/>
  <c r="L124" i="27"/>
  <c r="P132" i="27"/>
  <c r="H127" i="27"/>
  <c r="C128" i="27"/>
  <c r="E29" i="27"/>
  <c r="F145" i="27"/>
  <c r="R81" i="27"/>
  <c r="G124" i="27"/>
  <c r="D29" i="27"/>
  <c r="L139" i="27"/>
  <c r="R132" i="27"/>
  <c r="D124" i="27"/>
  <c r="O136" i="27"/>
  <c r="G128" i="27"/>
  <c r="C136" i="27"/>
  <c r="O132" i="27"/>
  <c r="C144" i="27"/>
  <c r="I127" i="27"/>
  <c r="F28" i="27"/>
  <c r="G123" i="27"/>
  <c r="E86" i="27"/>
  <c r="P123" i="27"/>
  <c r="Q131" i="27"/>
  <c r="F139" i="27"/>
  <c r="O124" i="27"/>
  <c r="L143" i="27"/>
  <c r="Q124" i="27"/>
  <c r="N28" i="27"/>
  <c r="M116" i="27"/>
  <c r="M140" i="27"/>
  <c r="L87" i="27"/>
  <c r="O123" i="27"/>
  <c r="O140" i="27"/>
  <c r="F86" i="27"/>
  <c r="G28" i="27"/>
  <c r="M124" i="27"/>
  <c r="G127" i="27"/>
  <c r="M135" i="27"/>
  <c r="C127" i="27"/>
  <c r="H124" i="27"/>
  <c r="F127" i="27"/>
  <c r="L115" i="27"/>
  <c r="F136" i="27"/>
  <c r="G132" i="27"/>
  <c r="D131" i="27"/>
  <c r="G136" i="27"/>
  <c r="R140" i="27"/>
  <c r="O27" i="27"/>
  <c r="N131" i="27"/>
  <c r="O131" i="27"/>
  <c r="I56" i="27"/>
  <c r="I57" i="27"/>
  <c r="R115" i="27"/>
  <c r="R114" i="27"/>
  <c r="H57" i="27"/>
  <c r="R144" i="27"/>
  <c r="P85" i="27"/>
  <c r="Q56" i="27"/>
  <c r="O85" i="27"/>
  <c r="O87" i="27"/>
  <c r="F57" i="27"/>
  <c r="I85" i="27"/>
  <c r="Q135" i="27"/>
  <c r="O115" i="27"/>
  <c r="R28" i="27"/>
  <c r="H86" i="27"/>
  <c r="I136" i="27"/>
  <c r="P144" i="27"/>
  <c r="O143" i="27"/>
  <c r="P135" i="27"/>
  <c r="P136" i="27"/>
  <c r="N57" i="27"/>
  <c r="O144" i="27"/>
  <c r="P29" i="27"/>
  <c r="E132" i="27"/>
  <c r="L135" i="27"/>
  <c r="C135" i="27"/>
  <c r="L85" i="27"/>
  <c r="M136" i="27"/>
  <c r="C316" i="30"/>
  <c r="D143" i="27" s="1"/>
  <c r="D316" i="30"/>
  <c r="D144" i="27" s="1"/>
  <c r="R56" i="27"/>
  <c r="H115" i="27"/>
  <c r="P86" i="27"/>
  <c r="G56" i="27"/>
  <c r="R143" i="27"/>
  <c r="Q114" i="27"/>
  <c r="G114" i="27"/>
  <c r="G115" i="27"/>
  <c r="G57" i="27"/>
  <c r="I143" i="27"/>
  <c r="P115" i="27"/>
  <c r="R136" i="27"/>
  <c r="Q143" i="27"/>
  <c r="P58" i="27"/>
  <c r="N87" i="27"/>
  <c r="O56" i="27"/>
  <c r="O116" i="27"/>
  <c r="Q136" i="27"/>
  <c r="N85" i="27"/>
  <c r="P145" i="27"/>
  <c r="H144" i="27"/>
  <c r="H135" i="27"/>
  <c r="Q27" i="27"/>
  <c r="M86" i="27"/>
  <c r="O145" i="27"/>
  <c r="Q28" i="27"/>
  <c r="N58" i="27"/>
  <c r="L8" i="27"/>
  <c r="F140" i="27"/>
  <c r="G139" i="27"/>
  <c r="I114" i="27"/>
  <c r="R86" i="27"/>
  <c r="Q86" i="27"/>
  <c r="P87" i="27"/>
  <c r="G116" i="27"/>
  <c r="G58" i="27"/>
  <c r="O86" i="27"/>
  <c r="Q144" i="27"/>
  <c r="F114" i="27"/>
  <c r="P57" i="27"/>
  <c r="I86" i="27"/>
  <c r="P116" i="27"/>
  <c r="R27" i="27"/>
  <c r="E57" i="27"/>
  <c r="E58" i="27"/>
  <c r="E56" i="27"/>
  <c r="H85" i="27"/>
  <c r="O58" i="27"/>
  <c r="O114" i="27"/>
  <c r="H143" i="27"/>
  <c r="G85" i="27"/>
  <c r="N116" i="27"/>
  <c r="M87" i="27"/>
  <c r="H136" i="27"/>
  <c r="N115" i="27"/>
  <c r="G145" i="27"/>
  <c r="N114" i="27"/>
  <c r="M85" i="27"/>
  <c r="D58" i="27"/>
  <c r="P131" i="27"/>
  <c r="G27" i="27"/>
  <c r="E144" i="27"/>
  <c r="D139" i="27"/>
  <c r="R85" i="27"/>
  <c r="H56" i="27"/>
  <c r="Q85" i="27"/>
  <c r="I115" i="27"/>
  <c r="R57" i="27"/>
  <c r="H114" i="27"/>
  <c r="Q57" i="27"/>
  <c r="Q115" i="27"/>
  <c r="F58" i="27"/>
  <c r="I144" i="27"/>
  <c r="F116" i="27"/>
  <c r="R135" i="27"/>
  <c r="F56" i="27"/>
  <c r="P114" i="27"/>
  <c r="P56" i="27"/>
  <c r="F115" i="27"/>
  <c r="E115" i="27"/>
  <c r="I135" i="27"/>
  <c r="N86" i="27"/>
  <c r="E114" i="27"/>
  <c r="P143" i="27"/>
  <c r="E116" i="27"/>
  <c r="O57" i="27"/>
  <c r="D56" i="27"/>
  <c r="G87" i="27"/>
  <c r="G144" i="27"/>
  <c r="D57" i="27"/>
  <c r="G143" i="27"/>
  <c r="N56" i="27"/>
  <c r="G86" i="27"/>
  <c r="L128" i="27"/>
  <c r="L140" i="27"/>
  <c r="E131" i="27"/>
  <c r="E28" i="27"/>
  <c r="Q132" i="27"/>
  <c r="AP316" i="30"/>
  <c r="AR316" i="30"/>
  <c r="AQ316" i="30"/>
  <c r="AQ78" i="30"/>
  <c r="AR78" i="30"/>
  <c r="AP78" i="30"/>
  <c r="AP180" i="30"/>
  <c r="AQ180" i="30"/>
  <c r="AR180" i="30"/>
  <c r="AP248" i="30"/>
  <c r="AQ248" i="30"/>
  <c r="AR248" i="30"/>
  <c r="B7" i="35"/>
  <c r="B248" i="30"/>
  <c r="B78" i="30"/>
  <c r="B316" i="30"/>
  <c r="B180" i="30"/>
  <c r="AQ85" i="22"/>
  <c r="AL85" i="22"/>
  <c r="AM85" i="22"/>
  <c r="AN85" i="22"/>
  <c r="AR85" i="22"/>
  <c r="AP85" i="22"/>
  <c r="AK85" i="22"/>
  <c r="AO85" i="22"/>
  <c r="AS85" i="22"/>
  <c r="I61" i="29"/>
  <c r="M61" i="29"/>
  <c r="J61" i="29"/>
  <c r="N61" i="29"/>
  <c r="K61" i="29"/>
  <c r="O61" i="29"/>
  <c r="H61" i="29"/>
  <c r="L61" i="29"/>
  <c r="P61" i="29"/>
  <c r="R5" i="17"/>
  <c r="V5" i="17"/>
  <c r="B11" i="35"/>
  <c r="Z5" i="17"/>
  <c r="B15" i="35"/>
  <c r="S5" i="17"/>
  <c r="B8" i="35"/>
  <c r="W5" i="17"/>
  <c r="B12" i="35"/>
  <c r="Q33" i="29"/>
  <c r="B16" i="35"/>
  <c r="T5" i="17"/>
  <c r="B9" i="35"/>
  <c r="X5" i="17"/>
  <c r="B13" i="35"/>
  <c r="AB5" i="17"/>
  <c r="B17" i="35"/>
  <c r="U5" i="17"/>
  <c r="B10" i="35"/>
  <c r="Y5" i="17"/>
  <c r="B14" i="35"/>
  <c r="AC5" i="17"/>
  <c r="B18" i="35"/>
  <c r="I33" i="29"/>
  <c r="AA5" i="17"/>
  <c r="J33" i="29"/>
  <c r="N33" i="29"/>
  <c r="R33" i="29"/>
  <c r="H33" i="29"/>
  <c r="L33" i="29"/>
  <c r="P33" i="29"/>
  <c r="M33" i="29"/>
  <c r="K33" i="29"/>
  <c r="O33" i="29"/>
  <c r="S33" i="29"/>
  <c r="I140" i="27" l="1"/>
  <c r="I139" i="27"/>
  <c r="H139" i="27"/>
  <c r="H140" i="27"/>
  <c r="G140" i="27"/>
  <c r="E139" i="27"/>
  <c r="E140" i="27"/>
  <c r="C143" i="27"/>
  <c r="AS316" i="30"/>
  <c r="AT316" i="30" s="1"/>
  <c r="E349" i="30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K68" i="22"/>
  <c r="AL68" i="22"/>
  <c r="AM68" i="22"/>
  <c r="AN68" i="22"/>
  <c r="AO68" i="22"/>
  <c r="AP68" i="22"/>
  <c r="AQ68" i="22"/>
  <c r="AR68" i="22"/>
  <c r="AS68" i="22"/>
  <c r="AT68" i="22"/>
  <c r="AU68" i="22"/>
  <c r="AV68" i="22"/>
  <c r="AK69" i="22"/>
  <c r="AL69" i="22"/>
  <c r="AM69" i="22"/>
  <c r="AN69" i="22"/>
  <c r="AO69" i="22"/>
  <c r="AP69" i="22"/>
  <c r="AQ69" i="22"/>
  <c r="AR69" i="22"/>
  <c r="AS69" i="22"/>
  <c r="AT69" i="22"/>
  <c r="AU69" i="22"/>
  <c r="AV69" i="22"/>
  <c r="AK70" i="22"/>
  <c r="AL70" i="22"/>
  <c r="AM70" i="22"/>
  <c r="AN70" i="22"/>
  <c r="AO70" i="22"/>
  <c r="AP70" i="22"/>
  <c r="AQ70" i="22"/>
  <c r="AR70" i="22"/>
  <c r="AS70" i="22"/>
  <c r="AT70" i="22"/>
  <c r="AU70" i="22"/>
  <c r="AV70" i="22"/>
  <c r="AK71" i="22"/>
  <c r="AL71" i="22"/>
  <c r="AM71" i="22"/>
  <c r="AN71" i="22"/>
  <c r="AO71" i="22"/>
  <c r="AP71" i="22"/>
  <c r="AQ71" i="22"/>
  <c r="AR71" i="22"/>
  <c r="AS71" i="22"/>
  <c r="AT71" i="22"/>
  <c r="AU71" i="22"/>
  <c r="AV71" i="22"/>
  <c r="AK72" i="22"/>
  <c r="AL72" i="22"/>
  <c r="AM72" i="22"/>
  <c r="AN72" i="22"/>
  <c r="AO72" i="22"/>
  <c r="AP72" i="22"/>
  <c r="AQ72" i="22"/>
  <c r="AR72" i="22"/>
  <c r="AS72" i="22"/>
  <c r="AT72" i="22"/>
  <c r="AU72" i="22"/>
  <c r="AV72" i="22"/>
  <c r="AK73" i="22"/>
  <c r="AL73" i="22"/>
  <c r="AM73" i="22"/>
  <c r="AN73" i="22"/>
  <c r="AO73" i="22"/>
  <c r="AP73" i="22"/>
  <c r="AQ73" i="22"/>
  <c r="AR73" i="22"/>
  <c r="AS73" i="22"/>
  <c r="AT73" i="22"/>
  <c r="AU73" i="22"/>
  <c r="AV73" i="22"/>
  <c r="AK74" i="22"/>
  <c r="AL74" i="22"/>
  <c r="AM74" i="22"/>
  <c r="AN74" i="22"/>
  <c r="AO74" i="22"/>
  <c r="AP74" i="22"/>
  <c r="AQ74" i="22"/>
  <c r="AR74" i="22"/>
  <c r="AS74" i="22"/>
  <c r="AT74" i="22"/>
  <c r="AU74" i="22"/>
  <c r="AV74" i="22"/>
  <c r="AK75" i="22"/>
  <c r="AL75" i="22"/>
  <c r="AM75" i="22"/>
  <c r="AN75" i="22"/>
  <c r="AO75" i="22"/>
  <c r="AP75" i="22"/>
  <c r="AQ75" i="22"/>
  <c r="AR75" i="22"/>
  <c r="AS75" i="22"/>
  <c r="AT75" i="22"/>
  <c r="AU75" i="22"/>
  <c r="AV75" i="22"/>
  <c r="AK76" i="22"/>
  <c r="AL76" i="22"/>
  <c r="AM76" i="22"/>
  <c r="AN76" i="22"/>
  <c r="AO76" i="22"/>
  <c r="AP76" i="22"/>
  <c r="AQ76" i="22"/>
  <c r="AR76" i="22"/>
  <c r="AS76" i="22"/>
  <c r="AT76" i="22"/>
  <c r="AU76" i="22"/>
  <c r="AV76" i="22"/>
  <c r="AK77" i="22"/>
  <c r="AL77" i="22"/>
  <c r="AM77" i="22"/>
  <c r="AN77" i="22"/>
  <c r="AO77" i="22"/>
  <c r="AP77" i="22"/>
  <c r="AQ77" i="22"/>
  <c r="AR77" i="22"/>
  <c r="AS77" i="22"/>
  <c r="AT77" i="22"/>
  <c r="AU77" i="22"/>
  <c r="AV77" i="22"/>
  <c r="AK78" i="22"/>
  <c r="AL78" i="22"/>
  <c r="AM78" i="22"/>
  <c r="AN78" i="22"/>
  <c r="AO78" i="22"/>
  <c r="AP78" i="22"/>
  <c r="AQ78" i="22"/>
  <c r="AR78" i="22"/>
  <c r="AS78" i="22"/>
  <c r="AT78" i="22"/>
  <c r="AU78" i="22"/>
  <c r="AV78" i="22"/>
  <c r="AK79" i="22"/>
  <c r="AL79" i="22"/>
  <c r="AM79" i="22"/>
  <c r="AN79" i="22"/>
  <c r="AO79" i="22"/>
  <c r="AP79" i="22"/>
  <c r="AQ79" i="22"/>
  <c r="AR79" i="22"/>
  <c r="AS79" i="22"/>
  <c r="AT79" i="22"/>
  <c r="AU79" i="22"/>
  <c r="AV79" i="22"/>
  <c r="AK80" i="22"/>
  <c r="AL80" i="22"/>
  <c r="AM80" i="22"/>
  <c r="AN80" i="22"/>
  <c r="AO80" i="22"/>
  <c r="AP80" i="22"/>
  <c r="AQ80" i="22"/>
  <c r="AR80" i="22"/>
  <c r="AS80" i="22"/>
  <c r="AT80" i="22"/>
  <c r="AU80" i="22"/>
  <c r="AV80" i="22"/>
  <c r="AK81" i="22"/>
  <c r="AL81" i="22"/>
  <c r="AM81" i="22"/>
  <c r="AN81" i="22"/>
  <c r="AO81" i="22"/>
  <c r="AP81" i="22"/>
  <c r="AQ81" i="22"/>
  <c r="AR81" i="22"/>
  <c r="AS81" i="22"/>
  <c r="AT81" i="22"/>
  <c r="AU81" i="22"/>
  <c r="AV81" i="22"/>
  <c r="AK82" i="22"/>
  <c r="AL82" i="22"/>
  <c r="AM82" i="22"/>
  <c r="AN82" i="22"/>
  <c r="AO82" i="22"/>
  <c r="AP82" i="22"/>
  <c r="AQ82" i="22"/>
  <c r="AR82" i="22"/>
  <c r="AS82" i="22"/>
  <c r="AT82" i="22"/>
  <c r="AU82" i="22"/>
  <c r="AV82" i="22"/>
  <c r="AK37" i="22"/>
  <c r="AK38" i="22"/>
  <c r="AL38" i="22"/>
  <c r="AM38" i="22"/>
  <c r="AN38" i="22"/>
  <c r="AO38" i="22"/>
  <c r="AP38" i="22"/>
  <c r="AQ38" i="22"/>
  <c r="AR38" i="22"/>
  <c r="AS38" i="22"/>
  <c r="AT38" i="22"/>
  <c r="AU38" i="22"/>
  <c r="AV38" i="22"/>
  <c r="AK39" i="22"/>
  <c r="AL39" i="22"/>
  <c r="AM39" i="22"/>
  <c r="AN39" i="22"/>
  <c r="AO39" i="22"/>
  <c r="AP39" i="22"/>
  <c r="AQ39" i="22"/>
  <c r="AR39" i="22"/>
  <c r="AS39" i="22"/>
  <c r="AT39" i="22"/>
  <c r="AU39" i="22"/>
  <c r="AV39" i="22"/>
  <c r="AK40" i="22"/>
  <c r="AL40" i="22"/>
  <c r="AM40" i="22"/>
  <c r="AN40" i="22"/>
  <c r="AO40" i="22"/>
  <c r="AP40" i="22"/>
  <c r="AQ40" i="22"/>
  <c r="AR40" i="22"/>
  <c r="AS40" i="22"/>
  <c r="AT40" i="22"/>
  <c r="AU40" i="22"/>
  <c r="AV40" i="22"/>
  <c r="AK41" i="22"/>
  <c r="AL41" i="22"/>
  <c r="AM41" i="22"/>
  <c r="AN41" i="22"/>
  <c r="AO41" i="22"/>
  <c r="AP41" i="22"/>
  <c r="AQ41" i="22"/>
  <c r="AR41" i="22"/>
  <c r="AS41" i="22"/>
  <c r="AT41" i="22"/>
  <c r="AU41" i="22"/>
  <c r="AV41" i="22"/>
  <c r="AK42" i="22"/>
  <c r="AL42" i="22"/>
  <c r="AM42" i="22"/>
  <c r="AN42" i="22"/>
  <c r="AO42" i="22"/>
  <c r="AP42" i="22"/>
  <c r="AQ42" i="22"/>
  <c r="AR42" i="22"/>
  <c r="AS42" i="22"/>
  <c r="AT42" i="22"/>
  <c r="AU42" i="22"/>
  <c r="AV42" i="22"/>
  <c r="AK43" i="22"/>
  <c r="AL43" i="22"/>
  <c r="AM43" i="22"/>
  <c r="AN43" i="22"/>
  <c r="AO43" i="22"/>
  <c r="AP43" i="22"/>
  <c r="AQ43" i="22"/>
  <c r="AR43" i="22"/>
  <c r="AS43" i="22"/>
  <c r="AT43" i="22"/>
  <c r="AU43" i="22"/>
  <c r="AV43" i="22"/>
  <c r="AK44" i="22"/>
  <c r="AL44" i="22"/>
  <c r="AM44" i="22"/>
  <c r="AN44" i="22"/>
  <c r="AO44" i="22"/>
  <c r="AP44" i="22"/>
  <c r="AQ44" i="22"/>
  <c r="AR44" i="22"/>
  <c r="AS44" i="22"/>
  <c r="AT44" i="22"/>
  <c r="AU44" i="22"/>
  <c r="AV44" i="22"/>
  <c r="AK45" i="22"/>
  <c r="AL45" i="22"/>
  <c r="AM45" i="22"/>
  <c r="AN45" i="22"/>
  <c r="AO45" i="22"/>
  <c r="AP45" i="22"/>
  <c r="AQ45" i="22"/>
  <c r="AR45" i="22"/>
  <c r="AS45" i="22"/>
  <c r="AT45" i="22"/>
  <c r="AU45" i="22"/>
  <c r="AV45" i="22"/>
  <c r="AK46" i="22"/>
  <c r="AL46" i="22"/>
  <c r="AM46" i="22"/>
  <c r="AN46" i="22"/>
  <c r="AO46" i="22"/>
  <c r="AP46" i="22"/>
  <c r="AQ46" i="22"/>
  <c r="AR46" i="22"/>
  <c r="AS46" i="22"/>
  <c r="AT46" i="22"/>
  <c r="AU46" i="22"/>
  <c r="AV46" i="22"/>
  <c r="AK47" i="22"/>
  <c r="AL47" i="22"/>
  <c r="AM47" i="22"/>
  <c r="AN47" i="22"/>
  <c r="AO47" i="22"/>
  <c r="AP47" i="22"/>
  <c r="AQ47" i="22"/>
  <c r="AR47" i="22"/>
  <c r="AS47" i="22"/>
  <c r="AT47" i="22"/>
  <c r="AU47" i="22"/>
  <c r="AV47" i="22"/>
  <c r="AK48" i="22"/>
  <c r="AL48" i="22"/>
  <c r="AM48" i="22"/>
  <c r="AN48" i="22"/>
  <c r="AO48" i="22"/>
  <c r="AP48" i="22"/>
  <c r="AQ48" i="22"/>
  <c r="AR48" i="22"/>
  <c r="AS48" i="22"/>
  <c r="AT48" i="22"/>
  <c r="AU48" i="22"/>
  <c r="AV48" i="22"/>
  <c r="AK49" i="22"/>
  <c r="AL49" i="22"/>
  <c r="AM49" i="22"/>
  <c r="AN49" i="22"/>
  <c r="AO49" i="22"/>
  <c r="AP49" i="22"/>
  <c r="AQ49" i="22"/>
  <c r="AR49" i="22"/>
  <c r="AS49" i="22"/>
  <c r="AT49" i="22"/>
  <c r="AU49" i="22"/>
  <c r="AV49" i="22"/>
  <c r="AK50" i="22"/>
  <c r="AL50" i="22"/>
  <c r="AM50" i="22"/>
  <c r="AN50" i="22"/>
  <c r="AO50" i="22"/>
  <c r="AP50" i="22"/>
  <c r="AQ50" i="22"/>
  <c r="AR50" i="22"/>
  <c r="AS50" i="22"/>
  <c r="AT50" i="22"/>
  <c r="AU50" i="22"/>
  <c r="AV50" i="22"/>
  <c r="AK51" i="22"/>
  <c r="AL51" i="22"/>
  <c r="AM51" i="22"/>
  <c r="AN51" i="22"/>
  <c r="AO51" i="22"/>
  <c r="AP51" i="22"/>
  <c r="AQ51" i="22"/>
  <c r="AR51" i="22"/>
  <c r="AS51" i="22"/>
  <c r="AT51" i="22"/>
  <c r="AU51" i="22"/>
  <c r="AV51" i="22"/>
  <c r="AK52" i="22"/>
  <c r="AL52" i="22"/>
  <c r="AM52" i="22"/>
  <c r="AN52" i="22"/>
  <c r="AO52" i="22"/>
  <c r="AP52" i="22"/>
  <c r="AQ52" i="22"/>
  <c r="AR52" i="22"/>
  <c r="AS52" i="22"/>
  <c r="AT52" i="22"/>
  <c r="AU52" i="22"/>
  <c r="AV52" i="22"/>
  <c r="AK53" i="22"/>
  <c r="AL53" i="22"/>
  <c r="AM53" i="22"/>
  <c r="AN53" i="22"/>
  <c r="AO53" i="22"/>
  <c r="AP53" i="22"/>
  <c r="AQ53" i="22"/>
  <c r="AR53" i="22"/>
  <c r="AS53" i="22"/>
  <c r="AT53" i="22"/>
  <c r="AU53" i="22"/>
  <c r="AV53" i="22"/>
  <c r="AK54" i="22"/>
  <c r="AL54" i="22"/>
  <c r="AM54" i="22"/>
  <c r="AN54" i="22"/>
  <c r="AO54" i="22"/>
  <c r="AP54" i="22"/>
  <c r="AQ54" i="22"/>
  <c r="AR54" i="22"/>
  <c r="AS54" i="22"/>
  <c r="AT54" i="22"/>
  <c r="AU54" i="22"/>
  <c r="AV54" i="22"/>
  <c r="AK55" i="22"/>
  <c r="AL55" i="22"/>
  <c r="AM55" i="22"/>
  <c r="AN55" i="22"/>
  <c r="AO55" i="22"/>
  <c r="AP55" i="22"/>
  <c r="AQ55" i="22"/>
  <c r="AR55" i="22"/>
  <c r="AS55" i="22"/>
  <c r="AT55" i="22"/>
  <c r="AU55" i="22"/>
  <c r="AV55" i="22"/>
  <c r="AK56" i="22"/>
  <c r="AL56" i="22"/>
  <c r="AM56" i="22"/>
  <c r="AN56" i="22"/>
  <c r="AO56" i="22"/>
  <c r="AP56" i="22"/>
  <c r="AQ56" i="22"/>
  <c r="AR56" i="22"/>
  <c r="AS56" i="22"/>
  <c r="AT56" i="22"/>
  <c r="AU56" i="22"/>
  <c r="AV56" i="22"/>
  <c r="AK57" i="22"/>
  <c r="AL57" i="22"/>
  <c r="AM57" i="22"/>
  <c r="AN57" i="22"/>
  <c r="AO57" i="22"/>
  <c r="AP57" i="22"/>
  <c r="AQ57" i="22"/>
  <c r="AR57" i="22"/>
  <c r="AS57" i="22"/>
  <c r="AT57" i="22"/>
  <c r="AU57" i="22"/>
  <c r="AV57" i="22"/>
  <c r="AL37" i="22"/>
  <c r="AM37" i="22"/>
  <c r="AN37" i="22"/>
  <c r="AO37" i="22"/>
  <c r="AP37" i="22"/>
  <c r="AQ37" i="22"/>
  <c r="AR37" i="22"/>
  <c r="AS37" i="22"/>
  <c r="AT37" i="22"/>
  <c r="AU37" i="22"/>
  <c r="AV37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V60" i="22"/>
  <c r="AU60" i="22"/>
  <c r="AT60" i="22"/>
  <c r="AS60" i="22"/>
  <c r="AR60" i="22"/>
  <c r="AQ60" i="22"/>
  <c r="AP60" i="22"/>
  <c r="AO60" i="22"/>
  <c r="AN60" i="22"/>
  <c r="AM60" i="22"/>
  <c r="AL60" i="22"/>
  <c r="AK60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D57" i="22"/>
  <c r="D56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L145" i="27" l="1"/>
  <c r="M141" i="27"/>
  <c r="P141" i="27"/>
  <c r="O141" i="27"/>
  <c r="N141" i="27"/>
  <c r="AF19" i="22"/>
  <c r="AB19" i="22"/>
  <c r="X19" i="22"/>
  <c r="T19" i="22"/>
  <c r="P19" i="22"/>
  <c r="L19" i="22"/>
  <c r="H19" i="22"/>
  <c r="AG19" i="22"/>
  <c r="AA19" i="22"/>
  <c r="V19" i="22"/>
  <c r="Q19" i="22"/>
  <c r="K19" i="22"/>
  <c r="F19" i="22"/>
  <c r="AI19" i="22"/>
  <c r="AD19" i="22"/>
  <c r="Y19" i="22"/>
  <c r="S19" i="22"/>
  <c r="N19" i="22"/>
  <c r="I19" i="22"/>
  <c r="AC19" i="22"/>
  <c r="R19" i="22"/>
  <c r="G19" i="22"/>
  <c r="Z19" i="22"/>
  <c r="O19" i="22"/>
  <c r="U19" i="22"/>
  <c r="AH19" i="22"/>
  <c r="W19" i="22"/>
  <c r="M19" i="22"/>
  <c r="AE19" i="22"/>
  <c r="J19" i="22"/>
  <c r="AH26" i="22"/>
  <c r="AD26" i="22"/>
  <c r="Z26" i="22"/>
  <c r="V26" i="22"/>
  <c r="R26" i="22"/>
  <c r="N26" i="22"/>
  <c r="J26" i="22"/>
  <c r="F26" i="22"/>
  <c r="AI26" i="22"/>
  <c r="AE26" i="22"/>
  <c r="AA26" i="22"/>
  <c r="W26" i="22"/>
  <c r="S26" i="22"/>
  <c r="O26" i="22"/>
  <c r="K26" i="22"/>
  <c r="G26" i="22"/>
  <c r="AF26" i="22"/>
  <c r="X26" i="22"/>
  <c r="P26" i="22"/>
  <c r="H26" i="22"/>
  <c r="AB26" i="22"/>
  <c r="T26" i="22"/>
  <c r="L26" i="22"/>
  <c r="Y26" i="22"/>
  <c r="I26" i="22"/>
  <c r="U26" i="22"/>
  <c r="AC26" i="22"/>
  <c r="AG26" i="22"/>
  <c r="Q26" i="22"/>
  <c r="M26" i="22"/>
  <c r="AH22" i="22"/>
  <c r="AD22" i="22"/>
  <c r="Z22" i="22"/>
  <c r="V22" i="22"/>
  <c r="R22" i="22"/>
  <c r="N22" i="22"/>
  <c r="J22" i="22"/>
  <c r="F22" i="22"/>
  <c r="AI22" i="22"/>
  <c r="AE22" i="22"/>
  <c r="AA22" i="22"/>
  <c r="W22" i="22"/>
  <c r="S22" i="22"/>
  <c r="O22" i="22"/>
  <c r="K22" i="22"/>
  <c r="G22" i="22"/>
  <c r="AF22" i="22"/>
  <c r="X22" i="22"/>
  <c r="P22" i="22"/>
  <c r="H22" i="22"/>
  <c r="AB22" i="22"/>
  <c r="T22" i="22"/>
  <c r="L22" i="22"/>
  <c r="AG22" i="22"/>
  <c r="Q22" i="22"/>
  <c r="AC22" i="22"/>
  <c r="M22" i="22"/>
  <c r="U22" i="22"/>
  <c r="Y22" i="22"/>
  <c r="I22" i="22"/>
  <c r="AH18" i="22"/>
  <c r="AD18" i="22"/>
  <c r="Z18" i="22"/>
  <c r="V18" i="22"/>
  <c r="R18" i="22"/>
  <c r="AE18" i="22"/>
  <c r="Y18" i="22"/>
  <c r="T18" i="22"/>
  <c r="O18" i="22"/>
  <c r="K18" i="22"/>
  <c r="G18" i="22"/>
  <c r="AG18" i="22"/>
  <c r="AB18" i="22"/>
  <c r="W18" i="22"/>
  <c r="Q18" i="22"/>
  <c r="M18" i="22"/>
  <c r="I18" i="22"/>
  <c r="AA18" i="22"/>
  <c r="P18" i="22"/>
  <c r="H18" i="22"/>
  <c r="AI18" i="22"/>
  <c r="X18" i="22"/>
  <c r="N18" i="22"/>
  <c r="F18" i="22"/>
  <c r="AC18" i="22"/>
  <c r="J18" i="22"/>
  <c r="AF18" i="22"/>
  <c r="U18" i="22"/>
  <c r="L18" i="22"/>
  <c r="S18" i="22"/>
  <c r="AF27" i="22"/>
  <c r="AB27" i="22"/>
  <c r="X27" i="22"/>
  <c r="T27" i="22"/>
  <c r="P27" i="22"/>
  <c r="L27" i="22"/>
  <c r="H27" i="22"/>
  <c r="AG27" i="22"/>
  <c r="AC27" i="22"/>
  <c r="Y27" i="22"/>
  <c r="U27" i="22"/>
  <c r="Q27" i="22"/>
  <c r="M27" i="22"/>
  <c r="I27" i="22"/>
  <c r="AH27" i="22"/>
  <c r="Z27" i="22"/>
  <c r="R27" i="22"/>
  <c r="J27" i="22"/>
  <c r="AD27" i="22"/>
  <c r="V27" i="22"/>
  <c r="N27" i="22"/>
  <c r="F27" i="22"/>
  <c r="AA27" i="22"/>
  <c r="K27" i="22"/>
  <c r="W27" i="22"/>
  <c r="G27" i="22"/>
  <c r="AE27" i="22"/>
  <c r="AI27" i="22"/>
  <c r="S27" i="22"/>
  <c r="O27" i="22"/>
  <c r="AF25" i="22"/>
  <c r="AB25" i="22"/>
  <c r="X25" i="22"/>
  <c r="T25" i="22"/>
  <c r="P25" i="22"/>
  <c r="L25" i="22"/>
  <c r="H25" i="22"/>
  <c r="AG25" i="22"/>
  <c r="AC25" i="22"/>
  <c r="Y25" i="22"/>
  <c r="U25" i="22"/>
  <c r="Q25" i="22"/>
  <c r="M25" i="22"/>
  <c r="I25" i="22"/>
  <c r="AD25" i="22"/>
  <c r="V25" i="22"/>
  <c r="N25" i="22"/>
  <c r="F25" i="22"/>
  <c r="AH25" i="22"/>
  <c r="Z25" i="22"/>
  <c r="R25" i="22"/>
  <c r="J25" i="22"/>
  <c r="W25" i="22"/>
  <c r="G25" i="22"/>
  <c r="AI25" i="22"/>
  <c r="S25" i="22"/>
  <c r="AA25" i="22"/>
  <c r="AE25" i="22"/>
  <c r="O25" i="22"/>
  <c r="K25" i="22"/>
  <c r="AF21" i="22"/>
  <c r="AB21" i="22"/>
  <c r="X21" i="22"/>
  <c r="T21" i="22"/>
  <c r="P21" i="22"/>
  <c r="L21" i="22"/>
  <c r="H21" i="22"/>
  <c r="AE21" i="22"/>
  <c r="Z21" i="22"/>
  <c r="U21" i="22"/>
  <c r="O21" i="22"/>
  <c r="J21" i="22"/>
  <c r="AH21" i="22"/>
  <c r="AC21" i="22"/>
  <c r="W21" i="22"/>
  <c r="R21" i="22"/>
  <c r="M21" i="22"/>
  <c r="G21" i="22"/>
  <c r="AG21" i="22"/>
  <c r="V21" i="22"/>
  <c r="K21" i="22"/>
  <c r="AD21" i="22"/>
  <c r="S21" i="22"/>
  <c r="I21" i="22"/>
  <c r="Y21" i="22"/>
  <c r="AA21" i="22"/>
  <c r="Q21" i="22"/>
  <c r="F21" i="22"/>
  <c r="AI21" i="22"/>
  <c r="N21" i="22"/>
  <c r="F17" i="22"/>
  <c r="AG17" i="22"/>
  <c r="AC17" i="22"/>
  <c r="Y17" i="22"/>
  <c r="U17" i="22"/>
  <c r="Q17" i="22"/>
  <c r="M17" i="22"/>
  <c r="I17" i="22"/>
  <c r="AI17" i="22"/>
  <c r="AE17" i="22"/>
  <c r="AA17" i="22"/>
  <c r="W17" i="22"/>
  <c r="S17" i="22"/>
  <c r="O17" i="22"/>
  <c r="K17" i="22"/>
  <c r="G17" i="22"/>
  <c r="AD17" i="22"/>
  <c r="V17" i="22"/>
  <c r="N17" i="22"/>
  <c r="AB17" i="22"/>
  <c r="T17" i="22"/>
  <c r="L17" i="22"/>
  <c r="X17" i="22"/>
  <c r="AH17" i="22"/>
  <c r="Z17" i="22"/>
  <c r="R17" i="22"/>
  <c r="J17" i="22"/>
  <c r="AF17" i="22"/>
  <c r="P17" i="22"/>
  <c r="H17" i="22"/>
  <c r="AF23" i="22"/>
  <c r="AB23" i="22"/>
  <c r="X23" i="22"/>
  <c r="T23" i="22"/>
  <c r="P23" i="22"/>
  <c r="L23" i="22"/>
  <c r="H23" i="22"/>
  <c r="AG23" i="22"/>
  <c r="AC23" i="22"/>
  <c r="Y23" i="22"/>
  <c r="U23" i="22"/>
  <c r="Q23" i="22"/>
  <c r="M23" i="22"/>
  <c r="I23" i="22"/>
  <c r="AH23" i="22"/>
  <c r="Z23" i="22"/>
  <c r="R23" i="22"/>
  <c r="J23" i="22"/>
  <c r="AD23" i="22"/>
  <c r="V23" i="22"/>
  <c r="N23" i="22"/>
  <c r="F23" i="22"/>
  <c r="AI23" i="22"/>
  <c r="S23" i="22"/>
  <c r="AE23" i="22"/>
  <c r="O23" i="22"/>
  <c r="W23" i="22"/>
  <c r="AA23" i="22"/>
  <c r="K23" i="22"/>
  <c r="G23" i="22"/>
  <c r="AH28" i="22"/>
  <c r="AD28" i="22"/>
  <c r="Z28" i="22"/>
  <c r="V28" i="22"/>
  <c r="R28" i="22"/>
  <c r="N28" i="22"/>
  <c r="J28" i="22"/>
  <c r="F28" i="22"/>
  <c r="AI28" i="22"/>
  <c r="AE28" i="22"/>
  <c r="AA28" i="22"/>
  <c r="W28" i="22"/>
  <c r="S28" i="22"/>
  <c r="O28" i="22"/>
  <c r="K28" i="22"/>
  <c r="G28" i="22"/>
  <c r="AB28" i="22"/>
  <c r="T28" i="22"/>
  <c r="L28" i="22"/>
  <c r="AF28" i="22"/>
  <c r="X28" i="22"/>
  <c r="P28" i="22"/>
  <c r="H28" i="22"/>
  <c r="AC28" i="22"/>
  <c r="M28" i="22"/>
  <c r="Y28" i="22"/>
  <c r="I28" i="22"/>
  <c r="AG28" i="22"/>
  <c r="U28" i="22"/>
  <c r="Q28" i="22"/>
  <c r="AH24" i="22"/>
  <c r="AD24" i="22"/>
  <c r="Z24" i="22"/>
  <c r="V24" i="22"/>
  <c r="R24" i="22"/>
  <c r="N24" i="22"/>
  <c r="J24" i="22"/>
  <c r="F24" i="22"/>
  <c r="AI24" i="22"/>
  <c r="AE24" i="22"/>
  <c r="AA24" i="22"/>
  <c r="W24" i="22"/>
  <c r="S24" i="22"/>
  <c r="O24" i="22"/>
  <c r="K24" i="22"/>
  <c r="G24" i="22"/>
  <c r="AB24" i="22"/>
  <c r="T24" i="22"/>
  <c r="L24" i="22"/>
  <c r="AF24" i="22"/>
  <c r="X24" i="22"/>
  <c r="P24" i="22"/>
  <c r="H24" i="22"/>
  <c r="U24" i="22"/>
  <c r="AG24" i="22"/>
  <c r="Q24" i="22"/>
  <c r="Y24" i="22"/>
  <c r="AC24" i="22"/>
  <c r="M24" i="22"/>
  <c r="I24" i="22"/>
  <c r="AH20" i="22"/>
  <c r="AD20" i="22"/>
  <c r="Z20" i="22"/>
  <c r="V20" i="22"/>
  <c r="R20" i="22"/>
  <c r="N20" i="22"/>
  <c r="J20" i="22"/>
  <c r="F20" i="22"/>
  <c r="AI20" i="22"/>
  <c r="AC20" i="22"/>
  <c r="X20" i="22"/>
  <c r="S20" i="22"/>
  <c r="M20" i="22"/>
  <c r="H20" i="22"/>
  <c r="AF20" i="22"/>
  <c r="AA20" i="22"/>
  <c r="U20" i="22"/>
  <c r="P20" i="22"/>
  <c r="K20" i="22"/>
  <c r="AE20" i="22"/>
  <c r="T20" i="22"/>
  <c r="I20" i="22"/>
  <c r="AB20" i="22"/>
  <c r="Q20" i="22"/>
  <c r="G20" i="22"/>
  <c r="AG20" i="22"/>
  <c r="L20" i="22"/>
  <c r="Y20" i="22"/>
  <c r="O20" i="22"/>
  <c r="W20" i="22"/>
  <c r="D37" i="22"/>
  <c r="E7" i="35" l="1"/>
  <c r="E11" i="35"/>
  <c r="E12" i="35"/>
  <c r="E15" i="35"/>
  <c r="E13" i="35"/>
  <c r="E17" i="35"/>
  <c r="E8" i="35"/>
  <c r="E16" i="35"/>
  <c r="E14" i="35"/>
  <c r="E10" i="35"/>
  <c r="E18" i="35"/>
  <c r="E9" i="35"/>
  <c r="U29" i="17"/>
  <c r="Y21" i="17"/>
  <c r="Z25" i="17"/>
  <c r="AB35" i="17"/>
  <c r="AB26" i="17"/>
  <c r="AB20" i="17"/>
  <c r="S24" i="17"/>
  <c r="S27" i="17"/>
  <c r="S23" i="17"/>
  <c r="S11" i="17"/>
  <c r="S31" i="17"/>
  <c r="S30" i="17"/>
  <c r="W21" i="17"/>
  <c r="W33" i="17"/>
  <c r="W8" i="17"/>
  <c r="W7" i="17"/>
  <c r="W23" i="17"/>
  <c r="W22" i="17"/>
  <c r="AA13" i="17"/>
  <c r="AA21" i="17"/>
  <c r="AA20" i="17"/>
  <c r="AA24" i="17"/>
  <c r="AA15" i="17"/>
  <c r="AA31" i="17"/>
  <c r="AA14" i="17"/>
  <c r="AA30" i="17"/>
  <c r="T13" i="17"/>
  <c r="T15" i="17"/>
  <c r="T29" i="17"/>
  <c r="T25" i="17"/>
  <c r="T11" i="17"/>
  <c r="T33" i="17"/>
  <c r="T20" i="17"/>
  <c r="U8" i="17"/>
  <c r="Y29" i="17"/>
  <c r="Y23" i="17"/>
  <c r="AC16" i="17"/>
  <c r="X33" i="17"/>
  <c r="V9" i="17"/>
  <c r="V31" i="17"/>
  <c r="Z11" i="17"/>
  <c r="Z12" i="17"/>
  <c r="AB22" i="17"/>
  <c r="AB33" i="17"/>
  <c r="S10" i="17"/>
  <c r="U20" i="17"/>
  <c r="U13" i="17"/>
  <c r="U18" i="17"/>
  <c r="Y25" i="17"/>
  <c r="Y11" i="17"/>
  <c r="X30" i="17"/>
  <c r="X34" i="17"/>
  <c r="X21" i="17"/>
  <c r="X8" i="17"/>
  <c r="X24" i="17"/>
  <c r="V17" i="17"/>
  <c r="V19" i="17"/>
  <c r="V33" i="17"/>
  <c r="V23" i="17"/>
  <c r="V15" i="17"/>
  <c r="V8" i="17"/>
  <c r="V24" i="17"/>
  <c r="Z15" i="17"/>
  <c r="Z35" i="17"/>
  <c r="Z18" i="17"/>
  <c r="Z14" i="17"/>
  <c r="Z13" i="17"/>
  <c r="Z29" i="17"/>
  <c r="Z16" i="17"/>
  <c r="Z32" i="17"/>
  <c r="AB31" i="17"/>
  <c r="AB27" i="17"/>
  <c r="AB30" i="17"/>
  <c r="AB34" i="17"/>
  <c r="AB21" i="17"/>
  <c r="AB8" i="17"/>
  <c r="AB24" i="17"/>
  <c r="S12" i="17"/>
  <c r="S29" i="17"/>
  <c r="S35" i="17"/>
  <c r="S9" i="17"/>
  <c r="S28" i="17"/>
  <c r="S15" i="17"/>
  <c r="S18" i="17"/>
  <c r="S34" i="17"/>
  <c r="W13" i="17"/>
  <c r="W12" i="17"/>
  <c r="W16" i="17"/>
  <c r="W11" i="17"/>
  <c r="W27" i="17"/>
  <c r="W10" i="17"/>
  <c r="W26" i="17"/>
  <c r="AA17" i="17"/>
  <c r="AA9" i="17"/>
  <c r="AA28" i="17"/>
  <c r="AA32" i="17"/>
  <c r="AA19" i="17"/>
  <c r="AA35" i="17"/>
  <c r="AA18" i="17"/>
  <c r="AA34" i="17"/>
  <c r="T23" i="17"/>
  <c r="T26" i="17"/>
  <c r="T9" i="17"/>
  <c r="T30" i="17"/>
  <c r="T17" i="17"/>
  <c r="T8" i="17"/>
  <c r="T24" i="17"/>
  <c r="U33" i="17"/>
  <c r="U9" i="17"/>
  <c r="U30" i="17"/>
  <c r="Y7" i="17"/>
  <c r="Y22" i="17"/>
  <c r="AC17" i="17"/>
  <c r="AC15" i="17"/>
  <c r="AC14" i="17"/>
  <c r="X27" i="17"/>
  <c r="X19" i="17"/>
  <c r="X17" i="17"/>
  <c r="V18" i="17"/>
  <c r="V10" i="17"/>
  <c r="V20" i="17"/>
  <c r="Z19" i="17"/>
  <c r="Z10" i="17"/>
  <c r="Z9" i="17"/>
  <c r="Z28" i="17"/>
  <c r="AB11" i="17"/>
  <c r="AB17" i="17"/>
  <c r="S19" i="17"/>
  <c r="U15" i="17"/>
  <c r="U7" i="17"/>
  <c r="U21" i="17"/>
  <c r="U35" i="17"/>
  <c r="U34" i="17"/>
  <c r="Y8" i="17"/>
  <c r="Y12" i="17"/>
  <c r="Y27" i="17"/>
  <c r="Y10" i="17"/>
  <c r="Y26" i="17"/>
  <c r="AC21" i="17"/>
  <c r="AC13" i="17"/>
  <c r="AC24" i="17"/>
  <c r="AC28" i="17"/>
  <c r="AC19" i="17"/>
  <c r="AC35" i="17"/>
  <c r="AC18" i="17"/>
  <c r="AC34" i="17"/>
  <c r="X23" i="17"/>
  <c r="X35" i="17"/>
  <c r="U25" i="17"/>
  <c r="U17" i="17"/>
  <c r="U31" i="17"/>
  <c r="U27" i="17"/>
  <c r="U19" i="17"/>
  <c r="U22" i="17"/>
  <c r="Y9" i="17"/>
  <c r="Y17" i="17"/>
  <c r="Y16" i="17"/>
  <c r="Y20" i="17"/>
  <c r="Y15" i="17"/>
  <c r="Y31" i="17"/>
  <c r="Y14" i="17"/>
  <c r="Y30" i="17"/>
  <c r="AC33" i="17"/>
  <c r="AC29" i="17"/>
  <c r="AC32" i="17"/>
  <c r="AC7" i="17"/>
  <c r="AC23" i="17"/>
  <c r="AC22" i="17"/>
  <c r="X7" i="17"/>
  <c r="X15" i="17"/>
  <c r="X10" i="17"/>
  <c r="X9" i="17"/>
  <c r="X25" i="17"/>
  <c r="X12" i="17"/>
  <c r="X28" i="17"/>
  <c r="V14" i="17"/>
  <c r="V27" i="17"/>
  <c r="V30" i="17"/>
  <c r="V7" i="17"/>
  <c r="V29" i="17"/>
  <c r="V21" i="17"/>
  <c r="V12" i="17"/>
  <c r="V28" i="17"/>
  <c r="Z31" i="17"/>
  <c r="Z7" i="17"/>
  <c r="Z26" i="17"/>
  <c r="Z22" i="17"/>
  <c r="Z17" i="17"/>
  <c r="Z33" i="17"/>
  <c r="Z20" i="17"/>
  <c r="AB15" i="17"/>
  <c r="AB7" i="17"/>
  <c r="AB10" i="17"/>
  <c r="AB9" i="17"/>
  <c r="AB25" i="17"/>
  <c r="AB12" i="17"/>
  <c r="AB28" i="17"/>
  <c r="S21" i="17"/>
  <c r="S8" i="17"/>
  <c r="S13" i="17"/>
  <c r="S33" i="17"/>
  <c r="S20" i="17"/>
  <c r="S22" i="17"/>
  <c r="W9" i="17"/>
  <c r="W29" i="17"/>
  <c r="W20" i="17"/>
  <c r="W24" i="17"/>
  <c r="W15" i="17"/>
  <c r="W31" i="17"/>
  <c r="W14" i="17"/>
  <c r="W30" i="17"/>
  <c r="AA33" i="17"/>
  <c r="AA25" i="17"/>
  <c r="AA8" i="17"/>
  <c r="AA7" i="17"/>
  <c r="AA23" i="17"/>
  <c r="AA22" i="17"/>
  <c r="T10" i="17"/>
  <c r="T34" i="17"/>
  <c r="T7" i="17"/>
  <c r="T14" i="17"/>
  <c r="T35" i="17"/>
  <c r="T22" i="17"/>
  <c r="T12" i="17"/>
  <c r="T28" i="17"/>
  <c r="U23" i="17"/>
  <c r="U16" i="17"/>
  <c r="U14" i="17"/>
  <c r="Y32" i="17"/>
  <c r="AC25" i="17"/>
  <c r="AC20" i="17"/>
  <c r="AC31" i="17"/>
  <c r="AC30" i="17"/>
  <c r="X22" i="17"/>
  <c r="X26" i="17"/>
  <c r="X20" i="17"/>
  <c r="V22" i="17"/>
  <c r="U12" i="17"/>
  <c r="U28" i="17"/>
  <c r="U11" i="17"/>
  <c r="U32" i="17"/>
  <c r="U24" i="17"/>
  <c r="U10" i="17"/>
  <c r="U26" i="17"/>
  <c r="Y13" i="17"/>
  <c r="Y33" i="17"/>
  <c r="Y24" i="17"/>
  <c r="Y28" i="17"/>
  <c r="Y19" i="17"/>
  <c r="Y35" i="17"/>
  <c r="Y18" i="17"/>
  <c r="Y34" i="17"/>
  <c r="AC9" i="17"/>
  <c r="AC8" i="17"/>
  <c r="AC12" i="17"/>
  <c r="AC11" i="17"/>
  <c r="AC27" i="17"/>
  <c r="AC10" i="17"/>
  <c r="AC26" i="17"/>
  <c r="X11" i="17"/>
  <c r="X31" i="17"/>
  <c r="X14" i="17"/>
  <c r="X18" i="17"/>
  <c r="X13" i="17"/>
  <c r="X29" i="17"/>
  <c r="X16" i="17"/>
  <c r="X32" i="17"/>
  <c r="V35" i="17"/>
  <c r="V25" i="17"/>
  <c r="V11" i="17"/>
  <c r="V13" i="17"/>
  <c r="V34" i="17"/>
  <c r="V26" i="17"/>
  <c r="V16" i="17"/>
  <c r="V32" i="17"/>
  <c r="Z27" i="17"/>
  <c r="Z23" i="17"/>
  <c r="Z34" i="17"/>
  <c r="Z30" i="17"/>
  <c r="Z21" i="17"/>
  <c r="Z8" i="17"/>
  <c r="Z24" i="17"/>
  <c r="AB19" i="17"/>
  <c r="AB23" i="17"/>
  <c r="AB14" i="17"/>
  <c r="AB18" i="17"/>
  <c r="AB13" i="17"/>
  <c r="AB29" i="17"/>
  <c r="AB16" i="17"/>
  <c r="AB32" i="17"/>
  <c r="S32" i="17"/>
  <c r="S14" i="17"/>
  <c r="S16" i="17"/>
  <c r="S17" i="17"/>
  <c r="S7" i="17"/>
  <c r="S25" i="17"/>
  <c r="S26" i="17"/>
  <c r="W25" i="17"/>
  <c r="W17" i="17"/>
  <c r="W28" i="17"/>
  <c r="W32" i="17"/>
  <c r="W19" i="17"/>
  <c r="W35" i="17"/>
  <c r="W18" i="17"/>
  <c r="W34" i="17"/>
  <c r="AA29" i="17"/>
  <c r="AA12" i="17"/>
  <c r="AA16" i="17"/>
  <c r="AA11" i="17"/>
  <c r="AA27" i="17"/>
  <c r="AA10" i="17"/>
  <c r="AA26" i="17"/>
  <c r="T31" i="17"/>
  <c r="T21" i="17"/>
  <c r="T18" i="17"/>
  <c r="T19" i="17"/>
  <c r="T27" i="17"/>
  <c r="T16" i="17"/>
  <c r="T32" i="17"/>
  <c r="Y6" i="17"/>
  <c r="E24" i="22"/>
  <c r="H16" i="22"/>
  <c r="R8" i="17"/>
  <c r="R18" i="17"/>
  <c r="R16" i="22"/>
  <c r="L16" i="22"/>
  <c r="R12" i="17"/>
  <c r="R22" i="17"/>
  <c r="V16" i="22"/>
  <c r="O16" i="22"/>
  <c r="R15" i="17"/>
  <c r="AE16" i="22"/>
  <c r="R31" i="17"/>
  <c r="R17" i="17"/>
  <c r="Q16" i="22"/>
  <c r="AG16" i="22"/>
  <c r="R33" i="17"/>
  <c r="V6" i="17"/>
  <c r="E21" i="22"/>
  <c r="Z6" i="17"/>
  <c r="E25" i="22"/>
  <c r="W6" i="17"/>
  <c r="E22" i="22"/>
  <c r="P16" i="22"/>
  <c r="R16" i="17"/>
  <c r="R26" i="17"/>
  <c r="Z16" i="22"/>
  <c r="T16" i="22"/>
  <c r="R20" i="17"/>
  <c r="R30" i="17"/>
  <c r="AD16" i="22"/>
  <c r="S16" i="22"/>
  <c r="R19" i="17"/>
  <c r="AI16" i="22"/>
  <c r="R35" i="17"/>
  <c r="U16" i="22"/>
  <c r="R21" i="17"/>
  <c r="R6" i="17"/>
  <c r="F16" i="22"/>
  <c r="E17" i="22"/>
  <c r="U6" i="17"/>
  <c r="E20" i="22"/>
  <c r="AC6" i="17"/>
  <c r="E28" i="22"/>
  <c r="X6" i="17"/>
  <c r="E23" i="22"/>
  <c r="R32" i="17"/>
  <c r="AF16" i="22"/>
  <c r="R34" i="17"/>
  <c r="AH16" i="22"/>
  <c r="AB16" i="22"/>
  <c r="R28" i="17"/>
  <c r="G16" i="22"/>
  <c r="R7" i="17"/>
  <c r="W16" i="22"/>
  <c r="R23" i="17"/>
  <c r="R9" i="17"/>
  <c r="I16" i="22"/>
  <c r="Y16" i="22"/>
  <c r="R25" i="17"/>
  <c r="AB6" i="17"/>
  <c r="E27" i="22"/>
  <c r="S6" i="17"/>
  <c r="E18" i="22"/>
  <c r="AA6" i="17"/>
  <c r="E26" i="22"/>
  <c r="R10" i="17"/>
  <c r="J16" i="22"/>
  <c r="X16" i="22"/>
  <c r="R24" i="17"/>
  <c r="R14" i="17"/>
  <c r="N16" i="22"/>
  <c r="K16" i="22"/>
  <c r="R11" i="17"/>
  <c r="AA16" i="22"/>
  <c r="R27" i="17"/>
  <c r="M16" i="22"/>
  <c r="R13" i="17"/>
  <c r="AC16" i="22"/>
  <c r="R29" i="17"/>
  <c r="T6" i="17"/>
  <c r="E19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U5" i="22" l="1"/>
  <c r="D22" i="17"/>
  <c r="Y5" i="22"/>
  <c r="D26" i="17"/>
  <c r="AC5" i="22"/>
  <c r="D30" i="17"/>
  <c r="AG5" i="22"/>
  <c r="D34" i="17"/>
  <c r="D19" i="17"/>
  <c r="D20" i="17"/>
  <c r="D23" i="17"/>
  <c r="D24" i="17"/>
  <c r="D27" i="17"/>
  <c r="D28" i="17"/>
  <c r="D31" i="17"/>
  <c r="D32" i="17"/>
  <c r="D35" i="17"/>
  <c r="Q32" i="17" l="1"/>
  <c r="Q24" i="17"/>
  <c r="Q34" i="17"/>
  <c r="Q26" i="17"/>
  <c r="Q31" i="17"/>
  <c r="Q23" i="17"/>
  <c r="Q20" i="17"/>
  <c r="Q30" i="17"/>
  <c r="Q22" i="17"/>
  <c r="Q28" i="17"/>
  <c r="Q35" i="17"/>
  <c r="Q27" i="17"/>
  <c r="Q19" i="17"/>
  <c r="P32" i="17"/>
  <c r="P28" i="17"/>
  <c r="P24" i="17"/>
  <c r="P20" i="17"/>
  <c r="P34" i="17"/>
  <c r="P30" i="17"/>
  <c r="P26" i="17"/>
  <c r="P22" i="17"/>
  <c r="P35" i="17"/>
  <c r="P31" i="17"/>
  <c r="P27" i="17"/>
  <c r="P23" i="17"/>
  <c r="P19" i="17"/>
  <c r="D21" i="17"/>
  <c r="Z5" i="22"/>
  <c r="D33" i="17"/>
  <c r="D25" i="17"/>
  <c r="AH5" i="22"/>
  <c r="AD5" i="22"/>
  <c r="D29" i="17"/>
  <c r="V5" i="22"/>
  <c r="S5" i="22"/>
  <c r="W5" i="22"/>
  <c r="AA5" i="22"/>
  <c r="AE5" i="22"/>
  <c r="AI5" i="22"/>
  <c r="T5" i="22"/>
  <c r="X5" i="22"/>
  <c r="AB5" i="22"/>
  <c r="AF5" i="22"/>
  <c r="Q33" i="17" l="1"/>
  <c r="Q21" i="17"/>
  <c r="Q25" i="17"/>
  <c r="Q29" i="17"/>
  <c r="P29" i="17"/>
  <c r="P33" i="17"/>
  <c r="P21" i="17"/>
  <c r="P25" i="17"/>
  <c r="D28" i="22"/>
  <c r="D27" i="22"/>
  <c r="D26" i="22"/>
  <c r="D25" i="22"/>
  <c r="D24" i="22"/>
  <c r="D23" i="22"/>
  <c r="D22" i="22"/>
  <c r="D21" i="22"/>
  <c r="D20" i="22"/>
  <c r="D19" i="22"/>
  <c r="D18" i="22"/>
  <c r="D17" i="22"/>
  <c r="C155" i="28" l="1"/>
  <c r="F107" i="28"/>
  <c r="C107" i="28"/>
  <c r="I107" i="28"/>
  <c r="N5" i="22"/>
  <c r="K5" i="22"/>
  <c r="M5" i="22"/>
  <c r="L5" i="22"/>
  <c r="P5" i="22"/>
  <c r="Q5" i="22"/>
  <c r="R5" i="22"/>
  <c r="I108" i="28" l="1"/>
  <c r="F108" i="28"/>
  <c r="F109" i="28"/>
  <c r="F110" i="28" s="1"/>
  <c r="F111" i="28" s="1"/>
  <c r="F112" i="28" s="1"/>
  <c r="F113" i="28" s="1"/>
  <c r="F114" i="28" s="1"/>
  <c r="F115" i="28" s="1"/>
  <c r="F116" i="28" s="1"/>
  <c r="F117" i="28" s="1"/>
  <c r="F118" i="28" s="1"/>
  <c r="F119" i="28" s="1"/>
  <c r="F120" i="28" s="1"/>
  <c r="F121" i="28" s="1"/>
  <c r="F122" i="28" s="1"/>
  <c r="C108" i="28"/>
  <c r="C109" i="28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56" i="28"/>
  <c r="C157" i="28" s="1"/>
  <c r="C158" i="28" s="1"/>
  <c r="C159" i="28" s="1"/>
  <c r="C160" i="28" s="1"/>
  <c r="C161" i="28" s="1"/>
  <c r="C162" i="28" s="1"/>
  <c r="C163" i="28" s="1"/>
  <c r="C164" i="28" s="1"/>
  <c r="C165" i="28" s="1"/>
  <c r="C166" i="28" s="1"/>
  <c r="C167" i="28" s="1"/>
  <c r="C168" i="28" s="1"/>
  <c r="C169" i="28" s="1"/>
  <c r="C170" i="28" s="1"/>
  <c r="L62" i="28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J5" i="22"/>
  <c r="O5" i="22"/>
  <c r="H5" i="22"/>
  <c r="I5" i="22"/>
  <c r="G5" i="22"/>
  <c r="D12" i="17"/>
  <c r="D17" i="17"/>
  <c r="D11" i="17"/>
  <c r="D18" i="17"/>
  <c r="D16" i="17"/>
  <c r="D13" i="17"/>
  <c r="D14" i="17"/>
  <c r="D15" i="17"/>
  <c r="D10" i="17"/>
  <c r="D9" i="17"/>
  <c r="D8" i="17"/>
  <c r="D7" i="17"/>
  <c r="D6" i="17"/>
  <c r="C62" i="28" l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I109" i="28"/>
  <c r="I110" i="28" s="1"/>
  <c r="I111" i="28" s="1"/>
  <c r="I112" i="28" s="1"/>
  <c r="I113" i="28" s="1"/>
  <c r="I114" i="28" s="1"/>
  <c r="I115" i="28" s="1"/>
  <c r="I116" i="28" s="1"/>
  <c r="I117" i="28" s="1"/>
  <c r="I118" i="28" s="1"/>
  <c r="I119" i="28" s="1"/>
  <c r="I120" i="28" s="1"/>
  <c r="I121" i="28" s="1"/>
  <c r="I122" i="28" s="1"/>
  <c r="I136" i="28" s="1"/>
  <c r="Q8" i="17"/>
  <c r="Q14" i="17"/>
  <c r="Q11" i="17"/>
  <c r="Q9" i="17"/>
  <c r="Q13" i="17"/>
  <c r="Q17" i="17"/>
  <c r="Q16" i="17"/>
  <c r="Q12" i="17"/>
  <c r="Q6" i="17"/>
  <c r="Q10" i="17"/>
  <c r="Q7" i="17"/>
  <c r="Q15" i="17"/>
  <c r="Q18" i="17"/>
  <c r="I88" i="28"/>
  <c r="I75" i="28"/>
  <c r="F88" i="28"/>
  <c r="F75" i="28"/>
  <c r="C184" i="28"/>
  <c r="C171" i="28"/>
  <c r="C136" i="28"/>
  <c r="C123" i="28"/>
  <c r="F136" i="28"/>
  <c r="F123" i="28"/>
  <c r="L88" i="28"/>
  <c r="L75" i="28"/>
  <c r="P6" i="17"/>
  <c r="P10" i="17"/>
  <c r="P16" i="17"/>
  <c r="P11" i="17"/>
  <c r="P12" i="17"/>
  <c r="P8" i="17"/>
  <c r="P14" i="17"/>
  <c r="P7" i="17"/>
  <c r="P9" i="17"/>
  <c r="P15" i="17"/>
  <c r="P13" i="17"/>
  <c r="P18" i="17"/>
  <c r="P17" i="17"/>
  <c r="C75" i="28" l="1"/>
  <c r="C89" i="28" s="1"/>
  <c r="C88" i="28"/>
  <c r="L65" i="27"/>
  <c r="L66" i="27"/>
  <c r="I123" i="28"/>
  <c r="I137" i="28" s="1"/>
  <c r="L76" i="28"/>
  <c r="L89" i="28"/>
  <c r="F124" i="28"/>
  <c r="F137" i="28"/>
  <c r="C124" i="28"/>
  <c r="C137" i="28"/>
  <c r="C172" i="28"/>
  <c r="C185" i="28"/>
  <c r="F76" i="28"/>
  <c r="F89" i="28"/>
  <c r="I76" i="28"/>
  <c r="I89" i="28"/>
  <c r="C76" i="28" l="1"/>
  <c r="C77" i="28" s="1"/>
  <c r="I124" i="28"/>
  <c r="I125" i="28" s="1"/>
  <c r="D95" i="27"/>
  <c r="I77" i="28"/>
  <c r="I90" i="28"/>
  <c r="F77" i="28"/>
  <c r="F90" i="28"/>
  <c r="C173" i="28"/>
  <c r="C186" i="28"/>
  <c r="C125" i="28"/>
  <c r="C138" i="28"/>
  <c r="F125" i="28"/>
  <c r="F138" i="28"/>
  <c r="L77" i="28"/>
  <c r="L90" i="28"/>
  <c r="AR12" i="30"/>
  <c r="H344" i="30"/>
  <c r="AQ318" i="30"/>
  <c r="AP318" i="30"/>
  <c r="AR182" i="30"/>
  <c r="AR148" i="30"/>
  <c r="AR114" i="30"/>
  <c r="AQ12" i="30"/>
  <c r="AQ80" i="30"/>
  <c r="AQ46" i="30"/>
  <c r="C90" i="28" l="1"/>
  <c r="I138" i="28"/>
  <c r="H349" i="30"/>
  <c r="H346" i="30"/>
  <c r="H345" i="30"/>
  <c r="H347" i="30"/>
  <c r="AQ284" i="30"/>
  <c r="H348" i="30"/>
  <c r="H343" i="30"/>
  <c r="AP284" i="30"/>
  <c r="AU344" i="30"/>
  <c r="G344" i="30" s="1"/>
  <c r="AU349" i="30"/>
  <c r="G349" i="30" s="1"/>
  <c r="AU346" i="30"/>
  <c r="G346" i="30" s="1"/>
  <c r="L91" i="28"/>
  <c r="L78" i="28"/>
  <c r="I139" i="28"/>
  <c r="I126" i="28"/>
  <c r="F139" i="28"/>
  <c r="F126" i="28"/>
  <c r="C139" i="28"/>
  <c r="C126" i="28"/>
  <c r="C187" i="28"/>
  <c r="C174" i="28"/>
  <c r="F91" i="28"/>
  <c r="F78" i="28"/>
  <c r="I91" i="28"/>
  <c r="I78" i="28"/>
  <c r="C78" i="28"/>
  <c r="C91" i="28"/>
  <c r="AU345" i="30"/>
  <c r="G345" i="30" s="1"/>
  <c r="AU348" i="30"/>
  <c r="G348" i="30" s="1"/>
  <c r="I92" i="28" l="1"/>
  <c r="I79" i="28"/>
  <c r="F92" i="28"/>
  <c r="F79" i="28"/>
  <c r="C188" i="28"/>
  <c r="C175" i="28"/>
  <c r="C140" i="28"/>
  <c r="C127" i="28"/>
  <c r="F140" i="28"/>
  <c r="F127" i="28"/>
  <c r="I140" i="28"/>
  <c r="I127" i="28"/>
  <c r="L92" i="28"/>
  <c r="L79" i="28"/>
  <c r="C92" i="28"/>
  <c r="C79" i="28"/>
  <c r="C93" i="28" l="1"/>
  <c r="C80" i="28"/>
  <c r="L93" i="28"/>
  <c r="L80" i="28"/>
  <c r="I141" i="28"/>
  <c r="I128" i="28"/>
  <c r="F141" i="28"/>
  <c r="F128" i="28"/>
  <c r="C141" i="28"/>
  <c r="C128" i="28"/>
  <c r="C189" i="28"/>
  <c r="C176" i="28"/>
  <c r="F93" i="28"/>
  <c r="F80" i="28"/>
  <c r="I93" i="28"/>
  <c r="I80" i="28"/>
  <c r="D7" i="35"/>
  <c r="D14" i="35"/>
  <c r="D16" i="35"/>
  <c r="D15" i="35"/>
  <c r="D17" i="35"/>
  <c r="D13" i="35"/>
  <c r="D18" i="35"/>
  <c r="I81" i="28" l="1"/>
  <c r="I94" i="28"/>
  <c r="F81" i="28"/>
  <c r="F94" i="28"/>
  <c r="C177" i="28"/>
  <c r="C190" i="28"/>
  <c r="C129" i="28"/>
  <c r="C142" i="28"/>
  <c r="F129" i="28"/>
  <c r="F142" i="28"/>
  <c r="I129" i="28"/>
  <c r="I142" i="28"/>
  <c r="L81" i="28"/>
  <c r="L94" i="28"/>
  <c r="C94" i="28"/>
  <c r="C81" i="28"/>
  <c r="L82" i="28" l="1"/>
  <c r="L95" i="28"/>
  <c r="I130" i="28"/>
  <c r="I143" i="28"/>
  <c r="C95" i="28"/>
  <c r="C82" i="28"/>
  <c r="F130" i="28"/>
  <c r="F143" i="28"/>
  <c r="C130" i="28"/>
  <c r="C143" i="28"/>
  <c r="C178" i="28"/>
  <c r="C191" i="28"/>
  <c r="F82" i="28"/>
  <c r="F95" i="28"/>
  <c r="I82" i="28"/>
  <c r="I95" i="28"/>
  <c r="D11" i="35"/>
  <c r="D8" i="35"/>
  <c r="D10" i="35"/>
  <c r="D9" i="35"/>
  <c r="C83" i="28" l="1"/>
  <c r="C96" i="28"/>
  <c r="I96" i="28"/>
  <c r="I83" i="28"/>
  <c r="F96" i="28"/>
  <c r="F83" i="28"/>
  <c r="C192" i="28"/>
  <c r="C179" i="28"/>
  <c r="C144" i="28"/>
  <c r="C131" i="28"/>
  <c r="F144" i="28"/>
  <c r="F131" i="28"/>
  <c r="I144" i="28"/>
  <c r="I131" i="28"/>
  <c r="L96" i="28"/>
  <c r="L83" i="28"/>
  <c r="L97" i="28" l="1"/>
  <c r="L84" i="28"/>
  <c r="I145" i="28"/>
  <c r="I132" i="28"/>
  <c r="F145" i="28"/>
  <c r="F132" i="28"/>
  <c r="C145" i="28"/>
  <c r="C132" i="28"/>
  <c r="C193" i="28"/>
  <c r="C180" i="28"/>
  <c r="F97" i="28"/>
  <c r="F84" i="28"/>
  <c r="I97" i="28"/>
  <c r="I84" i="28"/>
  <c r="C97" i="28"/>
  <c r="C84" i="28"/>
  <c r="D12" i="35"/>
  <c r="C85" i="28" l="1"/>
  <c r="C98" i="28"/>
  <c r="I98" i="28"/>
  <c r="I85" i="28"/>
  <c r="F98" i="28"/>
  <c r="F85" i="28"/>
  <c r="C194" i="28"/>
  <c r="C181" i="28"/>
  <c r="C146" i="28"/>
  <c r="C133" i="28"/>
  <c r="F146" i="28"/>
  <c r="F133" i="28"/>
  <c r="I146" i="28"/>
  <c r="I133" i="28"/>
  <c r="L98" i="28"/>
  <c r="L85" i="28"/>
  <c r="F147" i="28" l="1"/>
  <c r="F134" i="28"/>
  <c r="C147" i="28"/>
  <c r="C134" i="28"/>
  <c r="C195" i="28"/>
  <c r="C182" i="28"/>
  <c r="F99" i="28"/>
  <c r="F86" i="28"/>
  <c r="I99" i="28"/>
  <c r="I86" i="28"/>
  <c r="L99" i="28"/>
  <c r="L86" i="28"/>
  <c r="I147" i="28"/>
  <c r="I134" i="28"/>
  <c r="C99" i="28"/>
  <c r="C86" i="28"/>
  <c r="AR318" i="30"/>
  <c r="F313" i="30" l="1"/>
  <c r="F299" i="30"/>
  <c r="F292" i="30"/>
  <c r="F345" i="30"/>
  <c r="F346" i="30"/>
  <c r="F306" i="30"/>
  <c r="F338" i="30"/>
  <c r="F331" i="30"/>
  <c r="C87" i="28"/>
  <c r="C100" i="28"/>
  <c r="I148" i="28"/>
  <c r="I135" i="28"/>
  <c r="L100" i="28"/>
  <c r="L87" i="28"/>
  <c r="I100" i="28"/>
  <c r="I87" i="28"/>
  <c r="F100" i="28"/>
  <c r="F87" i="28"/>
  <c r="C196" i="28"/>
  <c r="C183" i="28"/>
  <c r="C148" i="28"/>
  <c r="C135" i="28"/>
  <c r="F148" i="28"/>
  <c r="F135" i="28"/>
  <c r="AV330" i="30"/>
  <c r="F330" i="30"/>
  <c r="AV323" i="30"/>
  <c r="F323" i="30"/>
  <c r="AV347" i="30"/>
  <c r="F347" i="30"/>
  <c r="AV344" i="30"/>
  <c r="F344" i="30"/>
  <c r="AV324" i="30"/>
  <c r="F324" i="30"/>
  <c r="AV337" i="30"/>
  <c r="F337" i="30"/>
  <c r="AQ285" i="30"/>
  <c r="AP285" i="30"/>
  <c r="M294" i="30"/>
  <c r="AV345" i="30"/>
  <c r="AI314" i="30"/>
  <c r="T308" i="30"/>
  <c r="S293" i="30"/>
  <c r="M338" i="30"/>
  <c r="AV338" i="30"/>
  <c r="U346" i="30"/>
  <c r="AV346" i="30"/>
  <c r="AN300" i="30"/>
  <c r="V287" i="30"/>
  <c r="U343" i="30"/>
  <c r="AB331" i="30"/>
  <c r="AV331" i="30"/>
  <c r="U325" i="30"/>
  <c r="AF301" i="30"/>
  <c r="Q287" i="30"/>
  <c r="O287" i="30"/>
  <c r="AO346" i="30"/>
  <c r="V300" i="30"/>
  <c r="AJ346" i="30"/>
  <c r="AC287" i="30"/>
  <c r="Z287" i="30"/>
  <c r="L346" i="30"/>
  <c r="S300" i="30"/>
  <c r="AG300" i="30"/>
  <c r="AB287" i="30"/>
  <c r="AM346" i="30"/>
  <c r="AD346" i="30"/>
  <c r="AA300" i="30"/>
  <c r="U300" i="30"/>
  <c r="AM287" i="30"/>
  <c r="W346" i="30"/>
  <c r="V346" i="30"/>
  <c r="AH300" i="30"/>
  <c r="X300" i="30"/>
  <c r="Y287" i="30"/>
  <c r="L287" i="30"/>
  <c r="AI346" i="30"/>
  <c r="Z346" i="30"/>
  <c r="Z300" i="30"/>
  <c r="N287" i="30"/>
  <c r="AH287" i="30"/>
  <c r="AA287" i="30"/>
  <c r="P287" i="30"/>
  <c r="AN287" i="30"/>
  <c r="AG287" i="30"/>
  <c r="R287" i="30"/>
  <c r="AL287" i="30"/>
  <c r="AE287" i="30"/>
  <c r="X287" i="30"/>
  <c r="M287" i="30"/>
  <c r="U287" i="30"/>
  <c r="AF287" i="30"/>
  <c r="W287" i="30"/>
  <c r="Z293" i="30"/>
  <c r="AG346" i="30"/>
  <c r="Y346" i="30"/>
  <c r="R346" i="30"/>
  <c r="S346" i="30"/>
  <c r="P346" i="30"/>
  <c r="T300" i="30"/>
  <c r="AF300" i="30"/>
  <c r="AK300" i="30"/>
  <c r="AI300" i="30"/>
  <c r="Z344" i="30"/>
  <c r="AC344" i="30"/>
  <c r="O344" i="30"/>
  <c r="AM293" i="30"/>
  <c r="AK287" i="30"/>
  <c r="AO287" i="30"/>
  <c r="AJ287" i="30"/>
  <c r="T287" i="30"/>
  <c r="AI287" i="30"/>
  <c r="S287" i="30"/>
  <c r="AD287" i="30"/>
  <c r="AN346" i="30"/>
  <c r="AA346" i="30"/>
  <c r="X346" i="30"/>
  <c r="AF346" i="30"/>
  <c r="W300" i="30"/>
  <c r="AO300" i="30"/>
  <c r="Q300" i="30"/>
  <c r="M346" i="30"/>
  <c r="AC346" i="30"/>
  <c r="N346" i="30"/>
  <c r="T346" i="30"/>
  <c r="Q346" i="30"/>
  <c r="AK346" i="30"/>
  <c r="AL346" i="30"/>
  <c r="AH346" i="30"/>
  <c r="O346" i="30"/>
  <c r="AE346" i="30"/>
  <c r="AB346" i="30"/>
  <c r="L300" i="30"/>
  <c r="AB300" i="30"/>
  <c r="M300" i="30"/>
  <c r="AC300" i="30"/>
  <c r="N300" i="30"/>
  <c r="AD300" i="30"/>
  <c r="AM300" i="30"/>
  <c r="AE300" i="30"/>
  <c r="P300" i="30"/>
  <c r="AJ300" i="30"/>
  <c r="Y300" i="30"/>
  <c r="R300" i="30"/>
  <c r="AL300" i="30"/>
  <c r="O300" i="30"/>
  <c r="V344" i="30"/>
  <c r="M293" i="30"/>
  <c r="AI344" i="30"/>
  <c r="AO344" i="30"/>
  <c r="AK293" i="30"/>
  <c r="AE293" i="30"/>
  <c r="L344" i="30"/>
  <c r="AF293" i="30"/>
  <c r="N293" i="30"/>
  <c r="AB344" i="30"/>
  <c r="AN293" i="30"/>
  <c r="U344" i="30"/>
  <c r="Y344" i="30"/>
  <c r="N344" i="30"/>
  <c r="AF344" i="30"/>
  <c r="AJ344" i="30"/>
  <c r="AE344" i="30"/>
  <c r="AN344" i="30"/>
  <c r="M344" i="30"/>
  <c r="AG344" i="30"/>
  <c r="AL344" i="30"/>
  <c r="AH344" i="30"/>
  <c r="S344" i="30"/>
  <c r="P344" i="30"/>
  <c r="V293" i="30"/>
  <c r="AD293" i="30"/>
  <c r="W293" i="30"/>
  <c r="P293" i="30"/>
  <c r="AJ293" i="30"/>
  <c r="AC293" i="30"/>
  <c r="R293" i="30"/>
  <c r="O293" i="30"/>
  <c r="AI293" i="30"/>
  <c r="X293" i="30"/>
  <c r="AO293" i="30"/>
  <c r="AG293" i="30"/>
  <c r="AA344" i="30"/>
  <c r="T344" i="30"/>
  <c r="Q344" i="30"/>
  <c r="Q293" i="30"/>
  <c r="T293" i="30"/>
  <c r="AH293" i="30"/>
  <c r="AR284" i="30"/>
  <c r="AM338" i="30"/>
  <c r="AN338" i="30"/>
  <c r="AC308" i="30"/>
  <c r="P338" i="30"/>
  <c r="U338" i="30"/>
  <c r="M314" i="30"/>
  <c r="Q308" i="30"/>
  <c r="W338" i="30"/>
  <c r="AK338" i="30"/>
  <c r="AM344" i="30"/>
  <c r="W344" i="30"/>
  <c r="X344" i="30"/>
  <c r="R344" i="30"/>
  <c r="AD344" i="30"/>
  <c r="AK344" i="30"/>
  <c r="U293" i="30"/>
  <c r="Y293" i="30"/>
  <c r="AB293" i="30"/>
  <c r="L293" i="30"/>
  <c r="AA293" i="30"/>
  <c r="AL293" i="30"/>
  <c r="Z338" i="30"/>
  <c r="AE308" i="30"/>
  <c r="Z301" i="30"/>
  <c r="AI308" i="30"/>
  <c r="AD308" i="30"/>
  <c r="AB308" i="30"/>
  <c r="AI294" i="30"/>
  <c r="R308" i="30"/>
  <c r="P308" i="30"/>
  <c r="AB301" i="30"/>
  <c r="Q314" i="30"/>
  <c r="W294" i="30"/>
  <c r="AM308" i="30"/>
  <c r="N308" i="30"/>
  <c r="M308" i="30"/>
  <c r="L308" i="30"/>
  <c r="V301" i="30"/>
  <c r="W314" i="30"/>
  <c r="AG294" i="30"/>
  <c r="S308" i="30"/>
  <c r="AH308" i="30"/>
  <c r="AG308" i="30"/>
  <c r="AF308" i="30"/>
  <c r="AL325" i="30"/>
  <c r="AF325" i="30"/>
  <c r="AM325" i="30"/>
  <c r="AE338" i="30"/>
  <c r="AH338" i="30"/>
  <c r="T338" i="30"/>
  <c r="Y338" i="30"/>
  <c r="AO338" i="30"/>
  <c r="N338" i="30"/>
  <c r="AD338" i="30"/>
  <c r="AF338" i="30"/>
  <c r="AA338" i="30"/>
  <c r="L338" i="30"/>
  <c r="Q338" i="30"/>
  <c r="AG338" i="30"/>
  <c r="AB338" i="30"/>
  <c r="V338" i="30"/>
  <c r="AL338" i="30"/>
  <c r="S338" i="30"/>
  <c r="AI338" i="30"/>
  <c r="AJ338" i="30"/>
  <c r="X338" i="30"/>
  <c r="O338" i="30"/>
  <c r="R338" i="30"/>
  <c r="AC338" i="30"/>
  <c r="W345" i="30"/>
  <c r="AI345" i="30"/>
  <c r="AJ345" i="30"/>
  <c r="T314" i="30"/>
  <c r="AJ314" i="30"/>
  <c r="U314" i="30"/>
  <c r="AK314" i="30"/>
  <c r="V314" i="30"/>
  <c r="AL314" i="30"/>
  <c r="AM314" i="30"/>
  <c r="X314" i="30"/>
  <c r="AN314" i="30"/>
  <c r="Y314" i="30"/>
  <c r="AO314" i="30"/>
  <c r="Z314" i="30"/>
  <c r="S314" i="30"/>
  <c r="O314" i="30"/>
  <c r="AB314" i="30"/>
  <c r="AC314" i="30"/>
  <c r="AD314" i="30"/>
  <c r="AA314" i="30"/>
  <c r="AF314" i="30"/>
  <c r="AG314" i="30"/>
  <c r="AH314" i="30"/>
  <c r="AE314" i="30"/>
  <c r="N301" i="30"/>
  <c r="AD301" i="30"/>
  <c r="S301" i="30"/>
  <c r="AI301" i="30"/>
  <c r="T301" i="30"/>
  <c r="AJ301" i="30"/>
  <c r="M301" i="30"/>
  <c r="AG301" i="30"/>
  <c r="R301" i="30"/>
  <c r="AH301" i="30"/>
  <c r="W301" i="30"/>
  <c r="AM301" i="30"/>
  <c r="X301" i="30"/>
  <c r="AN301" i="30"/>
  <c r="AC301" i="30"/>
  <c r="AK301" i="30"/>
  <c r="AL301" i="30"/>
  <c r="L301" i="30"/>
  <c r="Y301" i="30"/>
  <c r="O301" i="30"/>
  <c r="P301" i="30"/>
  <c r="AO301" i="30"/>
  <c r="Z307" i="30"/>
  <c r="N307" i="30"/>
  <c r="AA307" i="30"/>
  <c r="AN307" i="30"/>
  <c r="AD307" i="30"/>
  <c r="L307" i="30"/>
  <c r="Y307" i="30"/>
  <c r="W307" i="30"/>
  <c r="T307" i="30"/>
  <c r="AA325" i="30"/>
  <c r="R325" i="30"/>
  <c r="T325" i="30"/>
  <c r="AJ325" i="30"/>
  <c r="AH325" i="30"/>
  <c r="Y325" i="30"/>
  <c r="AO325" i="30"/>
  <c r="O325" i="30"/>
  <c r="AE325" i="30"/>
  <c r="AD325" i="30"/>
  <c r="X325" i="30"/>
  <c r="AN325" i="30"/>
  <c r="M325" i="30"/>
  <c r="AC325" i="30"/>
  <c r="Z325" i="30"/>
  <c r="W331" i="30"/>
  <c r="S331" i="30"/>
  <c r="R331" i="30"/>
  <c r="AI331" i="30"/>
  <c r="U331" i="30"/>
  <c r="AK331" i="30"/>
  <c r="AL331" i="30"/>
  <c r="AB325" i="30"/>
  <c r="L331" i="30"/>
  <c r="T294" i="30"/>
  <c r="AJ294" i="30"/>
  <c r="U294" i="30"/>
  <c r="AK294" i="30"/>
  <c r="V294" i="30"/>
  <c r="AL294" i="30"/>
  <c r="AE294" i="30"/>
  <c r="X294" i="30"/>
  <c r="AN294" i="30"/>
  <c r="Y294" i="30"/>
  <c r="AO294" i="30"/>
  <c r="Z294" i="30"/>
  <c r="AA294" i="30"/>
  <c r="AM294" i="30"/>
  <c r="P294" i="30"/>
  <c r="Q294" i="30"/>
  <c r="R294" i="30"/>
  <c r="O294" i="30"/>
  <c r="AB294" i="30"/>
  <c r="AC294" i="30"/>
  <c r="AD294" i="30"/>
  <c r="S294" i="30"/>
  <c r="O308" i="30"/>
  <c r="W308" i="30"/>
  <c r="Z308" i="30"/>
  <c r="AO308" i="30"/>
  <c r="Y308" i="30"/>
  <c r="AN308" i="30"/>
  <c r="X308" i="30"/>
  <c r="AK325" i="30"/>
  <c r="V325" i="30"/>
  <c r="P325" i="30"/>
  <c r="W325" i="30"/>
  <c r="Q301" i="30"/>
  <c r="AE301" i="30"/>
  <c r="AK345" i="30"/>
  <c r="R314" i="30"/>
  <c r="P314" i="30"/>
  <c r="AJ307" i="30"/>
  <c r="AH294" i="30"/>
  <c r="AF294" i="30"/>
  <c r="AN315" i="30"/>
  <c r="N315" i="30"/>
  <c r="W343" i="30"/>
  <c r="V343" i="30"/>
  <c r="AK343" i="30"/>
  <c r="X343" i="30"/>
  <c r="AL343" i="30"/>
  <c r="S343" i="30"/>
  <c r="AI343" i="30"/>
  <c r="M324" i="30"/>
  <c r="Y324" i="30"/>
  <c r="AF324" i="30"/>
  <c r="Q325" i="30"/>
  <c r="AI325" i="30"/>
  <c r="N343" i="30"/>
  <c r="AO307" i="30"/>
  <c r="AA308" i="30"/>
  <c r="AL308" i="30"/>
  <c r="V308" i="30"/>
  <c r="AK308" i="30"/>
  <c r="U308" i="30"/>
  <c r="AJ308" i="30"/>
  <c r="AG325" i="30"/>
  <c r="N325" i="30"/>
  <c r="L325" i="30"/>
  <c r="S325" i="30"/>
  <c r="U301" i="30"/>
  <c r="AA301" i="30"/>
  <c r="AF345" i="30"/>
  <c r="N314" i="30"/>
  <c r="L314" i="30"/>
  <c r="AH307" i="30"/>
  <c r="N294" i="30"/>
  <c r="L294" i="30"/>
  <c r="Z343" i="30"/>
  <c r="AG343" i="30"/>
  <c r="Q343" i="30"/>
  <c r="AN343" i="30"/>
  <c r="T343" i="30"/>
  <c r="AJ343" i="30"/>
  <c r="AE343" i="30"/>
  <c r="O343" i="30"/>
  <c r="Z331" i="30"/>
  <c r="AG331" i="30"/>
  <c r="Q331" i="30"/>
  <c r="AN331" i="30"/>
  <c r="X331" i="30"/>
  <c r="AH331" i="30"/>
  <c r="AE331" i="30"/>
  <c r="O331" i="30"/>
  <c r="AD324" i="30"/>
  <c r="R343" i="30"/>
  <c r="AC343" i="30"/>
  <c r="M343" i="30"/>
  <c r="AF343" i="30"/>
  <c r="L343" i="30"/>
  <c r="P343" i="30"/>
  <c r="AA343" i="30"/>
  <c r="N331" i="30"/>
  <c r="AC331" i="30"/>
  <c r="M331" i="30"/>
  <c r="AJ331" i="30"/>
  <c r="T331" i="30"/>
  <c r="V331" i="30"/>
  <c r="AA331" i="30"/>
  <c r="L324" i="30"/>
  <c r="N324" i="30"/>
  <c r="AO343" i="30"/>
  <c r="Y343" i="30"/>
  <c r="AD343" i="30"/>
  <c r="AB343" i="30"/>
  <c r="AH343" i="30"/>
  <c r="AM343" i="30"/>
  <c r="AO331" i="30"/>
  <c r="Y331" i="30"/>
  <c r="AD331" i="30"/>
  <c r="AF331" i="30"/>
  <c r="P331" i="30"/>
  <c r="AM331" i="30"/>
  <c r="AA324" i="30"/>
  <c r="AO324" i="30"/>
  <c r="AA347" i="30"/>
  <c r="L347" i="30"/>
  <c r="N347" i="30"/>
  <c r="X347" i="30"/>
  <c r="AD347" i="30"/>
  <c r="Y347" i="30"/>
  <c r="AO347" i="30"/>
  <c r="O347" i="30"/>
  <c r="AE347" i="30"/>
  <c r="T347" i="30"/>
  <c r="Z347" i="30"/>
  <c r="AF347" i="30"/>
  <c r="M347" i="30"/>
  <c r="AC347" i="30"/>
  <c r="V347" i="30"/>
  <c r="S347" i="30"/>
  <c r="AI347" i="30"/>
  <c r="AB347" i="30"/>
  <c r="AL347" i="30"/>
  <c r="AN347" i="30"/>
  <c r="Q347" i="30"/>
  <c r="AG347" i="30"/>
  <c r="AH347" i="30"/>
  <c r="W347" i="30"/>
  <c r="AM347" i="30"/>
  <c r="AJ347" i="30"/>
  <c r="P347" i="30"/>
  <c r="R347" i="30"/>
  <c r="U347" i="30"/>
  <c r="AK347" i="30"/>
  <c r="U342" i="30"/>
  <c r="V342" i="30"/>
  <c r="AJ342" i="30"/>
  <c r="Q342" i="30"/>
  <c r="AL342" i="30"/>
  <c r="AG342" i="30"/>
  <c r="S342" i="30"/>
  <c r="AB342" i="30"/>
  <c r="AI342" i="30"/>
  <c r="S339" i="30"/>
  <c r="AI339" i="30"/>
  <c r="L339" i="30"/>
  <c r="AB339" i="30"/>
  <c r="N339" i="30"/>
  <c r="Q339" i="30"/>
  <c r="AG339" i="30"/>
  <c r="AD339" i="30"/>
  <c r="W339" i="30"/>
  <c r="AM339" i="30"/>
  <c r="P339" i="30"/>
  <c r="AF339" i="30"/>
  <c r="Z339" i="30"/>
  <c r="U339" i="30"/>
  <c r="AK339" i="30"/>
  <c r="AA339" i="30"/>
  <c r="V339" i="30"/>
  <c r="T339" i="30"/>
  <c r="AJ339" i="30"/>
  <c r="AL339" i="30"/>
  <c r="Y339" i="30"/>
  <c r="AO339" i="30"/>
  <c r="O339" i="30"/>
  <c r="AE339" i="30"/>
  <c r="AH339" i="30"/>
  <c r="X339" i="30"/>
  <c r="AN339" i="30"/>
  <c r="M339" i="30"/>
  <c r="AC339" i="30"/>
  <c r="R339" i="30"/>
  <c r="AC307" i="30"/>
  <c r="Q307" i="30"/>
  <c r="AB307" i="30"/>
  <c r="AM307" i="30"/>
  <c r="S307" i="30"/>
  <c r="V307" i="30"/>
  <c r="M307" i="30"/>
  <c r="U307" i="30"/>
  <c r="X307" i="30"/>
  <c r="AI307" i="30"/>
  <c r="AL307" i="30"/>
  <c r="R307" i="30"/>
  <c r="Q345" i="30"/>
  <c r="O345" i="30"/>
  <c r="X342" i="30"/>
  <c r="AE342" i="30"/>
  <c r="O342" i="30"/>
  <c r="AH342" i="30"/>
  <c r="R342" i="30"/>
  <c r="P342" i="30"/>
  <c r="AC342" i="30"/>
  <c r="M342" i="30"/>
  <c r="AM324" i="30"/>
  <c r="W324" i="30"/>
  <c r="T324" i="30"/>
  <c r="Z324" i="30"/>
  <c r="AN324" i="30"/>
  <c r="AK324" i="30"/>
  <c r="U324" i="30"/>
  <c r="AG345" i="30"/>
  <c r="M345" i="30"/>
  <c r="P345" i="30"/>
  <c r="AB345" i="30"/>
  <c r="AE345" i="30"/>
  <c r="L342" i="30"/>
  <c r="AA342" i="30"/>
  <c r="AF342" i="30"/>
  <c r="AD342" i="30"/>
  <c r="N342" i="30"/>
  <c r="AO342" i="30"/>
  <c r="Y342" i="30"/>
  <c r="AJ324" i="30"/>
  <c r="AI324" i="30"/>
  <c r="S324" i="30"/>
  <c r="AL324" i="30"/>
  <c r="V324" i="30"/>
  <c r="AB324" i="30"/>
  <c r="AG324" i="30"/>
  <c r="Q324" i="30"/>
  <c r="AH345" i="30"/>
  <c r="AC345" i="30"/>
  <c r="R345" i="30"/>
  <c r="AL345" i="30"/>
  <c r="T345" i="30"/>
  <c r="AA345" i="30"/>
  <c r="L345" i="30"/>
  <c r="N345" i="30"/>
  <c r="X345" i="30"/>
  <c r="AD345" i="30"/>
  <c r="Y345" i="30"/>
  <c r="AO345" i="30"/>
  <c r="V315" i="30"/>
  <c r="AL315" i="30"/>
  <c r="AA315" i="30"/>
  <c r="L315" i="30"/>
  <c r="AB315" i="30"/>
  <c r="U315" i="30"/>
  <c r="AO315" i="30"/>
  <c r="Z315" i="30"/>
  <c r="S315" i="30"/>
  <c r="AM315" i="30"/>
  <c r="AF315" i="30"/>
  <c r="Q315" i="30"/>
  <c r="AC315" i="30"/>
  <c r="AD315" i="30"/>
  <c r="W315" i="30"/>
  <c r="P315" i="30"/>
  <c r="AJ315" i="30"/>
  <c r="Y315" i="30"/>
  <c r="R315" i="30"/>
  <c r="AI315" i="30"/>
  <c r="AK315" i="30"/>
  <c r="AH315" i="30"/>
  <c r="T315" i="30"/>
  <c r="AG315" i="30"/>
  <c r="O315" i="30"/>
  <c r="X315" i="30"/>
  <c r="M315" i="30"/>
  <c r="AM342" i="30"/>
  <c r="W342" i="30"/>
  <c r="T342" i="30"/>
  <c r="Z342" i="30"/>
  <c r="AN342" i="30"/>
  <c r="AK342" i="30"/>
  <c r="X324" i="30"/>
  <c r="AE324" i="30"/>
  <c r="O324" i="30"/>
  <c r="AH324" i="30"/>
  <c r="R324" i="30"/>
  <c r="P324" i="30"/>
  <c r="AC324" i="30"/>
  <c r="V345" i="30"/>
  <c r="U345" i="30"/>
  <c r="AN345" i="30"/>
  <c r="Z345" i="30"/>
  <c r="AM345" i="30"/>
  <c r="S345" i="30"/>
  <c r="AE315" i="30"/>
  <c r="AG307" i="30"/>
  <c r="AK307" i="30"/>
  <c r="AF307" i="30"/>
  <c r="P307" i="30"/>
  <c r="AE307" i="30"/>
  <c r="O307" i="30"/>
  <c r="M328" i="30"/>
  <c r="Q328" i="30"/>
  <c r="U328" i="30"/>
  <c r="Y328" i="30"/>
  <c r="AC328" i="30"/>
  <c r="AG328" i="30"/>
  <c r="AK328" i="30"/>
  <c r="AO328" i="30"/>
  <c r="L328" i="30"/>
  <c r="X328" i="30"/>
  <c r="AJ328" i="30"/>
  <c r="N328" i="30"/>
  <c r="R328" i="30"/>
  <c r="V328" i="30"/>
  <c r="Z328" i="30"/>
  <c r="AD328" i="30"/>
  <c r="AH328" i="30"/>
  <c r="AL328" i="30"/>
  <c r="P328" i="30"/>
  <c r="AB328" i="30"/>
  <c r="AN328" i="30"/>
  <c r="O328" i="30"/>
  <c r="S328" i="30"/>
  <c r="W328" i="30"/>
  <c r="AA328" i="30"/>
  <c r="AE328" i="30"/>
  <c r="AI328" i="30"/>
  <c r="AM328" i="30"/>
  <c r="T328" i="30"/>
  <c r="AF328" i="30"/>
  <c r="M326" i="30"/>
  <c r="Q326" i="30"/>
  <c r="U326" i="30"/>
  <c r="Y326" i="30"/>
  <c r="AC326" i="30"/>
  <c r="AG326" i="30"/>
  <c r="AK326" i="30"/>
  <c r="AO326" i="30"/>
  <c r="L326" i="30"/>
  <c r="X326" i="30"/>
  <c r="AJ326" i="30"/>
  <c r="N326" i="30"/>
  <c r="R326" i="30"/>
  <c r="V326" i="30"/>
  <c r="Z326" i="30"/>
  <c r="AD326" i="30"/>
  <c r="AH326" i="30"/>
  <c r="AL326" i="30"/>
  <c r="P326" i="30"/>
  <c r="AB326" i="30"/>
  <c r="AN326" i="30"/>
  <c r="O326" i="30"/>
  <c r="S326" i="30"/>
  <c r="W326" i="30"/>
  <c r="AA326" i="30"/>
  <c r="AE326" i="30"/>
  <c r="AI326" i="30"/>
  <c r="AM326" i="30"/>
  <c r="T326" i="30"/>
  <c r="AF326" i="30"/>
  <c r="M334" i="30"/>
  <c r="Q334" i="30"/>
  <c r="U334" i="30"/>
  <c r="Y334" i="30"/>
  <c r="AC334" i="30"/>
  <c r="AG334" i="30"/>
  <c r="AK334" i="30"/>
  <c r="AO334" i="30"/>
  <c r="P334" i="30"/>
  <c r="X334" i="30"/>
  <c r="AJ334" i="30"/>
  <c r="N334" i="30"/>
  <c r="R334" i="30"/>
  <c r="V334" i="30"/>
  <c r="Z334" i="30"/>
  <c r="AD334" i="30"/>
  <c r="AH334" i="30"/>
  <c r="AL334" i="30"/>
  <c r="L334" i="30"/>
  <c r="AB334" i="30"/>
  <c r="AN334" i="30"/>
  <c r="O334" i="30"/>
  <c r="S334" i="30"/>
  <c r="W334" i="30"/>
  <c r="AA334" i="30"/>
  <c r="AE334" i="30"/>
  <c r="AI334" i="30"/>
  <c r="AM334" i="30"/>
  <c r="T334" i="30"/>
  <c r="AF334" i="30"/>
  <c r="L304" i="30"/>
  <c r="P304" i="30"/>
  <c r="T304" i="30"/>
  <c r="X304" i="30"/>
  <c r="AB304" i="30"/>
  <c r="AF304" i="30"/>
  <c r="AJ304" i="30"/>
  <c r="AN304" i="30"/>
  <c r="M304" i="30"/>
  <c r="Q304" i="30"/>
  <c r="U304" i="30"/>
  <c r="Y304" i="30"/>
  <c r="AC304" i="30"/>
  <c r="AG304" i="30"/>
  <c r="AK304" i="30"/>
  <c r="AO304" i="30"/>
  <c r="N304" i="30"/>
  <c r="R304" i="30"/>
  <c r="V304" i="30"/>
  <c r="Z304" i="30"/>
  <c r="AD304" i="30"/>
  <c r="AH304" i="30"/>
  <c r="AL304" i="30"/>
  <c r="O304" i="30"/>
  <c r="AE304" i="30"/>
  <c r="S304" i="30"/>
  <c r="AI304" i="30"/>
  <c r="AA304" i="30"/>
  <c r="W304" i="30"/>
  <c r="AM304" i="30"/>
  <c r="L290" i="30"/>
  <c r="P290" i="30"/>
  <c r="T290" i="30"/>
  <c r="X290" i="30"/>
  <c r="AB290" i="30"/>
  <c r="AF290" i="30"/>
  <c r="AJ290" i="30"/>
  <c r="AN290" i="30"/>
  <c r="M290" i="30"/>
  <c r="Q290" i="30"/>
  <c r="U290" i="30"/>
  <c r="Y290" i="30"/>
  <c r="AC290" i="30"/>
  <c r="AG290" i="30"/>
  <c r="AK290" i="30"/>
  <c r="AO290" i="30"/>
  <c r="N290" i="30"/>
  <c r="R290" i="30"/>
  <c r="V290" i="30"/>
  <c r="Z290" i="30"/>
  <c r="AD290" i="30"/>
  <c r="AH290" i="30"/>
  <c r="AL290" i="30"/>
  <c r="S290" i="30"/>
  <c r="AI290" i="30"/>
  <c r="W290" i="30"/>
  <c r="AM290" i="30"/>
  <c r="O290" i="30"/>
  <c r="AA290" i="30"/>
  <c r="AE290" i="30"/>
  <c r="L322" i="30"/>
  <c r="P322" i="30"/>
  <c r="T322" i="30"/>
  <c r="X322" i="30"/>
  <c r="AB322" i="30"/>
  <c r="AF322" i="30"/>
  <c r="AJ322" i="30"/>
  <c r="AN322" i="30"/>
  <c r="M322" i="30"/>
  <c r="Q322" i="30"/>
  <c r="U322" i="30"/>
  <c r="Y322" i="30"/>
  <c r="AC322" i="30"/>
  <c r="AG322" i="30"/>
  <c r="AK322" i="30"/>
  <c r="AO322" i="30"/>
  <c r="N322" i="30"/>
  <c r="R322" i="30"/>
  <c r="V322" i="30"/>
  <c r="Z322" i="30"/>
  <c r="AD322" i="30"/>
  <c r="AH322" i="30"/>
  <c r="AL322" i="30"/>
  <c r="S322" i="30"/>
  <c r="AI322" i="30"/>
  <c r="W322" i="30"/>
  <c r="AM322" i="30"/>
  <c r="O322" i="30"/>
  <c r="AA322" i="30"/>
  <c r="AE322" i="30"/>
  <c r="N303" i="30"/>
  <c r="R303" i="30"/>
  <c r="V303" i="30"/>
  <c r="Z303" i="30"/>
  <c r="AD303" i="30"/>
  <c r="AH303" i="30"/>
  <c r="AL303" i="30"/>
  <c r="O303" i="30"/>
  <c r="S303" i="30"/>
  <c r="W303" i="30"/>
  <c r="AA303" i="30"/>
  <c r="AE303" i="30"/>
  <c r="AI303" i="30"/>
  <c r="AM303" i="30"/>
  <c r="L303" i="30"/>
  <c r="P303" i="30"/>
  <c r="T303" i="30"/>
  <c r="X303" i="30"/>
  <c r="AB303" i="30"/>
  <c r="AF303" i="30"/>
  <c r="AJ303" i="30"/>
  <c r="AN303" i="30"/>
  <c r="M303" i="30"/>
  <c r="AC303" i="30"/>
  <c r="AO303" i="30"/>
  <c r="Q303" i="30"/>
  <c r="AG303" i="30"/>
  <c r="U303" i="30"/>
  <c r="AK303" i="30"/>
  <c r="Y303" i="30"/>
  <c r="N321" i="30"/>
  <c r="R321" i="30"/>
  <c r="V321" i="30"/>
  <c r="Z321" i="30"/>
  <c r="AD321" i="30"/>
  <c r="AH321" i="30"/>
  <c r="AL321" i="30"/>
  <c r="O321" i="30"/>
  <c r="S321" i="30"/>
  <c r="W321" i="30"/>
  <c r="AA321" i="30"/>
  <c r="AE321" i="30"/>
  <c r="AI321" i="30"/>
  <c r="AM321" i="30"/>
  <c r="L321" i="30"/>
  <c r="P321" i="30"/>
  <c r="T321" i="30"/>
  <c r="X321" i="30"/>
  <c r="AB321" i="30"/>
  <c r="AF321" i="30"/>
  <c r="AJ321" i="30"/>
  <c r="AN321" i="30"/>
  <c r="Q321" i="30"/>
  <c r="AG321" i="30"/>
  <c r="AC321" i="30"/>
  <c r="U321" i="30"/>
  <c r="AK321" i="30"/>
  <c r="Y321" i="30"/>
  <c r="AO321" i="30"/>
  <c r="M321" i="30"/>
  <c r="L288" i="30"/>
  <c r="P288" i="30"/>
  <c r="T288" i="30"/>
  <c r="X288" i="30"/>
  <c r="AB288" i="30"/>
  <c r="AF288" i="30"/>
  <c r="AJ288" i="30"/>
  <c r="AN288" i="30"/>
  <c r="M288" i="30"/>
  <c r="Q288" i="30"/>
  <c r="U288" i="30"/>
  <c r="Y288" i="30"/>
  <c r="AC288" i="30"/>
  <c r="AG288" i="30"/>
  <c r="AK288" i="30"/>
  <c r="AO288" i="30"/>
  <c r="N288" i="30"/>
  <c r="R288" i="30"/>
  <c r="V288" i="30"/>
  <c r="Z288" i="30"/>
  <c r="AD288" i="30"/>
  <c r="AH288" i="30"/>
  <c r="AL288" i="30"/>
  <c r="O288" i="30"/>
  <c r="AE288" i="30"/>
  <c r="S288" i="30"/>
  <c r="AI288" i="30"/>
  <c r="AA288" i="30"/>
  <c r="W288" i="30"/>
  <c r="AM288" i="30"/>
  <c r="N313" i="30"/>
  <c r="R313" i="30"/>
  <c r="V313" i="30"/>
  <c r="Z313" i="30"/>
  <c r="AD313" i="30"/>
  <c r="AH313" i="30"/>
  <c r="AL313" i="30"/>
  <c r="O313" i="30"/>
  <c r="S313" i="30"/>
  <c r="W313" i="30"/>
  <c r="AA313" i="30"/>
  <c r="AE313" i="30"/>
  <c r="AI313" i="30"/>
  <c r="AM313" i="30"/>
  <c r="L313" i="30"/>
  <c r="P313" i="30"/>
  <c r="T313" i="30"/>
  <c r="X313" i="30"/>
  <c r="AB313" i="30"/>
  <c r="AF313" i="30"/>
  <c r="AJ313" i="30"/>
  <c r="AN313" i="30"/>
  <c r="Q313" i="30"/>
  <c r="AG313" i="30"/>
  <c r="AC313" i="30"/>
  <c r="U313" i="30"/>
  <c r="AK313" i="30"/>
  <c r="Y313" i="30"/>
  <c r="AO313" i="30"/>
  <c r="M313" i="30"/>
  <c r="N299" i="30"/>
  <c r="R299" i="30"/>
  <c r="V299" i="30"/>
  <c r="Z299" i="30"/>
  <c r="AD299" i="30"/>
  <c r="AH299" i="30"/>
  <c r="AL299" i="30"/>
  <c r="O299" i="30"/>
  <c r="S299" i="30"/>
  <c r="W299" i="30"/>
  <c r="AA299" i="30"/>
  <c r="AE299" i="30"/>
  <c r="AI299" i="30"/>
  <c r="AM299" i="30"/>
  <c r="L299" i="30"/>
  <c r="P299" i="30"/>
  <c r="T299" i="30"/>
  <c r="X299" i="30"/>
  <c r="AB299" i="30"/>
  <c r="AF299" i="30"/>
  <c r="AJ299" i="30"/>
  <c r="AN299" i="30"/>
  <c r="U299" i="30"/>
  <c r="AK299" i="30"/>
  <c r="Q299" i="30"/>
  <c r="Y299" i="30"/>
  <c r="AO299" i="30"/>
  <c r="AG299" i="30"/>
  <c r="M299" i="30"/>
  <c r="AC299" i="30"/>
  <c r="L286" i="30"/>
  <c r="P286" i="30"/>
  <c r="T286" i="30"/>
  <c r="X286" i="30"/>
  <c r="AB286" i="30"/>
  <c r="AF286" i="30"/>
  <c r="AJ286" i="30"/>
  <c r="AN286" i="30"/>
  <c r="M286" i="30"/>
  <c r="Q286" i="30"/>
  <c r="U286" i="30"/>
  <c r="Y286" i="30"/>
  <c r="AC286" i="30"/>
  <c r="AG286" i="30"/>
  <c r="AK286" i="30"/>
  <c r="AO286" i="30"/>
  <c r="N286" i="30"/>
  <c r="R286" i="30"/>
  <c r="V286" i="30"/>
  <c r="Z286" i="30"/>
  <c r="AD286" i="30"/>
  <c r="AH286" i="30"/>
  <c r="AL286" i="30"/>
  <c r="AA286" i="30"/>
  <c r="W286" i="30"/>
  <c r="O286" i="30"/>
  <c r="AE286" i="30"/>
  <c r="AM286" i="30"/>
  <c r="S286" i="30"/>
  <c r="AI286" i="30"/>
  <c r="L320" i="30"/>
  <c r="P320" i="30"/>
  <c r="T320" i="30"/>
  <c r="X320" i="30"/>
  <c r="AB320" i="30"/>
  <c r="AF320" i="30"/>
  <c r="AJ320" i="30"/>
  <c r="AN320" i="30"/>
  <c r="M320" i="30"/>
  <c r="Q320" i="30"/>
  <c r="U320" i="30"/>
  <c r="Y320" i="30"/>
  <c r="AC320" i="30"/>
  <c r="AG320" i="30"/>
  <c r="AK320" i="30"/>
  <c r="AO320" i="30"/>
  <c r="N320" i="30"/>
  <c r="R320" i="30"/>
  <c r="V320" i="30"/>
  <c r="Z320" i="30"/>
  <c r="AD320" i="30"/>
  <c r="AH320" i="30"/>
  <c r="AL320" i="30"/>
  <c r="O320" i="30"/>
  <c r="AE320" i="30"/>
  <c r="S320" i="30"/>
  <c r="AI320" i="30"/>
  <c r="AA320" i="30"/>
  <c r="W320" i="30"/>
  <c r="AM320" i="30"/>
  <c r="O333" i="30"/>
  <c r="S333" i="30"/>
  <c r="W333" i="30"/>
  <c r="AA333" i="30"/>
  <c r="AE333" i="30"/>
  <c r="AI333" i="30"/>
  <c r="AM333" i="30"/>
  <c r="V333" i="30"/>
  <c r="AH333" i="30"/>
  <c r="L333" i="30"/>
  <c r="P333" i="30"/>
  <c r="T333" i="30"/>
  <c r="X333" i="30"/>
  <c r="AB333" i="30"/>
  <c r="AF333" i="30"/>
  <c r="AJ333" i="30"/>
  <c r="AN333" i="30"/>
  <c r="R333" i="30"/>
  <c r="AD333" i="30"/>
  <c r="M333" i="30"/>
  <c r="Q333" i="30"/>
  <c r="U333" i="30"/>
  <c r="Y333" i="30"/>
  <c r="AC333" i="30"/>
  <c r="AG333" i="30"/>
  <c r="AK333" i="30"/>
  <c r="AO333" i="30"/>
  <c r="N333" i="30"/>
  <c r="Z333" i="30"/>
  <c r="AL333" i="30"/>
  <c r="N309" i="30"/>
  <c r="R309" i="30"/>
  <c r="V309" i="30"/>
  <c r="Z309" i="30"/>
  <c r="AD309" i="30"/>
  <c r="AH309" i="30"/>
  <c r="AL309" i="30"/>
  <c r="O309" i="30"/>
  <c r="S309" i="30"/>
  <c r="W309" i="30"/>
  <c r="AA309" i="30"/>
  <c r="AE309" i="30"/>
  <c r="AI309" i="30"/>
  <c r="AM309" i="30"/>
  <c r="L309" i="30"/>
  <c r="P309" i="30"/>
  <c r="T309" i="30"/>
  <c r="X309" i="30"/>
  <c r="AB309" i="30"/>
  <c r="AF309" i="30"/>
  <c r="AJ309" i="30"/>
  <c r="AN309" i="30"/>
  <c r="Y309" i="30"/>
  <c r="AO309" i="30"/>
  <c r="M309" i="30"/>
  <c r="AC309" i="30"/>
  <c r="U309" i="30"/>
  <c r="Q309" i="30"/>
  <c r="AG309" i="30"/>
  <c r="AK309" i="30"/>
  <c r="L316" i="30"/>
  <c r="P316" i="30"/>
  <c r="T316" i="30"/>
  <c r="X316" i="30"/>
  <c r="AB316" i="30"/>
  <c r="AF316" i="30"/>
  <c r="AJ316" i="30"/>
  <c r="AN316" i="30"/>
  <c r="M316" i="30"/>
  <c r="Q316" i="30"/>
  <c r="U316" i="30"/>
  <c r="Y316" i="30"/>
  <c r="AC316" i="30"/>
  <c r="AG316" i="30"/>
  <c r="AK316" i="30"/>
  <c r="AO316" i="30"/>
  <c r="N316" i="30"/>
  <c r="R316" i="30"/>
  <c r="V316" i="30"/>
  <c r="Z316" i="30"/>
  <c r="AD316" i="30"/>
  <c r="AH316" i="30"/>
  <c r="AL316" i="30"/>
  <c r="W316" i="30"/>
  <c r="AM316" i="30"/>
  <c r="AI316" i="30"/>
  <c r="AA316" i="30"/>
  <c r="O316" i="30"/>
  <c r="AE316" i="30"/>
  <c r="S316" i="30"/>
  <c r="L298" i="30"/>
  <c r="P298" i="30"/>
  <c r="T298" i="30"/>
  <c r="X298" i="30"/>
  <c r="AB298" i="30"/>
  <c r="AF298" i="30"/>
  <c r="AJ298" i="30"/>
  <c r="AN298" i="30"/>
  <c r="M298" i="30"/>
  <c r="Q298" i="30"/>
  <c r="U298" i="30"/>
  <c r="Y298" i="30"/>
  <c r="AC298" i="30"/>
  <c r="AG298" i="30"/>
  <c r="AK298" i="30"/>
  <c r="AO298" i="30"/>
  <c r="N298" i="30"/>
  <c r="R298" i="30"/>
  <c r="V298" i="30"/>
  <c r="Z298" i="30"/>
  <c r="AD298" i="30"/>
  <c r="AH298" i="30"/>
  <c r="AL298" i="30"/>
  <c r="S298" i="30"/>
  <c r="AI298" i="30"/>
  <c r="W298" i="30"/>
  <c r="AM298" i="30"/>
  <c r="O298" i="30"/>
  <c r="AA298" i="30"/>
  <c r="AE298" i="30"/>
  <c r="L312" i="30"/>
  <c r="P312" i="30"/>
  <c r="T312" i="30"/>
  <c r="X312" i="30"/>
  <c r="AB312" i="30"/>
  <c r="AF312" i="30"/>
  <c r="AJ312" i="30"/>
  <c r="AN312" i="30"/>
  <c r="M312" i="30"/>
  <c r="Q312" i="30"/>
  <c r="U312" i="30"/>
  <c r="Y312" i="30"/>
  <c r="AC312" i="30"/>
  <c r="AG312" i="30"/>
  <c r="AK312" i="30"/>
  <c r="AO312" i="30"/>
  <c r="N312" i="30"/>
  <c r="R312" i="30"/>
  <c r="V312" i="30"/>
  <c r="Z312" i="30"/>
  <c r="AD312" i="30"/>
  <c r="AH312" i="30"/>
  <c r="AL312" i="30"/>
  <c r="O312" i="30"/>
  <c r="AE312" i="30"/>
  <c r="S312" i="30"/>
  <c r="AI312" i="30"/>
  <c r="AA312" i="30"/>
  <c r="W312" i="30"/>
  <c r="AM312" i="30"/>
  <c r="L296" i="30"/>
  <c r="P296" i="30"/>
  <c r="T296" i="30"/>
  <c r="X296" i="30"/>
  <c r="AB296" i="30"/>
  <c r="AF296" i="30"/>
  <c r="AJ296" i="30"/>
  <c r="AN296" i="30"/>
  <c r="M296" i="30"/>
  <c r="Q296" i="30"/>
  <c r="U296" i="30"/>
  <c r="Y296" i="30"/>
  <c r="AC296" i="30"/>
  <c r="AG296" i="30"/>
  <c r="AK296" i="30"/>
  <c r="AO296" i="30"/>
  <c r="N296" i="30"/>
  <c r="R296" i="30"/>
  <c r="V296" i="30"/>
  <c r="Z296" i="30"/>
  <c r="AD296" i="30"/>
  <c r="AH296" i="30"/>
  <c r="AL296" i="30"/>
  <c r="O296" i="30"/>
  <c r="AE296" i="30"/>
  <c r="S296" i="30"/>
  <c r="AI296" i="30"/>
  <c r="AA296" i="30"/>
  <c r="W296" i="30"/>
  <c r="AM296" i="30"/>
  <c r="N289" i="30"/>
  <c r="R289" i="30"/>
  <c r="V289" i="30"/>
  <c r="Z289" i="30"/>
  <c r="AD289" i="30"/>
  <c r="AH289" i="30"/>
  <c r="AL289" i="30"/>
  <c r="O289" i="30"/>
  <c r="S289" i="30"/>
  <c r="W289" i="30"/>
  <c r="AA289" i="30"/>
  <c r="AE289" i="30"/>
  <c r="AI289" i="30"/>
  <c r="AM289" i="30"/>
  <c r="L289" i="30"/>
  <c r="P289" i="30"/>
  <c r="T289" i="30"/>
  <c r="X289" i="30"/>
  <c r="AB289" i="30"/>
  <c r="AF289" i="30"/>
  <c r="AJ289" i="30"/>
  <c r="AN289" i="30"/>
  <c r="Q289" i="30"/>
  <c r="AG289" i="30"/>
  <c r="AC289" i="30"/>
  <c r="U289" i="30"/>
  <c r="AK289" i="30"/>
  <c r="Y289" i="30"/>
  <c r="AO289" i="30"/>
  <c r="M289" i="30"/>
  <c r="O341" i="30"/>
  <c r="S341" i="30"/>
  <c r="W341" i="30"/>
  <c r="AA341" i="30"/>
  <c r="AE341" i="30"/>
  <c r="AI341" i="30"/>
  <c r="AM341" i="30"/>
  <c r="V341" i="30"/>
  <c r="AH341" i="30"/>
  <c r="L341" i="30"/>
  <c r="P341" i="30"/>
  <c r="T341" i="30"/>
  <c r="X341" i="30"/>
  <c r="AB341" i="30"/>
  <c r="AF341" i="30"/>
  <c r="AJ341" i="30"/>
  <c r="AN341" i="30"/>
  <c r="N341" i="30"/>
  <c r="Z341" i="30"/>
  <c r="AL341" i="30"/>
  <c r="M341" i="30"/>
  <c r="Q341" i="30"/>
  <c r="U341" i="30"/>
  <c r="Y341" i="30"/>
  <c r="AC341" i="30"/>
  <c r="AG341" i="30"/>
  <c r="AK341" i="30"/>
  <c r="AO341" i="30"/>
  <c r="R341" i="30"/>
  <c r="AD341" i="30"/>
  <c r="N323" i="30"/>
  <c r="R323" i="30"/>
  <c r="V323" i="30"/>
  <c r="O323" i="30"/>
  <c r="S323" i="30"/>
  <c r="W323" i="30"/>
  <c r="L323" i="30"/>
  <c r="P323" i="30"/>
  <c r="T323" i="30"/>
  <c r="U323" i="30"/>
  <c r="AA323" i="30"/>
  <c r="AE323" i="30"/>
  <c r="AI323" i="30"/>
  <c r="AM323" i="30"/>
  <c r="Q323" i="30"/>
  <c r="AH323" i="30"/>
  <c r="X323" i="30"/>
  <c r="AB323" i="30"/>
  <c r="AF323" i="30"/>
  <c r="AJ323" i="30"/>
  <c r="AN323" i="30"/>
  <c r="Z323" i="30"/>
  <c r="AL323" i="30"/>
  <c r="M323" i="30"/>
  <c r="Y323" i="30"/>
  <c r="AC323" i="30"/>
  <c r="AG323" i="30"/>
  <c r="AK323" i="30"/>
  <c r="AO323" i="30"/>
  <c r="AD323" i="30"/>
  <c r="N295" i="30"/>
  <c r="R295" i="30"/>
  <c r="V295" i="30"/>
  <c r="Z295" i="30"/>
  <c r="AD295" i="30"/>
  <c r="AH295" i="30"/>
  <c r="AL295" i="30"/>
  <c r="O295" i="30"/>
  <c r="S295" i="30"/>
  <c r="W295" i="30"/>
  <c r="AA295" i="30"/>
  <c r="AE295" i="30"/>
  <c r="AI295" i="30"/>
  <c r="AM295" i="30"/>
  <c r="L295" i="30"/>
  <c r="P295" i="30"/>
  <c r="T295" i="30"/>
  <c r="X295" i="30"/>
  <c r="AB295" i="30"/>
  <c r="AF295" i="30"/>
  <c r="AJ295" i="30"/>
  <c r="AN295" i="30"/>
  <c r="M295" i="30"/>
  <c r="AC295" i="30"/>
  <c r="AO295" i="30"/>
  <c r="Q295" i="30"/>
  <c r="AG295" i="30"/>
  <c r="U295" i="30"/>
  <c r="AK295" i="30"/>
  <c r="Y295" i="30"/>
  <c r="N305" i="30"/>
  <c r="R305" i="30"/>
  <c r="V305" i="30"/>
  <c r="Z305" i="30"/>
  <c r="AD305" i="30"/>
  <c r="AH305" i="30"/>
  <c r="AL305" i="30"/>
  <c r="O305" i="30"/>
  <c r="S305" i="30"/>
  <c r="W305" i="30"/>
  <c r="AA305" i="30"/>
  <c r="AE305" i="30"/>
  <c r="AI305" i="30"/>
  <c r="AM305" i="30"/>
  <c r="L305" i="30"/>
  <c r="P305" i="30"/>
  <c r="T305" i="30"/>
  <c r="X305" i="30"/>
  <c r="AB305" i="30"/>
  <c r="AF305" i="30"/>
  <c r="AJ305" i="30"/>
  <c r="AN305" i="30"/>
  <c r="Q305" i="30"/>
  <c r="AG305" i="30"/>
  <c r="AC305" i="30"/>
  <c r="U305" i="30"/>
  <c r="AK305" i="30"/>
  <c r="Y305" i="30"/>
  <c r="AO305" i="30"/>
  <c r="M305" i="30"/>
  <c r="L292" i="30"/>
  <c r="P292" i="30"/>
  <c r="T292" i="30"/>
  <c r="X292" i="30"/>
  <c r="AB292" i="30"/>
  <c r="AF292" i="30"/>
  <c r="AJ292" i="30"/>
  <c r="AN292" i="30"/>
  <c r="M292" i="30"/>
  <c r="Q292" i="30"/>
  <c r="U292" i="30"/>
  <c r="Y292" i="30"/>
  <c r="AC292" i="30"/>
  <c r="AG292" i="30"/>
  <c r="AK292" i="30"/>
  <c r="AO292" i="30"/>
  <c r="N292" i="30"/>
  <c r="R292" i="30"/>
  <c r="V292" i="30"/>
  <c r="Z292" i="30"/>
  <c r="AD292" i="30"/>
  <c r="AH292" i="30"/>
  <c r="AL292" i="30"/>
  <c r="W292" i="30"/>
  <c r="AM292" i="30"/>
  <c r="AI292" i="30"/>
  <c r="AA292" i="30"/>
  <c r="O292" i="30"/>
  <c r="AE292" i="30"/>
  <c r="S292" i="30"/>
  <c r="O329" i="30"/>
  <c r="S329" i="30"/>
  <c r="W329" i="30"/>
  <c r="AA329" i="30"/>
  <c r="AE329" i="30"/>
  <c r="AI329" i="30"/>
  <c r="AM329" i="30"/>
  <c r="R329" i="30"/>
  <c r="AD329" i="30"/>
  <c r="L329" i="30"/>
  <c r="P329" i="30"/>
  <c r="T329" i="30"/>
  <c r="X329" i="30"/>
  <c r="AB329" i="30"/>
  <c r="AF329" i="30"/>
  <c r="AJ329" i="30"/>
  <c r="AN329" i="30"/>
  <c r="V329" i="30"/>
  <c r="AH329" i="30"/>
  <c r="M329" i="30"/>
  <c r="Q329" i="30"/>
  <c r="U329" i="30"/>
  <c r="Y329" i="30"/>
  <c r="AC329" i="30"/>
  <c r="AG329" i="30"/>
  <c r="AK329" i="30"/>
  <c r="AO329" i="30"/>
  <c r="N329" i="30"/>
  <c r="Z329" i="30"/>
  <c r="AL329" i="30"/>
  <c r="M336" i="30"/>
  <c r="Q336" i="30"/>
  <c r="U336" i="30"/>
  <c r="Y336" i="30"/>
  <c r="AC336" i="30"/>
  <c r="AG336" i="30"/>
  <c r="AK336" i="30"/>
  <c r="AO336" i="30"/>
  <c r="L336" i="30"/>
  <c r="X336" i="30"/>
  <c r="AF336" i="30"/>
  <c r="N336" i="30"/>
  <c r="R336" i="30"/>
  <c r="V336" i="30"/>
  <c r="Z336" i="30"/>
  <c r="AD336" i="30"/>
  <c r="AH336" i="30"/>
  <c r="AL336" i="30"/>
  <c r="P336" i="30"/>
  <c r="AB336" i="30"/>
  <c r="AN336" i="30"/>
  <c r="O336" i="30"/>
  <c r="S336" i="30"/>
  <c r="W336" i="30"/>
  <c r="AA336" i="30"/>
  <c r="AE336" i="30"/>
  <c r="AI336" i="30"/>
  <c r="AM336" i="30"/>
  <c r="T336" i="30"/>
  <c r="AJ336" i="30"/>
  <c r="O335" i="30"/>
  <c r="S335" i="30"/>
  <c r="W335" i="30"/>
  <c r="AA335" i="30"/>
  <c r="AE335" i="30"/>
  <c r="AI335" i="30"/>
  <c r="AM335" i="30"/>
  <c r="R335" i="30"/>
  <c r="AD335" i="30"/>
  <c r="L335" i="30"/>
  <c r="P335" i="30"/>
  <c r="T335" i="30"/>
  <c r="X335" i="30"/>
  <c r="AB335" i="30"/>
  <c r="AF335" i="30"/>
  <c r="AJ335" i="30"/>
  <c r="AN335" i="30"/>
  <c r="V335" i="30"/>
  <c r="AH335" i="30"/>
  <c r="M335" i="30"/>
  <c r="Q335" i="30"/>
  <c r="U335" i="30"/>
  <c r="Y335" i="30"/>
  <c r="AC335" i="30"/>
  <c r="AG335" i="30"/>
  <c r="AK335" i="30"/>
  <c r="AO335" i="30"/>
  <c r="N335" i="30"/>
  <c r="Z335" i="30"/>
  <c r="AL335" i="30"/>
  <c r="L310" i="30"/>
  <c r="P310" i="30"/>
  <c r="T310" i="30"/>
  <c r="X310" i="30"/>
  <c r="AB310" i="30"/>
  <c r="AF310" i="30"/>
  <c r="AJ310" i="30"/>
  <c r="AN310" i="30"/>
  <c r="M310" i="30"/>
  <c r="Q310" i="30"/>
  <c r="U310" i="30"/>
  <c r="Y310" i="30"/>
  <c r="AC310" i="30"/>
  <c r="AG310" i="30"/>
  <c r="AK310" i="30"/>
  <c r="AO310" i="30"/>
  <c r="N310" i="30"/>
  <c r="R310" i="30"/>
  <c r="V310" i="30"/>
  <c r="Z310" i="30"/>
  <c r="AD310" i="30"/>
  <c r="AH310" i="30"/>
  <c r="AL310" i="30"/>
  <c r="AA310" i="30"/>
  <c r="W310" i="30"/>
  <c r="O310" i="30"/>
  <c r="AE310" i="30"/>
  <c r="AM310" i="30"/>
  <c r="S310" i="30"/>
  <c r="AI310" i="30"/>
  <c r="O327" i="30"/>
  <c r="S327" i="30"/>
  <c r="W327" i="30"/>
  <c r="AA327" i="30"/>
  <c r="AE327" i="30"/>
  <c r="AI327" i="30"/>
  <c r="AM327" i="30"/>
  <c r="R327" i="30"/>
  <c r="AD327" i="30"/>
  <c r="L327" i="30"/>
  <c r="P327" i="30"/>
  <c r="T327" i="30"/>
  <c r="X327" i="30"/>
  <c r="AB327" i="30"/>
  <c r="AF327" i="30"/>
  <c r="AJ327" i="30"/>
  <c r="AN327" i="30"/>
  <c r="V327" i="30"/>
  <c r="AH327" i="30"/>
  <c r="M327" i="30"/>
  <c r="Q327" i="30"/>
  <c r="U327" i="30"/>
  <c r="Y327" i="30"/>
  <c r="AC327" i="30"/>
  <c r="AG327" i="30"/>
  <c r="AK327" i="30"/>
  <c r="AO327" i="30"/>
  <c r="N327" i="30"/>
  <c r="Z327" i="30"/>
  <c r="AL327" i="30"/>
  <c r="M340" i="30"/>
  <c r="Q340" i="30"/>
  <c r="U340" i="30"/>
  <c r="Y340" i="30"/>
  <c r="AC340" i="30"/>
  <c r="AG340" i="30"/>
  <c r="AK340" i="30"/>
  <c r="AO340" i="30"/>
  <c r="P340" i="30"/>
  <c r="AB340" i="30"/>
  <c r="AN340" i="30"/>
  <c r="N340" i="30"/>
  <c r="R340" i="30"/>
  <c r="V340" i="30"/>
  <c r="Z340" i="30"/>
  <c r="AD340" i="30"/>
  <c r="AH340" i="30"/>
  <c r="AL340" i="30"/>
  <c r="T340" i="30"/>
  <c r="AF340" i="30"/>
  <c r="O340" i="30"/>
  <c r="S340" i="30"/>
  <c r="W340" i="30"/>
  <c r="AA340" i="30"/>
  <c r="AE340" i="30"/>
  <c r="AI340" i="30"/>
  <c r="AM340" i="30"/>
  <c r="L340" i="30"/>
  <c r="X340" i="30"/>
  <c r="AJ340" i="30"/>
  <c r="N297" i="30"/>
  <c r="R297" i="30"/>
  <c r="V297" i="30"/>
  <c r="Z297" i="30"/>
  <c r="AD297" i="30"/>
  <c r="AH297" i="30"/>
  <c r="AL297" i="30"/>
  <c r="O297" i="30"/>
  <c r="S297" i="30"/>
  <c r="W297" i="30"/>
  <c r="AA297" i="30"/>
  <c r="AE297" i="30"/>
  <c r="AI297" i="30"/>
  <c r="AM297" i="30"/>
  <c r="L297" i="30"/>
  <c r="P297" i="30"/>
  <c r="T297" i="30"/>
  <c r="X297" i="30"/>
  <c r="AB297" i="30"/>
  <c r="AF297" i="30"/>
  <c r="AJ297" i="30"/>
  <c r="AN297" i="30"/>
  <c r="Q297" i="30"/>
  <c r="AG297" i="30"/>
  <c r="AC297" i="30"/>
  <c r="U297" i="30"/>
  <c r="AK297" i="30"/>
  <c r="Y297" i="30"/>
  <c r="AO297" i="30"/>
  <c r="M297" i="30"/>
  <c r="M330" i="30"/>
  <c r="Q330" i="30"/>
  <c r="U330" i="30"/>
  <c r="Y330" i="30"/>
  <c r="AC330" i="30"/>
  <c r="AG330" i="30"/>
  <c r="AK330" i="30"/>
  <c r="AO330" i="30"/>
  <c r="P330" i="30"/>
  <c r="AB330" i="30"/>
  <c r="AN330" i="30"/>
  <c r="N330" i="30"/>
  <c r="R330" i="30"/>
  <c r="V330" i="30"/>
  <c r="Z330" i="30"/>
  <c r="AD330" i="30"/>
  <c r="AH330" i="30"/>
  <c r="AL330" i="30"/>
  <c r="L330" i="30"/>
  <c r="X330" i="30"/>
  <c r="AJ330" i="30"/>
  <c r="O330" i="30"/>
  <c r="S330" i="30"/>
  <c r="W330" i="30"/>
  <c r="AA330" i="30"/>
  <c r="AE330" i="30"/>
  <c r="AI330" i="30"/>
  <c r="AM330" i="30"/>
  <c r="T330" i="30"/>
  <c r="AF330" i="30"/>
  <c r="L302" i="30"/>
  <c r="P302" i="30"/>
  <c r="T302" i="30"/>
  <c r="X302" i="30"/>
  <c r="AB302" i="30"/>
  <c r="AF302" i="30"/>
  <c r="AJ302" i="30"/>
  <c r="AN302" i="30"/>
  <c r="M302" i="30"/>
  <c r="Q302" i="30"/>
  <c r="U302" i="30"/>
  <c r="Y302" i="30"/>
  <c r="AC302" i="30"/>
  <c r="AG302" i="30"/>
  <c r="AK302" i="30"/>
  <c r="AO302" i="30"/>
  <c r="N302" i="30"/>
  <c r="R302" i="30"/>
  <c r="V302" i="30"/>
  <c r="Z302" i="30"/>
  <c r="AD302" i="30"/>
  <c r="AH302" i="30"/>
  <c r="AL302" i="30"/>
  <c r="AA302" i="30"/>
  <c r="W302" i="30"/>
  <c r="O302" i="30"/>
  <c r="AE302" i="30"/>
  <c r="AM302" i="30"/>
  <c r="S302" i="30"/>
  <c r="AI302" i="30"/>
  <c r="N291" i="30"/>
  <c r="R291" i="30"/>
  <c r="V291" i="30"/>
  <c r="Z291" i="30"/>
  <c r="AD291" i="30"/>
  <c r="AH291" i="30"/>
  <c r="AL291" i="30"/>
  <c r="O291" i="30"/>
  <c r="S291" i="30"/>
  <c r="W291" i="30"/>
  <c r="AA291" i="30"/>
  <c r="AE291" i="30"/>
  <c r="AI291" i="30"/>
  <c r="AM291" i="30"/>
  <c r="L291" i="30"/>
  <c r="P291" i="30"/>
  <c r="T291" i="30"/>
  <c r="X291" i="30"/>
  <c r="AB291" i="30"/>
  <c r="AF291" i="30"/>
  <c r="AJ291" i="30"/>
  <c r="AN291" i="30"/>
  <c r="U291" i="30"/>
  <c r="AK291" i="30"/>
  <c r="Q291" i="30"/>
  <c r="Y291" i="30"/>
  <c r="AO291" i="30"/>
  <c r="AG291" i="30"/>
  <c r="M291" i="30"/>
  <c r="AC291" i="30"/>
  <c r="O337" i="30"/>
  <c r="S337" i="30"/>
  <c r="W337" i="30"/>
  <c r="AA337" i="30"/>
  <c r="AE337" i="30"/>
  <c r="AI337" i="30"/>
  <c r="AM337" i="30"/>
  <c r="N337" i="30"/>
  <c r="Z337" i="30"/>
  <c r="AL337" i="30"/>
  <c r="L337" i="30"/>
  <c r="P337" i="30"/>
  <c r="T337" i="30"/>
  <c r="X337" i="30"/>
  <c r="AB337" i="30"/>
  <c r="AF337" i="30"/>
  <c r="AJ337" i="30"/>
  <c r="AN337" i="30"/>
  <c r="V337" i="30"/>
  <c r="AH337" i="30"/>
  <c r="M337" i="30"/>
  <c r="Q337" i="30"/>
  <c r="U337" i="30"/>
  <c r="Y337" i="30"/>
  <c r="AC337" i="30"/>
  <c r="AG337" i="30"/>
  <c r="AK337" i="30"/>
  <c r="AO337" i="30"/>
  <c r="R337" i="30"/>
  <c r="AD337" i="30"/>
  <c r="L306" i="30"/>
  <c r="P306" i="30"/>
  <c r="T306" i="30"/>
  <c r="X306" i="30"/>
  <c r="AB306" i="30"/>
  <c r="AF306" i="30"/>
  <c r="AJ306" i="30"/>
  <c r="AN306" i="30"/>
  <c r="M306" i="30"/>
  <c r="Q306" i="30"/>
  <c r="U306" i="30"/>
  <c r="Y306" i="30"/>
  <c r="AC306" i="30"/>
  <c r="AG306" i="30"/>
  <c r="AK306" i="30"/>
  <c r="AO306" i="30"/>
  <c r="N306" i="30"/>
  <c r="R306" i="30"/>
  <c r="V306" i="30"/>
  <c r="Z306" i="30"/>
  <c r="AD306" i="30"/>
  <c r="AH306" i="30"/>
  <c r="AL306" i="30"/>
  <c r="S306" i="30"/>
  <c r="AI306" i="30"/>
  <c r="W306" i="30"/>
  <c r="AM306" i="30"/>
  <c r="O306" i="30"/>
  <c r="AA306" i="30"/>
  <c r="AE306" i="30"/>
  <c r="N311" i="30"/>
  <c r="R311" i="30"/>
  <c r="V311" i="30"/>
  <c r="Z311" i="30"/>
  <c r="AD311" i="30"/>
  <c r="AH311" i="30"/>
  <c r="AL311" i="30"/>
  <c r="O311" i="30"/>
  <c r="S311" i="30"/>
  <c r="W311" i="30"/>
  <c r="AA311" i="30"/>
  <c r="AE311" i="30"/>
  <c r="AI311" i="30"/>
  <c r="AM311" i="30"/>
  <c r="L311" i="30"/>
  <c r="P311" i="30"/>
  <c r="T311" i="30"/>
  <c r="X311" i="30"/>
  <c r="AB311" i="30"/>
  <c r="AF311" i="30"/>
  <c r="AJ311" i="30"/>
  <c r="AN311" i="30"/>
  <c r="M311" i="30"/>
  <c r="AC311" i="30"/>
  <c r="AO311" i="30"/>
  <c r="Q311" i="30"/>
  <c r="AG311" i="30"/>
  <c r="U311" i="30"/>
  <c r="AK311" i="30"/>
  <c r="Y311" i="30"/>
  <c r="AR319" i="30"/>
  <c r="AR285" i="30"/>
  <c r="F149" i="28" l="1"/>
  <c r="C149" i="28"/>
  <c r="C197" i="28"/>
  <c r="F101" i="28"/>
  <c r="I101" i="28"/>
  <c r="L101" i="28"/>
  <c r="I149" i="28"/>
  <c r="C101" i="28"/>
  <c r="AV349" i="30"/>
  <c r="F349" i="30"/>
  <c r="AP319" i="30"/>
  <c r="F348" i="30"/>
  <c r="AR13" i="30"/>
  <c r="AQ13" i="30"/>
  <c r="AQ319" i="30"/>
  <c r="AR183" i="30"/>
  <c r="AR149" i="30"/>
  <c r="AR115" i="30"/>
  <c r="AQ81" i="30"/>
  <c r="AQ47" i="30"/>
  <c r="AJ332" i="30"/>
  <c r="R348" i="30"/>
  <c r="AV348" i="30"/>
  <c r="M348" i="30"/>
  <c r="AK348" i="30"/>
  <c r="AA332" i="30"/>
  <c r="AG348" i="30"/>
  <c r="AJ348" i="30"/>
  <c r="U348" i="30"/>
  <c r="AD332" i="30"/>
  <c r="Z332" i="30"/>
  <c r="Y348" i="30"/>
  <c r="AH348" i="30"/>
  <c r="AL332" i="30"/>
  <c r="S348" i="30"/>
  <c r="AI332" i="30"/>
  <c r="V348" i="30"/>
  <c r="AI348" i="30"/>
  <c r="AO348" i="30"/>
  <c r="AA348" i="30"/>
  <c r="AC348" i="30"/>
  <c r="O348" i="30"/>
  <c r="AM348" i="30"/>
  <c r="Q348" i="30"/>
  <c r="W348" i="30"/>
  <c r="AG332" i="30"/>
  <c r="O332" i="30"/>
  <c r="Y332" i="30"/>
  <c r="X332" i="30"/>
  <c r="U332" i="30"/>
  <c r="S332" i="30"/>
  <c r="M332" i="30"/>
  <c r="Q332" i="30"/>
  <c r="R332" i="30"/>
  <c r="T332" i="30"/>
  <c r="AF348" i="30"/>
  <c r="AN348" i="30"/>
  <c r="AL348" i="30"/>
  <c r="P348" i="30"/>
  <c r="N348" i="30"/>
  <c r="AE348" i="30"/>
  <c r="AD348" i="30"/>
  <c r="AB332" i="30"/>
  <c r="AE332" i="30"/>
  <c r="AO332" i="30"/>
  <c r="W332" i="30"/>
  <c r="AN332" i="30"/>
  <c r="P332" i="30"/>
  <c r="L348" i="30"/>
  <c r="Z348" i="30"/>
  <c r="T348" i="30"/>
  <c r="AB348" i="30"/>
  <c r="X348" i="30"/>
  <c r="V332" i="30"/>
  <c r="AF332" i="30"/>
  <c r="N332" i="30"/>
  <c r="AM332" i="30"/>
  <c r="L332" i="30"/>
  <c r="AK332" i="30"/>
  <c r="AH332" i="30"/>
  <c r="AC332" i="30"/>
  <c r="B285" i="30"/>
  <c r="O349" i="30"/>
  <c r="S349" i="30"/>
  <c r="W349" i="30"/>
  <c r="AA349" i="30"/>
  <c r="AE349" i="30"/>
  <c r="AI349" i="30"/>
  <c r="AM349" i="30"/>
  <c r="P349" i="30"/>
  <c r="T349" i="30"/>
  <c r="AB349" i="30"/>
  <c r="AJ349" i="30"/>
  <c r="N349" i="30"/>
  <c r="Z349" i="30"/>
  <c r="AL349" i="30"/>
  <c r="L349" i="30"/>
  <c r="X349" i="30"/>
  <c r="AF349" i="30"/>
  <c r="AN349" i="30"/>
  <c r="R349" i="30"/>
  <c r="AD349" i="30"/>
  <c r="M349" i="30"/>
  <c r="Q349" i="30"/>
  <c r="U349" i="30"/>
  <c r="Y349" i="30"/>
  <c r="AC349" i="30"/>
  <c r="AG349" i="30"/>
  <c r="AK349" i="30"/>
  <c r="AO349" i="30"/>
  <c r="V349" i="30"/>
  <c r="AH349" i="30"/>
  <c r="D227" i="30" l="1"/>
  <c r="D230" i="30"/>
  <c r="C218" i="30"/>
  <c r="AS218" i="30" s="1"/>
  <c r="AT218" i="30" s="1"/>
  <c r="C220" i="30"/>
  <c r="C219" i="30"/>
  <c r="D219" i="30"/>
  <c r="C227" i="30"/>
  <c r="C226" i="30"/>
  <c r="D218" i="30"/>
  <c r="D221" i="30"/>
  <c r="D233" i="30"/>
  <c r="C233" i="30"/>
  <c r="D222" i="30"/>
  <c r="D225" i="30"/>
  <c r="C228" i="30"/>
  <c r="C225" i="30"/>
  <c r="D228" i="30"/>
  <c r="C229" i="30"/>
  <c r="C230" i="30"/>
  <c r="C221" i="30"/>
  <c r="D223" i="30"/>
  <c r="C231" i="30"/>
  <c r="D234" i="30"/>
  <c r="D232" i="30"/>
  <c r="C224" i="30"/>
  <c r="C223" i="30"/>
  <c r="C222" i="30"/>
  <c r="D229" i="30"/>
  <c r="D224" i="30"/>
  <c r="D226" i="30"/>
  <c r="D231" i="30"/>
  <c r="D220" i="30"/>
  <c r="C232" i="30"/>
  <c r="C234" i="30"/>
  <c r="D259" i="30"/>
  <c r="D252" i="30"/>
  <c r="L95" i="27" s="1"/>
  <c r="D261" i="30"/>
  <c r="D260" i="30"/>
  <c r="C254" i="30"/>
  <c r="D253" i="30"/>
  <c r="D256" i="30"/>
  <c r="C259" i="30"/>
  <c r="C257" i="30"/>
  <c r="D262" i="30"/>
  <c r="C261" i="30"/>
  <c r="C263" i="30"/>
  <c r="D254" i="30"/>
  <c r="C253" i="30"/>
  <c r="C255" i="30"/>
  <c r="D258" i="30"/>
  <c r="C252" i="30"/>
  <c r="L94" i="27" s="1"/>
  <c r="C256" i="30"/>
  <c r="C258" i="30"/>
  <c r="D257" i="30"/>
  <c r="D264" i="30"/>
  <c r="D255" i="30"/>
  <c r="C262" i="30"/>
  <c r="D263" i="30"/>
  <c r="C264" i="30"/>
  <c r="C260" i="30"/>
  <c r="C265" i="30"/>
  <c r="D265" i="30"/>
  <c r="C151" i="30"/>
  <c r="D65" i="27" s="1"/>
  <c r="C150" i="30"/>
  <c r="C156" i="30"/>
  <c r="C152" i="30"/>
  <c r="D152" i="30"/>
  <c r="D159" i="30"/>
  <c r="D150" i="30"/>
  <c r="C66" i="27" s="1"/>
  <c r="D157" i="30"/>
  <c r="C154" i="30"/>
  <c r="D158" i="30"/>
  <c r="D160" i="30"/>
  <c r="C155" i="30"/>
  <c r="D153" i="30"/>
  <c r="D155" i="30"/>
  <c r="D151" i="30"/>
  <c r="D66" i="27" s="1"/>
  <c r="C158" i="30"/>
  <c r="C160" i="30"/>
  <c r="C153" i="30"/>
  <c r="D154" i="30"/>
  <c r="C157" i="30"/>
  <c r="D161" i="30"/>
  <c r="C162" i="30"/>
  <c r="C159" i="30"/>
  <c r="D156" i="30"/>
  <c r="C161" i="30"/>
  <c r="D162" i="30"/>
  <c r="C184" i="30"/>
  <c r="D186" i="30"/>
  <c r="D187" i="30"/>
  <c r="C193" i="30"/>
  <c r="D197" i="30"/>
  <c r="C187" i="30"/>
  <c r="C192" i="30"/>
  <c r="C195" i="30"/>
  <c r="D196" i="30"/>
  <c r="D188" i="30"/>
  <c r="C188" i="30"/>
  <c r="C189" i="30"/>
  <c r="D191" i="30"/>
  <c r="D194" i="30"/>
  <c r="C196" i="30"/>
  <c r="D184" i="30"/>
  <c r="C190" i="30"/>
  <c r="D195" i="30"/>
  <c r="C191" i="30"/>
  <c r="C186" i="30"/>
  <c r="C185" i="30"/>
  <c r="C198" i="30"/>
  <c r="C194" i="30"/>
  <c r="D200" i="30"/>
  <c r="D189" i="30"/>
  <c r="D193" i="30"/>
  <c r="D192" i="30"/>
  <c r="D198" i="30"/>
  <c r="D199" i="30"/>
  <c r="D185" i="30"/>
  <c r="C199" i="30"/>
  <c r="D190" i="30"/>
  <c r="C200" i="30"/>
  <c r="C197" i="30"/>
  <c r="D125" i="30"/>
  <c r="C127" i="30"/>
  <c r="D117" i="30"/>
  <c r="M37" i="27" s="1"/>
  <c r="D121" i="30"/>
  <c r="D122" i="30"/>
  <c r="C123" i="30"/>
  <c r="D124" i="30"/>
  <c r="C117" i="30"/>
  <c r="M36" i="27" s="1"/>
  <c r="D127" i="30"/>
  <c r="C125" i="30"/>
  <c r="D123" i="30"/>
  <c r="C118" i="30"/>
  <c r="C124" i="30"/>
  <c r="C120" i="30"/>
  <c r="C122" i="30"/>
  <c r="D126" i="30"/>
  <c r="C116" i="30"/>
  <c r="L36" i="27" s="1"/>
  <c r="C121" i="30"/>
  <c r="C119" i="30"/>
  <c r="C126" i="30"/>
  <c r="D120" i="30"/>
  <c r="D129" i="30"/>
  <c r="C128" i="30"/>
  <c r="D128" i="30"/>
  <c r="D119" i="30"/>
  <c r="D118" i="30"/>
  <c r="C131" i="30"/>
  <c r="D130" i="30"/>
  <c r="C129" i="30"/>
  <c r="C130" i="30"/>
  <c r="D116" i="30"/>
  <c r="L37" i="27" s="1"/>
  <c r="D131" i="30"/>
  <c r="C21" i="30"/>
  <c r="C15" i="30"/>
  <c r="C18" i="30"/>
  <c r="C23" i="30"/>
  <c r="D23" i="30"/>
  <c r="D17" i="30"/>
  <c r="C19" i="30"/>
  <c r="C25" i="30"/>
  <c r="D21" i="30"/>
  <c r="D15" i="30"/>
  <c r="D19" i="30"/>
  <c r="D11" i="46" s="1"/>
  <c r="D25" i="30"/>
  <c r="C17" i="30"/>
  <c r="C20" i="30"/>
  <c r="E10" i="46" s="1"/>
  <c r="C24" i="30"/>
  <c r="D16" i="30"/>
  <c r="D18" i="30"/>
  <c r="D27" i="30"/>
  <c r="C22" i="30"/>
  <c r="C26" i="30"/>
  <c r="D24" i="30"/>
  <c r="D26" i="30"/>
  <c r="D20" i="30"/>
  <c r="C27" i="30"/>
  <c r="C16" i="30"/>
  <c r="C14" i="30"/>
  <c r="C7" i="27" s="1"/>
  <c r="D14" i="30"/>
  <c r="D22" i="30"/>
  <c r="C28" i="30"/>
  <c r="D28" i="30"/>
  <c r="C29" i="30"/>
  <c r="C30" i="30"/>
  <c r="D29" i="30"/>
  <c r="D86" i="30"/>
  <c r="D95" i="30"/>
  <c r="D83" i="30"/>
  <c r="D93" i="30"/>
  <c r="D82" i="30"/>
  <c r="C85" i="30"/>
  <c r="D89" i="30"/>
  <c r="C91" i="30"/>
  <c r="D97" i="30"/>
  <c r="C96" i="30"/>
  <c r="C94" i="30"/>
  <c r="C84" i="30"/>
  <c r="D88" i="30"/>
  <c r="D85" i="30"/>
  <c r="C95" i="30"/>
  <c r="C87" i="30"/>
  <c r="C89" i="30"/>
  <c r="C82" i="30"/>
  <c r="C93" i="30"/>
  <c r="C83" i="30"/>
  <c r="D91" i="30"/>
  <c r="C92" i="30"/>
  <c r="D96" i="30"/>
  <c r="C86" i="30"/>
  <c r="D84" i="30"/>
  <c r="C88" i="30"/>
  <c r="D87" i="30"/>
  <c r="D94" i="30"/>
  <c r="D92" i="30"/>
  <c r="C97" i="30"/>
  <c r="C90" i="30"/>
  <c r="D90" i="30"/>
  <c r="D98" i="30"/>
  <c r="C99" i="30"/>
  <c r="C98" i="30"/>
  <c r="D99" i="30"/>
  <c r="C100" i="30"/>
  <c r="D50" i="30"/>
  <c r="D54" i="30"/>
  <c r="C54" i="30"/>
  <c r="D48" i="30"/>
  <c r="M8" i="27" s="1"/>
  <c r="C51" i="30"/>
  <c r="C50" i="30"/>
  <c r="C53" i="30"/>
  <c r="C57" i="30"/>
  <c r="D49" i="30"/>
  <c r="C49" i="30"/>
  <c r="C58" i="30"/>
  <c r="D57" i="30"/>
  <c r="D53" i="30"/>
  <c r="D56" i="30"/>
  <c r="C56" i="30"/>
  <c r="C52" i="30"/>
  <c r="D59" i="30"/>
  <c r="D52" i="30"/>
  <c r="C48" i="30"/>
  <c r="M7" i="27" s="1"/>
  <c r="D51" i="30"/>
  <c r="D55" i="30"/>
  <c r="C55" i="30"/>
  <c r="D58" i="30"/>
  <c r="C60" i="30"/>
  <c r="C59" i="30"/>
  <c r="C61" i="30"/>
  <c r="D60" i="30"/>
  <c r="D61" i="30"/>
  <c r="C107" i="30"/>
  <c r="C101" i="30"/>
  <c r="C111" i="30"/>
  <c r="D100" i="30"/>
  <c r="D103" i="30"/>
  <c r="D109" i="30"/>
  <c r="C102" i="30"/>
  <c r="D101" i="30"/>
  <c r="D105" i="30"/>
  <c r="C106" i="30"/>
  <c r="C110" i="30"/>
  <c r="D102" i="30"/>
  <c r="D104" i="30"/>
  <c r="D110" i="30"/>
  <c r="C104" i="30"/>
  <c r="C109" i="30"/>
  <c r="C108" i="30"/>
  <c r="D108" i="30"/>
  <c r="C105" i="30"/>
  <c r="D106" i="30"/>
  <c r="D107" i="30"/>
  <c r="C103" i="30"/>
  <c r="D111" i="30"/>
  <c r="D278" i="30"/>
  <c r="C271" i="30"/>
  <c r="D276" i="30"/>
  <c r="C266" i="30"/>
  <c r="C272" i="30"/>
  <c r="D268" i="30"/>
  <c r="D267" i="30"/>
  <c r="D270" i="30"/>
  <c r="C267" i="30"/>
  <c r="C279" i="30"/>
  <c r="C280" i="30"/>
  <c r="D275" i="30"/>
  <c r="D281" i="30"/>
  <c r="C277" i="30"/>
  <c r="C273" i="30"/>
  <c r="D279" i="30"/>
  <c r="D266" i="30"/>
  <c r="D272" i="30"/>
  <c r="C278" i="30"/>
  <c r="C274" i="30"/>
  <c r="D273" i="30"/>
  <c r="D274" i="30"/>
  <c r="D277" i="30"/>
  <c r="D280" i="30"/>
  <c r="C276" i="30"/>
  <c r="C269" i="30"/>
  <c r="D269" i="30"/>
  <c r="D271" i="30"/>
  <c r="C275" i="30"/>
  <c r="C270" i="30"/>
  <c r="C281" i="30"/>
  <c r="C268" i="30"/>
  <c r="C73" i="30"/>
  <c r="D65" i="30"/>
  <c r="D72" i="30"/>
  <c r="C72" i="30"/>
  <c r="D78" i="30"/>
  <c r="M28" i="27" s="1"/>
  <c r="D68" i="30"/>
  <c r="C71" i="30"/>
  <c r="D69" i="30"/>
  <c r="D67" i="30"/>
  <c r="D74" i="30"/>
  <c r="C66" i="30"/>
  <c r="D75" i="30"/>
  <c r="C67" i="30"/>
  <c r="C78" i="30"/>
  <c r="M27" i="27" s="1"/>
  <c r="C74" i="30"/>
  <c r="C65" i="30"/>
  <c r="D70" i="30"/>
  <c r="D66" i="30"/>
  <c r="D62" i="30"/>
  <c r="C62" i="30"/>
  <c r="D73" i="30"/>
  <c r="D71" i="30"/>
  <c r="C69" i="30"/>
  <c r="C68" i="30"/>
  <c r="D63" i="30"/>
  <c r="D77" i="30"/>
  <c r="C63" i="30"/>
  <c r="D76" i="30"/>
  <c r="D64" i="30"/>
  <c r="C77" i="30"/>
  <c r="C75" i="30"/>
  <c r="C64" i="30"/>
  <c r="C70" i="30"/>
  <c r="C76" i="30"/>
  <c r="C212" i="30"/>
  <c r="C208" i="30"/>
  <c r="C202" i="30"/>
  <c r="D201" i="30"/>
  <c r="D211" i="30"/>
  <c r="Q82" i="27" s="1"/>
  <c r="C209" i="30"/>
  <c r="C205" i="30"/>
  <c r="C201" i="30"/>
  <c r="D207" i="30"/>
  <c r="D206" i="30"/>
  <c r="D205" i="30"/>
  <c r="C211" i="30"/>
  <c r="Q81" i="27" s="1"/>
  <c r="C207" i="30"/>
  <c r="D210" i="30"/>
  <c r="C203" i="30"/>
  <c r="D209" i="30"/>
  <c r="D202" i="30"/>
  <c r="C204" i="30"/>
  <c r="D203" i="30"/>
  <c r="D204" i="30"/>
  <c r="C210" i="30"/>
  <c r="C206" i="30"/>
  <c r="D208" i="30"/>
  <c r="D36" i="30"/>
  <c r="D32" i="30"/>
  <c r="C43" i="30"/>
  <c r="C27" i="27" s="1"/>
  <c r="D39" i="30"/>
  <c r="C38" i="30"/>
  <c r="D31" i="30"/>
  <c r="C39" i="30"/>
  <c r="C40" i="30"/>
  <c r="D42" i="30"/>
  <c r="C41" i="30"/>
  <c r="D33" i="30"/>
  <c r="D34" i="30"/>
  <c r="D41" i="30"/>
  <c r="C33" i="30"/>
  <c r="C42" i="30"/>
  <c r="C31" i="30"/>
  <c r="D43" i="30"/>
  <c r="C28" i="27" s="1"/>
  <c r="D35" i="30"/>
  <c r="D37" i="30"/>
  <c r="C35" i="30"/>
  <c r="D30" i="30"/>
  <c r="D40" i="30"/>
  <c r="C37" i="30"/>
  <c r="C32" i="30"/>
  <c r="C34" i="30"/>
  <c r="D38" i="30"/>
  <c r="C36" i="30"/>
  <c r="D239" i="30"/>
  <c r="D235" i="30"/>
  <c r="D245" i="30"/>
  <c r="C239" i="30"/>
  <c r="D243" i="30"/>
  <c r="D247" i="30"/>
  <c r="C246" i="30"/>
  <c r="D237" i="30"/>
  <c r="D242" i="30"/>
  <c r="C240" i="30"/>
  <c r="C242" i="30"/>
  <c r="D240" i="30"/>
  <c r="D246" i="30"/>
  <c r="C243" i="30"/>
  <c r="D248" i="30"/>
  <c r="D115" i="27" s="1"/>
  <c r="D241" i="30"/>
  <c r="C248" i="30"/>
  <c r="D114" i="27" s="1"/>
  <c r="C244" i="30"/>
  <c r="C237" i="30"/>
  <c r="C236" i="30"/>
  <c r="C238" i="30"/>
  <c r="D244" i="30"/>
  <c r="D238" i="30"/>
  <c r="C245" i="30"/>
  <c r="D236" i="30"/>
  <c r="C235" i="30"/>
  <c r="C247" i="30"/>
  <c r="C241" i="30"/>
  <c r="D174" i="30"/>
  <c r="D177" i="30"/>
  <c r="C177" i="30"/>
  <c r="D180" i="30"/>
  <c r="H23" i="46" s="1"/>
  <c r="C170" i="30"/>
  <c r="D176" i="30"/>
  <c r="D171" i="30"/>
  <c r="C173" i="30"/>
  <c r="C172" i="30"/>
  <c r="D178" i="30"/>
  <c r="D166" i="30"/>
  <c r="C175" i="30"/>
  <c r="D170" i="30"/>
  <c r="D165" i="30"/>
  <c r="C169" i="30"/>
  <c r="D179" i="30"/>
  <c r="C168" i="30"/>
  <c r="C165" i="30"/>
  <c r="C166" i="30"/>
  <c r="D164" i="30"/>
  <c r="C176" i="30"/>
  <c r="C163" i="30"/>
  <c r="C180" i="30"/>
  <c r="H22" i="46" s="1"/>
  <c r="C178" i="30"/>
  <c r="C174" i="30"/>
  <c r="C164" i="30"/>
  <c r="D175" i="30"/>
  <c r="C171" i="30"/>
  <c r="D167" i="30"/>
  <c r="D169" i="30"/>
  <c r="D163" i="30"/>
  <c r="D172" i="30"/>
  <c r="C167" i="30"/>
  <c r="D173" i="30"/>
  <c r="C179" i="30"/>
  <c r="D168" i="30"/>
  <c r="C143" i="30"/>
  <c r="C145" i="30"/>
  <c r="L56" i="27" s="1"/>
  <c r="C144" i="30"/>
  <c r="D132" i="30"/>
  <c r="D139" i="30"/>
  <c r="D141" i="30"/>
  <c r="D146" i="30"/>
  <c r="C142" i="30"/>
  <c r="D143" i="30"/>
  <c r="C134" i="30"/>
  <c r="D140" i="30"/>
  <c r="C146" i="30"/>
  <c r="D145" i="30"/>
  <c r="L57" i="27" s="1"/>
  <c r="C138" i="30"/>
  <c r="C132" i="30"/>
  <c r="D137" i="30"/>
  <c r="C137" i="30"/>
  <c r="D136" i="30"/>
  <c r="D142" i="30"/>
  <c r="C141" i="30"/>
  <c r="C133" i="30"/>
  <c r="D133" i="30"/>
  <c r="D135" i="30"/>
  <c r="C139" i="30"/>
  <c r="D134" i="30"/>
  <c r="C135" i="30"/>
  <c r="D144" i="30"/>
  <c r="C136" i="30"/>
  <c r="D138" i="30"/>
  <c r="C140" i="30"/>
  <c r="B319" i="30"/>
  <c r="I11" i="46" l="1"/>
  <c r="E11" i="46"/>
  <c r="D15" i="46"/>
  <c r="O95" i="27"/>
  <c r="D10" i="46"/>
  <c r="I15" i="46"/>
  <c r="F19" i="46"/>
  <c r="H110" i="27"/>
  <c r="E23" i="46"/>
  <c r="G10" i="46"/>
  <c r="H11" i="46"/>
  <c r="H7" i="46"/>
  <c r="I6" i="46"/>
  <c r="G65" i="27"/>
  <c r="G18" i="46"/>
  <c r="D19" i="46"/>
  <c r="C11" i="46"/>
  <c r="F66" i="27"/>
  <c r="H19" i="46"/>
  <c r="N95" i="27"/>
  <c r="O82" i="27"/>
  <c r="G15" i="46"/>
  <c r="F11" i="46"/>
  <c r="D23" i="46"/>
  <c r="G6" i="46"/>
  <c r="D7" i="27"/>
  <c r="C15" i="46"/>
  <c r="C23" i="46"/>
  <c r="G7" i="46"/>
  <c r="D8" i="27"/>
  <c r="I19" i="46"/>
  <c r="N7" i="27"/>
  <c r="C19" i="46"/>
  <c r="G19" i="46"/>
  <c r="N8" i="27"/>
  <c r="E19" i="46"/>
  <c r="F15" i="46"/>
  <c r="E15" i="46"/>
  <c r="I7" i="46"/>
  <c r="F14" i="46"/>
  <c r="G11" i="46"/>
  <c r="H15" i="46"/>
  <c r="F7" i="46"/>
  <c r="C8" i="27"/>
  <c r="C10" i="46"/>
  <c r="E66" i="27"/>
  <c r="M95" i="27"/>
  <c r="C22" i="46"/>
  <c r="D18" i="46"/>
  <c r="D14" i="46"/>
  <c r="C14" i="46"/>
  <c r="I14" i="46"/>
  <c r="F18" i="46"/>
  <c r="I10" i="46"/>
  <c r="H18" i="46"/>
  <c r="C65" i="27"/>
  <c r="E6" i="46"/>
  <c r="H10" i="46"/>
  <c r="F10" i="46"/>
  <c r="H14" i="46"/>
  <c r="G14" i="46"/>
  <c r="E22" i="46"/>
  <c r="E18" i="46"/>
  <c r="C18" i="46"/>
  <c r="D22" i="46"/>
  <c r="F6" i="46"/>
  <c r="H6" i="46"/>
  <c r="E14" i="46"/>
  <c r="I18" i="46"/>
  <c r="F65" i="27"/>
  <c r="M94" i="27"/>
  <c r="O94" i="27"/>
  <c r="I110" i="27"/>
  <c r="C114" i="27"/>
  <c r="F22" i="46"/>
  <c r="I23" i="27"/>
  <c r="N94" i="27"/>
  <c r="R52" i="27"/>
  <c r="M56" i="27"/>
  <c r="R53" i="27"/>
  <c r="M57" i="27"/>
  <c r="I111" i="27"/>
  <c r="C115" i="27"/>
  <c r="N82" i="27"/>
  <c r="P82" i="27"/>
  <c r="O81" i="27"/>
  <c r="E65" i="27"/>
  <c r="H111" i="27"/>
  <c r="F23" i="46"/>
  <c r="I24" i="27"/>
  <c r="N81" i="27"/>
  <c r="P81" i="27"/>
  <c r="G66" i="27"/>
  <c r="G22" i="46"/>
  <c r="H23" i="27"/>
  <c r="G23" i="46"/>
  <c r="H24" i="27"/>
  <c r="AS166" i="30"/>
  <c r="AT166" i="30" s="1"/>
  <c r="AS207" i="30"/>
  <c r="AT207" i="30" s="1"/>
  <c r="H103" i="27"/>
  <c r="AS238" i="30"/>
  <c r="AT238" i="30" s="1"/>
  <c r="AS32" i="30"/>
  <c r="AS35" i="30"/>
  <c r="AT35" i="30" s="1"/>
  <c r="AS40" i="30"/>
  <c r="AT40" i="30" s="1"/>
  <c r="AS203" i="30"/>
  <c r="AT203" i="30" s="1"/>
  <c r="AS205" i="30"/>
  <c r="AT205" i="30" s="1"/>
  <c r="AS202" i="30"/>
  <c r="AT202" i="30" s="1"/>
  <c r="AS70" i="30"/>
  <c r="AT70" i="30" s="1"/>
  <c r="R16" i="27"/>
  <c r="AS67" i="30"/>
  <c r="AT67" i="30" s="1"/>
  <c r="AS73" i="30"/>
  <c r="AT73" i="30" s="1"/>
  <c r="AS275" i="30"/>
  <c r="AT275" i="30" s="1"/>
  <c r="AS276" i="30"/>
  <c r="AT276" i="30" s="1"/>
  <c r="AS267" i="30"/>
  <c r="AT267" i="30" s="1"/>
  <c r="AS272" i="30"/>
  <c r="AT272" i="30" s="1"/>
  <c r="I45" i="27"/>
  <c r="H45" i="27"/>
  <c r="E45" i="27"/>
  <c r="F41" i="27"/>
  <c r="C37" i="27"/>
  <c r="M66" i="27"/>
  <c r="AS162" i="30"/>
  <c r="AT162" i="30" s="1"/>
  <c r="AM162" i="30" s="1"/>
  <c r="Q95" i="27"/>
  <c r="P95" i="27"/>
  <c r="AS144" i="30"/>
  <c r="AT144" i="30" s="1"/>
  <c r="AS177" i="30"/>
  <c r="AT177" i="30" s="1"/>
  <c r="AS247" i="30"/>
  <c r="AT247" i="30" s="1"/>
  <c r="AS237" i="30"/>
  <c r="AT237" i="30" s="1"/>
  <c r="AS246" i="30"/>
  <c r="AT246" i="30" s="1"/>
  <c r="AS41" i="30"/>
  <c r="AT41" i="30" s="1"/>
  <c r="AS133" i="30"/>
  <c r="AT133" i="30" s="1"/>
  <c r="AS137" i="30"/>
  <c r="AT137" i="30" s="1"/>
  <c r="O53" i="27"/>
  <c r="M53" i="27"/>
  <c r="AS143" i="30"/>
  <c r="AT143" i="30" s="1"/>
  <c r="AS167" i="30"/>
  <c r="AT167" i="30" s="1"/>
  <c r="D78" i="27"/>
  <c r="AS174" i="30"/>
  <c r="AT174" i="30" s="1"/>
  <c r="AS176" i="30"/>
  <c r="AT176" i="30" s="1"/>
  <c r="AS168" i="30"/>
  <c r="AT168" i="30" s="1"/>
  <c r="AS172" i="30"/>
  <c r="AT172" i="30" s="1"/>
  <c r="AS170" i="30"/>
  <c r="AT170" i="30" s="1"/>
  <c r="AS136" i="30"/>
  <c r="AT136" i="30" s="1"/>
  <c r="AS139" i="30"/>
  <c r="AT139" i="30" s="1"/>
  <c r="AS141" i="30"/>
  <c r="AT141" i="30" s="1"/>
  <c r="AS142" i="30"/>
  <c r="AT142" i="30" s="1"/>
  <c r="AS171" i="30"/>
  <c r="AT171" i="30" s="1"/>
  <c r="AS178" i="30"/>
  <c r="AT178" i="30" s="1"/>
  <c r="AS175" i="30"/>
  <c r="AT175" i="30" s="1"/>
  <c r="AS173" i="30"/>
  <c r="AT173" i="30" s="1"/>
  <c r="AS241" i="30"/>
  <c r="AT241" i="30" s="1"/>
  <c r="AS245" i="30"/>
  <c r="AT245" i="30" s="1"/>
  <c r="AS236" i="30"/>
  <c r="AT236" i="30" s="1"/>
  <c r="F107" i="27"/>
  <c r="AS239" i="30"/>
  <c r="AT239" i="30" s="1"/>
  <c r="AS36" i="30"/>
  <c r="AT36" i="30" s="1"/>
  <c r="AS37" i="30"/>
  <c r="AT37" i="30" s="1"/>
  <c r="AS42" i="30"/>
  <c r="AT42" i="30" s="1"/>
  <c r="AS39" i="30"/>
  <c r="AT39" i="30" s="1"/>
  <c r="AS206" i="30"/>
  <c r="AT206" i="30" s="1"/>
  <c r="AS204" i="30"/>
  <c r="AT204" i="30" s="1"/>
  <c r="AS209" i="30"/>
  <c r="AT209" i="30" s="1"/>
  <c r="AS208" i="30"/>
  <c r="AT208" i="30" s="1"/>
  <c r="AS64" i="30"/>
  <c r="AT64" i="30" s="1"/>
  <c r="P24" i="27"/>
  <c r="AS68" i="30"/>
  <c r="AT68" i="30" s="1"/>
  <c r="AS62" i="30"/>
  <c r="AT62" i="30" s="1"/>
  <c r="AS65" i="30"/>
  <c r="AT65" i="30" s="1"/>
  <c r="AS72" i="30"/>
  <c r="AT72" i="30" s="1"/>
  <c r="AS268" i="30"/>
  <c r="AT268" i="30" s="1"/>
  <c r="N107" i="27"/>
  <c r="P111" i="27"/>
  <c r="AS274" i="30"/>
  <c r="AT274" i="30" s="1"/>
  <c r="AS105" i="30"/>
  <c r="AT105" i="30" s="1"/>
  <c r="AS104" i="30"/>
  <c r="AT104" i="30" s="1"/>
  <c r="AS102" i="30"/>
  <c r="AT102" i="30" s="1"/>
  <c r="O7" i="27"/>
  <c r="H41" i="27"/>
  <c r="D70" i="27"/>
  <c r="C103" i="27"/>
  <c r="AS179" i="30"/>
  <c r="AT179" i="30" s="1"/>
  <c r="AS242" i="30"/>
  <c r="AT242" i="30" s="1"/>
  <c r="AS210" i="30"/>
  <c r="AT210" i="30" s="1"/>
  <c r="AS63" i="30"/>
  <c r="AT63" i="30" s="1"/>
  <c r="AS69" i="30"/>
  <c r="AT69" i="30" s="1"/>
  <c r="AS74" i="30"/>
  <c r="AT74" i="30" s="1"/>
  <c r="AS66" i="30"/>
  <c r="AT66" i="30" s="1"/>
  <c r="AS71" i="30"/>
  <c r="AT71" i="30" s="1"/>
  <c r="AS278" i="30"/>
  <c r="AT278" i="30" s="1"/>
  <c r="AS273" i="30"/>
  <c r="AT273" i="30" s="1"/>
  <c r="AS280" i="30"/>
  <c r="AT280" i="30" s="1"/>
  <c r="AS103" i="30"/>
  <c r="AT103" i="30" s="1"/>
  <c r="AS101" i="30"/>
  <c r="AT101" i="30" s="1"/>
  <c r="AS30" i="30"/>
  <c r="Q70" i="27"/>
  <c r="AS234" i="30"/>
  <c r="AT234" i="30" s="1"/>
  <c r="AD234" i="30" s="1"/>
  <c r="E99" i="27"/>
  <c r="E95" i="27"/>
  <c r="AS169" i="30"/>
  <c r="AT169" i="30" s="1"/>
  <c r="AS33" i="30"/>
  <c r="AT33" i="30" s="1"/>
  <c r="AS75" i="30"/>
  <c r="AT75" i="30" s="1"/>
  <c r="AS140" i="30"/>
  <c r="AT140" i="30" s="1"/>
  <c r="AS135" i="30"/>
  <c r="AT135" i="30" s="1"/>
  <c r="AS138" i="30"/>
  <c r="AT138" i="30" s="1"/>
  <c r="AS134" i="30"/>
  <c r="AT134" i="30" s="1"/>
  <c r="AS145" i="30"/>
  <c r="AT145" i="30" s="1"/>
  <c r="AS164" i="30"/>
  <c r="AT164" i="30" s="1"/>
  <c r="AS165" i="30"/>
  <c r="AT165" i="30" s="1"/>
  <c r="AS244" i="30"/>
  <c r="AT244" i="30" s="1"/>
  <c r="AS243" i="30"/>
  <c r="AT243" i="30" s="1"/>
  <c r="AS240" i="30"/>
  <c r="AT240" i="30" s="1"/>
  <c r="AS34" i="30"/>
  <c r="AT34" i="30" s="1"/>
  <c r="AS38" i="30"/>
  <c r="AT38" i="30" s="1"/>
  <c r="AS76" i="30"/>
  <c r="AT76" i="30" s="1"/>
  <c r="AS77" i="30"/>
  <c r="AT77" i="30" s="1"/>
  <c r="AS270" i="30"/>
  <c r="AT270" i="30" s="1"/>
  <c r="AS269" i="30"/>
  <c r="AT269" i="30" s="1"/>
  <c r="AS277" i="30"/>
  <c r="AT277" i="30" s="1"/>
  <c r="AS279" i="30"/>
  <c r="AT279" i="30" s="1"/>
  <c r="AS271" i="30"/>
  <c r="AT271" i="30" s="1"/>
  <c r="E8" i="27"/>
  <c r="D12" i="27"/>
  <c r="N37" i="27"/>
  <c r="AS131" i="30"/>
  <c r="AT131" i="30" s="1"/>
  <c r="AS200" i="30"/>
  <c r="AT200" i="30" s="1"/>
  <c r="AK200" i="30" s="1"/>
  <c r="I66" i="27"/>
  <c r="H66" i="27"/>
  <c r="AS265" i="30"/>
  <c r="AT265" i="30" s="1"/>
  <c r="C99" i="27"/>
  <c r="I95" i="27"/>
  <c r="G99" i="27"/>
  <c r="H12" i="27"/>
  <c r="I78" i="27"/>
  <c r="H74" i="27"/>
  <c r="C20" i="27"/>
  <c r="L103" i="27"/>
  <c r="F95" i="27"/>
  <c r="D111" i="27"/>
  <c r="P78" i="27"/>
  <c r="M24" i="27"/>
  <c r="E37" i="27"/>
  <c r="R66" i="27"/>
  <c r="N20" i="27"/>
  <c r="R45" i="27"/>
  <c r="R78" i="27"/>
  <c r="G78" i="27"/>
  <c r="D82" i="27"/>
  <c r="I82" i="27"/>
  <c r="N78" i="27"/>
  <c r="D41" i="27"/>
  <c r="P66" i="27"/>
  <c r="R95" i="27"/>
  <c r="H37" i="27"/>
  <c r="N66" i="27"/>
  <c r="G70" i="27"/>
  <c r="M103" i="27"/>
  <c r="F37" i="27"/>
  <c r="D74" i="27"/>
  <c r="R99" i="27"/>
  <c r="R41" i="27"/>
  <c r="I8" i="27"/>
  <c r="G12" i="27"/>
  <c r="G20" i="27"/>
  <c r="L16" i="27"/>
  <c r="Q8" i="27"/>
  <c r="I103" i="27"/>
  <c r="E103" i="27"/>
  <c r="M41" i="27"/>
  <c r="P107" i="27"/>
  <c r="P37" i="27"/>
  <c r="L70" i="27"/>
  <c r="H99" i="27"/>
  <c r="R107" i="27"/>
  <c r="N16" i="27"/>
  <c r="F45" i="27"/>
  <c r="G41" i="27"/>
  <c r="N70" i="27"/>
  <c r="E74" i="27"/>
  <c r="P99" i="27"/>
  <c r="H95" i="27"/>
  <c r="L12" i="27"/>
  <c r="E12" i="27"/>
  <c r="C70" i="27"/>
  <c r="E78" i="27"/>
  <c r="C24" i="27"/>
  <c r="E20" i="27"/>
  <c r="H16" i="27"/>
  <c r="M12" i="27"/>
  <c r="C41" i="27"/>
  <c r="D37" i="27"/>
  <c r="G8" i="27"/>
  <c r="N99" i="27"/>
  <c r="P41" i="27"/>
  <c r="Q37" i="27"/>
  <c r="R37" i="27"/>
  <c r="C86" i="27"/>
  <c r="D86" i="27"/>
  <c r="O49" i="27"/>
  <c r="P49" i="27"/>
  <c r="AS248" i="30"/>
  <c r="AT248" i="30" s="1"/>
  <c r="G110" i="27"/>
  <c r="G107" i="27"/>
  <c r="H107" i="27"/>
  <c r="D20" i="27"/>
  <c r="I20" i="27"/>
  <c r="R74" i="27"/>
  <c r="Q20" i="27"/>
  <c r="R24" i="27"/>
  <c r="L28" i="27"/>
  <c r="Q111" i="27"/>
  <c r="R111" i="27"/>
  <c r="G45" i="27"/>
  <c r="E41" i="27"/>
  <c r="I37" i="27"/>
  <c r="G37" i="27"/>
  <c r="C16" i="27"/>
  <c r="F8" i="27"/>
  <c r="H8" i="27"/>
  <c r="F70" i="27"/>
  <c r="I70" i="27"/>
  <c r="C74" i="27"/>
  <c r="L99" i="27"/>
  <c r="D103" i="27"/>
  <c r="L49" i="27"/>
  <c r="AS180" i="30"/>
  <c r="AT180" i="30" s="1"/>
  <c r="D85" i="27"/>
  <c r="F111" i="27"/>
  <c r="G111" i="27"/>
  <c r="L82" i="27"/>
  <c r="M82" i="27"/>
  <c r="AS281" i="30"/>
  <c r="AT281" i="30" s="1"/>
  <c r="R110" i="27"/>
  <c r="Q103" i="27"/>
  <c r="O12" i="27"/>
  <c r="F12" i="27"/>
  <c r="I12" i="27"/>
  <c r="L45" i="27"/>
  <c r="Q41" i="27"/>
  <c r="L41" i="27"/>
  <c r="O70" i="27"/>
  <c r="P70" i="27"/>
  <c r="Q66" i="27"/>
  <c r="O66" i="27"/>
  <c r="H70" i="27"/>
  <c r="O99" i="27"/>
  <c r="Q99" i="27"/>
  <c r="D99" i="27"/>
  <c r="G95" i="27"/>
  <c r="I99" i="27"/>
  <c r="AS146" i="30"/>
  <c r="AT146" i="30" s="1"/>
  <c r="Q52" i="27"/>
  <c r="AS43" i="30"/>
  <c r="AT43" i="30" s="1"/>
  <c r="G23" i="27"/>
  <c r="Q49" i="27"/>
  <c r="P53" i="27"/>
  <c r="Q53" i="27"/>
  <c r="E82" i="27"/>
  <c r="F82" i="27"/>
  <c r="I107" i="27"/>
  <c r="F24" i="27"/>
  <c r="G24" i="27"/>
  <c r="D24" i="27"/>
  <c r="AS211" i="30"/>
  <c r="AT211" i="30" s="1"/>
  <c r="M81" i="27"/>
  <c r="R20" i="27"/>
  <c r="AS78" i="30"/>
  <c r="AT78" i="30" s="1"/>
  <c r="L27" i="27"/>
  <c r="C49" i="27"/>
  <c r="C12" i="27"/>
  <c r="N41" i="27"/>
  <c r="O41" i="27"/>
  <c r="O37" i="27"/>
  <c r="M70" i="27"/>
  <c r="R70" i="27"/>
  <c r="E70" i="27"/>
  <c r="M99" i="27"/>
  <c r="F99" i="27"/>
  <c r="N103" i="27"/>
  <c r="L74" i="27"/>
  <c r="AS193" i="30"/>
  <c r="AT193" i="30" s="1"/>
  <c r="O69" i="27"/>
  <c r="AS260" i="30"/>
  <c r="Q98" i="27"/>
  <c r="AS221" i="30"/>
  <c r="G94" i="27"/>
  <c r="AS225" i="30"/>
  <c r="AT225" i="30" s="1"/>
  <c r="D98" i="27"/>
  <c r="AS233" i="30"/>
  <c r="AT233" i="30" s="1"/>
  <c r="E102" i="27"/>
  <c r="AS226" i="30"/>
  <c r="AT226" i="30" s="1"/>
  <c r="E98" i="27"/>
  <c r="AS220" i="30"/>
  <c r="AT220" i="30" s="1"/>
  <c r="F94" i="27"/>
  <c r="AS199" i="30"/>
  <c r="AT199" i="30" s="1"/>
  <c r="N73" i="27"/>
  <c r="AS194" i="30"/>
  <c r="AT194" i="30" s="1"/>
  <c r="P69" i="27"/>
  <c r="AS191" i="30"/>
  <c r="AT191" i="30" s="1"/>
  <c r="M69" i="27"/>
  <c r="AS196" i="30"/>
  <c r="R69" i="27"/>
  <c r="AS188" i="30"/>
  <c r="Q65" i="27"/>
  <c r="AS192" i="30"/>
  <c r="AT192" i="30" s="1"/>
  <c r="N69" i="27"/>
  <c r="AS161" i="30"/>
  <c r="AT161" i="30" s="1"/>
  <c r="E73" i="27"/>
  <c r="AS160" i="30"/>
  <c r="AT160" i="30" s="1"/>
  <c r="D73" i="27"/>
  <c r="AS154" i="30"/>
  <c r="E69" i="27"/>
  <c r="AS151" i="30"/>
  <c r="I65" i="27"/>
  <c r="AS264" i="30"/>
  <c r="N102" i="27"/>
  <c r="AS252" i="30"/>
  <c r="AT252" i="30" s="1"/>
  <c r="P94" i="27"/>
  <c r="AS257" i="30"/>
  <c r="AT257" i="30" s="1"/>
  <c r="N98" i="27"/>
  <c r="AS254" i="30"/>
  <c r="R94" i="27"/>
  <c r="AS222" i="30"/>
  <c r="H94" i="27"/>
  <c r="AS230" i="30"/>
  <c r="I98" i="27"/>
  <c r="AS228" i="30"/>
  <c r="AT228" i="30" s="1"/>
  <c r="G98" i="27"/>
  <c r="AS227" i="30"/>
  <c r="AT227" i="30" s="1"/>
  <c r="F98" i="27"/>
  <c r="Z218" i="30"/>
  <c r="O218" i="30"/>
  <c r="AE218" i="30"/>
  <c r="P218" i="30"/>
  <c r="AF218" i="30"/>
  <c r="AK218" i="30"/>
  <c r="AC218" i="30"/>
  <c r="N218" i="30"/>
  <c r="AD218" i="30"/>
  <c r="S218" i="30"/>
  <c r="AI218" i="30"/>
  <c r="T218" i="30"/>
  <c r="AJ218" i="30"/>
  <c r="Y218" i="30"/>
  <c r="AG218" i="30"/>
  <c r="R218" i="30"/>
  <c r="AH218" i="30"/>
  <c r="W218" i="30"/>
  <c r="AM218" i="30"/>
  <c r="X218" i="30"/>
  <c r="AN218" i="30"/>
  <c r="AO218" i="30"/>
  <c r="Q218" i="30"/>
  <c r="AL218" i="30"/>
  <c r="U218" i="30"/>
  <c r="M218" i="30"/>
  <c r="V218" i="30"/>
  <c r="AA218" i="30"/>
  <c r="L218" i="30"/>
  <c r="AB218" i="30"/>
  <c r="AS186" i="30"/>
  <c r="AT186" i="30" s="1"/>
  <c r="O65" i="27"/>
  <c r="AS195" i="30"/>
  <c r="Q69" i="27"/>
  <c r="H65" i="27"/>
  <c r="AS150" i="30"/>
  <c r="AS256" i="30"/>
  <c r="AT256" i="30" s="1"/>
  <c r="M98" i="27"/>
  <c r="AS253" i="30"/>
  <c r="Q94" i="27"/>
  <c r="AS197" i="30"/>
  <c r="AT197" i="30" s="1"/>
  <c r="L73" i="27"/>
  <c r="AS198" i="30"/>
  <c r="AT198" i="30" s="1"/>
  <c r="M73" i="27"/>
  <c r="AS187" i="30"/>
  <c r="AT187" i="30" s="1"/>
  <c r="P65" i="27"/>
  <c r="AS157" i="30"/>
  <c r="H69" i="27"/>
  <c r="AS158" i="30"/>
  <c r="I69" i="27"/>
  <c r="AS155" i="30"/>
  <c r="F69" i="27"/>
  <c r="AS152" i="30"/>
  <c r="C69" i="27"/>
  <c r="AS263" i="30"/>
  <c r="M102" i="27"/>
  <c r="AS259" i="30"/>
  <c r="AT259" i="30" s="1"/>
  <c r="P98" i="27"/>
  <c r="AS223" i="30"/>
  <c r="I94" i="27"/>
  <c r="AS231" i="30"/>
  <c r="AT231" i="30" s="1"/>
  <c r="C102" i="27"/>
  <c r="AS229" i="30"/>
  <c r="H98" i="27"/>
  <c r="AS189" i="30"/>
  <c r="R65" i="27"/>
  <c r="AS153" i="30"/>
  <c r="D69" i="27"/>
  <c r="M74" i="27"/>
  <c r="N74" i="27"/>
  <c r="AS185" i="30"/>
  <c r="AT185" i="30" s="1"/>
  <c r="N65" i="27"/>
  <c r="AS190" i="30"/>
  <c r="AT190" i="30" s="1"/>
  <c r="L69" i="27"/>
  <c r="M65" i="27"/>
  <c r="AS184" i="30"/>
  <c r="AT184" i="30" s="1"/>
  <c r="AS159" i="30"/>
  <c r="AT159" i="30" s="1"/>
  <c r="C73" i="27"/>
  <c r="AS156" i="30"/>
  <c r="G69" i="27"/>
  <c r="AS262" i="30"/>
  <c r="L102" i="27"/>
  <c r="AS258" i="30"/>
  <c r="AT258" i="30" s="1"/>
  <c r="O98" i="27"/>
  <c r="AS255" i="30"/>
  <c r="AT255" i="30" s="1"/>
  <c r="L98" i="27"/>
  <c r="AS261" i="30"/>
  <c r="R98" i="27"/>
  <c r="AS232" i="30"/>
  <c r="AT232" i="30" s="1"/>
  <c r="D102" i="27"/>
  <c r="AS224" i="30"/>
  <c r="C98" i="27"/>
  <c r="AS219" i="30"/>
  <c r="AT219" i="30" s="1"/>
  <c r="E94" i="27"/>
  <c r="AS126" i="30"/>
  <c r="Q40" i="27"/>
  <c r="AS118" i="30"/>
  <c r="AT118" i="30" s="1"/>
  <c r="P36" i="27"/>
  <c r="AS128" i="30"/>
  <c r="AT128" i="30" s="1"/>
  <c r="L44" i="27"/>
  <c r="AS119" i="30"/>
  <c r="Q36" i="27"/>
  <c r="AS122" i="30"/>
  <c r="M40" i="27"/>
  <c r="AS130" i="30"/>
  <c r="AT130" i="30" s="1"/>
  <c r="N44" i="27"/>
  <c r="AS121" i="30"/>
  <c r="L40" i="27"/>
  <c r="AS120" i="30"/>
  <c r="R36" i="27"/>
  <c r="AS125" i="30"/>
  <c r="AT125" i="30" s="1"/>
  <c r="P40" i="27"/>
  <c r="AS123" i="30"/>
  <c r="N40" i="27"/>
  <c r="AS127" i="30"/>
  <c r="R40" i="27"/>
  <c r="M45" i="27"/>
  <c r="N45" i="27"/>
  <c r="AS117" i="30"/>
  <c r="AT117" i="30" s="1"/>
  <c r="O36" i="27"/>
  <c r="AS129" i="30"/>
  <c r="AT129" i="30" s="1"/>
  <c r="M44" i="27"/>
  <c r="AS116" i="30"/>
  <c r="AT116" i="30" s="1"/>
  <c r="N36" i="27"/>
  <c r="AS124" i="30"/>
  <c r="AT124" i="30" s="1"/>
  <c r="O40" i="27"/>
  <c r="AS27" i="30"/>
  <c r="D15" i="27"/>
  <c r="AS26" i="30"/>
  <c r="C15" i="27"/>
  <c r="AS25" i="30"/>
  <c r="I11" i="27"/>
  <c r="AS23" i="30"/>
  <c r="H23" i="30" s="1"/>
  <c r="G11" i="27"/>
  <c r="AS29" i="30"/>
  <c r="F15" i="27"/>
  <c r="AS22" i="30"/>
  <c r="H22" i="30" s="1"/>
  <c r="F11" i="27"/>
  <c r="AS24" i="30"/>
  <c r="H11" i="27"/>
  <c r="AS19" i="30"/>
  <c r="H19" i="30" s="1"/>
  <c r="C11" i="27"/>
  <c r="AS18" i="30"/>
  <c r="I7" i="27"/>
  <c r="D16" i="27"/>
  <c r="E16" i="27"/>
  <c r="AS14" i="30"/>
  <c r="H14" i="30" s="1"/>
  <c r="E7" i="27"/>
  <c r="AS20" i="30"/>
  <c r="H20" i="30" s="1"/>
  <c r="D11" i="27"/>
  <c r="AS15" i="30"/>
  <c r="H15" i="30" s="1"/>
  <c r="F7" i="27"/>
  <c r="AS28" i="30"/>
  <c r="E15" i="27"/>
  <c r="AS16" i="30"/>
  <c r="H16" i="30" s="1"/>
  <c r="G7" i="27"/>
  <c r="AS17" i="30"/>
  <c r="H7" i="27"/>
  <c r="AS21" i="30"/>
  <c r="H21" i="30" s="1"/>
  <c r="E11" i="27"/>
  <c r="P45" i="27"/>
  <c r="O45" i="27"/>
  <c r="E107" i="27"/>
  <c r="O24" i="27"/>
  <c r="P20" i="27"/>
  <c r="O111" i="27"/>
  <c r="M107" i="27"/>
  <c r="AS266" i="30"/>
  <c r="O102" i="27"/>
  <c r="D53" i="27"/>
  <c r="C57" i="27"/>
  <c r="AS110" i="30"/>
  <c r="AT110" i="30" s="1"/>
  <c r="I52" i="27"/>
  <c r="AS111" i="30"/>
  <c r="AT111" i="30" s="1"/>
  <c r="C56" i="27"/>
  <c r="N49" i="27"/>
  <c r="G74" i="27"/>
  <c r="F74" i="27"/>
  <c r="C78" i="27"/>
  <c r="H78" i="27"/>
  <c r="C107" i="27"/>
  <c r="C111" i="27"/>
  <c r="H20" i="27"/>
  <c r="I16" i="27"/>
  <c r="Q74" i="27"/>
  <c r="O78" i="27"/>
  <c r="AS212" i="30"/>
  <c r="AT212" i="30" s="1"/>
  <c r="C94" i="27"/>
  <c r="P16" i="27"/>
  <c r="L24" i="27"/>
  <c r="L107" i="27"/>
  <c r="M111" i="27"/>
  <c r="L111" i="27"/>
  <c r="H49" i="27"/>
  <c r="G53" i="27"/>
  <c r="C53" i="27"/>
  <c r="I53" i="27"/>
  <c r="AS106" i="30"/>
  <c r="AT106" i="30" s="1"/>
  <c r="E52" i="27"/>
  <c r="I49" i="27"/>
  <c r="H53" i="27"/>
  <c r="Q12" i="27"/>
  <c r="C45" i="27"/>
  <c r="N53" i="27"/>
  <c r="L53" i="27"/>
  <c r="AS132" i="30"/>
  <c r="AT132" i="30" s="1"/>
  <c r="O44" i="27"/>
  <c r="Q45" i="27"/>
  <c r="M49" i="27"/>
  <c r="R49" i="27"/>
  <c r="C82" i="27"/>
  <c r="F78" i="27"/>
  <c r="AS163" i="30"/>
  <c r="AT163" i="30" s="1"/>
  <c r="F73" i="27"/>
  <c r="I74" i="27"/>
  <c r="H82" i="27"/>
  <c r="G82" i="27"/>
  <c r="AS235" i="30"/>
  <c r="F102" i="27"/>
  <c r="E111" i="27"/>
  <c r="G103" i="27"/>
  <c r="F103" i="27"/>
  <c r="G16" i="27"/>
  <c r="F16" i="27"/>
  <c r="E24" i="27"/>
  <c r="F20" i="27"/>
  <c r="L78" i="27"/>
  <c r="Q78" i="27"/>
  <c r="AS201" i="30"/>
  <c r="AT201" i="30" s="1"/>
  <c r="O73" i="27"/>
  <c r="P74" i="27"/>
  <c r="O74" i="27"/>
  <c r="Q24" i="27"/>
  <c r="M20" i="27"/>
  <c r="N24" i="27"/>
  <c r="O20" i="27"/>
  <c r="L20" i="27"/>
  <c r="Q107" i="27"/>
  <c r="O107" i="27"/>
  <c r="R103" i="27"/>
  <c r="G49" i="27"/>
  <c r="F53" i="27"/>
  <c r="AS108" i="30"/>
  <c r="AT108" i="30" s="1"/>
  <c r="G52" i="27"/>
  <c r="D49" i="27"/>
  <c r="E49" i="27"/>
  <c r="AS107" i="30"/>
  <c r="AT107" i="30" s="1"/>
  <c r="F52" i="27"/>
  <c r="P12" i="27"/>
  <c r="M16" i="27"/>
  <c r="N12" i="27"/>
  <c r="R8" i="27"/>
  <c r="I41" i="27"/>
  <c r="D107" i="27"/>
  <c r="AS31" i="30"/>
  <c r="G15" i="27"/>
  <c r="M78" i="27"/>
  <c r="Q16" i="27"/>
  <c r="P103" i="27"/>
  <c r="O103" i="27"/>
  <c r="N111" i="27"/>
  <c r="F49" i="27"/>
  <c r="E53" i="27"/>
  <c r="AS109" i="30"/>
  <c r="AT109" i="30" s="1"/>
  <c r="H52" i="27"/>
  <c r="O16" i="27"/>
  <c r="R12" i="27"/>
  <c r="P8" i="27"/>
  <c r="O8" i="27"/>
  <c r="D45" i="27"/>
  <c r="AS48" i="30"/>
  <c r="P7" i="27"/>
  <c r="AS56" i="30"/>
  <c r="Q11" i="27"/>
  <c r="AS58" i="30"/>
  <c r="L15" i="27"/>
  <c r="AS53" i="30"/>
  <c r="AT53" i="30" s="1"/>
  <c r="N11" i="27"/>
  <c r="AS54" i="30"/>
  <c r="AT54" i="30" s="1"/>
  <c r="O11" i="27"/>
  <c r="AS86" i="30"/>
  <c r="AT86" i="30" s="1"/>
  <c r="G36" i="27"/>
  <c r="AS83" i="30"/>
  <c r="AT83" i="30" s="1"/>
  <c r="D36" i="27"/>
  <c r="AS87" i="30"/>
  <c r="H36" i="27"/>
  <c r="AS84" i="30"/>
  <c r="AT84" i="30" s="1"/>
  <c r="E36" i="27"/>
  <c r="AS91" i="30"/>
  <c r="AT91" i="30" s="1"/>
  <c r="E40" i="27"/>
  <c r="AS61" i="30"/>
  <c r="AT61" i="30" s="1"/>
  <c r="O15" i="27"/>
  <c r="AS55" i="30"/>
  <c r="AT55" i="30" s="1"/>
  <c r="P11" i="27"/>
  <c r="AS49" i="30"/>
  <c r="Q7" i="27"/>
  <c r="AS50" i="30"/>
  <c r="R7" i="27"/>
  <c r="AS98" i="30"/>
  <c r="AT98" i="30" s="1"/>
  <c r="E44" i="27"/>
  <c r="AS90" i="30"/>
  <c r="AT90" i="30" s="1"/>
  <c r="D40" i="27"/>
  <c r="AS93" i="30"/>
  <c r="AT93" i="30" s="1"/>
  <c r="G40" i="27"/>
  <c r="AS95" i="30"/>
  <c r="I40" i="27"/>
  <c r="AS94" i="30"/>
  <c r="H40" i="27"/>
  <c r="AS59" i="30"/>
  <c r="M15" i="27"/>
  <c r="AS51" i="30"/>
  <c r="AT51" i="30" s="1"/>
  <c r="L11" i="27"/>
  <c r="AS99" i="30"/>
  <c r="AT99" i="30" s="1"/>
  <c r="F44" i="27"/>
  <c r="AS97" i="30"/>
  <c r="AT97" i="30" s="1"/>
  <c r="D44" i="27"/>
  <c r="AS88" i="30"/>
  <c r="I36" i="27"/>
  <c r="AS92" i="30"/>
  <c r="AT92" i="30" s="1"/>
  <c r="F40" i="27"/>
  <c r="AS82" i="30"/>
  <c r="C36" i="27"/>
  <c r="AS96" i="30"/>
  <c r="AT96" i="30" s="1"/>
  <c r="C44" i="27"/>
  <c r="AS85" i="30"/>
  <c r="AT85" i="30" s="1"/>
  <c r="F36" i="27"/>
  <c r="AS60" i="30"/>
  <c r="N15" i="27"/>
  <c r="AS52" i="30"/>
  <c r="AT52" i="30" s="1"/>
  <c r="M11" i="27"/>
  <c r="AS57" i="30"/>
  <c r="R11" i="27"/>
  <c r="AS100" i="30"/>
  <c r="AT100" i="30" s="1"/>
  <c r="G44" i="27"/>
  <c r="AS89" i="30"/>
  <c r="AT89" i="30" s="1"/>
  <c r="C40" i="27"/>
  <c r="Q44" i="27"/>
  <c r="N48" i="27"/>
  <c r="M52" i="27"/>
  <c r="D77" i="27"/>
  <c r="D81" i="27"/>
  <c r="F81" i="27"/>
  <c r="E77" i="27"/>
  <c r="I77" i="27"/>
  <c r="G77" i="27"/>
  <c r="C106" i="27"/>
  <c r="F110" i="27"/>
  <c r="I15" i="27"/>
  <c r="E19" i="27"/>
  <c r="H15" i="27"/>
  <c r="C23" i="27"/>
  <c r="R73" i="27"/>
  <c r="M77" i="27"/>
  <c r="Q73" i="27"/>
  <c r="Q19" i="27"/>
  <c r="N19" i="27"/>
  <c r="M23" i="27"/>
  <c r="R106" i="27"/>
  <c r="L110" i="27"/>
  <c r="Q102" i="27"/>
  <c r="O106" i="27"/>
  <c r="I48" i="27"/>
  <c r="M48" i="27"/>
  <c r="P48" i="27"/>
  <c r="R48" i="27"/>
  <c r="P52" i="27"/>
  <c r="L52" i="27"/>
  <c r="H77" i="27"/>
  <c r="H81" i="27"/>
  <c r="E81" i="27"/>
  <c r="C81" i="27"/>
  <c r="F106" i="27"/>
  <c r="C110" i="27"/>
  <c r="H102" i="27"/>
  <c r="D106" i="27"/>
  <c r="F19" i="27"/>
  <c r="G19" i="27"/>
  <c r="E23" i="27"/>
  <c r="I19" i="27"/>
  <c r="F23" i="27"/>
  <c r="N77" i="27"/>
  <c r="L77" i="27"/>
  <c r="Q77" i="27"/>
  <c r="P77" i="27"/>
  <c r="R15" i="27"/>
  <c r="O19" i="27"/>
  <c r="P15" i="27"/>
  <c r="L19" i="27"/>
  <c r="L23" i="27"/>
  <c r="R102" i="27"/>
  <c r="Q106" i="27"/>
  <c r="P102" i="27"/>
  <c r="E48" i="27"/>
  <c r="D48" i="27"/>
  <c r="C52" i="27"/>
  <c r="I44" i="27"/>
  <c r="D52" i="27"/>
  <c r="P44" i="27"/>
  <c r="N52" i="27"/>
  <c r="I81" i="27"/>
  <c r="C85" i="27"/>
  <c r="C77" i="27"/>
  <c r="F77" i="27"/>
  <c r="G81" i="27"/>
  <c r="E110" i="27"/>
  <c r="I102" i="27"/>
  <c r="G106" i="27"/>
  <c r="D110" i="27"/>
  <c r="C19" i="27"/>
  <c r="D23" i="27"/>
  <c r="R77" i="27"/>
  <c r="O77" i="27"/>
  <c r="D94" i="27"/>
  <c r="O23" i="27"/>
  <c r="Q15" i="27"/>
  <c r="P19" i="27"/>
  <c r="N23" i="27"/>
  <c r="M19" i="27"/>
  <c r="R19" i="27"/>
  <c r="Q110" i="27"/>
  <c r="N110" i="27"/>
  <c r="P106" i="27"/>
  <c r="P110" i="27"/>
  <c r="C48" i="27"/>
  <c r="F48" i="27"/>
  <c r="H44" i="27"/>
  <c r="Q48" i="27"/>
  <c r="L48" i="27"/>
  <c r="O48" i="27"/>
  <c r="R44" i="27"/>
  <c r="O52" i="27"/>
  <c r="H73" i="27"/>
  <c r="G73" i="27"/>
  <c r="I73" i="27"/>
  <c r="G102" i="27"/>
  <c r="I106" i="27"/>
  <c r="H106" i="27"/>
  <c r="E106" i="27"/>
  <c r="D19" i="27"/>
  <c r="H19" i="27"/>
  <c r="L81" i="27"/>
  <c r="P73" i="27"/>
  <c r="P23" i="27"/>
  <c r="Q23" i="27"/>
  <c r="R23" i="27"/>
  <c r="M106" i="27"/>
  <c r="L106" i="27"/>
  <c r="M110" i="27"/>
  <c r="O110" i="27"/>
  <c r="N106" i="27"/>
  <c r="H48" i="27"/>
  <c r="G48" i="27"/>
  <c r="AT32" i="30" l="1"/>
  <c r="AT30" i="30"/>
  <c r="AT31" i="30"/>
  <c r="AT29" i="30"/>
  <c r="AP148" i="30"/>
  <c r="AG162" i="30"/>
  <c r="T162" i="30"/>
  <c r="AA162" i="30"/>
  <c r="P162" i="30"/>
  <c r="AJ162" i="30"/>
  <c r="N162" i="30"/>
  <c r="AO162" i="30"/>
  <c r="V162" i="30"/>
  <c r="AF162" i="30"/>
  <c r="R162" i="30"/>
  <c r="AI162" i="30"/>
  <c r="M162" i="30"/>
  <c r="AK162" i="30"/>
  <c r="W162" i="30"/>
  <c r="AD162" i="30"/>
  <c r="AC162" i="30"/>
  <c r="AB162" i="30"/>
  <c r="U162" i="30"/>
  <c r="S162" i="30"/>
  <c r="Q162" i="30"/>
  <c r="Y162" i="30"/>
  <c r="O162" i="30"/>
  <c r="AE162" i="30"/>
  <c r="X162" i="30"/>
  <c r="Z162" i="30"/>
  <c r="L162" i="30"/>
  <c r="AH162" i="30"/>
  <c r="AL162" i="30"/>
  <c r="AN162" i="30"/>
  <c r="R200" i="30"/>
  <c r="AN234" i="30"/>
  <c r="N200" i="30"/>
  <c r="T234" i="30"/>
  <c r="AG234" i="30"/>
  <c r="S200" i="30"/>
  <c r="AB234" i="30"/>
  <c r="AF234" i="30"/>
  <c r="AL234" i="30"/>
  <c r="AD200" i="30"/>
  <c r="N234" i="30"/>
  <c r="Z200" i="30"/>
  <c r="L200" i="30"/>
  <c r="AE200" i="30"/>
  <c r="Q200" i="30"/>
  <c r="AO234" i="30"/>
  <c r="M234" i="30"/>
  <c r="O200" i="30"/>
  <c r="AH234" i="30"/>
  <c r="T200" i="30"/>
  <c r="P200" i="30"/>
  <c r="Y200" i="30"/>
  <c r="S234" i="30"/>
  <c r="AC234" i="30"/>
  <c r="Y234" i="30"/>
  <c r="AB200" i="30"/>
  <c r="AG200" i="30"/>
  <c r="AH200" i="30"/>
  <c r="AA200" i="30"/>
  <c r="AL200" i="30"/>
  <c r="U200" i="30"/>
  <c r="AJ200" i="30"/>
  <c r="AJ234" i="30"/>
  <c r="W234" i="30"/>
  <c r="V234" i="30"/>
  <c r="P234" i="30"/>
  <c r="AE234" i="30"/>
  <c r="W200" i="30"/>
  <c r="AN200" i="30"/>
  <c r="AA234" i="30"/>
  <c r="AF200" i="30"/>
  <c r="AI200" i="30"/>
  <c r="M200" i="30"/>
  <c r="AC200" i="30"/>
  <c r="AM200" i="30"/>
  <c r="AO200" i="30"/>
  <c r="U234" i="30"/>
  <c r="Q234" i="30"/>
  <c r="AK234" i="30"/>
  <c r="Z234" i="30"/>
  <c r="R234" i="30"/>
  <c r="X234" i="30"/>
  <c r="X200" i="30"/>
  <c r="O234" i="30"/>
  <c r="AI234" i="30"/>
  <c r="AM234" i="30"/>
  <c r="V200" i="30"/>
  <c r="L234" i="30"/>
  <c r="AP182" i="30"/>
  <c r="T219" i="30"/>
  <c r="AO219" i="30"/>
  <c r="L219" i="30"/>
  <c r="N219" i="30"/>
  <c r="P219" i="30"/>
  <c r="R219" i="30"/>
  <c r="V219" i="30"/>
  <c r="AK219" i="30"/>
  <c r="AN219" i="30"/>
  <c r="W219" i="30"/>
  <c r="M219" i="30"/>
  <c r="AM219" i="30"/>
  <c r="Q219" i="30"/>
  <c r="AA219" i="30"/>
  <c r="Z219" i="30"/>
  <c r="AD219" i="30"/>
  <c r="AH219" i="30"/>
  <c r="U219" i="30"/>
  <c r="AE219" i="30"/>
  <c r="S219" i="30"/>
  <c r="AI219" i="30"/>
  <c r="X219" i="30"/>
  <c r="AB219" i="30"/>
  <c r="AF219" i="30"/>
  <c r="AL219" i="30"/>
  <c r="Y219" i="30"/>
  <c r="AC219" i="30"/>
  <c r="O219" i="30"/>
  <c r="AG219" i="30"/>
  <c r="AJ219" i="30"/>
  <c r="N255" i="30"/>
  <c r="T255" i="30"/>
  <c r="L255" i="30"/>
  <c r="X255" i="30"/>
  <c r="AH255" i="30"/>
  <c r="AC255" i="30"/>
  <c r="AL255" i="30"/>
  <c r="Q255" i="30"/>
  <c r="O255" i="30"/>
  <c r="AG255" i="30"/>
  <c r="S255" i="30"/>
  <c r="U255" i="30"/>
  <c r="AM255" i="30"/>
  <c r="M255" i="30"/>
  <c r="P255" i="30"/>
  <c r="AE255" i="30"/>
  <c r="AI255" i="30"/>
  <c r="AB255" i="30"/>
  <c r="AF255" i="30"/>
  <c r="AJ255" i="30"/>
  <c r="AN255" i="30"/>
  <c r="AK255" i="30"/>
  <c r="Y255" i="30"/>
  <c r="AO255" i="30"/>
  <c r="R255" i="30"/>
  <c r="V255" i="30"/>
  <c r="W255" i="30"/>
  <c r="AA255" i="30"/>
  <c r="Z255" i="30"/>
  <c r="AD255" i="30"/>
  <c r="Z184" i="30"/>
  <c r="O184" i="30"/>
  <c r="AE184" i="30"/>
  <c r="P184" i="30"/>
  <c r="AF184" i="30"/>
  <c r="AG184" i="30"/>
  <c r="AO184" i="30"/>
  <c r="AD184" i="30"/>
  <c r="S184" i="30"/>
  <c r="T184" i="30"/>
  <c r="U184" i="30"/>
  <c r="AC184" i="30"/>
  <c r="AA184" i="30"/>
  <c r="AB184" i="30"/>
  <c r="N184" i="30"/>
  <c r="AI184" i="30"/>
  <c r="AJ184" i="30"/>
  <c r="V184" i="30"/>
  <c r="Q184" i="30"/>
  <c r="R184" i="30"/>
  <c r="AH184" i="30"/>
  <c r="W184" i="30"/>
  <c r="AM184" i="30"/>
  <c r="X184" i="30"/>
  <c r="AN184" i="30"/>
  <c r="AK184" i="30"/>
  <c r="M184" i="30"/>
  <c r="AL184" i="30"/>
  <c r="L184" i="30"/>
  <c r="Y184" i="30"/>
  <c r="AT262" i="30"/>
  <c r="AT156" i="30"/>
  <c r="V185" i="30"/>
  <c r="AG185" i="30"/>
  <c r="O185" i="30"/>
  <c r="R185" i="30"/>
  <c r="AN185" i="30"/>
  <c r="S185" i="30"/>
  <c r="U185" i="30"/>
  <c r="AE185" i="30"/>
  <c r="P185" i="30"/>
  <c r="AB185" i="30"/>
  <c r="T185" i="30"/>
  <c r="Q185" i="30"/>
  <c r="AI185" i="30"/>
  <c r="W185" i="30"/>
  <c r="Y185" i="30"/>
  <c r="AA185" i="30"/>
  <c r="N185" i="30"/>
  <c r="AL185" i="30"/>
  <c r="AO185" i="30"/>
  <c r="L185" i="30"/>
  <c r="AH185" i="30"/>
  <c r="AK185" i="30"/>
  <c r="AC185" i="30"/>
  <c r="AD185" i="30"/>
  <c r="X185" i="30"/>
  <c r="M185" i="30"/>
  <c r="Z185" i="30"/>
  <c r="AJ185" i="30"/>
  <c r="AF185" i="30"/>
  <c r="AM185" i="30"/>
  <c r="AT153" i="30"/>
  <c r="AT189" i="30"/>
  <c r="AM231" i="30"/>
  <c r="N231" i="30"/>
  <c r="AE231" i="30"/>
  <c r="M231" i="30"/>
  <c r="AB231" i="30"/>
  <c r="AD231" i="30"/>
  <c r="AC231" i="30"/>
  <c r="O231" i="30"/>
  <c r="AN231" i="30"/>
  <c r="AL231" i="30"/>
  <c r="AJ231" i="30"/>
  <c r="S231" i="30"/>
  <c r="Q231" i="30"/>
  <c r="Z231" i="30"/>
  <c r="X231" i="30"/>
  <c r="V231" i="30"/>
  <c r="T231" i="30"/>
  <c r="AH231" i="30"/>
  <c r="AF231" i="30"/>
  <c r="AO231" i="30"/>
  <c r="AK231" i="30"/>
  <c r="R231" i="30"/>
  <c r="P231" i="30"/>
  <c r="W231" i="30"/>
  <c r="U231" i="30"/>
  <c r="L231" i="30"/>
  <c r="Y231" i="30"/>
  <c r="AA231" i="30"/>
  <c r="AG231" i="30"/>
  <c r="AI231" i="30"/>
  <c r="N259" i="30"/>
  <c r="AD259" i="30"/>
  <c r="S259" i="30"/>
  <c r="AI259" i="30"/>
  <c r="T259" i="30"/>
  <c r="AJ259" i="30"/>
  <c r="Y259" i="30"/>
  <c r="Q259" i="30"/>
  <c r="V259" i="30"/>
  <c r="AL259" i="30"/>
  <c r="AA259" i="30"/>
  <c r="L259" i="30"/>
  <c r="AB259" i="30"/>
  <c r="U259" i="30"/>
  <c r="M259" i="30"/>
  <c r="O259" i="30"/>
  <c r="P259" i="30"/>
  <c r="AK259" i="30"/>
  <c r="R259" i="30"/>
  <c r="W259" i="30"/>
  <c r="X259" i="30"/>
  <c r="AO259" i="30"/>
  <c r="Z259" i="30"/>
  <c r="AE259" i="30"/>
  <c r="AF259" i="30"/>
  <c r="AC259" i="30"/>
  <c r="AN259" i="30"/>
  <c r="AG259" i="30"/>
  <c r="AH259" i="30"/>
  <c r="AM259" i="30"/>
  <c r="AT152" i="30"/>
  <c r="AT158" i="30"/>
  <c r="AG187" i="30"/>
  <c r="AF187" i="30"/>
  <c r="R187" i="30"/>
  <c r="P187" i="30"/>
  <c r="AM187" i="30"/>
  <c r="M187" i="30"/>
  <c r="AH187" i="30"/>
  <c r="AI187" i="30"/>
  <c r="Q187" i="30"/>
  <c r="N187" i="30"/>
  <c r="L187" i="30"/>
  <c r="AB187" i="30"/>
  <c r="Z187" i="30"/>
  <c r="X187" i="30"/>
  <c r="V187" i="30"/>
  <c r="S187" i="30"/>
  <c r="AO187" i="30"/>
  <c r="AK187" i="30"/>
  <c r="T187" i="30"/>
  <c r="AD187" i="30"/>
  <c r="AE187" i="30"/>
  <c r="Y187" i="30"/>
  <c r="O187" i="30"/>
  <c r="U187" i="30"/>
  <c r="AN187" i="30"/>
  <c r="AA187" i="30"/>
  <c r="AL187" i="30"/>
  <c r="AJ187" i="30"/>
  <c r="W187" i="30"/>
  <c r="AC187" i="30"/>
  <c r="Y197" i="30"/>
  <c r="Z197" i="30"/>
  <c r="P197" i="30"/>
  <c r="AA197" i="30"/>
  <c r="AO197" i="30"/>
  <c r="M197" i="30"/>
  <c r="AH197" i="30"/>
  <c r="N197" i="30"/>
  <c r="AF197" i="30"/>
  <c r="AC197" i="30"/>
  <c r="AB197" i="30"/>
  <c r="AE197" i="30"/>
  <c r="AG197" i="30"/>
  <c r="AM197" i="30"/>
  <c r="AN197" i="30"/>
  <c r="AD197" i="30"/>
  <c r="AI197" i="30"/>
  <c r="R197" i="30"/>
  <c r="L197" i="30"/>
  <c r="W197" i="30"/>
  <c r="O197" i="30"/>
  <c r="X197" i="30"/>
  <c r="V197" i="30"/>
  <c r="AK197" i="30"/>
  <c r="T197" i="30"/>
  <c r="S197" i="30"/>
  <c r="U197" i="30"/>
  <c r="AL197" i="30"/>
  <c r="Q197" i="30"/>
  <c r="AJ197" i="30"/>
  <c r="P256" i="30"/>
  <c r="AF256" i="30"/>
  <c r="Q256" i="30"/>
  <c r="AG256" i="30"/>
  <c r="R256" i="30"/>
  <c r="AH256" i="30"/>
  <c r="S256" i="30"/>
  <c r="AA256" i="30"/>
  <c r="U256" i="30"/>
  <c r="AL256" i="30"/>
  <c r="L256" i="30"/>
  <c r="AC256" i="30"/>
  <c r="AD256" i="30"/>
  <c r="T256" i="30"/>
  <c r="AJ256" i="30"/>
  <c r="AK256" i="30"/>
  <c r="V256" i="30"/>
  <c r="AI256" i="30"/>
  <c r="AB256" i="30"/>
  <c r="AM256" i="30"/>
  <c r="X256" i="30"/>
  <c r="AN256" i="30"/>
  <c r="Y256" i="30"/>
  <c r="AO256" i="30"/>
  <c r="Z256" i="30"/>
  <c r="O256" i="30"/>
  <c r="W256" i="30"/>
  <c r="M256" i="30"/>
  <c r="N256" i="30"/>
  <c r="AE256" i="30"/>
  <c r="AT195" i="30"/>
  <c r="AP183" i="30" s="1"/>
  <c r="L228" i="30"/>
  <c r="V228" i="30"/>
  <c r="AL228" i="30"/>
  <c r="AA228" i="30"/>
  <c r="P228" i="30"/>
  <c r="AF228" i="30"/>
  <c r="AO228" i="30"/>
  <c r="AG228" i="30"/>
  <c r="N228" i="30"/>
  <c r="AD228" i="30"/>
  <c r="S228" i="30"/>
  <c r="AI228" i="30"/>
  <c r="X228" i="30"/>
  <c r="AN228" i="30"/>
  <c r="AC228" i="30"/>
  <c r="AK228" i="30"/>
  <c r="R228" i="30"/>
  <c r="W228" i="30"/>
  <c r="AB228" i="30"/>
  <c r="Q228" i="30"/>
  <c r="Z228" i="30"/>
  <c r="AJ228" i="30"/>
  <c r="T228" i="30"/>
  <c r="AE228" i="30"/>
  <c r="U228" i="30"/>
  <c r="AH228" i="30"/>
  <c r="AM228" i="30"/>
  <c r="Y228" i="30"/>
  <c r="O228" i="30"/>
  <c r="M228" i="30"/>
  <c r="AT222" i="30"/>
  <c r="N257" i="30"/>
  <c r="AD257" i="30"/>
  <c r="S257" i="30"/>
  <c r="AI257" i="30"/>
  <c r="T257" i="30"/>
  <c r="AJ257" i="30"/>
  <c r="U257" i="30"/>
  <c r="M257" i="30"/>
  <c r="R257" i="30"/>
  <c r="AH257" i="30"/>
  <c r="W257" i="30"/>
  <c r="AM257" i="30"/>
  <c r="X257" i="30"/>
  <c r="AN257" i="30"/>
  <c r="AK257" i="30"/>
  <c r="AC257" i="30"/>
  <c r="V257" i="30"/>
  <c r="AL257" i="30"/>
  <c r="AA257" i="30"/>
  <c r="L257" i="30"/>
  <c r="AB257" i="30"/>
  <c r="Q257" i="30"/>
  <c r="Y257" i="30"/>
  <c r="P257" i="30"/>
  <c r="AO257" i="30"/>
  <c r="Z257" i="30"/>
  <c r="AF257" i="30"/>
  <c r="O257" i="30"/>
  <c r="AG257" i="30"/>
  <c r="AE257" i="30"/>
  <c r="AT264" i="30"/>
  <c r="AT154" i="30"/>
  <c r="Z161" i="30"/>
  <c r="AJ161" i="30"/>
  <c r="AH161" i="30"/>
  <c r="R161" i="30"/>
  <c r="AK161" i="30"/>
  <c r="AC161" i="30"/>
  <c r="Y161" i="30"/>
  <c r="AM161" i="30"/>
  <c r="X161" i="30"/>
  <c r="AI161" i="30"/>
  <c r="AA161" i="30"/>
  <c r="AL161" i="30"/>
  <c r="S161" i="30"/>
  <c r="AF161" i="30"/>
  <c r="AN161" i="30"/>
  <c r="T161" i="30"/>
  <c r="AE161" i="30"/>
  <c r="W161" i="30"/>
  <c r="AG161" i="30"/>
  <c r="U161" i="30"/>
  <c r="P161" i="30"/>
  <c r="M161" i="30"/>
  <c r="V161" i="30"/>
  <c r="AD161" i="30"/>
  <c r="O161" i="30"/>
  <c r="N161" i="30"/>
  <c r="AO161" i="30"/>
  <c r="L161" i="30"/>
  <c r="AB161" i="30"/>
  <c r="Q161" i="30"/>
  <c r="AT188" i="30"/>
  <c r="AA191" i="30"/>
  <c r="AO191" i="30"/>
  <c r="AB191" i="30"/>
  <c r="AD191" i="30"/>
  <c r="Q191" i="30"/>
  <c r="S191" i="30"/>
  <c r="AI191" i="30"/>
  <c r="W191" i="30"/>
  <c r="AM191" i="30"/>
  <c r="AJ191" i="30"/>
  <c r="AL191" i="30"/>
  <c r="AC191" i="30"/>
  <c r="P191" i="30"/>
  <c r="R191" i="30"/>
  <c r="U191" i="30"/>
  <c r="Y191" i="30"/>
  <c r="O191" i="30"/>
  <c r="AE191" i="30"/>
  <c r="T191" i="30"/>
  <c r="AN191" i="30"/>
  <c r="L191" i="30"/>
  <c r="AF191" i="30"/>
  <c r="V191" i="30"/>
  <c r="AK191" i="30"/>
  <c r="M191" i="30"/>
  <c r="AG191" i="30"/>
  <c r="X191" i="30"/>
  <c r="N191" i="30"/>
  <c r="AH191" i="30"/>
  <c r="Z191" i="30"/>
  <c r="AN199" i="30"/>
  <c r="X199" i="30"/>
  <c r="U199" i="30"/>
  <c r="L199" i="30"/>
  <c r="N199" i="30"/>
  <c r="P199" i="30"/>
  <c r="AL199" i="30"/>
  <c r="AA199" i="30"/>
  <c r="AH199" i="30"/>
  <c r="AI199" i="30"/>
  <c r="AB199" i="30"/>
  <c r="AD199" i="30"/>
  <c r="AJ199" i="30"/>
  <c r="W199" i="30"/>
  <c r="O199" i="30"/>
  <c r="AO199" i="30"/>
  <c r="AK199" i="30"/>
  <c r="S199" i="30"/>
  <c r="V199" i="30"/>
  <c r="AF199" i="30"/>
  <c r="Z199" i="30"/>
  <c r="M199" i="30"/>
  <c r="AE199" i="30"/>
  <c r="Y199" i="30"/>
  <c r="AC199" i="30"/>
  <c r="Q199" i="30"/>
  <c r="AG199" i="30"/>
  <c r="AM199" i="30"/>
  <c r="R199" i="30"/>
  <c r="T199" i="30"/>
  <c r="R226" i="30"/>
  <c r="AH226" i="30"/>
  <c r="W226" i="30"/>
  <c r="AM226" i="30"/>
  <c r="X226" i="30"/>
  <c r="AN226" i="30"/>
  <c r="AO226" i="30"/>
  <c r="AG226" i="30"/>
  <c r="V226" i="30"/>
  <c r="AL226" i="30"/>
  <c r="AA226" i="30"/>
  <c r="L226" i="30"/>
  <c r="AB226" i="30"/>
  <c r="U226" i="30"/>
  <c r="M226" i="30"/>
  <c r="Z226" i="30"/>
  <c r="O226" i="30"/>
  <c r="AE226" i="30"/>
  <c r="P226" i="30"/>
  <c r="AF226" i="30"/>
  <c r="AK226" i="30"/>
  <c r="AC226" i="30"/>
  <c r="AD226" i="30"/>
  <c r="AJ226" i="30"/>
  <c r="S226" i="30"/>
  <c r="Y226" i="30"/>
  <c r="N226" i="30"/>
  <c r="AI226" i="30"/>
  <c r="Q226" i="30"/>
  <c r="T226" i="30"/>
  <c r="M225" i="30"/>
  <c r="Q225" i="30"/>
  <c r="W225" i="30"/>
  <c r="U225" i="30"/>
  <c r="AM225" i="30"/>
  <c r="AO225" i="30"/>
  <c r="AG225" i="30"/>
  <c r="AE225" i="30"/>
  <c r="AK225" i="30"/>
  <c r="X225" i="30"/>
  <c r="Z225" i="30"/>
  <c r="AI225" i="30"/>
  <c r="P225" i="30"/>
  <c r="R225" i="30"/>
  <c r="T225" i="30"/>
  <c r="V225" i="30"/>
  <c r="AN225" i="30"/>
  <c r="S225" i="30"/>
  <c r="AD225" i="30"/>
  <c r="N225" i="30"/>
  <c r="O225" i="30"/>
  <c r="AH225" i="30"/>
  <c r="AA225" i="30"/>
  <c r="AJ225" i="30"/>
  <c r="AL225" i="30"/>
  <c r="L225" i="30"/>
  <c r="AC225" i="30"/>
  <c r="Y225" i="30"/>
  <c r="AB225" i="30"/>
  <c r="AF225" i="30"/>
  <c r="AT260" i="30"/>
  <c r="L232" i="30"/>
  <c r="R232" i="30"/>
  <c r="AH232" i="30"/>
  <c r="W232" i="30"/>
  <c r="AM232" i="30"/>
  <c r="AB232" i="30"/>
  <c r="Q232" i="30"/>
  <c r="Y232" i="30"/>
  <c r="V232" i="30"/>
  <c r="AL232" i="30"/>
  <c r="AA232" i="30"/>
  <c r="P232" i="30"/>
  <c r="AF232" i="30"/>
  <c r="AG232" i="30"/>
  <c r="AO232" i="30"/>
  <c r="Z232" i="30"/>
  <c r="O232" i="30"/>
  <c r="AE232" i="30"/>
  <c r="T232" i="30"/>
  <c r="AJ232" i="30"/>
  <c r="U232" i="30"/>
  <c r="M232" i="30"/>
  <c r="AI232" i="30"/>
  <c r="AC232" i="30"/>
  <c r="S232" i="30"/>
  <c r="N232" i="30"/>
  <c r="X232" i="30"/>
  <c r="AD232" i="30"/>
  <c r="AN232" i="30"/>
  <c r="AK232" i="30"/>
  <c r="AT224" i="30"/>
  <c r="AT261" i="30"/>
  <c r="T258" i="30"/>
  <c r="AJ258" i="30"/>
  <c r="U258" i="30"/>
  <c r="AK258" i="30"/>
  <c r="V258" i="30"/>
  <c r="AL258" i="30"/>
  <c r="AM258" i="30"/>
  <c r="X258" i="30"/>
  <c r="AN258" i="30"/>
  <c r="Y258" i="30"/>
  <c r="AO258" i="30"/>
  <c r="Z258" i="30"/>
  <c r="S258" i="30"/>
  <c r="AA258" i="30"/>
  <c r="L258" i="30"/>
  <c r="AB258" i="30"/>
  <c r="M258" i="30"/>
  <c r="AC258" i="30"/>
  <c r="N258" i="30"/>
  <c r="AD258" i="30"/>
  <c r="AI258" i="30"/>
  <c r="O258" i="30"/>
  <c r="P258" i="30"/>
  <c r="R258" i="30"/>
  <c r="AF258" i="30"/>
  <c r="AH258" i="30"/>
  <c r="Q258" i="30"/>
  <c r="W258" i="30"/>
  <c r="AG258" i="30"/>
  <c r="AE258" i="30"/>
  <c r="AT150" i="30"/>
  <c r="Z265" i="30"/>
  <c r="O265" i="30"/>
  <c r="AE265" i="30"/>
  <c r="P265" i="30"/>
  <c r="AF265" i="30"/>
  <c r="AG265" i="30"/>
  <c r="AO265" i="30"/>
  <c r="N265" i="30"/>
  <c r="AD265" i="30"/>
  <c r="S265" i="30"/>
  <c r="AI265" i="30"/>
  <c r="T265" i="30"/>
  <c r="AJ265" i="30"/>
  <c r="U265" i="30"/>
  <c r="M265" i="30"/>
  <c r="R265" i="30"/>
  <c r="AH265" i="30"/>
  <c r="W265" i="30"/>
  <c r="AM265" i="30"/>
  <c r="X265" i="30"/>
  <c r="AN265" i="30"/>
  <c r="AK265" i="30"/>
  <c r="AC265" i="30"/>
  <c r="AA265" i="30"/>
  <c r="Y265" i="30"/>
  <c r="AL265" i="30"/>
  <c r="L265" i="30"/>
  <c r="V265" i="30"/>
  <c r="AB265" i="30"/>
  <c r="Q265" i="30"/>
  <c r="R159" i="30"/>
  <c r="P159" i="30"/>
  <c r="AI159" i="30"/>
  <c r="AA159" i="30"/>
  <c r="W159" i="30"/>
  <c r="AG159" i="30"/>
  <c r="AO159" i="30"/>
  <c r="AM159" i="30"/>
  <c r="O159" i="30"/>
  <c r="Q159" i="30"/>
  <c r="AF159" i="30"/>
  <c r="AB159" i="30"/>
  <c r="AE159" i="30"/>
  <c r="Z159" i="30"/>
  <c r="Y159" i="30"/>
  <c r="V159" i="30"/>
  <c r="AC159" i="30"/>
  <c r="U159" i="30"/>
  <c r="AJ159" i="30"/>
  <c r="T159" i="30"/>
  <c r="AN159" i="30"/>
  <c r="L159" i="30"/>
  <c r="AL159" i="30"/>
  <c r="M159" i="30"/>
  <c r="X159" i="30"/>
  <c r="AK159" i="30"/>
  <c r="S159" i="30"/>
  <c r="AH159" i="30"/>
  <c r="AD159" i="30"/>
  <c r="N159" i="30"/>
  <c r="AB190" i="30"/>
  <c r="L190" i="30"/>
  <c r="AH190" i="30"/>
  <c r="AF190" i="30"/>
  <c r="AM190" i="30"/>
  <c r="AC190" i="30"/>
  <c r="O190" i="30"/>
  <c r="Q190" i="30"/>
  <c r="X190" i="30"/>
  <c r="W190" i="30"/>
  <c r="Z190" i="30"/>
  <c r="AN190" i="30"/>
  <c r="P190" i="30"/>
  <c r="AI190" i="30"/>
  <c r="AO190" i="30"/>
  <c r="M190" i="30"/>
  <c r="S190" i="30"/>
  <c r="V190" i="30"/>
  <c r="T190" i="30"/>
  <c r="AD190" i="30"/>
  <c r="AK190" i="30"/>
  <c r="AL190" i="30"/>
  <c r="AG190" i="30"/>
  <c r="N190" i="30"/>
  <c r="AJ190" i="30"/>
  <c r="AE190" i="30"/>
  <c r="U190" i="30"/>
  <c r="AA190" i="30"/>
  <c r="Y190" i="30"/>
  <c r="R190" i="30"/>
  <c r="AT229" i="30"/>
  <c r="AT223" i="30"/>
  <c r="AT263" i="30"/>
  <c r="AT155" i="30"/>
  <c r="AP149" i="30" s="1"/>
  <c r="AT157" i="30"/>
  <c r="U198" i="30"/>
  <c r="N198" i="30"/>
  <c r="AI198" i="30"/>
  <c r="O198" i="30"/>
  <c r="AC198" i="30"/>
  <c r="AM198" i="30"/>
  <c r="AD198" i="30"/>
  <c r="AG198" i="30"/>
  <c r="AL198" i="30"/>
  <c r="AA198" i="30"/>
  <c r="M198" i="30"/>
  <c r="AH198" i="30"/>
  <c r="X198" i="30"/>
  <c r="AN198" i="30"/>
  <c r="P198" i="30"/>
  <c r="V198" i="30"/>
  <c r="Q198" i="30"/>
  <c r="L198" i="30"/>
  <c r="T198" i="30"/>
  <c r="AK198" i="30"/>
  <c r="W198" i="30"/>
  <c r="Y198" i="30"/>
  <c r="Z198" i="30"/>
  <c r="S198" i="30"/>
  <c r="AJ198" i="30"/>
  <c r="R198" i="30"/>
  <c r="AE198" i="30"/>
  <c r="AB198" i="30"/>
  <c r="AO198" i="30"/>
  <c r="AF198" i="30"/>
  <c r="AT253" i="30"/>
  <c r="AE186" i="30"/>
  <c r="O186" i="30"/>
  <c r="N186" i="30"/>
  <c r="AK186" i="30"/>
  <c r="Z186" i="30"/>
  <c r="P186" i="30"/>
  <c r="AB186" i="30"/>
  <c r="V186" i="30"/>
  <c r="X186" i="30"/>
  <c r="R186" i="30"/>
  <c r="T186" i="30"/>
  <c r="AF186" i="30"/>
  <c r="L186" i="30"/>
  <c r="Q186" i="30"/>
  <c r="AM186" i="30"/>
  <c r="AG186" i="30"/>
  <c r="AI186" i="30"/>
  <c r="AC186" i="30"/>
  <c r="M186" i="30"/>
  <c r="AA186" i="30"/>
  <c r="AO186" i="30"/>
  <c r="W186" i="30"/>
  <c r="Y186" i="30"/>
  <c r="S186" i="30"/>
  <c r="U186" i="30"/>
  <c r="AH186" i="30"/>
  <c r="AL186" i="30"/>
  <c r="AJ186" i="30"/>
  <c r="AD186" i="30"/>
  <c r="AN186" i="30"/>
  <c r="M227" i="30"/>
  <c r="T227" i="30"/>
  <c r="AJ227" i="30"/>
  <c r="Y227" i="30"/>
  <c r="AO227" i="30"/>
  <c r="Z227" i="30"/>
  <c r="W227" i="30"/>
  <c r="AE227" i="30"/>
  <c r="X227" i="30"/>
  <c r="AN227" i="30"/>
  <c r="AC227" i="30"/>
  <c r="N227" i="30"/>
  <c r="AD227" i="30"/>
  <c r="AM227" i="30"/>
  <c r="S227" i="30"/>
  <c r="L227" i="30"/>
  <c r="AB227" i="30"/>
  <c r="Q227" i="30"/>
  <c r="AG227" i="30"/>
  <c r="R227" i="30"/>
  <c r="AH227" i="30"/>
  <c r="AA227" i="30"/>
  <c r="AI227" i="30"/>
  <c r="P227" i="30"/>
  <c r="V227" i="30"/>
  <c r="AL227" i="30"/>
  <c r="AK227" i="30"/>
  <c r="AF227" i="30"/>
  <c r="U227" i="30"/>
  <c r="O227" i="30"/>
  <c r="AT230" i="30"/>
  <c r="AT254" i="30"/>
  <c r="V252" i="30"/>
  <c r="AL252" i="30"/>
  <c r="AA252" i="30"/>
  <c r="L252" i="30"/>
  <c r="AB252" i="30"/>
  <c r="Y252" i="30"/>
  <c r="Q252" i="30"/>
  <c r="Z252" i="30"/>
  <c r="O252" i="30"/>
  <c r="AE252" i="30"/>
  <c r="P252" i="30"/>
  <c r="AF252" i="30"/>
  <c r="AO252" i="30"/>
  <c r="AG252" i="30"/>
  <c r="N252" i="30"/>
  <c r="AD252" i="30"/>
  <c r="S252" i="30"/>
  <c r="AI252" i="30"/>
  <c r="T252" i="30"/>
  <c r="AJ252" i="30"/>
  <c r="M252" i="30"/>
  <c r="AK252" i="30"/>
  <c r="AM252" i="30"/>
  <c r="U252" i="30"/>
  <c r="R252" i="30"/>
  <c r="AC252" i="30"/>
  <c r="X252" i="30"/>
  <c r="AH252" i="30"/>
  <c r="AN252" i="30"/>
  <c r="W252" i="30"/>
  <c r="AT151" i="30"/>
  <c r="AE160" i="30"/>
  <c r="AB160" i="30"/>
  <c r="AC160" i="30"/>
  <c r="U160" i="30"/>
  <c r="L160" i="30"/>
  <c r="V160" i="30"/>
  <c r="AK160" i="30"/>
  <c r="P160" i="30"/>
  <c r="N160" i="30"/>
  <c r="AJ160" i="30"/>
  <c r="Z160" i="30"/>
  <c r="AI160" i="30"/>
  <c r="AF160" i="30"/>
  <c r="Q160" i="30"/>
  <c r="M160" i="30"/>
  <c r="AG160" i="30"/>
  <c r="Y160" i="30"/>
  <c r="X160" i="30"/>
  <c r="R160" i="30"/>
  <c r="S160" i="30"/>
  <c r="AO160" i="30"/>
  <c r="AH160" i="30"/>
  <c r="O160" i="30"/>
  <c r="W160" i="30"/>
  <c r="AD160" i="30"/>
  <c r="AM160" i="30"/>
  <c r="AN160" i="30"/>
  <c r="AA160" i="30"/>
  <c r="T160" i="30"/>
  <c r="AL160" i="30"/>
  <c r="M192" i="30"/>
  <c r="AA192" i="30"/>
  <c r="AK192" i="30"/>
  <c r="W192" i="30"/>
  <c r="P192" i="30"/>
  <c r="R192" i="30"/>
  <c r="Q192" i="30"/>
  <c r="AB192" i="30"/>
  <c r="AN192" i="30"/>
  <c r="AH192" i="30"/>
  <c r="AJ192" i="30"/>
  <c r="AD192" i="30"/>
  <c r="T192" i="30"/>
  <c r="O192" i="30"/>
  <c r="AG192" i="30"/>
  <c r="AI192" i="30"/>
  <c r="S192" i="30"/>
  <c r="AC192" i="30"/>
  <c r="Z192" i="30"/>
  <c r="AL192" i="30"/>
  <c r="U192" i="30"/>
  <c r="N192" i="30"/>
  <c r="AE192" i="30"/>
  <c r="X192" i="30"/>
  <c r="L192" i="30"/>
  <c r="AF192" i="30"/>
  <c r="V192" i="30"/>
  <c r="AO192" i="30"/>
  <c r="Y192" i="30"/>
  <c r="AM192" i="30"/>
  <c r="AT196" i="30"/>
  <c r="AJ194" i="30"/>
  <c r="P194" i="30"/>
  <c r="R194" i="30"/>
  <c r="T194" i="30"/>
  <c r="O194" i="30"/>
  <c r="Q194" i="30"/>
  <c r="AF194" i="30"/>
  <c r="X194" i="30"/>
  <c r="N194" i="30"/>
  <c r="U194" i="30"/>
  <c r="AI194" i="30"/>
  <c r="Z194" i="30"/>
  <c r="Y194" i="30"/>
  <c r="AG194" i="30"/>
  <c r="AM194" i="30"/>
  <c r="AL194" i="30"/>
  <c r="AC194" i="30"/>
  <c r="AB194" i="30"/>
  <c r="S194" i="30"/>
  <c r="M194" i="30"/>
  <c r="AO194" i="30"/>
  <c r="W194" i="30"/>
  <c r="V194" i="30"/>
  <c r="AD194" i="30"/>
  <c r="AK194" i="30"/>
  <c r="L194" i="30"/>
  <c r="AA194" i="30"/>
  <c r="AN194" i="30"/>
  <c r="AE194" i="30"/>
  <c r="AH194" i="30"/>
  <c r="O220" i="30"/>
  <c r="AO220" i="30"/>
  <c r="S220" i="30"/>
  <c r="M220" i="30"/>
  <c r="W220" i="30"/>
  <c r="AC220" i="30"/>
  <c r="AA220" i="30"/>
  <c r="Q220" i="30"/>
  <c r="AE220" i="30"/>
  <c r="AG220" i="30"/>
  <c r="AI220" i="30"/>
  <c r="AK220" i="30"/>
  <c r="AM220" i="30"/>
  <c r="U220" i="30"/>
  <c r="L220" i="30"/>
  <c r="P220" i="30"/>
  <c r="N220" i="30"/>
  <c r="T220" i="30"/>
  <c r="R220" i="30"/>
  <c r="X220" i="30"/>
  <c r="V220" i="30"/>
  <c r="AB220" i="30"/>
  <c r="Z220" i="30"/>
  <c r="AH220" i="30"/>
  <c r="AF220" i="30"/>
  <c r="AN220" i="30"/>
  <c r="AD220" i="30"/>
  <c r="AL220" i="30"/>
  <c r="AJ220" i="30"/>
  <c r="Y220" i="30"/>
  <c r="L233" i="30"/>
  <c r="M233" i="30"/>
  <c r="N233" i="30"/>
  <c r="AI233" i="30"/>
  <c r="X233" i="30"/>
  <c r="Y233" i="30"/>
  <c r="Z233" i="30"/>
  <c r="AA233" i="30"/>
  <c r="AH233" i="30"/>
  <c r="T233" i="30"/>
  <c r="U233" i="30"/>
  <c r="V233" i="30"/>
  <c r="AM233" i="30"/>
  <c r="AF233" i="30"/>
  <c r="AG233" i="30"/>
  <c r="O233" i="30"/>
  <c r="AJ233" i="30"/>
  <c r="AL233" i="30"/>
  <c r="P233" i="30"/>
  <c r="Q233" i="30"/>
  <c r="W233" i="30"/>
  <c r="AB233" i="30"/>
  <c r="AC233" i="30"/>
  <c r="AD233" i="30"/>
  <c r="AE233" i="30"/>
  <c r="AN233" i="30"/>
  <c r="AO233" i="30"/>
  <c r="S233" i="30"/>
  <c r="AK233" i="30"/>
  <c r="R233" i="30"/>
  <c r="AT221" i="30"/>
  <c r="M193" i="30"/>
  <c r="Q193" i="30"/>
  <c r="AC193" i="30"/>
  <c r="AG193" i="30"/>
  <c r="AO193" i="30"/>
  <c r="V193" i="30"/>
  <c r="T193" i="30"/>
  <c r="N193" i="30"/>
  <c r="R193" i="30"/>
  <c r="AD193" i="30"/>
  <c r="AH193" i="30"/>
  <c r="AA193" i="30"/>
  <c r="Y193" i="30"/>
  <c r="AK193" i="30"/>
  <c r="AI193" i="30"/>
  <c r="W193" i="30"/>
  <c r="O193" i="30"/>
  <c r="AE193" i="30"/>
  <c r="S193" i="30"/>
  <c r="AN193" i="30"/>
  <c r="AM193" i="30"/>
  <c r="U193" i="30"/>
  <c r="AB193" i="30"/>
  <c r="Z193" i="30"/>
  <c r="AL193" i="30"/>
  <c r="AF193" i="30"/>
  <c r="X193" i="30"/>
  <c r="AJ193" i="30"/>
  <c r="L193" i="30"/>
  <c r="P193" i="30"/>
  <c r="AT123" i="30"/>
  <c r="AT120" i="30"/>
  <c r="AT119" i="30"/>
  <c r="AT127" i="30"/>
  <c r="AT121" i="30"/>
  <c r="AT122" i="30"/>
  <c r="AT126" i="30"/>
  <c r="AT17" i="30"/>
  <c r="E17" i="30"/>
  <c r="AT28" i="30"/>
  <c r="AT20" i="30"/>
  <c r="E20" i="30"/>
  <c r="AT19" i="30"/>
  <c r="E19" i="30"/>
  <c r="AT22" i="30"/>
  <c r="E22" i="30"/>
  <c r="AT23" i="30"/>
  <c r="E23" i="30"/>
  <c r="AT26" i="30"/>
  <c r="AT21" i="30"/>
  <c r="E21" i="30"/>
  <c r="AT16" i="30"/>
  <c r="E16" i="30"/>
  <c r="AT15" i="30"/>
  <c r="E15" i="30"/>
  <c r="D9" i="27" s="1"/>
  <c r="AT14" i="30"/>
  <c r="E14" i="30"/>
  <c r="AT18" i="30"/>
  <c r="E18" i="30"/>
  <c r="AT24" i="30"/>
  <c r="E24" i="30"/>
  <c r="AT25" i="30"/>
  <c r="E25" i="30"/>
  <c r="AT27" i="30"/>
  <c r="AT266" i="30"/>
  <c r="AP250" i="30"/>
  <c r="AT235" i="30"/>
  <c r="AP216" i="30"/>
  <c r="AT82" i="30"/>
  <c r="AR81" i="30" s="1"/>
  <c r="AR80" i="30"/>
  <c r="AT88" i="30"/>
  <c r="AT59" i="30"/>
  <c r="AT95" i="30"/>
  <c r="AT50" i="30"/>
  <c r="AT87" i="30"/>
  <c r="AT56" i="30"/>
  <c r="AT57" i="30"/>
  <c r="AT60" i="30"/>
  <c r="AT94" i="30"/>
  <c r="AT49" i="30"/>
  <c r="AT58" i="30"/>
  <c r="AT48" i="30"/>
  <c r="AR46" i="30"/>
  <c r="V142" i="30"/>
  <c r="AA109" i="30"/>
  <c r="AH70" i="30"/>
  <c r="Y238" i="30"/>
  <c r="AB171" i="30"/>
  <c r="T39" i="30"/>
  <c r="AV274" i="30"/>
  <c r="AD241" i="30"/>
  <c r="AO245" i="30"/>
  <c r="AK146" i="30"/>
  <c r="R277" i="30"/>
  <c r="AH38" i="30"/>
  <c r="P135" i="30"/>
  <c r="AD166" i="30"/>
  <c r="AH176" i="30"/>
  <c r="AL140" i="30"/>
  <c r="M280" i="30"/>
  <c r="R240" i="30"/>
  <c r="V273" i="30"/>
  <c r="AA177" i="30"/>
  <c r="N246" i="30"/>
  <c r="P180" i="30"/>
  <c r="AF108" i="30"/>
  <c r="AO34" i="30"/>
  <c r="S242" i="30"/>
  <c r="T169" i="30"/>
  <c r="Z105" i="30"/>
  <c r="V209" i="30"/>
  <c r="T239" i="30"/>
  <c r="AC173" i="30"/>
  <c r="AF168" i="30"/>
  <c r="AH210" i="30"/>
  <c r="AE71" i="30"/>
  <c r="H25" i="30"/>
  <c r="AH43" i="30"/>
  <c r="H24" i="30"/>
  <c r="H18" i="30"/>
  <c r="AQ250" i="30"/>
  <c r="H17" i="30"/>
  <c r="AQ216" i="30"/>
  <c r="AQ114" i="30"/>
  <c r="AL170" i="30"/>
  <c r="Z170" i="30"/>
  <c r="AJ170" i="30"/>
  <c r="W170" i="30"/>
  <c r="AA170" i="30"/>
  <c r="P170" i="30"/>
  <c r="O170" i="30"/>
  <c r="X170" i="30"/>
  <c r="AD170" i="30"/>
  <c r="AN170" i="30"/>
  <c r="U170" i="30"/>
  <c r="AK170" i="30"/>
  <c r="AB170" i="30"/>
  <c r="T170" i="30"/>
  <c r="V170" i="30"/>
  <c r="AH170" i="30"/>
  <c r="AI170" i="30"/>
  <c r="Y170" i="30"/>
  <c r="Q170" i="30"/>
  <c r="AE170" i="30"/>
  <c r="AC170" i="30"/>
  <c r="L170" i="30"/>
  <c r="N170" i="30"/>
  <c r="M170" i="30"/>
  <c r="AF170" i="30"/>
  <c r="S170" i="30"/>
  <c r="AG170" i="30"/>
  <c r="AM170" i="30"/>
  <c r="R170" i="30"/>
  <c r="AO170" i="30"/>
  <c r="AR216" i="30"/>
  <c r="AP114" i="30"/>
  <c r="AP46" i="30"/>
  <c r="AQ182" i="30"/>
  <c r="AR250" i="30"/>
  <c r="AQ148" i="30"/>
  <c r="AG172" i="30"/>
  <c r="Q172" i="30"/>
  <c r="AA172" i="30"/>
  <c r="AO172" i="30"/>
  <c r="AM172" i="30"/>
  <c r="X172" i="30"/>
  <c r="O172" i="30"/>
  <c r="AF172" i="30"/>
  <c r="AD172" i="30"/>
  <c r="AN172" i="30"/>
  <c r="U172" i="30"/>
  <c r="N172" i="30"/>
  <c r="AL172" i="30"/>
  <c r="R172" i="30"/>
  <c r="AE172" i="30"/>
  <c r="AB172" i="30"/>
  <c r="AC172" i="30"/>
  <c r="M172" i="30"/>
  <c r="V172" i="30"/>
  <c r="AK172" i="30"/>
  <c r="AH172" i="30"/>
  <c r="T172" i="30"/>
  <c r="S172" i="30"/>
  <c r="AI172" i="30"/>
  <c r="L172" i="30"/>
  <c r="W172" i="30"/>
  <c r="Z172" i="30"/>
  <c r="P172" i="30"/>
  <c r="AJ172" i="30"/>
  <c r="Y172" i="30"/>
  <c r="AU24" i="30"/>
  <c r="G24" i="30" s="1"/>
  <c r="AU25" i="30"/>
  <c r="G25" i="30" s="1"/>
  <c r="X142" i="30"/>
  <c r="AO142" i="30"/>
  <c r="S142" i="30"/>
  <c r="AU18" i="30"/>
  <c r="G18" i="30" s="1"/>
  <c r="AU17" i="30"/>
  <c r="G17" i="30" s="1"/>
  <c r="N35" i="30"/>
  <c r="O35" i="30"/>
  <c r="Z35" i="30"/>
  <c r="AN35" i="30"/>
  <c r="W35" i="30"/>
  <c r="X35" i="30"/>
  <c r="AK35" i="30"/>
  <c r="AE35" i="30"/>
  <c r="P35" i="30"/>
  <c r="AA35" i="30"/>
  <c r="V35" i="30"/>
  <c r="AL35" i="30"/>
  <c r="T35" i="30"/>
  <c r="R35" i="30"/>
  <c r="M35" i="30"/>
  <c r="AD35" i="30"/>
  <c r="U35" i="30"/>
  <c r="AM35" i="30"/>
  <c r="AG35" i="30"/>
  <c r="AB35" i="30"/>
  <c r="Q35" i="30"/>
  <c r="Y35" i="30"/>
  <c r="AH35" i="30"/>
  <c r="AI35" i="30"/>
  <c r="AO35" i="30"/>
  <c r="AC35" i="30"/>
  <c r="AJ35" i="30"/>
  <c r="AF35" i="30"/>
  <c r="L35" i="30"/>
  <c r="S35" i="30"/>
  <c r="N174" i="30"/>
  <c r="Y174" i="30"/>
  <c r="T174" i="30"/>
  <c r="AC174" i="30"/>
  <c r="Z174" i="30"/>
  <c r="O174" i="30"/>
  <c r="AE174" i="30"/>
  <c r="X174" i="30"/>
  <c r="U174" i="30"/>
  <c r="Q174" i="30"/>
  <c r="AA174" i="30"/>
  <c r="V174" i="30"/>
  <c r="AJ174" i="30"/>
  <c r="AN174" i="30"/>
  <c r="W174" i="30"/>
  <c r="R174" i="30"/>
  <c r="AK174" i="30"/>
  <c r="AG174" i="30"/>
  <c r="AI174" i="30"/>
  <c r="AD174" i="30"/>
  <c r="L174" i="30"/>
  <c r="P174" i="30"/>
  <c r="AL174" i="30"/>
  <c r="M174" i="30"/>
  <c r="AO174" i="30"/>
  <c r="AM174" i="30"/>
  <c r="AH174" i="30"/>
  <c r="AB174" i="30"/>
  <c r="AF174" i="30"/>
  <c r="S174" i="30"/>
  <c r="AN73" i="30"/>
  <c r="AC73" i="30"/>
  <c r="X73" i="30"/>
  <c r="AI73" i="30"/>
  <c r="AB73" i="30"/>
  <c r="AO73" i="30"/>
  <c r="L73" i="30"/>
  <c r="Y73" i="30"/>
  <c r="U73" i="30"/>
  <c r="AG73" i="30"/>
  <c r="AH73" i="30"/>
  <c r="AE73" i="30"/>
  <c r="M73" i="30"/>
  <c r="Q73" i="30"/>
  <c r="S73" i="30"/>
  <c r="AF73" i="30"/>
  <c r="AM73" i="30"/>
  <c r="O73" i="30"/>
  <c r="AL73" i="30"/>
  <c r="AJ73" i="30"/>
  <c r="N73" i="30"/>
  <c r="Z73" i="30"/>
  <c r="P73" i="30"/>
  <c r="R73" i="30"/>
  <c r="AD73" i="30"/>
  <c r="AA73" i="30"/>
  <c r="T73" i="30"/>
  <c r="W73" i="30"/>
  <c r="V73" i="30"/>
  <c r="AK73" i="30"/>
  <c r="S206" i="30"/>
  <c r="Q206" i="30"/>
  <c r="R206" i="30"/>
  <c r="AE206" i="30"/>
  <c r="AK206" i="30"/>
  <c r="AI206" i="30"/>
  <c r="Y206" i="30"/>
  <c r="T206" i="30"/>
  <c r="AC206" i="30"/>
  <c r="M206" i="30"/>
  <c r="L206" i="30"/>
  <c r="AL206" i="30"/>
  <c r="AO206" i="30"/>
  <c r="AN206" i="30"/>
  <c r="AM206" i="30"/>
  <c r="AH206" i="30"/>
  <c r="P206" i="30"/>
  <c r="Z206" i="30"/>
  <c r="AF206" i="30"/>
  <c r="AD206" i="30"/>
  <c r="AJ206" i="30"/>
  <c r="N206" i="30"/>
  <c r="O206" i="30"/>
  <c r="U206" i="30"/>
  <c r="AB206" i="30"/>
  <c r="AA206" i="30"/>
  <c r="V206" i="30"/>
  <c r="AG206" i="30"/>
  <c r="X206" i="30"/>
  <c r="W206" i="30"/>
  <c r="AJ136" i="30"/>
  <c r="N136" i="30"/>
  <c r="AD136" i="30"/>
  <c r="O136" i="30"/>
  <c r="AM136" i="30"/>
  <c r="AC136" i="30"/>
  <c r="Z136" i="30"/>
  <c r="Y136" i="30"/>
  <c r="AB136" i="30"/>
  <c r="AL136" i="30"/>
  <c r="Q136" i="30"/>
  <c r="AE136" i="30"/>
  <c r="U136" i="30"/>
  <c r="AN136" i="30"/>
  <c r="W136" i="30"/>
  <c r="AH136" i="30"/>
  <c r="T136" i="30"/>
  <c r="M136" i="30"/>
  <c r="AI136" i="30"/>
  <c r="L136" i="30"/>
  <c r="AG136" i="30"/>
  <c r="AO136" i="30"/>
  <c r="X136" i="30"/>
  <c r="AF136" i="30"/>
  <c r="V136" i="30"/>
  <c r="AK136" i="30"/>
  <c r="S136" i="30"/>
  <c r="P136" i="30"/>
  <c r="AA136" i="30"/>
  <c r="R136" i="30"/>
  <c r="L276" i="30"/>
  <c r="M276" i="30"/>
  <c r="N276" i="30"/>
  <c r="AM276" i="30"/>
  <c r="P276" i="30"/>
  <c r="Q276" i="30"/>
  <c r="R276" i="30"/>
  <c r="AA276" i="30"/>
  <c r="X276" i="30"/>
  <c r="Y276" i="30"/>
  <c r="Z276" i="30"/>
  <c r="AE276" i="30"/>
  <c r="AJ276" i="30"/>
  <c r="AK276" i="30"/>
  <c r="AL276" i="30"/>
  <c r="AB276" i="30"/>
  <c r="AC276" i="30"/>
  <c r="AD276" i="30"/>
  <c r="S276" i="30"/>
  <c r="AF276" i="30"/>
  <c r="AG276" i="30"/>
  <c r="AH276" i="30"/>
  <c r="AI276" i="30"/>
  <c r="AN276" i="30"/>
  <c r="AO276" i="30"/>
  <c r="W276" i="30"/>
  <c r="T276" i="30"/>
  <c r="U276" i="30"/>
  <c r="V276" i="30"/>
  <c r="O276" i="30"/>
  <c r="AL104" i="30"/>
  <c r="V104" i="30"/>
  <c r="T104" i="30"/>
  <c r="X104" i="30"/>
  <c r="Y104" i="30"/>
  <c r="Z104" i="30"/>
  <c r="AA104" i="30"/>
  <c r="AB104" i="30"/>
  <c r="AC104" i="30"/>
  <c r="AD104" i="30"/>
  <c r="O104" i="30"/>
  <c r="AF104" i="30"/>
  <c r="AG104" i="30"/>
  <c r="AH104" i="30"/>
  <c r="AE104" i="30"/>
  <c r="U104" i="30"/>
  <c r="AJ104" i="30"/>
  <c r="AN104" i="30"/>
  <c r="AO104" i="30"/>
  <c r="S104" i="30"/>
  <c r="L104" i="30"/>
  <c r="M104" i="30"/>
  <c r="N104" i="30"/>
  <c r="AI104" i="30"/>
  <c r="P104" i="30"/>
  <c r="Q104" i="30"/>
  <c r="R104" i="30"/>
  <c r="W104" i="30"/>
  <c r="AK104" i="30"/>
  <c r="AM104" i="30"/>
  <c r="Y205" i="30"/>
  <c r="AD205" i="30"/>
  <c r="X205" i="30"/>
  <c r="Z205" i="30"/>
  <c r="AB205" i="30"/>
  <c r="AM205" i="30"/>
  <c r="AF205" i="30"/>
  <c r="AG205" i="30"/>
  <c r="AH205" i="30"/>
  <c r="W205" i="30"/>
  <c r="AJ205" i="30"/>
  <c r="AK205" i="30"/>
  <c r="AL205" i="30"/>
  <c r="N205" i="30"/>
  <c r="L205" i="30"/>
  <c r="AO205" i="30"/>
  <c r="AC205" i="30"/>
  <c r="AI205" i="30"/>
  <c r="P205" i="30"/>
  <c r="Q205" i="30"/>
  <c r="R205" i="30"/>
  <c r="AE205" i="30"/>
  <c r="T205" i="30"/>
  <c r="U205" i="30"/>
  <c r="V205" i="30"/>
  <c r="S205" i="30"/>
  <c r="O205" i="30"/>
  <c r="M205" i="30"/>
  <c r="AA205" i="30"/>
  <c r="AN205" i="30"/>
  <c r="AP80" i="30"/>
  <c r="AO74" i="30"/>
  <c r="AK74" i="30"/>
  <c r="AD74" i="30"/>
  <c r="W74" i="30"/>
  <c r="S74" i="30"/>
  <c r="AE74" i="30"/>
  <c r="V74" i="30"/>
  <c r="P74" i="30"/>
  <c r="AN74" i="30"/>
  <c r="Q74" i="30"/>
  <c r="AH74" i="30"/>
  <c r="U74" i="30"/>
  <c r="AF74" i="30"/>
  <c r="O74" i="30"/>
  <c r="Z74" i="30"/>
  <c r="AB74" i="30"/>
  <c r="T74" i="30"/>
  <c r="N74" i="30"/>
  <c r="M74" i="30"/>
  <c r="AL74" i="30"/>
  <c r="AI74" i="30"/>
  <c r="Y74" i="30"/>
  <c r="AA74" i="30"/>
  <c r="AM74" i="30"/>
  <c r="AG74" i="30"/>
  <c r="X74" i="30"/>
  <c r="L74" i="30"/>
  <c r="R74" i="30"/>
  <c r="AC74" i="30"/>
  <c r="AJ74" i="30"/>
  <c r="P175" i="30"/>
  <c r="Z175" i="30"/>
  <c r="T175" i="30"/>
  <c r="AH175" i="30"/>
  <c r="W175" i="30"/>
  <c r="AL175" i="30"/>
  <c r="X175" i="30"/>
  <c r="Y175" i="30"/>
  <c r="S175" i="30"/>
  <c r="AE175" i="30"/>
  <c r="AB175" i="30"/>
  <c r="AC175" i="30"/>
  <c r="AA175" i="30"/>
  <c r="AM175" i="30"/>
  <c r="AK175" i="30"/>
  <c r="O175" i="30"/>
  <c r="AG175" i="30"/>
  <c r="Q175" i="30"/>
  <c r="U175" i="30"/>
  <c r="AN175" i="30"/>
  <c r="AO175" i="30"/>
  <c r="V175" i="30"/>
  <c r="L175" i="30"/>
  <c r="M175" i="30"/>
  <c r="R175" i="30"/>
  <c r="AD175" i="30"/>
  <c r="N175" i="30"/>
  <c r="AJ175" i="30"/>
  <c r="AI175" i="30"/>
  <c r="AF175" i="30"/>
  <c r="C9" i="27" l="1"/>
  <c r="H26" i="30"/>
  <c r="H27" i="30" s="1"/>
  <c r="F9" i="27"/>
  <c r="E13" i="27"/>
  <c r="G13" i="27"/>
  <c r="C13" i="27"/>
  <c r="G9" i="27"/>
  <c r="F13" i="27"/>
  <c r="D13" i="27"/>
  <c r="AP251" i="30"/>
  <c r="AP217" i="30"/>
  <c r="AF196" i="30"/>
  <c r="AO196" i="30"/>
  <c r="AE196" i="30"/>
  <c r="N196" i="30"/>
  <c r="AG196" i="30"/>
  <c r="AL196" i="30"/>
  <c r="AA196" i="30"/>
  <c r="AN196" i="30"/>
  <c r="AH196" i="30"/>
  <c r="V196" i="30"/>
  <c r="AJ196" i="30"/>
  <c r="AD196" i="30"/>
  <c r="Z196" i="30"/>
  <c r="P196" i="30"/>
  <c r="Y196" i="30"/>
  <c r="AK196" i="30"/>
  <c r="AM196" i="30"/>
  <c r="Q196" i="30"/>
  <c r="U196" i="30"/>
  <c r="AI196" i="30"/>
  <c r="AB196" i="30"/>
  <c r="X196" i="30"/>
  <c r="S196" i="30"/>
  <c r="W196" i="30"/>
  <c r="O196" i="30"/>
  <c r="R196" i="30"/>
  <c r="M196" i="30"/>
  <c r="T196" i="30"/>
  <c r="L196" i="30"/>
  <c r="AC196" i="30"/>
  <c r="AE151" i="30"/>
  <c r="S151" i="30"/>
  <c r="U151" i="30"/>
  <c r="W151" i="30"/>
  <c r="Y151" i="30"/>
  <c r="Q151" i="30"/>
  <c r="O151" i="30"/>
  <c r="AG151" i="30"/>
  <c r="T151" i="30"/>
  <c r="Z151" i="30"/>
  <c r="X151" i="30"/>
  <c r="N151" i="30"/>
  <c r="AK151" i="30"/>
  <c r="AO151" i="30"/>
  <c r="M151" i="30"/>
  <c r="AL151" i="30"/>
  <c r="AH151" i="30"/>
  <c r="AA151" i="30"/>
  <c r="AC151" i="30"/>
  <c r="R151" i="30"/>
  <c r="P151" i="30"/>
  <c r="AI151" i="30"/>
  <c r="AM151" i="30"/>
  <c r="L151" i="30"/>
  <c r="V151" i="30"/>
  <c r="AF151" i="30"/>
  <c r="AN151" i="30"/>
  <c r="AB151" i="30"/>
  <c r="AD151" i="30"/>
  <c r="AJ151" i="30"/>
  <c r="AA261" i="30"/>
  <c r="Q261" i="30"/>
  <c r="P261" i="30"/>
  <c r="N261" i="30"/>
  <c r="T261" i="30"/>
  <c r="R261" i="30"/>
  <c r="X261" i="30"/>
  <c r="V261" i="30"/>
  <c r="AB261" i="30"/>
  <c r="O261" i="30"/>
  <c r="AO261" i="30"/>
  <c r="S261" i="30"/>
  <c r="M261" i="30"/>
  <c r="W261" i="30"/>
  <c r="AC261" i="30"/>
  <c r="Y261" i="30"/>
  <c r="AG261" i="30"/>
  <c r="U261" i="30"/>
  <c r="AK261" i="30"/>
  <c r="Z261" i="30"/>
  <c r="AD261" i="30"/>
  <c r="AH261" i="30"/>
  <c r="AL261" i="30"/>
  <c r="AE261" i="30"/>
  <c r="AI261" i="30"/>
  <c r="AM261" i="30"/>
  <c r="AJ261" i="30"/>
  <c r="AN261" i="30"/>
  <c r="L261" i="30"/>
  <c r="AF261" i="30"/>
  <c r="F260" i="30"/>
  <c r="X260" i="30"/>
  <c r="AN260" i="30"/>
  <c r="Y260" i="30"/>
  <c r="AO260" i="30"/>
  <c r="Z260" i="30"/>
  <c r="W260" i="30"/>
  <c r="AE260" i="30"/>
  <c r="P260" i="30"/>
  <c r="AF260" i="30"/>
  <c r="Q260" i="30"/>
  <c r="AG260" i="30"/>
  <c r="R260" i="30"/>
  <c r="AH260" i="30"/>
  <c r="AA260" i="30"/>
  <c r="AI260" i="30"/>
  <c r="L260" i="30"/>
  <c r="M260" i="30"/>
  <c r="N260" i="30"/>
  <c r="AM260" i="30"/>
  <c r="T260" i="30"/>
  <c r="V260" i="30"/>
  <c r="O260" i="30"/>
  <c r="AJ260" i="30"/>
  <c r="AL260" i="30"/>
  <c r="U260" i="30"/>
  <c r="AB260" i="30"/>
  <c r="AC260" i="30"/>
  <c r="AD260" i="30"/>
  <c r="S260" i="30"/>
  <c r="AK260" i="30"/>
  <c r="L264" i="30"/>
  <c r="AB264" i="30"/>
  <c r="M264" i="30"/>
  <c r="AC264" i="30"/>
  <c r="N264" i="30"/>
  <c r="AD264" i="30"/>
  <c r="AE264" i="30"/>
  <c r="AM264" i="30"/>
  <c r="P264" i="30"/>
  <c r="AF264" i="30"/>
  <c r="Q264" i="30"/>
  <c r="AG264" i="30"/>
  <c r="R264" i="30"/>
  <c r="AH264" i="30"/>
  <c r="S264" i="30"/>
  <c r="AA264" i="30"/>
  <c r="T264" i="30"/>
  <c r="AJ264" i="30"/>
  <c r="U264" i="30"/>
  <c r="AK264" i="30"/>
  <c r="V264" i="30"/>
  <c r="AL264" i="30"/>
  <c r="AI264" i="30"/>
  <c r="X264" i="30"/>
  <c r="Z264" i="30"/>
  <c r="AN264" i="30"/>
  <c r="O264" i="30"/>
  <c r="Y264" i="30"/>
  <c r="W264" i="30"/>
  <c r="AO264" i="30"/>
  <c r="L229" i="30"/>
  <c r="P229" i="30"/>
  <c r="AF229" i="30"/>
  <c r="Q229" i="30"/>
  <c r="AG229" i="30"/>
  <c r="R229" i="30"/>
  <c r="AH229" i="30"/>
  <c r="AE229" i="30"/>
  <c r="AM229" i="30"/>
  <c r="T229" i="30"/>
  <c r="AJ229" i="30"/>
  <c r="U229" i="30"/>
  <c r="AK229" i="30"/>
  <c r="V229" i="30"/>
  <c r="AL229" i="30"/>
  <c r="S229" i="30"/>
  <c r="X229" i="30"/>
  <c r="AN229" i="30"/>
  <c r="Y229" i="30"/>
  <c r="AO229" i="30"/>
  <c r="Z229" i="30"/>
  <c r="AA229" i="30"/>
  <c r="AI229" i="30"/>
  <c r="M229" i="30"/>
  <c r="O229" i="30"/>
  <c r="AC229" i="30"/>
  <c r="W229" i="30"/>
  <c r="N229" i="30"/>
  <c r="AB229" i="30"/>
  <c r="AD229" i="30"/>
  <c r="Y154" i="30"/>
  <c r="AO154" i="30"/>
  <c r="Z154" i="30"/>
  <c r="O154" i="30"/>
  <c r="AE154" i="30"/>
  <c r="AB154" i="30"/>
  <c r="AJ154" i="30"/>
  <c r="M154" i="30"/>
  <c r="N154" i="30"/>
  <c r="S154" i="30"/>
  <c r="P154" i="30"/>
  <c r="U154" i="30"/>
  <c r="V154" i="30"/>
  <c r="L154" i="30"/>
  <c r="AC154" i="30"/>
  <c r="AD154" i="30"/>
  <c r="AI154" i="30"/>
  <c r="X154" i="30"/>
  <c r="AA154" i="30"/>
  <c r="Q154" i="30"/>
  <c r="AG154" i="30"/>
  <c r="R154" i="30"/>
  <c r="AH154" i="30"/>
  <c r="W154" i="30"/>
  <c r="AM154" i="30"/>
  <c r="AF154" i="30"/>
  <c r="AN154" i="30"/>
  <c r="AK154" i="30"/>
  <c r="AL154" i="30"/>
  <c r="T154" i="30"/>
  <c r="M158" i="30"/>
  <c r="AC158" i="30"/>
  <c r="N158" i="30"/>
  <c r="AD158" i="30"/>
  <c r="S158" i="30"/>
  <c r="AI158" i="30"/>
  <c r="X158" i="30"/>
  <c r="AF158" i="30"/>
  <c r="Q158" i="30"/>
  <c r="AG158" i="30"/>
  <c r="R158" i="30"/>
  <c r="AH158" i="30"/>
  <c r="W158" i="30"/>
  <c r="AM158" i="30"/>
  <c r="AN158" i="30"/>
  <c r="P158" i="30"/>
  <c r="U158" i="30"/>
  <c r="AK158" i="30"/>
  <c r="V158" i="30"/>
  <c r="AL158" i="30"/>
  <c r="AA158" i="30"/>
  <c r="T158" i="30"/>
  <c r="L158" i="30"/>
  <c r="O158" i="30"/>
  <c r="Y158" i="30"/>
  <c r="AE158" i="30"/>
  <c r="AB158" i="30"/>
  <c r="AO158" i="30"/>
  <c r="AJ158" i="30"/>
  <c r="Z158" i="30"/>
  <c r="AF152" i="30"/>
  <c r="S152" i="30"/>
  <c r="Y152" i="30"/>
  <c r="L152" i="30"/>
  <c r="W152" i="30"/>
  <c r="X152" i="30"/>
  <c r="AK152" i="30"/>
  <c r="AI152" i="30"/>
  <c r="O152" i="30"/>
  <c r="AO152" i="30"/>
  <c r="T152" i="30"/>
  <c r="N152" i="30"/>
  <c r="R152" i="30"/>
  <c r="AN152" i="30"/>
  <c r="Q152" i="30"/>
  <c r="AM152" i="30"/>
  <c r="AH152" i="30"/>
  <c r="AC152" i="30"/>
  <c r="AL152" i="30"/>
  <c r="AJ152" i="30"/>
  <c r="AA152" i="30"/>
  <c r="AG152" i="30"/>
  <c r="Z152" i="30"/>
  <c r="V152" i="30"/>
  <c r="M152" i="30"/>
  <c r="AD152" i="30"/>
  <c r="U152" i="30"/>
  <c r="AB152" i="30"/>
  <c r="AE152" i="30"/>
  <c r="P152" i="30"/>
  <c r="P189" i="30"/>
  <c r="AF189" i="30"/>
  <c r="Q189" i="30"/>
  <c r="AG189" i="30"/>
  <c r="R189" i="30"/>
  <c r="AH189" i="30"/>
  <c r="AE189" i="30"/>
  <c r="AM189" i="30"/>
  <c r="T189" i="30"/>
  <c r="AJ189" i="30"/>
  <c r="U189" i="30"/>
  <c r="AK189" i="30"/>
  <c r="V189" i="30"/>
  <c r="AL189" i="30"/>
  <c r="S189" i="30"/>
  <c r="X189" i="30"/>
  <c r="AN189" i="30"/>
  <c r="Y189" i="30"/>
  <c r="AO189" i="30"/>
  <c r="Z189" i="30"/>
  <c r="AA189" i="30"/>
  <c r="AI189" i="30"/>
  <c r="M189" i="30"/>
  <c r="O189" i="30"/>
  <c r="AC189" i="30"/>
  <c r="AB189" i="30"/>
  <c r="W189" i="30"/>
  <c r="L189" i="30"/>
  <c r="N189" i="30"/>
  <c r="AD189" i="30"/>
  <c r="W153" i="30"/>
  <c r="AK153" i="30"/>
  <c r="AI153" i="30"/>
  <c r="S153" i="30"/>
  <c r="AD153" i="30"/>
  <c r="AG153" i="30"/>
  <c r="AE153" i="30"/>
  <c r="AC153" i="30"/>
  <c r="AA153" i="30"/>
  <c r="AO153" i="30"/>
  <c r="AM153" i="30"/>
  <c r="U153" i="30"/>
  <c r="AL153" i="30"/>
  <c r="T153" i="30"/>
  <c r="Q153" i="30"/>
  <c r="O153" i="30"/>
  <c r="M153" i="30"/>
  <c r="Y153" i="30"/>
  <c r="AJ153" i="30"/>
  <c r="V153" i="30"/>
  <c r="AF153" i="30"/>
  <c r="AH153" i="30"/>
  <c r="AB153" i="30"/>
  <c r="AN153" i="30"/>
  <c r="R153" i="30"/>
  <c r="Z153" i="30"/>
  <c r="X153" i="30"/>
  <c r="N153" i="30"/>
  <c r="L153" i="30"/>
  <c r="P153" i="30"/>
  <c r="P262" i="30"/>
  <c r="O262" i="30"/>
  <c r="AB262" i="30"/>
  <c r="AN262" i="30"/>
  <c r="AK262" i="30"/>
  <c r="AI262" i="30"/>
  <c r="X262" i="30"/>
  <c r="R262" i="30"/>
  <c r="M262" i="30"/>
  <c r="L262" i="30"/>
  <c r="AL262" i="30"/>
  <c r="AJ262" i="30"/>
  <c r="AO262" i="30"/>
  <c r="AE262" i="30"/>
  <c r="Q262" i="30"/>
  <c r="W262" i="30"/>
  <c r="AA262" i="30"/>
  <c r="T262" i="30"/>
  <c r="AH262" i="30"/>
  <c r="AC262" i="30"/>
  <c r="S262" i="30"/>
  <c r="Z262" i="30"/>
  <c r="AG262" i="30"/>
  <c r="AD262" i="30"/>
  <c r="V262" i="30"/>
  <c r="Y262" i="30"/>
  <c r="AF262" i="30"/>
  <c r="U262" i="30"/>
  <c r="AM262" i="30"/>
  <c r="N262" i="30"/>
  <c r="AA221" i="30"/>
  <c r="AJ221" i="30"/>
  <c r="Y221" i="30"/>
  <c r="AI221" i="30"/>
  <c r="L221" i="30"/>
  <c r="AE221" i="30"/>
  <c r="Q221" i="30"/>
  <c r="U221" i="30"/>
  <c r="N221" i="30"/>
  <c r="AN221" i="30"/>
  <c r="AO221" i="30"/>
  <c r="AL221" i="30"/>
  <c r="X221" i="30"/>
  <c r="Z221" i="30"/>
  <c r="AK221" i="30"/>
  <c r="R221" i="30"/>
  <c r="P221" i="30"/>
  <c r="S221" i="30"/>
  <c r="O221" i="30"/>
  <c r="M221" i="30"/>
  <c r="AH221" i="30"/>
  <c r="AD221" i="30"/>
  <c r="AG221" i="30"/>
  <c r="V221" i="30"/>
  <c r="AC221" i="30"/>
  <c r="AF221" i="30"/>
  <c r="T221" i="30"/>
  <c r="AB221" i="30"/>
  <c r="AM221" i="30"/>
  <c r="W221" i="30"/>
  <c r="R254" i="30"/>
  <c r="AH254" i="30"/>
  <c r="W254" i="30"/>
  <c r="AM254" i="30"/>
  <c r="X254" i="30"/>
  <c r="AN254" i="30"/>
  <c r="AG254" i="30"/>
  <c r="Y254" i="30"/>
  <c r="AD254" i="30"/>
  <c r="T254" i="30"/>
  <c r="Q254" i="30"/>
  <c r="V254" i="30"/>
  <c r="AL254" i="30"/>
  <c r="AA254" i="30"/>
  <c r="L254" i="30"/>
  <c r="AB254" i="30"/>
  <c r="M254" i="30"/>
  <c r="U254" i="30"/>
  <c r="AI254" i="30"/>
  <c r="Z254" i="30"/>
  <c r="O254" i="30"/>
  <c r="AE254" i="30"/>
  <c r="P254" i="30"/>
  <c r="AF254" i="30"/>
  <c r="AC254" i="30"/>
  <c r="AK254" i="30"/>
  <c r="N254" i="30"/>
  <c r="S254" i="30"/>
  <c r="AJ254" i="30"/>
  <c r="AO254" i="30"/>
  <c r="L230" i="30"/>
  <c r="Z230" i="30"/>
  <c r="O230" i="30"/>
  <c r="AE230" i="30"/>
  <c r="T230" i="30"/>
  <c r="AJ230" i="30"/>
  <c r="Q230" i="30"/>
  <c r="Y230" i="30"/>
  <c r="N230" i="30"/>
  <c r="AD230" i="30"/>
  <c r="S230" i="30"/>
  <c r="AI230" i="30"/>
  <c r="X230" i="30"/>
  <c r="AN230" i="30"/>
  <c r="AG230" i="30"/>
  <c r="AO230" i="30"/>
  <c r="R230" i="30"/>
  <c r="AH230" i="30"/>
  <c r="W230" i="30"/>
  <c r="AM230" i="30"/>
  <c r="AB230" i="30"/>
  <c r="M230" i="30"/>
  <c r="U230" i="30"/>
  <c r="AA230" i="30"/>
  <c r="AK230" i="30"/>
  <c r="P230" i="30"/>
  <c r="AL230" i="30"/>
  <c r="V230" i="30"/>
  <c r="AF230" i="30"/>
  <c r="AC230" i="30"/>
  <c r="P253" i="30"/>
  <c r="AF253" i="30"/>
  <c r="Q253" i="30"/>
  <c r="AG253" i="30"/>
  <c r="R253" i="30"/>
  <c r="AH253" i="30"/>
  <c r="AE253" i="30"/>
  <c r="AM253" i="30"/>
  <c r="T253" i="30"/>
  <c r="AJ253" i="30"/>
  <c r="AK253" i="30"/>
  <c r="AL253" i="30"/>
  <c r="S253" i="30"/>
  <c r="L253" i="30"/>
  <c r="AC253" i="30"/>
  <c r="AD253" i="30"/>
  <c r="W253" i="30"/>
  <c r="AV253" i="30"/>
  <c r="U253" i="30"/>
  <c r="V253" i="30"/>
  <c r="M253" i="30"/>
  <c r="F253" i="30"/>
  <c r="X253" i="30"/>
  <c r="AN253" i="30"/>
  <c r="Y253" i="30"/>
  <c r="AO253" i="30"/>
  <c r="Z253" i="30"/>
  <c r="AA253" i="30"/>
  <c r="AI253" i="30"/>
  <c r="AB253" i="30"/>
  <c r="N253" i="30"/>
  <c r="O253" i="30"/>
  <c r="V263" i="30"/>
  <c r="AL263" i="30"/>
  <c r="AA263" i="30"/>
  <c r="L263" i="30"/>
  <c r="AB263" i="30"/>
  <c r="M263" i="30"/>
  <c r="U263" i="30"/>
  <c r="Z263" i="30"/>
  <c r="O263" i="30"/>
  <c r="AE263" i="30"/>
  <c r="P263" i="30"/>
  <c r="AF263" i="30"/>
  <c r="AC263" i="30"/>
  <c r="AK263" i="30"/>
  <c r="N263" i="30"/>
  <c r="AD263" i="30"/>
  <c r="S263" i="30"/>
  <c r="AI263" i="30"/>
  <c r="T263" i="30"/>
  <c r="AJ263" i="30"/>
  <c r="Q263" i="30"/>
  <c r="Y263" i="30"/>
  <c r="AH263" i="30"/>
  <c r="AN263" i="30"/>
  <c r="X263" i="30"/>
  <c r="W263" i="30"/>
  <c r="AG263" i="30"/>
  <c r="AM263" i="30"/>
  <c r="AO263" i="30"/>
  <c r="R263" i="30"/>
  <c r="AF223" i="30"/>
  <c r="Q223" i="30"/>
  <c r="M223" i="30"/>
  <c r="T223" i="30"/>
  <c r="AC223" i="30"/>
  <c r="AA223" i="30"/>
  <c r="AD223" i="30"/>
  <c r="S223" i="30"/>
  <c r="AE223" i="30"/>
  <c r="AM223" i="30"/>
  <c r="AB223" i="30"/>
  <c r="W223" i="30"/>
  <c r="Y223" i="30"/>
  <c r="AL223" i="30"/>
  <c r="AJ223" i="30"/>
  <c r="AG223" i="30"/>
  <c r="R223" i="30"/>
  <c r="N223" i="30"/>
  <c r="Z223" i="30"/>
  <c r="X223" i="30"/>
  <c r="AK223" i="30"/>
  <c r="AH223" i="30"/>
  <c r="O223" i="30"/>
  <c r="AI223" i="30"/>
  <c r="AO223" i="30"/>
  <c r="V223" i="30"/>
  <c r="AN223" i="30"/>
  <c r="U223" i="30"/>
  <c r="P223" i="30"/>
  <c r="L223" i="30"/>
  <c r="AA224" i="30"/>
  <c r="Z224" i="30"/>
  <c r="AM224" i="30"/>
  <c r="AL224" i="30"/>
  <c r="T224" i="30"/>
  <c r="N224" i="30"/>
  <c r="P224" i="30"/>
  <c r="X224" i="30"/>
  <c r="Y224" i="30"/>
  <c r="W224" i="30"/>
  <c r="AB224" i="30"/>
  <c r="AC224" i="30"/>
  <c r="R224" i="30"/>
  <c r="AN224" i="30"/>
  <c r="Q224" i="30"/>
  <c r="U224" i="30"/>
  <c r="S224" i="30"/>
  <c r="AG224" i="30"/>
  <c r="O224" i="30"/>
  <c r="AK224" i="30"/>
  <c r="AI224" i="30"/>
  <c r="AE224" i="30"/>
  <c r="V224" i="30"/>
  <c r="L224" i="30"/>
  <c r="AD224" i="30"/>
  <c r="AH224" i="30"/>
  <c r="M224" i="30"/>
  <c r="AO224" i="30"/>
  <c r="AJ224" i="30"/>
  <c r="AF224" i="30"/>
  <c r="AM222" i="30"/>
  <c r="AO222" i="30"/>
  <c r="AJ222" i="30"/>
  <c r="W222" i="30"/>
  <c r="S222" i="30"/>
  <c r="AH222" i="30"/>
  <c r="AG222" i="30"/>
  <c r="Q222" i="30"/>
  <c r="Y222" i="30"/>
  <c r="AN222" i="30"/>
  <c r="X222" i="30"/>
  <c r="T222" i="30"/>
  <c r="AC222" i="30"/>
  <c r="O222" i="30"/>
  <c r="U222" i="30"/>
  <c r="AA222" i="30"/>
  <c r="AI222" i="30"/>
  <c r="AD222" i="30"/>
  <c r="R222" i="30"/>
  <c r="N222" i="30"/>
  <c r="V222" i="30"/>
  <c r="P222" i="30"/>
  <c r="AB222" i="30"/>
  <c r="AF222" i="30"/>
  <c r="L222" i="30"/>
  <c r="AE222" i="30"/>
  <c r="AL222" i="30"/>
  <c r="Z222" i="30"/>
  <c r="AK222" i="30"/>
  <c r="M222" i="30"/>
  <c r="Q156" i="30"/>
  <c r="AG156" i="30"/>
  <c r="R156" i="30"/>
  <c r="AH156" i="30"/>
  <c r="W156" i="30"/>
  <c r="AM156" i="30"/>
  <c r="AJ156" i="30"/>
  <c r="L156" i="30"/>
  <c r="Y156" i="30"/>
  <c r="AO156" i="30"/>
  <c r="Z156" i="30"/>
  <c r="O156" i="30"/>
  <c r="AE156" i="30"/>
  <c r="AF156" i="30"/>
  <c r="AN156" i="30"/>
  <c r="U156" i="30"/>
  <c r="V156" i="30"/>
  <c r="AA156" i="30"/>
  <c r="X156" i="30"/>
  <c r="AC156" i="30"/>
  <c r="AI156" i="30"/>
  <c r="AB156" i="30"/>
  <c r="N156" i="30"/>
  <c r="T156" i="30"/>
  <c r="AD156" i="30"/>
  <c r="AK156" i="30"/>
  <c r="AL156" i="30"/>
  <c r="P156" i="30"/>
  <c r="M156" i="30"/>
  <c r="S156" i="30"/>
  <c r="AK157" i="30"/>
  <c r="AE157" i="30"/>
  <c r="T157" i="30"/>
  <c r="AF157" i="30"/>
  <c r="L157" i="30"/>
  <c r="U157" i="30"/>
  <c r="P157" i="30"/>
  <c r="AD157" i="30"/>
  <c r="Y157" i="30"/>
  <c r="W157" i="30"/>
  <c r="X157" i="30"/>
  <c r="V157" i="30"/>
  <c r="AH157" i="30"/>
  <c r="R157" i="30"/>
  <c r="AB157" i="30"/>
  <c r="AM157" i="30"/>
  <c r="M157" i="30"/>
  <c r="O157" i="30"/>
  <c r="AI157" i="30"/>
  <c r="S157" i="30"/>
  <c r="AO157" i="30"/>
  <c r="AA157" i="30"/>
  <c r="AJ157" i="30"/>
  <c r="AG157" i="30"/>
  <c r="Z157" i="30"/>
  <c r="AL157" i="30"/>
  <c r="Q157" i="30"/>
  <c r="AN157" i="30"/>
  <c r="AC157" i="30"/>
  <c r="N157" i="30"/>
  <c r="AI155" i="30"/>
  <c r="T155" i="30"/>
  <c r="R155" i="30"/>
  <c r="X155" i="30"/>
  <c r="AH155" i="30"/>
  <c r="O155" i="30"/>
  <c r="AB155" i="30"/>
  <c r="AE155" i="30"/>
  <c r="AJ155" i="30"/>
  <c r="Z155" i="30"/>
  <c r="AN155" i="30"/>
  <c r="L155" i="30"/>
  <c r="P155" i="30"/>
  <c r="V155" i="30"/>
  <c r="AC155" i="30"/>
  <c r="U155" i="30"/>
  <c r="W155" i="30"/>
  <c r="Y155" i="30"/>
  <c r="M155" i="30"/>
  <c r="Q155" i="30"/>
  <c r="AF155" i="30"/>
  <c r="AO155" i="30"/>
  <c r="S155" i="30"/>
  <c r="N155" i="30"/>
  <c r="AK155" i="30"/>
  <c r="AD155" i="30"/>
  <c r="AM155" i="30"/>
  <c r="AA155" i="30"/>
  <c r="AL155" i="30"/>
  <c r="AG155" i="30"/>
  <c r="W188" i="30"/>
  <c r="AF188" i="30"/>
  <c r="AA188" i="30"/>
  <c r="R188" i="30"/>
  <c r="Y188" i="30"/>
  <c r="AO188" i="30"/>
  <c r="N188" i="30"/>
  <c r="AN188" i="30"/>
  <c r="AE188" i="30"/>
  <c r="V188" i="30"/>
  <c r="L188" i="30"/>
  <c r="U188" i="30"/>
  <c r="Q188" i="30"/>
  <c r="AM188" i="30"/>
  <c r="AK188" i="30"/>
  <c r="AI188" i="30"/>
  <c r="AL188" i="30"/>
  <c r="Z188" i="30"/>
  <c r="M188" i="30"/>
  <c r="S188" i="30"/>
  <c r="AH188" i="30"/>
  <c r="X188" i="30"/>
  <c r="AC188" i="30"/>
  <c r="O188" i="30"/>
  <c r="AJ188" i="30"/>
  <c r="AD188" i="30"/>
  <c r="AG188" i="30"/>
  <c r="T188" i="30"/>
  <c r="AB188" i="30"/>
  <c r="P188" i="30"/>
  <c r="AN195" i="30"/>
  <c r="AE195" i="30"/>
  <c r="Y195" i="30"/>
  <c r="AK195" i="30"/>
  <c r="L195" i="30"/>
  <c r="N195" i="30"/>
  <c r="AG195" i="30"/>
  <c r="W195" i="30"/>
  <c r="Q195" i="30"/>
  <c r="R195" i="30"/>
  <c r="AJ195" i="30"/>
  <c r="AL195" i="30"/>
  <c r="M195" i="30"/>
  <c r="AM195" i="30"/>
  <c r="AI195" i="30"/>
  <c r="U195" i="30"/>
  <c r="AC195" i="30"/>
  <c r="P195" i="30"/>
  <c r="Z195" i="30"/>
  <c r="V195" i="30"/>
  <c r="AD195" i="30"/>
  <c r="AH195" i="30"/>
  <c r="AO195" i="30"/>
  <c r="X195" i="30"/>
  <c r="AA195" i="30"/>
  <c r="O195" i="30"/>
  <c r="S195" i="30"/>
  <c r="AF195" i="30"/>
  <c r="T195" i="30"/>
  <c r="AB195" i="30"/>
  <c r="E9" i="27"/>
  <c r="Q57" i="30"/>
  <c r="AF57" i="30"/>
  <c r="AK57" i="30"/>
  <c r="AB57" i="30"/>
  <c r="Z57" i="30"/>
  <c r="X57" i="30"/>
  <c r="AI57" i="30"/>
  <c r="U57" i="30"/>
  <c r="AE57" i="30"/>
  <c r="AL57" i="30"/>
  <c r="O57" i="30"/>
  <c r="AD57" i="30"/>
  <c r="Y57" i="30"/>
  <c r="S57" i="30"/>
  <c r="W57" i="30"/>
  <c r="AG57" i="30"/>
  <c r="V57" i="30"/>
  <c r="AO57" i="30"/>
  <c r="N57" i="30"/>
  <c r="R57" i="30"/>
  <c r="M57" i="30"/>
  <c r="AN57" i="30"/>
  <c r="T57" i="30"/>
  <c r="AR47" i="30"/>
  <c r="AM57" i="30"/>
  <c r="AH57" i="30"/>
  <c r="AC57" i="30"/>
  <c r="AJ57" i="30"/>
  <c r="P57" i="30"/>
  <c r="L57" i="30"/>
  <c r="AA57" i="30"/>
  <c r="N142" i="30"/>
  <c r="AA142" i="30"/>
  <c r="Z142" i="30"/>
  <c r="AI142" i="30"/>
  <c r="AJ142" i="30"/>
  <c r="AE142" i="30"/>
  <c r="P142" i="30"/>
  <c r="AH142" i="30"/>
  <c r="O142" i="30"/>
  <c r="T142" i="30"/>
  <c r="AK142" i="30"/>
  <c r="AF142" i="30"/>
  <c r="AJ109" i="30"/>
  <c r="S109" i="30"/>
  <c r="AO277" i="30"/>
  <c r="U109" i="30"/>
  <c r="AL280" i="30"/>
  <c r="AN277" i="30"/>
  <c r="AD142" i="30"/>
  <c r="R142" i="30"/>
  <c r="AB142" i="30"/>
  <c r="Q142" i="30"/>
  <c r="M142" i="30"/>
  <c r="AG142" i="30"/>
  <c r="U142" i="30"/>
  <c r="AN109" i="30"/>
  <c r="T109" i="30"/>
  <c r="AL142" i="30"/>
  <c r="AM142" i="30"/>
  <c r="W142" i="30"/>
  <c r="AN142" i="30"/>
  <c r="AC142" i="30"/>
  <c r="Y142" i="30"/>
  <c r="L142" i="30"/>
  <c r="AB166" i="30"/>
  <c r="T277" i="30"/>
  <c r="AH277" i="30"/>
  <c r="Y109" i="30"/>
  <c r="Z109" i="30"/>
  <c r="O109" i="30"/>
  <c r="AM246" i="30"/>
  <c r="X280" i="30"/>
  <c r="W169" i="30"/>
  <c r="S277" i="30"/>
  <c r="AM109" i="30"/>
  <c r="X109" i="30"/>
  <c r="R177" i="30"/>
  <c r="AL246" i="30"/>
  <c r="AK280" i="30"/>
  <c r="Y277" i="30"/>
  <c r="N277" i="30"/>
  <c r="O277" i="30"/>
  <c r="AE109" i="30"/>
  <c r="V109" i="30"/>
  <c r="AD109" i="30"/>
  <c r="AF109" i="30"/>
  <c r="R109" i="30"/>
  <c r="AC109" i="30"/>
  <c r="AI280" i="30"/>
  <c r="AE166" i="30"/>
  <c r="AK277" i="30"/>
  <c r="AL277" i="30"/>
  <c r="P277" i="30"/>
  <c r="L109" i="30"/>
  <c r="P109" i="30"/>
  <c r="AO109" i="30"/>
  <c r="AL109" i="30"/>
  <c r="W109" i="30"/>
  <c r="N109" i="30"/>
  <c r="L277" i="30"/>
  <c r="U277" i="30"/>
  <c r="AM277" i="30"/>
  <c r="AB109" i="30"/>
  <c r="AH109" i="30"/>
  <c r="AK109" i="30"/>
  <c r="AI109" i="30"/>
  <c r="M109" i="30"/>
  <c r="AG109" i="30"/>
  <c r="Q109" i="30"/>
  <c r="L169" i="30"/>
  <c r="AA166" i="30"/>
  <c r="N171" i="30"/>
  <c r="N169" i="30"/>
  <c r="N166" i="30"/>
  <c r="S171" i="30"/>
  <c r="N239" i="30"/>
  <c r="Z34" i="30"/>
  <c r="AK171" i="30"/>
  <c r="W171" i="30"/>
  <c r="AN168" i="30"/>
  <c r="T171" i="30"/>
  <c r="Z171" i="30"/>
  <c r="AE239" i="30"/>
  <c r="L171" i="30"/>
  <c r="AO171" i="30"/>
  <c r="W239" i="30"/>
  <c r="AM171" i="30"/>
  <c r="AL171" i="30"/>
  <c r="AI171" i="30"/>
  <c r="Z239" i="30"/>
  <c r="M171" i="30"/>
  <c r="AE171" i="30"/>
  <c r="V171" i="30"/>
  <c r="AA171" i="30"/>
  <c r="V169" i="30"/>
  <c r="V168" i="30"/>
  <c r="AK274" i="30"/>
  <c r="Y239" i="30"/>
  <c r="M239" i="30"/>
  <c r="T240" i="30"/>
  <c r="X239" i="30"/>
  <c r="L239" i="30"/>
  <c r="AL34" i="30"/>
  <c r="P245" i="30"/>
  <c r="AM70" i="30"/>
  <c r="Q180" i="30"/>
  <c r="AA180" i="30"/>
  <c r="AE34" i="30"/>
  <c r="R146" i="30"/>
  <c r="AJ241" i="30"/>
  <c r="S34" i="30"/>
  <c r="AL39" i="30"/>
  <c r="Q171" i="30"/>
  <c r="P171" i="30"/>
  <c r="AG171" i="30"/>
  <c r="Y171" i="30"/>
  <c r="AD171" i="30"/>
  <c r="R171" i="30"/>
  <c r="AF171" i="30"/>
  <c r="X171" i="30"/>
  <c r="AM240" i="30"/>
  <c r="AJ274" i="30"/>
  <c r="AN171" i="30"/>
  <c r="O171" i="30"/>
  <c r="AC171" i="30"/>
  <c r="AJ171" i="30"/>
  <c r="AH171" i="30"/>
  <c r="U171" i="30"/>
  <c r="AK245" i="30"/>
  <c r="O38" i="30"/>
  <c r="AC38" i="30"/>
  <c r="P39" i="30"/>
  <c r="X273" i="30"/>
  <c r="P176" i="30"/>
  <c r="O146" i="30"/>
  <c r="AF180" i="30"/>
  <c r="AI180" i="30"/>
  <c r="AM146" i="30"/>
  <c r="Y39" i="30"/>
  <c r="AA176" i="30"/>
  <c r="AH180" i="30"/>
  <c r="AG180" i="30"/>
  <c r="AE105" i="30"/>
  <c r="P146" i="30"/>
  <c r="AJ39" i="30"/>
  <c r="U180" i="30"/>
  <c r="AB180" i="30"/>
  <c r="AE180" i="30"/>
  <c r="T180" i="30"/>
  <c r="N105" i="30"/>
  <c r="AC146" i="30"/>
  <c r="AH146" i="30"/>
  <c r="AL146" i="30"/>
  <c r="Q146" i="30"/>
  <c r="U39" i="30"/>
  <c r="Q39" i="30"/>
  <c r="AF39" i="30"/>
  <c r="AC39" i="30"/>
  <c r="AH141" i="30"/>
  <c r="AJ70" i="30"/>
  <c r="AL241" i="30"/>
  <c r="AD176" i="30"/>
  <c r="AI176" i="30"/>
  <c r="M105" i="30"/>
  <c r="X146" i="30"/>
  <c r="R39" i="30"/>
  <c r="AG39" i="30"/>
  <c r="L39" i="30"/>
  <c r="Z39" i="30"/>
  <c r="AC70" i="30"/>
  <c r="Y70" i="30"/>
  <c r="P70" i="30"/>
  <c r="P241" i="30"/>
  <c r="N241" i="30"/>
  <c r="T176" i="30"/>
  <c r="AE176" i="30"/>
  <c r="S146" i="30"/>
  <c r="AD146" i="30"/>
  <c r="AO180" i="30"/>
  <c r="X180" i="30"/>
  <c r="R180" i="30"/>
  <c r="Z180" i="30"/>
  <c r="AA146" i="30"/>
  <c r="M146" i="30"/>
  <c r="U146" i="30"/>
  <c r="AO39" i="30"/>
  <c r="N39" i="30"/>
  <c r="P141" i="30"/>
  <c r="X70" i="30"/>
  <c r="AF70" i="30"/>
  <c r="M70" i="30"/>
  <c r="AF241" i="30"/>
  <c r="O241" i="30"/>
  <c r="AG241" i="30"/>
  <c r="X176" i="30"/>
  <c r="AE241" i="30"/>
  <c r="AC241" i="30"/>
  <c r="AI241" i="30"/>
  <c r="Y241" i="30"/>
  <c r="M169" i="30"/>
  <c r="AJ169" i="30"/>
  <c r="AO176" i="30"/>
  <c r="V176" i="30"/>
  <c r="AB176" i="30"/>
  <c r="P166" i="30"/>
  <c r="V166" i="30"/>
  <c r="O280" i="30"/>
  <c r="AO280" i="30"/>
  <c r="AN241" i="30"/>
  <c r="S241" i="30"/>
  <c r="X241" i="30"/>
  <c r="V241" i="30"/>
  <c r="AL168" i="30"/>
  <c r="AB169" i="30"/>
  <c r="AM169" i="30"/>
  <c r="AM176" i="30"/>
  <c r="L176" i="30"/>
  <c r="N176" i="30"/>
  <c r="AC176" i="30"/>
  <c r="AJ166" i="30"/>
  <c r="Q166" i="30"/>
  <c r="AK180" i="30"/>
  <c r="L180" i="30"/>
  <c r="W180" i="30"/>
  <c r="AC180" i="30"/>
  <c r="AL180" i="30"/>
  <c r="V180" i="30"/>
  <c r="AD180" i="30"/>
  <c r="S180" i="30"/>
  <c r="AJ105" i="30"/>
  <c r="T105" i="30"/>
  <c r="L146" i="30"/>
  <c r="AE146" i="30"/>
  <c r="AO146" i="30"/>
  <c r="AG146" i="30"/>
  <c r="AI146" i="30"/>
  <c r="Y146" i="30"/>
  <c r="AF146" i="30"/>
  <c r="AJ146" i="30"/>
  <c r="X39" i="30"/>
  <c r="M39" i="30"/>
  <c r="AE39" i="30"/>
  <c r="S39" i="30"/>
  <c r="AD39" i="30"/>
  <c r="O39" i="30"/>
  <c r="AN39" i="30"/>
  <c r="AH39" i="30"/>
  <c r="AF273" i="30"/>
  <c r="L141" i="30"/>
  <c r="Q141" i="30"/>
  <c r="Q70" i="30"/>
  <c r="AG70" i="30"/>
  <c r="AO241" i="30"/>
  <c r="AK241" i="30"/>
  <c r="T241" i="30"/>
  <c r="M241" i="30"/>
  <c r="AB241" i="30"/>
  <c r="L241" i="30"/>
  <c r="AH241" i="30"/>
  <c r="Q241" i="30"/>
  <c r="AG176" i="30"/>
  <c r="Q176" i="30"/>
  <c r="M176" i="30"/>
  <c r="AN176" i="30"/>
  <c r="R176" i="30"/>
  <c r="AF176" i="30"/>
  <c r="AK176" i="30"/>
  <c r="O176" i="30"/>
  <c r="AM180" i="30"/>
  <c r="M180" i="30"/>
  <c r="AJ180" i="30"/>
  <c r="O180" i="30"/>
  <c r="N180" i="30"/>
  <c r="AN180" i="30"/>
  <c r="Y180" i="30"/>
  <c r="AF105" i="30"/>
  <c r="AB105" i="30"/>
  <c r="T146" i="30"/>
  <c r="N146" i="30"/>
  <c r="AN146" i="30"/>
  <c r="Z146" i="30"/>
  <c r="V146" i="30"/>
  <c r="AB146" i="30"/>
  <c r="W146" i="30"/>
  <c r="V39" i="30"/>
  <c r="AM39" i="30"/>
  <c r="W39" i="30"/>
  <c r="AK39" i="30"/>
  <c r="AB39" i="30"/>
  <c r="AA39" i="30"/>
  <c r="AI39" i="30"/>
  <c r="N273" i="30"/>
  <c r="N141" i="30"/>
  <c r="V141" i="30"/>
  <c r="AD70" i="30"/>
  <c r="T70" i="30"/>
  <c r="R241" i="30"/>
  <c r="AA241" i="30"/>
  <c r="AM241" i="30"/>
  <c r="W241" i="30"/>
  <c r="U241" i="30"/>
  <c r="Z241" i="30"/>
  <c r="S176" i="30"/>
  <c r="Y176" i="30"/>
  <c r="Z176" i="30"/>
  <c r="U176" i="30"/>
  <c r="AL176" i="30"/>
  <c r="AJ176" i="30"/>
  <c r="W176" i="30"/>
  <c r="W238" i="30"/>
  <c r="AI238" i="30"/>
  <c r="AH238" i="30"/>
  <c r="AA238" i="30"/>
  <c r="AK238" i="30"/>
  <c r="P209" i="30"/>
  <c r="AF238" i="30"/>
  <c r="AO238" i="30"/>
  <c r="AL238" i="30"/>
  <c r="X135" i="30"/>
  <c r="AO242" i="30"/>
  <c r="U168" i="30"/>
  <c r="U238" i="30"/>
  <c r="AJ238" i="30"/>
  <c r="M238" i="30"/>
  <c r="AN238" i="30"/>
  <c r="AK242" i="30"/>
  <c r="M108" i="30"/>
  <c r="P108" i="30"/>
  <c r="L108" i="30"/>
  <c r="W140" i="30"/>
  <c r="Q209" i="30"/>
  <c r="AJ209" i="30"/>
  <c r="AD238" i="30"/>
  <c r="P238" i="30"/>
  <c r="O238" i="30"/>
  <c r="O135" i="30"/>
  <c r="M209" i="30"/>
  <c r="AO108" i="30"/>
  <c r="AE108" i="30"/>
  <c r="L238" i="30"/>
  <c r="Q238" i="30"/>
  <c r="X238" i="30"/>
  <c r="AE238" i="30"/>
  <c r="S238" i="30"/>
  <c r="R238" i="30"/>
  <c r="Z238" i="30"/>
  <c r="AC140" i="30"/>
  <c r="N135" i="30"/>
  <c r="AM135" i="30"/>
  <c r="W242" i="30"/>
  <c r="O242" i="30"/>
  <c r="AB108" i="30"/>
  <c r="AK209" i="30"/>
  <c r="AL209" i="30"/>
  <c r="T209" i="30"/>
  <c r="Z108" i="30"/>
  <c r="AF135" i="30"/>
  <c r="Q108" i="30"/>
  <c r="T108" i="30"/>
  <c r="V108" i="30"/>
  <c r="AJ108" i="30"/>
  <c r="AN209" i="30"/>
  <c r="N209" i="30"/>
  <c r="AJ140" i="30"/>
  <c r="AG135" i="30"/>
  <c r="U242" i="30"/>
  <c r="AJ242" i="30"/>
  <c r="V238" i="30"/>
  <c r="AG238" i="30"/>
  <c r="AM238" i="30"/>
  <c r="AC238" i="30"/>
  <c r="AB238" i="30"/>
  <c r="T238" i="30"/>
  <c r="N238" i="30"/>
  <c r="AK140" i="30"/>
  <c r="AA135" i="30"/>
  <c r="AL135" i="30"/>
  <c r="AL242" i="30"/>
  <c r="AD242" i="30"/>
  <c r="R108" i="30"/>
  <c r="W209" i="30"/>
  <c r="AB209" i="30"/>
  <c r="W108" i="30"/>
  <c r="AD108" i="30"/>
  <c r="AA108" i="30"/>
  <c r="AI108" i="30"/>
  <c r="AI209" i="30"/>
  <c r="Y209" i="30"/>
  <c r="Y108" i="30"/>
  <c r="AK108" i="30"/>
  <c r="U140" i="30"/>
  <c r="AM140" i="30"/>
  <c r="Z273" i="30"/>
  <c r="R273" i="30"/>
  <c r="V70" i="30"/>
  <c r="U70" i="30"/>
  <c r="U209" i="30"/>
  <c r="O70" i="30"/>
  <c r="S70" i="30"/>
  <c r="AA70" i="30"/>
  <c r="N70" i="30"/>
  <c r="AC209" i="30"/>
  <c r="R209" i="30"/>
  <c r="O108" i="30"/>
  <c r="Z209" i="30"/>
  <c r="L70" i="30"/>
  <c r="AL70" i="30"/>
  <c r="AM108" i="30"/>
  <c r="AC108" i="30"/>
  <c r="X108" i="30"/>
  <c r="AH108" i="30"/>
  <c r="AG209" i="30"/>
  <c r="AO209" i="30"/>
  <c r="AM209" i="30"/>
  <c r="AA209" i="30"/>
  <c r="AI70" i="30"/>
  <c r="O168" i="30"/>
  <c r="AA169" i="30"/>
  <c r="AO169" i="30"/>
  <c r="X169" i="30"/>
  <c r="AH169" i="30"/>
  <c r="AG169" i="30"/>
  <c r="Z169" i="30"/>
  <c r="Q169" i="30"/>
  <c r="AN140" i="30"/>
  <c r="T273" i="30"/>
  <c r="L273" i="30"/>
  <c r="AO70" i="30"/>
  <c r="Z70" i="30"/>
  <c r="AK70" i="30"/>
  <c r="W70" i="30"/>
  <c r="AE70" i="30"/>
  <c r="AB70" i="30"/>
  <c r="X209" i="30"/>
  <c r="AH209" i="30"/>
  <c r="AF209" i="30"/>
  <c r="AG108" i="30"/>
  <c r="R70" i="30"/>
  <c r="AN70" i="30"/>
  <c r="S209" i="30"/>
  <c r="L209" i="30"/>
  <c r="U108" i="30"/>
  <c r="AL108" i="30"/>
  <c r="N108" i="30"/>
  <c r="AN108" i="30"/>
  <c r="S108" i="30"/>
  <c r="AD209" i="30"/>
  <c r="O209" i="30"/>
  <c r="AE209" i="30"/>
  <c r="AK168" i="30"/>
  <c r="AD168" i="30"/>
  <c r="P169" i="30"/>
  <c r="O169" i="30"/>
  <c r="AE169" i="30"/>
  <c r="AD169" i="30"/>
  <c r="AC169" i="30"/>
  <c r="Y169" i="30"/>
  <c r="AI169" i="30"/>
  <c r="AF169" i="30"/>
  <c r="AK169" i="30"/>
  <c r="AL169" i="30"/>
  <c r="S169" i="30"/>
  <c r="R169" i="30"/>
  <c r="AN169" i="30"/>
  <c r="U169" i="30"/>
  <c r="AJ277" i="30"/>
  <c r="AF277" i="30"/>
  <c r="AI135" i="30"/>
  <c r="AK135" i="30"/>
  <c r="AN135" i="30"/>
  <c r="L135" i="30"/>
  <c r="Q135" i="30"/>
  <c r="Y135" i="30"/>
  <c r="T135" i="30"/>
  <c r="V135" i="30"/>
  <c r="S245" i="30"/>
  <c r="AG245" i="30"/>
  <c r="AN242" i="30"/>
  <c r="AH242" i="30"/>
  <c r="AB242" i="30"/>
  <c r="V242" i="30"/>
  <c r="AF242" i="30"/>
  <c r="Z242" i="30"/>
  <c r="T242" i="30"/>
  <c r="N242" i="30"/>
  <c r="AC274" i="30"/>
  <c r="AB274" i="30"/>
  <c r="AF141" i="30"/>
  <c r="W141" i="30"/>
  <c r="U141" i="30"/>
  <c r="S141" i="30"/>
  <c r="AO141" i="30"/>
  <c r="T141" i="30"/>
  <c r="AN141" i="30"/>
  <c r="M141" i="30"/>
  <c r="AA280" i="30"/>
  <c r="AN280" i="30"/>
  <c r="W280" i="30"/>
  <c r="U280" i="30"/>
  <c r="AD280" i="30"/>
  <c r="AJ280" i="30"/>
  <c r="AC280" i="30"/>
  <c r="T280" i="30"/>
  <c r="AG277" i="30"/>
  <c r="AI277" i="30"/>
  <c r="AD277" i="30"/>
  <c r="Q277" i="30"/>
  <c r="AE277" i="30"/>
  <c r="Z277" i="30"/>
  <c r="AC277" i="30"/>
  <c r="AB277" i="30"/>
  <c r="AA277" i="30"/>
  <c r="V277" i="30"/>
  <c r="M277" i="30"/>
  <c r="X277" i="30"/>
  <c r="W277" i="30"/>
  <c r="AE135" i="30"/>
  <c r="AC135" i="30"/>
  <c r="AH135" i="30"/>
  <c r="W135" i="30"/>
  <c r="AJ135" i="30"/>
  <c r="R135" i="30"/>
  <c r="AD135" i="30"/>
  <c r="AN245" i="30"/>
  <c r="X242" i="30"/>
  <c r="R242" i="30"/>
  <c r="L242" i="30"/>
  <c r="P242" i="30"/>
  <c r="Q242" i="30"/>
  <c r="AI242" i="30"/>
  <c r="AM274" i="30"/>
  <c r="V274" i="30"/>
  <c r="AC141" i="30"/>
  <c r="AM141" i="30"/>
  <c r="AD141" i="30"/>
  <c r="AE141" i="30"/>
  <c r="AB141" i="30"/>
  <c r="AK141" i="30"/>
  <c r="AL141" i="30"/>
  <c r="X141" i="30"/>
  <c r="Z280" i="30"/>
  <c r="AB280" i="30"/>
  <c r="R280" i="30"/>
  <c r="L280" i="30"/>
  <c r="AM280" i="30"/>
  <c r="S280" i="30"/>
  <c r="AF280" i="30"/>
  <c r="V280" i="30"/>
  <c r="S135" i="30"/>
  <c r="M135" i="30"/>
  <c r="Z135" i="30"/>
  <c r="AB135" i="30"/>
  <c r="AO135" i="30"/>
  <c r="U135" i="30"/>
  <c r="AI245" i="30"/>
  <c r="AG242" i="30"/>
  <c r="AM242" i="30"/>
  <c r="M242" i="30"/>
  <c r="AA242" i="30"/>
  <c r="AC242" i="30"/>
  <c r="AE242" i="30"/>
  <c r="Y242" i="30"/>
  <c r="AI274" i="30"/>
  <c r="N274" i="30"/>
  <c r="AJ141" i="30"/>
  <c r="AG141" i="30"/>
  <c r="Z141" i="30"/>
  <c r="AI141" i="30"/>
  <c r="R141" i="30"/>
  <c r="Y141" i="30"/>
  <c r="AA141" i="30"/>
  <c r="O141" i="30"/>
  <c r="N280" i="30"/>
  <c r="P280" i="30"/>
  <c r="Y280" i="30"/>
  <c r="AG280" i="30"/>
  <c r="AE280" i="30"/>
  <c r="Q280" i="30"/>
  <c r="AH280" i="30"/>
  <c r="AG173" i="30"/>
  <c r="N173" i="30"/>
  <c r="AN34" i="30"/>
  <c r="AM34" i="30"/>
  <c r="Y177" i="30"/>
  <c r="AD140" i="30"/>
  <c r="R140" i="30"/>
  <c r="N140" i="30"/>
  <c r="S140" i="30"/>
  <c r="X140" i="30"/>
  <c r="M140" i="30"/>
  <c r="AG140" i="30"/>
  <c r="AI140" i="30"/>
  <c r="P273" i="30"/>
  <c r="AO273" i="30"/>
  <c r="AI273" i="30"/>
  <c r="M273" i="30"/>
  <c r="AM273" i="30"/>
  <c r="AK273" i="30"/>
  <c r="AA273" i="30"/>
  <c r="N245" i="30"/>
  <c r="Z245" i="30"/>
  <c r="L245" i="30"/>
  <c r="U245" i="30"/>
  <c r="M245" i="30"/>
  <c r="AC245" i="30"/>
  <c r="AJ245" i="30"/>
  <c r="AF245" i="30"/>
  <c r="U274" i="30"/>
  <c r="M274" i="30"/>
  <c r="O274" i="30"/>
  <c r="AE274" i="30"/>
  <c r="T274" i="30"/>
  <c r="L274" i="30"/>
  <c r="AH274" i="30"/>
  <c r="Z274" i="30"/>
  <c r="AA34" i="30"/>
  <c r="W34" i="30"/>
  <c r="AB34" i="30"/>
  <c r="AH34" i="30"/>
  <c r="P177" i="30"/>
  <c r="O140" i="30"/>
  <c r="Y140" i="30"/>
  <c r="P140" i="30"/>
  <c r="AO140" i="30"/>
  <c r="L140" i="30"/>
  <c r="AF140" i="30"/>
  <c r="P246" i="30"/>
  <c r="M246" i="30"/>
  <c r="Y273" i="30"/>
  <c r="AE273" i="30"/>
  <c r="AC273" i="30"/>
  <c r="S273" i="30"/>
  <c r="U273" i="30"/>
  <c r="W273" i="30"/>
  <c r="Q273" i="30"/>
  <c r="AL273" i="30"/>
  <c r="V245" i="30"/>
  <c r="AD245" i="30"/>
  <c r="X245" i="30"/>
  <c r="AE245" i="30"/>
  <c r="O245" i="30"/>
  <c r="W245" i="30"/>
  <c r="AM245" i="30"/>
  <c r="AA245" i="30"/>
  <c r="W274" i="30"/>
  <c r="S274" i="30"/>
  <c r="AG274" i="30"/>
  <c r="Y274" i="30"/>
  <c r="R274" i="30"/>
  <c r="AO274" i="30"/>
  <c r="AF274" i="30"/>
  <c r="X274" i="30"/>
  <c r="L173" i="30"/>
  <c r="L34" i="30"/>
  <c r="AH140" i="30"/>
  <c r="AE140" i="30"/>
  <c r="N34" i="30"/>
  <c r="AD34" i="30"/>
  <c r="X34" i="30"/>
  <c r="AG34" i="30"/>
  <c r="O177" i="30"/>
  <c r="Q140" i="30"/>
  <c r="T140" i="30"/>
  <c r="Z140" i="30"/>
  <c r="AA140" i="30"/>
  <c r="V140" i="30"/>
  <c r="AB140" i="30"/>
  <c r="AK246" i="30"/>
  <c r="L246" i="30"/>
  <c r="AG273" i="30"/>
  <c r="O273" i="30"/>
  <c r="AJ273" i="30"/>
  <c r="AD273" i="30"/>
  <c r="AN273" i="30"/>
  <c r="AH273" i="30"/>
  <c r="AB273" i="30"/>
  <c r="R245" i="30"/>
  <c r="T245" i="30"/>
  <c r="AB245" i="30"/>
  <c r="Q245" i="30"/>
  <c r="Y245" i="30"/>
  <c r="AL245" i="30"/>
  <c r="AH245" i="30"/>
  <c r="Q274" i="30"/>
  <c r="AN274" i="30"/>
  <c r="AA274" i="30"/>
  <c r="F274" i="30"/>
  <c r="P274" i="30"/>
  <c r="AL274" i="30"/>
  <c r="AD274" i="30"/>
  <c r="AE173" i="30"/>
  <c r="AG105" i="30"/>
  <c r="Q105" i="30"/>
  <c r="R105" i="30"/>
  <c r="AO105" i="30"/>
  <c r="Y105" i="30"/>
  <c r="AC105" i="30"/>
  <c r="P105" i="30"/>
  <c r="L177" i="30"/>
  <c r="AL177" i="30"/>
  <c r="AM177" i="30"/>
  <c r="AO246" i="30"/>
  <c r="AE246" i="30"/>
  <c r="AC246" i="30"/>
  <c r="W246" i="30"/>
  <c r="Y246" i="30"/>
  <c r="AJ246" i="30"/>
  <c r="AI246" i="30"/>
  <c r="AD246" i="30"/>
  <c r="L240" i="30"/>
  <c r="AI38" i="30"/>
  <c r="U38" i="30"/>
  <c r="U166" i="30"/>
  <c r="AL166" i="30"/>
  <c r="AI166" i="30"/>
  <c r="AG166" i="30"/>
  <c r="W166" i="30"/>
  <c r="S166" i="30"/>
  <c r="X166" i="30"/>
  <c r="AN173" i="30"/>
  <c r="AA173" i="30"/>
  <c r="AI173" i="30"/>
  <c r="AD105" i="30"/>
  <c r="O105" i="30"/>
  <c r="AM105" i="30"/>
  <c r="AH105" i="30"/>
  <c r="AK177" i="30"/>
  <c r="P38" i="30"/>
  <c r="L166" i="30"/>
  <c r="M166" i="30"/>
  <c r="AO166" i="30"/>
  <c r="Z166" i="30"/>
  <c r="AN166" i="30"/>
  <c r="O166" i="30"/>
  <c r="AH166" i="30"/>
  <c r="T173" i="30"/>
  <c r="AF173" i="30"/>
  <c r="M173" i="30"/>
  <c r="AD173" i="30"/>
  <c r="L105" i="30"/>
  <c r="AN105" i="30"/>
  <c r="AK105" i="30"/>
  <c r="X105" i="30"/>
  <c r="AE177" i="30"/>
  <c r="AH177" i="30"/>
  <c r="AG246" i="30"/>
  <c r="O246" i="30"/>
  <c r="AF246" i="30"/>
  <c r="AH246" i="30"/>
  <c r="U246" i="30"/>
  <c r="AB246" i="30"/>
  <c r="AA246" i="30"/>
  <c r="V246" i="30"/>
  <c r="AL240" i="30"/>
  <c r="X240" i="30"/>
  <c r="AI105" i="30"/>
  <c r="V105" i="30"/>
  <c r="U105" i="30"/>
  <c r="AA105" i="30"/>
  <c r="S105" i="30"/>
  <c r="W105" i="30"/>
  <c r="AL105" i="30"/>
  <c r="T177" i="30"/>
  <c r="W177" i="30"/>
  <c r="Z177" i="30"/>
  <c r="AG177" i="30"/>
  <c r="AN246" i="30"/>
  <c r="R246" i="30"/>
  <c r="X246" i="30"/>
  <c r="Z246" i="30"/>
  <c r="Q246" i="30"/>
  <c r="T246" i="30"/>
  <c r="S246" i="30"/>
  <c r="V240" i="30"/>
  <c r="N240" i="30"/>
  <c r="V38" i="30"/>
  <c r="T38" i="30"/>
  <c r="AF166" i="30"/>
  <c r="T166" i="30"/>
  <c r="AC166" i="30"/>
  <c r="AK166" i="30"/>
  <c r="Y166" i="30"/>
  <c r="AM166" i="30"/>
  <c r="R166" i="30"/>
  <c r="AH173" i="30"/>
  <c r="O173" i="30"/>
  <c r="AB173" i="30"/>
  <c r="S239" i="30"/>
  <c r="R239" i="30"/>
  <c r="Q239" i="30"/>
  <c r="P239" i="30"/>
  <c r="AL239" i="30"/>
  <c r="AK239" i="30"/>
  <c r="AJ239" i="30"/>
  <c r="R34" i="30"/>
  <c r="T34" i="30"/>
  <c r="AF34" i="30"/>
  <c r="M34" i="30"/>
  <c r="U34" i="30"/>
  <c r="Y34" i="30"/>
  <c r="AJ34" i="30"/>
  <c r="P34" i="30"/>
  <c r="V177" i="30"/>
  <c r="AO177" i="30"/>
  <c r="AF177" i="30"/>
  <c r="X177" i="30"/>
  <c r="Q177" i="30"/>
  <c r="AN177" i="30"/>
  <c r="AI177" i="30"/>
  <c r="AO240" i="30"/>
  <c r="M240" i="30"/>
  <c r="AE240" i="30"/>
  <c r="AC240" i="30"/>
  <c r="AI240" i="30"/>
  <c r="Y240" i="30"/>
  <c r="W240" i="30"/>
  <c r="AA38" i="30"/>
  <c r="N38" i="30"/>
  <c r="AN38" i="30"/>
  <c r="M38" i="30"/>
  <c r="AE38" i="30"/>
  <c r="L38" i="30"/>
  <c r="AJ38" i="30"/>
  <c r="AJ168" i="30"/>
  <c r="AO168" i="30"/>
  <c r="R168" i="30"/>
  <c r="X168" i="30"/>
  <c r="AB168" i="30"/>
  <c r="Q168" i="30"/>
  <c r="AG168" i="30"/>
  <c r="T168" i="30"/>
  <c r="AL173" i="30"/>
  <c r="V173" i="30"/>
  <c r="S173" i="30"/>
  <c r="AK173" i="30"/>
  <c r="R173" i="30"/>
  <c r="AN239" i="30"/>
  <c r="AB239" i="30"/>
  <c r="AC177" i="30"/>
  <c r="Y38" i="30"/>
  <c r="S38" i="30"/>
  <c r="AF38" i="30"/>
  <c r="R38" i="30"/>
  <c r="AK38" i="30"/>
  <c r="AD38" i="30"/>
  <c r="X38" i="30"/>
  <c r="W38" i="30"/>
  <c r="AO38" i="30"/>
  <c r="S168" i="30"/>
  <c r="Y168" i="30"/>
  <c r="M168" i="30"/>
  <c r="AH168" i="30"/>
  <c r="Z168" i="30"/>
  <c r="AE168" i="30"/>
  <c r="P168" i="30"/>
  <c r="N168" i="30"/>
  <c r="U173" i="30"/>
  <c r="Y173" i="30"/>
  <c r="AJ173" i="30"/>
  <c r="O239" i="30"/>
  <c r="AO239" i="30"/>
  <c r="AM239" i="30"/>
  <c r="AD239" i="30"/>
  <c r="AC239" i="30"/>
  <c r="AG240" i="30"/>
  <c r="AF240" i="30"/>
  <c r="U240" i="30"/>
  <c r="O240" i="30"/>
  <c r="AK240" i="30"/>
  <c r="S240" i="30"/>
  <c r="Q240" i="30"/>
  <c r="AH240" i="30"/>
  <c r="AA239" i="30"/>
  <c r="AH239" i="30"/>
  <c r="AG239" i="30"/>
  <c r="AF239" i="30"/>
  <c r="AI239" i="30"/>
  <c r="V239" i="30"/>
  <c r="U239" i="30"/>
  <c r="V34" i="30"/>
  <c r="AC34" i="30"/>
  <c r="AK34" i="30"/>
  <c r="O34" i="30"/>
  <c r="Q34" i="30"/>
  <c r="AI34" i="30"/>
  <c r="AD177" i="30"/>
  <c r="N177" i="30"/>
  <c r="AJ177" i="30"/>
  <c r="AB177" i="30"/>
  <c r="U177" i="30"/>
  <c r="M177" i="30"/>
  <c r="S177" i="30"/>
  <c r="P240" i="30"/>
  <c r="AA240" i="30"/>
  <c r="AJ240" i="30"/>
  <c r="Z240" i="30"/>
  <c r="AN240" i="30"/>
  <c r="AD240" i="30"/>
  <c r="AB240" i="30"/>
  <c r="AL38" i="30"/>
  <c r="AB38" i="30"/>
  <c r="AM38" i="30"/>
  <c r="Q38" i="30"/>
  <c r="Z38" i="30"/>
  <c r="AG38" i="30"/>
  <c r="L168" i="30"/>
  <c r="AA168" i="30"/>
  <c r="AC168" i="30"/>
  <c r="AM168" i="30"/>
  <c r="AI168" i="30"/>
  <c r="W168" i="30"/>
  <c r="AO173" i="30"/>
  <c r="Q173" i="30"/>
  <c r="W173" i="30"/>
  <c r="P173" i="30"/>
  <c r="Z173" i="30"/>
  <c r="X173" i="30"/>
  <c r="AM173" i="30"/>
  <c r="AC210" i="30"/>
  <c r="P71" i="30"/>
  <c r="R210" i="30"/>
  <c r="AC71" i="30"/>
  <c r="AD71" i="30"/>
  <c r="Z210" i="30"/>
  <c r="AF210" i="30"/>
  <c r="AO71" i="30"/>
  <c r="AF71" i="30"/>
  <c r="AL210" i="30"/>
  <c r="O210" i="30"/>
  <c r="AH71" i="30"/>
  <c r="AN71" i="30"/>
  <c r="V210" i="30"/>
  <c r="AK210" i="30"/>
  <c r="AB71" i="30"/>
  <c r="R71" i="30"/>
  <c r="Z71" i="30"/>
  <c r="Y71" i="30"/>
  <c r="Q71" i="30"/>
  <c r="V71" i="30"/>
  <c r="M71" i="30"/>
  <c r="AK71" i="30"/>
  <c r="AA210" i="30"/>
  <c r="T210" i="30"/>
  <c r="AI210" i="30"/>
  <c r="U210" i="30"/>
  <c r="AJ210" i="30"/>
  <c r="Q210" i="30"/>
  <c r="X210" i="30"/>
  <c r="AN210" i="30"/>
  <c r="L210" i="30"/>
  <c r="O71" i="30"/>
  <c r="X71" i="30"/>
  <c r="L71" i="30"/>
  <c r="W71" i="30"/>
  <c r="AI71" i="30"/>
  <c r="AJ71" i="30"/>
  <c r="N71" i="30"/>
  <c r="T71" i="30"/>
  <c r="S210" i="30"/>
  <c r="N210" i="30"/>
  <c r="W210" i="30"/>
  <c r="AG210" i="30"/>
  <c r="M210" i="30"/>
  <c r="AA71" i="30"/>
  <c r="U71" i="30"/>
  <c r="S71" i="30"/>
  <c r="AL71" i="30"/>
  <c r="AM71" i="30"/>
  <c r="AG71" i="30"/>
  <c r="AD210" i="30"/>
  <c r="AM210" i="30"/>
  <c r="Y210" i="30"/>
  <c r="AO210" i="30"/>
  <c r="P210" i="30"/>
  <c r="AB210" i="30"/>
  <c r="AE210" i="30"/>
  <c r="S167" i="30"/>
  <c r="N167" i="30"/>
  <c r="R167" i="30"/>
  <c r="Y167" i="30"/>
  <c r="AK167" i="30"/>
  <c r="AE167" i="30"/>
  <c r="AD167" i="30"/>
  <c r="X167" i="30"/>
  <c r="L167" i="30"/>
  <c r="T167" i="30"/>
  <c r="O167" i="30"/>
  <c r="V167" i="30"/>
  <c r="AG167" i="30"/>
  <c r="AC167" i="30"/>
  <c r="AB167" i="30"/>
  <c r="AL167" i="30"/>
  <c r="AN167" i="30"/>
  <c r="AJ167" i="30"/>
  <c r="Q167" i="30"/>
  <c r="AM167" i="30"/>
  <c r="Z167" i="30"/>
  <c r="AA167" i="30"/>
  <c r="P167" i="30"/>
  <c r="AI167" i="30"/>
  <c r="AF167" i="30"/>
  <c r="M167" i="30"/>
  <c r="U167" i="30"/>
  <c r="AO167" i="30"/>
  <c r="AH167" i="30"/>
  <c r="W167" i="30"/>
  <c r="AB202" i="30"/>
  <c r="P202" i="30"/>
  <c r="AG202" i="30"/>
  <c r="AL202" i="30"/>
  <c r="AD202" i="30"/>
  <c r="Y202" i="30"/>
  <c r="M202" i="30"/>
  <c r="AE202" i="30"/>
  <c r="N202" i="30"/>
  <c r="W202" i="30"/>
  <c r="Q202" i="30"/>
  <c r="V202" i="30"/>
  <c r="S202" i="30"/>
  <c r="AH202" i="30"/>
  <c r="X202" i="30"/>
  <c r="AC202" i="30"/>
  <c r="L202" i="30"/>
  <c r="Z202" i="30"/>
  <c r="AA202" i="30"/>
  <c r="O202" i="30"/>
  <c r="AF202" i="30"/>
  <c r="AJ202" i="30"/>
  <c r="AK202" i="30"/>
  <c r="R202" i="30"/>
  <c r="AM202" i="30"/>
  <c r="T202" i="30"/>
  <c r="U202" i="30"/>
  <c r="AI202" i="30"/>
  <c r="AN202" i="30"/>
  <c r="AO202" i="30"/>
  <c r="AI268" i="30"/>
  <c r="X268" i="30"/>
  <c r="AB268" i="30"/>
  <c r="V268" i="30"/>
  <c r="AM268" i="30"/>
  <c r="N268" i="30"/>
  <c r="AF268" i="30"/>
  <c r="AJ268" i="30"/>
  <c r="Y268" i="30"/>
  <c r="AC268" i="30"/>
  <c r="P268" i="30"/>
  <c r="AN268" i="30"/>
  <c r="AA268" i="30"/>
  <c r="Q268" i="30"/>
  <c r="AG268" i="30"/>
  <c r="AK268" i="30"/>
  <c r="Z268" i="30"/>
  <c r="AD268" i="30"/>
  <c r="R268" i="30"/>
  <c r="W268" i="30"/>
  <c r="U268" i="30"/>
  <c r="O268" i="30"/>
  <c r="AH268" i="30"/>
  <c r="AL268" i="30"/>
  <c r="AE268" i="30"/>
  <c r="S268" i="30"/>
  <c r="T268" i="30"/>
  <c r="M268" i="30"/>
  <c r="AO268" i="30"/>
  <c r="L268" i="30"/>
  <c r="AJ278" i="30"/>
  <c r="O278" i="30"/>
  <c r="M278" i="30"/>
  <c r="N278" i="30"/>
  <c r="X278" i="30"/>
  <c r="S278" i="30"/>
  <c r="T278" i="30"/>
  <c r="U278" i="30"/>
  <c r="V278" i="30"/>
  <c r="AM278" i="30"/>
  <c r="AF278" i="30"/>
  <c r="AG278" i="30"/>
  <c r="AH278" i="30"/>
  <c r="W278" i="30"/>
  <c r="AK278" i="30"/>
  <c r="P278" i="30"/>
  <c r="R278" i="30"/>
  <c r="L278" i="30"/>
  <c r="Z278" i="30"/>
  <c r="AB278" i="30"/>
  <c r="AC278" i="30"/>
  <c r="AD278" i="30"/>
  <c r="AI278" i="30"/>
  <c r="AN278" i="30"/>
  <c r="AO278" i="30"/>
  <c r="AA278" i="30"/>
  <c r="AL278" i="30"/>
  <c r="Q278" i="30"/>
  <c r="AE278" i="30"/>
  <c r="Y278" i="30"/>
  <c r="V235" i="30"/>
  <c r="AB235" i="30"/>
  <c r="AN235" i="30"/>
  <c r="AI235" i="30"/>
  <c r="AJ235" i="30"/>
  <c r="AK235" i="30"/>
  <c r="AL235" i="30"/>
  <c r="P235" i="30"/>
  <c r="Q235" i="30"/>
  <c r="R235" i="30"/>
  <c r="AA235" i="30"/>
  <c r="L235" i="30"/>
  <c r="Y235" i="30"/>
  <c r="T235" i="30"/>
  <c r="O235" i="30"/>
  <c r="AG235" i="30"/>
  <c r="S235" i="30"/>
  <c r="AD235" i="30"/>
  <c r="W235" i="30"/>
  <c r="M235" i="30"/>
  <c r="N235" i="30"/>
  <c r="AM235" i="30"/>
  <c r="X235" i="30"/>
  <c r="Z235" i="30"/>
  <c r="AE235" i="30"/>
  <c r="U235" i="30"/>
  <c r="AF235" i="30"/>
  <c r="AH235" i="30"/>
  <c r="AC235" i="30"/>
  <c r="AO235" i="30"/>
  <c r="AO270" i="30"/>
  <c r="AN270" i="30"/>
  <c r="R270" i="30"/>
  <c r="P270" i="30"/>
  <c r="AC270" i="30"/>
  <c r="S270" i="30"/>
  <c r="U270" i="30"/>
  <c r="AA270" i="30"/>
  <c r="AM270" i="30"/>
  <c r="AG270" i="30"/>
  <c r="O270" i="30"/>
  <c r="M270" i="30"/>
  <c r="AL270" i="30"/>
  <c r="AJ270" i="30"/>
  <c r="AI270" i="30"/>
  <c r="W270" i="30"/>
  <c r="Z270" i="30"/>
  <c r="AE270" i="30"/>
  <c r="Q270" i="30"/>
  <c r="AD270" i="30"/>
  <c r="AB270" i="30"/>
  <c r="V270" i="30"/>
  <c r="T270" i="30"/>
  <c r="Y270" i="30"/>
  <c r="X270" i="30"/>
  <c r="AH270" i="30"/>
  <c r="AF270" i="30"/>
  <c r="N270" i="30"/>
  <c r="L270" i="30"/>
  <c r="AK270" i="30"/>
  <c r="AK272" i="30"/>
  <c r="V272" i="30"/>
  <c r="AI272" i="30"/>
  <c r="AM272" i="30"/>
  <c r="AG272" i="30"/>
  <c r="L272" i="30"/>
  <c r="R272" i="30"/>
  <c r="AH272" i="30"/>
  <c r="Y272" i="30"/>
  <c r="AB272" i="30"/>
  <c r="Q272" i="30"/>
  <c r="AN272" i="30"/>
  <c r="AA272" i="30"/>
  <c r="M272" i="30"/>
  <c r="AO272" i="30"/>
  <c r="AJ272" i="30"/>
  <c r="AC272" i="30"/>
  <c r="S272" i="30"/>
  <c r="Z272" i="30"/>
  <c r="W272" i="30"/>
  <c r="N272" i="30"/>
  <c r="X272" i="30"/>
  <c r="AF272" i="30"/>
  <c r="T272" i="30"/>
  <c r="AL272" i="30"/>
  <c r="U272" i="30"/>
  <c r="AD272" i="30"/>
  <c r="AE272" i="30"/>
  <c r="P272" i="30"/>
  <c r="O272" i="30"/>
  <c r="AJ163" i="30"/>
  <c r="Z163" i="30"/>
  <c r="AN163" i="30"/>
  <c r="AA163" i="30"/>
  <c r="AC163" i="30"/>
  <c r="Q163" i="30"/>
  <c r="AG163" i="30"/>
  <c r="AE163" i="30"/>
  <c r="P163" i="30"/>
  <c r="S163" i="30"/>
  <c r="U163" i="30"/>
  <c r="W163" i="30"/>
  <c r="Y163" i="30"/>
  <c r="L163" i="30"/>
  <c r="N163" i="30"/>
  <c r="O163" i="30"/>
  <c r="AL163" i="30"/>
  <c r="AD163" i="30"/>
  <c r="AI163" i="30"/>
  <c r="AK163" i="30"/>
  <c r="AM163" i="30"/>
  <c r="AO163" i="30"/>
  <c r="AB163" i="30"/>
  <c r="V163" i="30"/>
  <c r="AF163" i="30"/>
  <c r="T163" i="30"/>
  <c r="R163" i="30"/>
  <c r="X163" i="30"/>
  <c r="AH163" i="30"/>
  <c r="M163" i="30"/>
  <c r="AL269" i="30"/>
  <c r="N269" i="30"/>
  <c r="AA269" i="30"/>
  <c r="AG269" i="30"/>
  <c r="P269" i="30"/>
  <c r="AJ269" i="30"/>
  <c r="Q269" i="30"/>
  <c r="Z269" i="30"/>
  <c r="V269" i="30"/>
  <c r="R269" i="30"/>
  <c r="O269" i="30"/>
  <c r="L269" i="30"/>
  <c r="T269" i="30"/>
  <c r="AO269" i="30"/>
  <c r="AN269" i="30"/>
  <c r="AH269" i="30"/>
  <c r="AF269" i="30"/>
  <c r="S269" i="30"/>
  <c r="AD269" i="30"/>
  <c r="X269" i="30"/>
  <c r="U269" i="30"/>
  <c r="M269" i="30"/>
  <c r="AK269" i="30"/>
  <c r="AI269" i="30"/>
  <c r="W269" i="30"/>
  <c r="Y269" i="30"/>
  <c r="AB269" i="30"/>
  <c r="AC269" i="30"/>
  <c r="AM269" i="30"/>
  <c r="AE269" i="30"/>
  <c r="N267" i="30"/>
  <c r="AD267" i="30"/>
  <c r="S267" i="30"/>
  <c r="AI267" i="30"/>
  <c r="T267" i="30"/>
  <c r="AJ267" i="30"/>
  <c r="Y267" i="30"/>
  <c r="Q267" i="30"/>
  <c r="F267" i="30"/>
  <c r="R267" i="30"/>
  <c r="AH267" i="30"/>
  <c r="W267" i="30"/>
  <c r="AM267" i="30"/>
  <c r="X267" i="30"/>
  <c r="AN267" i="30"/>
  <c r="AO267" i="30"/>
  <c r="AG267" i="30"/>
  <c r="V267" i="30"/>
  <c r="AL267" i="30"/>
  <c r="AA267" i="30"/>
  <c r="L267" i="30"/>
  <c r="AB267" i="30"/>
  <c r="U267" i="30"/>
  <c r="M267" i="30"/>
  <c r="Z267" i="30"/>
  <c r="O267" i="30"/>
  <c r="AE267" i="30"/>
  <c r="P267" i="30"/>
  <c r="AF267" i="30"/>
  <c r="AK267" i="30"/>
  <c r="AC267" i="30"/>
  <c r="X266" i="30"/>
  <c r="AN266" i="30"/>
  <c r="Y266" i="30"/>
  <c r="AO266" i="30"/>
  <c r="Z266" i="30"/>
  <c r="S266" i="30"/>
  <c r="AA266" i="30"/>
  <c r="L266" i="30"/>
  <c r="AB266" i="30"/>
  <c r="M266" i="30"/>
  <c r="AC266" i="30"/>
  <c r="N266" i="30"/>
  <c r="AD266" i="30"/>
  <c r="AI266" i="30"/>
  <c r="O266" i="30"/>
  <c r="P266" i="30"/>
  <c r="AF266" i="30"/>
  <c r="Q266" i="30"/>
  <c r="AG266" i="30"/>
  <c r="R266" i="30"/>
  <c r="AH266" i="30"/>
  <c r="W266" i="30"/>
  <c r="AE266" i="30"/>
  <c r="T266" i="30"/>
  <c r="AJ266" i="30"/>
  <c r="U266" i="30"/>
  <c r="AK266" i="30"/>
  <c r="V266" i="30"/>
  <c r="AL266" i="30"/>
  <c r="AM266" i="30"/>
  <c r="AA201" i="30"/>
  <c r="AH201" i="30"/>
  <c r="AM201" i="30"/>
  <c r="V201" i="30"/>
  <c r="AD201" i="30"/>
  <c r="AL201" i="30"/>
  <c r="AB201" i="30"/>
  <c r="AI201" i="30"/>
  <c r="AE201" i="30"/>
  <c r="AG201" i="30"/>
  <c r="P201" i="30"/>
  <c r="W201" i="30"/>
  <c r="S201" i="30"/>
  <c r="R201" i="30"/>
  <c r="AO201" i="30"/>
  <c r="AJ201" i="30"/>
  <c r="AN201" i="30"/>
  <c r="AF201" i="30"/>
  <c r="Z201" i="30"/>
  <c r="Q201" i="30"/>
  <c r="M201" i="30"/>
  <c r="N201" i="30"/>
  <c r="O201" i="30"/>
  <c r="Y201" i="30"/>
  <c r="L201" i="30"/>
  <c r="U201" i="30"/>
  <c r="X201" i="30"/>
  <c r="T201" i="30"/>
  <c r="AC201" i="30"/>
  <c r="AK201" i="30"/>
  <c r="AC271" i="30"/>
  <c r="R271" i="30"/>
  <c r="W271" i="30"/>
  <c r="X271" i="30"/>
  <c r="AG271" i="30"/>
  <c r="V271" i="30"/>
  <c r="AA271" i="30"/>
  <c r="AB271" i="30"/>
  <c r="U271" i="30"/>
  <c r="Z271" i="30"/>
  <c r="AE271" i="30"/>
  <c r="AF271" i="30"/>
  <c r="AK271" i="30"/>
  <c r="AD271" i="30"/>
  <c r="AI271" i="30"/>
  <c r="AJ271" i="30"/>
  <c r="Y271" i="30"/>
  <c r="O271" i="30"/>
  <c r="N271" i="30"/>
  <c r="T271" i="30"/>
  <c r="AH271" i="30"/>
  <c r="AM271" i="30"/>
  <c r="AN271" i="30"/>
  <c r="AO271" i="30"/>
  <c r="AL271" i="30"/>
  <c r="L271" i="30"/>
  <c r="M271" i="30"/>
  <c r="P271" i="30"/>
  <c r="S271" i="30"/>
  <c r="Q271" i="30"/>
  <c r="AB275" i="30"/>
  <c r="W275" i="30"/>
  <c r="X275" i="30"/>
  <c r="S275" i="30"/>
  <c r="Y275" i="30"/>
  <c r="AH275" i="30"/>
  <c r="R275" i="30"/>
  <c r="AM275" i="30"/>
  <c r="Q275" i="30"/>
  <c r="AK275" i="30"/>
  <c r="P275" i="30"/>
  <c r="AA275" i="30"/>
  <c r="AO275" i="30"/>
  <c r="AL275" i="30"/>
  <c r="V275" i="30"/>
  <c r="L275" i="30"/>
  <c r="Z275" i="30"/>
  <c r="AN275" i="30"/>
  <c r="AG275" i="30"/>
  <c r="AJ275" i="30"/>
  <c r="M275" i="30"/>
  <c r="O275" i="30"/>
  <c r="AF275" i="30"/>
  <c r="AE275" i="30"/>
  <c r="T275" i="30"/>
  <c r="AC275" i="30"/>
  <c r="U275" i="30"/>
  <c r="AD275" i="30"/>
  <c r="N275" i="30"/>
  <c r="AI275" i="30"/>
  <c r="P236" i="30"/>
  <c r="Q236" i="30"/>
  <c r="N236" i="30"/>
  <c r="S236" i="30"/>
  <c r="X236" i="30"/>
  <c r="AC236" i="30"/>
  <c r="Z236" i="30"/>
  <c r="AE236" i="30"/>
  <c r="AJ236" i="30"/>
  <c r="U236" i="30"/>
  <c r="V236" i="30"/>
  <c r="AA236" i="30"/>
  <c r="AF236" i="30"/>
  <c r="AG236" i="30"/>
  <c r="AH236" i="30"/>
  <c r="AM236" i="30"/>
  <c r="Y236" i="30"/>
  <c r="AD236" i="30"/>
  <c r="AN236" i="30"/>
  <c r="O236" i="30"/>
  <c r="T236" i="30"/>
  <c r="L236" i="30"/>
  <c r="AO236" i="30"/>
  <c r="W236" i="30"/>
  <c r="F236" i="30"/>
  <c r="AI236" i="30"/>
  <c r="AK236" i="30"/>
  <c r="M236" i="30"/>
  <c r="AL236" i="30"/>
  <c r="R236" i="30"/>
  <c r="AB236" i="30"/>
  <c r="AB237" i="30"/>
  <c r="O237" i="30"/>
  <c r="T237" i="30"/>
  <c r="AE237" i="30"/>
  <c r="AC237" i="30"/>
  <c r="R237" i="30"/>
  <c r="AA237" i="30"/>
  <c r="N237" i="30"/>
  <c r="V237" i="30"/>
  <c r="Y237" i="30"/>
  <c r="AK237" i="30"/>
  <c r="S237" i="30"/>
  <c r="AD237" i="30"/>
  <c r="AI237" i="30"/>
  <c r="AF237" i="30"/>
  <c r="P237" i="30"/>
  <c r="AO237" i="30"/>
  <c r="AN237" i="30"/>
  <c r="U237" i="30"/>
  <c r="Q237" i="30"/>
  <c r="AH237" i="30"/>
  <c r="AG237" i="30"/>
  <c r="AM237" i="30"/>
  <c r="W237" i="30"/>
  <c r="Z237" i="30"/>
  <c r="AL237" i="30"/>
  <c r="M237" i="30"/>
  <c r="X237" i="30"/>
  <c r="AJ237" i="30"/>
  <c r="L237" i="30"/>
  <c r="AG164" i="30"/>
  <c r="W164" i="30"/>
  <c r="M164" i="30"/>
  <c r="Y164" i="30"/>
  <c r="P164" i="30"/>
  <c r="AK164" i="30"/>
  <c r="L164" i="30"/>
  <c r="AD164" i="30"/>
  <c r="Q164" i="30"/>
  <c r="R164" i="30"/>
  <c r="AO164" i="30"/>
  <c r="Z164" i="30"/>
  <c r="AA164" i="30"/>
  <c r="U164" i="30"/>
  <c r="T164" i="30"/>
  <c r="N164" i="30"/>
  <c r="AB164" i="30"/>
  <c r="AH164" i="30"/>
  <c r="AJ164" i="30"/>
  <c r="O164" i="30"/>
  <c r="AE164" i="30"/>
  <c r="AL164" i="30"/>
  <c r="AI164" i="30"/>
  <c r="AC164" i="30"/>
  <c r="AM164" i="30"/>
  <c r="AF164" i="30"/>
  <c r="AN164" i="30"/>
  <c r="X164" i="30"/>
  <c r="V164" i="30"/>
  <c r="S164" i="30"/>
  <c r="AL165" i="30"/>
  <c r="U165" i="30"/>
  <c r="AJ165" i="30"/>
  <c r="L165" i="30"/>
  <c r="O165" i="30"/>
  <c r="AG165" i="30"/>
  <c r="AK165" i="30"/>
  <c r="S165" i="30"/>
  <c r="V165" i="30"/>
  <c r="AI165" i="30"/>
  <c r="AC165" i="30"/>
  <c r="R165" i="30"/>
  <c r="W165" i="30"/>
  <c r="AD165" i="30"/>
  <c r="M165" i="30"/>
  <c r="AB165" i="30"/>
  <c r="AO165" i="30"/>
  <c r="AN165" i="30"/>
  <c r="AF165" i="30"/>
  <c r="AA165" i="30"/>
  <c r="Y165" i="30"/>
  <c r="P165" i="30"/>
  <c r="Q165" i="30"/>
  <c r="AH165" i="30"/>
  <c r="Z165" i="30"/>
  <c r="N165" i="30"/>
  <c r="AE165" i="30"/>
  <c r="AM165" i="30"/>
  <c r="T165" i="30"/>
  <c r="X165" i="30"/>
  <c r="AG43" i="30"/>
  <c r="X43" i="30"/>
  <c r="AE43" i="30"/>
  <c r="AB43" i="30"/>
  <c r="M43" i="30"/>
  <c r="W43" i="30"/>
  <c r="AM43" i="30"/>
  <c r="S43" i="30"/>
  <c r="T43" i="30"/>
  <c r="L43" i="30"/>
  <c r="P43" i="30"/>
  <c r="V43" i="30"/>
  <c r="AK43" i="30"/>
  <c r="R43" i="30"/>
  <c r="U43" i="30"/>
  <c r="Z43" i="30"/>
  <c r="AL43" i="30"/>
  <c r="Q43" i="30"/>
  <c r="Y43" i="30"/>
  <c r="AJ43" i="30"/>
  <c r="AD43" i="30"/>
  <c r="O43" i="30"/>
  <c r="AF43" i="30"/>
  <c r="AO43" i="30"/>
  <c r="N43" i="30"/>
  <c r="AA43" i="30"/>
  <c r="AC43" i="30"/>
  <c r="AN43" i="30"/>
  <c r="AI43" i="30"/>
  <c r="AE248" i="30"/>
  <c r="AQ251" i="30"/>
  <c r="AD131" i="30"/>
  <c r="AJ119" i="30"/>
  <c r="AE137" i="30"/>
  <c r="AL117" i="30"/>
  <c r="AE77" i="30"/>
  <c r="Q101" i="30"/>
  <c r="U78" i="30"/>
  <c r="Z107" i="30"/>
  <c r="AI207" i="30"/>
  <c r="P49" i="30"/>
  <c r="AH56" i="30"/>
  <c r="AQ149" i="30"/>
  <c r="AO94" i="30"/>
  <c r="U87" i="30"/>
  <c r="AH211" i="30"/>
  <c r="X124" i="30"/>
  <c r="S126" i="30"/>
  <c r="AJ111" i="30"/>
  <c r="R111" i="30"/>
  <c r="AN78" i="30"/>
  <c r="AL78" i="30"/>
  <c r="AJ78" i="30"/>
  <c r="V78" i="30"/>
  <c r="AM78" i="30"/>
  <c r="AQ115" i="30"/>
  <c r="AC78" i="30"/>
  <c r="L78" i="30"/>
  <c r="L111" i="30"/>
  <c r="AN111" i="30"/>
  <c r="W78" i="30"/>
  <c r="T78" i="30"/>
  <c r="AI78" i="30"/>
  <c r="R78" i="30"/>
  <c r="AA78" i="30"/>
  <c r="Q78" i="30"/>
  <c r="AK78" i="30"/>
  <c r="AF78" i="30"/>
  <c r="S78" i="30"/>
  <c r="Y78" i="30"/>
  <c r="AG78" i="30"/>
  <c r="N78" i="30"/>
  <c r="AE78" i="30"/>
  <c r="O78" i="30"/>
  <c r="AB78" i="30"/>
  <c r="M78" i="30"/>
  <c r="X78" i="30"/>
  <c r="AD78" i="30"/>
  <c r="AO78" i="30"/>
  <c r="AH78" i="30"/>
  <c r="Z78" i="30"/>
  <c r="P78" i="30"/>
  <c r="AB111" i="30"/>
  <c r="N111" i="30"/>
  <c r="AF111" i="30"/>
  <c r="AA111" i="30"/>
  <c r="U111" i="30"/>
  <c r="AG111" i="30"/>
  <c r="AK111" i="30"/>
  <c r="AM111" i="30"/>
  <c r="AI111" i="30"/>
  <c r="AE111" i="30"/>
  <c r="W111" i="30"/>
  <c r="Y111" i="30"/>
  <c r="T111" i="30"/>
  <c r="P111" i="30"/>
  <c r="Q111" i="30"/>
  <c r="AC111" i="30"/>
  <c r="AD111" i="30"/>
  <c r="Z111" i="30"/>
  <c r="AL111" i="30"/>
  <c r="AH111" i="30"/>
  <c r="S111" i="30"/>
  <c r="O111" i="30"/>
  <c r="V111" i="30"/>
  <c r="M111" i="30"/>
  <c r="AO111" i="30"/>
  <c r="X111" i="30"/>
  <c r="Z244" i="30"/>
  <c r="AO244" i="30"/>
  <c r="AI244" i="30"/>
  <c r="AB244" i="30"/>
  <c r="M244" i="30"/>
  <c r="U244" i="30"/>
  <c r="AJ244" i="30"/>
  <c r="AH244" i="30"/>
  <c r="Q244" i="30"/>
  <c r="AC244" i="30"/>
  <c r="AM244" i="30"/>
  <c r="L244" i="30"/>
  <c r="Y244" i="30"/>
  <c r="N244" i="30"/>
  <c r="S244" i="30"/>
  <c r="AE244" i="30"/>
  <c r="AL244" i="30"/>
  <c r="AF244" i="30"/>
  <c r="AA244" i="30"/>
  <c r="X244" i="30"/>
  <c r="V244" i="30"/>
  <c r="AR251" i="30"/>
  <c r="O119" i="30"/>
  <c r="AN107" i="30"/>
  <c r="P244" i="30"/>
  <c r="O244" i="30"/>
  <c r="W244" i="30"/>
  <c r="AG244" i="30"/>
  <c r="AK244" i="30"/>
  <c r="R244" i="30"/>
  <c r="AN244" i="30"/>
  <c r="T244" i="30"/>
  <c r="AD244" i="30"/>
  <c r="W107" i="30"/>
  <c r="AC107" i="30"/>
  <c r="AJ137" i="30"/>
  <c r="U107" i="30"/>
  <c r="AF131" i="30"/>
  <c r="AI211" i="30"/>
  <c r="L211" i="30"/>
  <c r="AL77" i="30"/>
  <c r="O101" i="30"/>
  <c r="AD94" i="30"/>
  <c r="Z126" i="30"/>
  <c r="U178" i="30"/>
  <c r="M178" i="30"/>
  <c r="Y178" i="30"/>
  <c r="X178" i="30"/>
  <c r="X107" i="30"/>
  <c r="R107" i="30"/>
  <c r="Y131" i="30"/>
  <c r="AF119" i="30"/>
  <c r="Z131" i="30"/>
  <c r="T119" i="30"/>
  <c r="Q137" i="30"/>
  <c r="L107" i="30"/>
  <c r="AA107" i="30"/>
  <c r="L131" i="30"/>
  <c r="X119" i="30"/>
  <c r="AN49" i="30"/>
  <c r="V49" i="30"/>
  <c r="AF137" i="30"/>
  <c r="AK137" i="30"/>
  <c r="AO107" i="30"/>
  <c r="P107" i="30"/>
  <c r="AM107" i="30"/>
  <c r="AB107" i="30"/>
  <c r="O107" i="30"/>
  <c r="Y107" i="30"/>
  <c r="AH107" i="30"/>
  <c r="AL107" i="30"/>
  <c r="AC131" i="30"/>
  <c r="AG131" i="30"/>
  <c r="AA131" i="30"/>
  <c r="X131" i="30"/>
  <c r="V131" i="30"/>
  <c r="AG119" i="30"/>
  <c r="AO119" i="30"/>
  <c r="U119" i="30"/>
  <c r="N119" i="30"/>
  <c r="AB137" i="30"/>
  <c r="Q107" i="30"/>
  <c r="V107" i="30"/>
  <c r="AG107" i="30"/>
  <c r="AD107" i="30"/>
  <c r="AK107" i="30"/>
  <c r="AI107" i="30"/>
  <c r="AF107" i="30"/>
  <c r="AK131" i="30"/>
  <c r="AJ131" i="30"/>
  <c r="W131" i="30"/>
  <c r="AL131" i="30"/>
  <c r="AL119" i="30"/>
  <c r="AB119" i="30"/>
  <c r="W119" i="30"/>
  <c r="AM119" i="30"/>
  <c r="AH119" i="30"/>
  <c r="AL137" i="30"/>
  <c r="AJ107" i="30"/>
  <c r="S107" i="30"/>
  <c r="AE107" i="30"/>
  <c r="T107" i="30"/>
  <c r="N107" i="30"/>
  <c r="M107" i="30"/>
  <c r="AM131" i="30"/>
  <c r="U131" i="30"/>
  <c r="S131" i="30"/>
  <c r="T131" i="30"/>
  <c r="L119" i="30"/>
  <c r="Y119" i="30"/>
  <c r="M119" i="30"/>
  <c r="R119" i="30"/>
  <c r="V119" i="30"/>
  <c r="Y94" i="30"/>
  <c r="O126" i="30"/>
  <c r="L126" i="30"/>
  <c r="X126" i="30"/>
  <c r="P126" i="30"/>
  <c r="R101" i="30"/>
  <c r="AH124" i="30"/>
  <c r="Q126" i="30"/>
  <c r="AJ126" i="30"/>
  <c r="Y101" i="30"/>
  <c r="Z101" i="30"/>
  <c r="R124" i="30"/>
  <c r="AM124" i="30"/>
  <c r="O94" i="30"/>
  <c r="AM126" i="30"/>
  <c r="R126" i="30"/>
  <c r="AA101" i="30"/>
  <c r="AO101" i="30"/>
  <c r="AC124" i="30"/>
  <c r="AO124" i="30"/>
  <c r="AE94" i="30"/>
  <c r="S94" i="30"/>
  <c r="AN126" i="30"/>
  <c r="N126" i="30"/>
  <c r="M126" i="30"/>
  <c r="AG126" i="30"/>
  <c r="AH126" i="30"/>
  <c r="AA126" i="30"/>
  <c r="T126" i="30"/>
  <c r="AC126" i="30"/>
  <c r="AJ94" i="30"/>
  <c r="AI126" i="30"/>
  <c r="AL126" i="30"/>
  <c r="W126" i="30"/>
  <c r="V126" i="30"/>
  <c r="AB126" i="30"/>
  <c r="AM101" i="30"/>
  <c r="P124" i="30"/>
  <c r="AK94" i="30"/>
  <c r="AG94" i="30"/>
  <c r="AO126" i="30"/>
  <c r="AF126" i="30"/>
  <c r="AE126" i="30"/>
  <c r="Y126" i="30"/>
  <c r="U126" i="30"/>
  <c r="AK126" i="30"/>
  <c r="AD126" i="30"/>
  <c r="AE211" i="30"/>
  <c r="O211" i="30"/>
  <c r="L77" i="30"/>
  <c r="AN77" i="30"/>
  <c r="AO77" i="30"/>
  <c r="S77" i="30"/>
  <c r="AL211" i="30"/>
  <c r="S211" i="30"/>
  <c r="AA211" i="30"/>
  <c r="AG211" i="30"/>
  <c r="R77" i="30"/>
  <c r="AH77" i="30"/>
  <c r="AL178" i="30"/>
  <c r="R178" i="30"/>
  <c r="AH178" i="30"/>
  <c r="AG178" i="30"/>
  <c r="M49" i="30"/>
  <c r="AB49" i="30"/>
  <c r="P178" i="30"/>
  <c r="AB178" i="30"/>
  <c r="AC178" i="30"/>
  <c r="W178" i="30"/>
  <c r="Q49" i="30"/>
  <c r="AK178" i="30"/>
  <c r="Q178" i="30"/>
  <c r="N178" i="30"/>
  <c r="L178" i="30"/>
  <c r="AK49" i="30"/>
  <c r="AF49" i="30"/>
  <c r="AO117" i="30"/>
  <c r="AD117" i="30"/>
  <c r="T117" i="30"/>
  <c r="AF87" i="30"/>
  <c r="AG279" i="30"/>
  <c r="X87" i="30"/>
  <c r="AO279" i="30"/>
  <c r="Z117" i="30"/>
  <c r="P117" i="30"/>
  <c r="AB87" i="30"/>
  <c r="Y279" i="30"/>
  <c r="S279" i="30"/>
  <c r="W56" i="30"/>
  <c r="AH117" i="30"/>
  <c r="AH87" i="30"/>
  <c r="S87" i="30"/>
  <c r="P279" i="30"/>
  <c r="AE49" i="30"/>
  <c r="W49" i="30"/>
  <c r="U49" i="30"/>
  <c r="R49" i="30"/>
  <c r="AD56" i="30"/>
  <c r="N49" i="30"/>
  <c r="U56" i="30"/>
  <c r="Z49" i="30"/>
  <c r="X49" i="30"/>
  <c r="AI49" i="30"/>
  <c r="AA49" i="30"/>
  <c r="Q56" i="30"/>
  <c r="AA178" i="30"/>
  <c r="T178" i="30"/>
  <c r="AD178" i="30"/>
  <c r="AJ178" i="30"/>
  <c r="S178" i="30"/>
  <c r="AI178" i="30"/>
  <c r="AF178" i="30"/>
  <c r="AO49" i="30"/>
  <c r="S49" i="30"/>
  <c r="AC49" i="30"/>
  <c r="AG49" i="30"/>
  <c r="T49" i="30"/>
  <c r="AM49" i="30"/>
  <c r="O49" i="30"/>
  <c r="AO56" i="30"/>
  <c r="R56" i="30"/>
  <c r="O56" i="30"/>
  <c r="V56" i="30"/>
  <c r="AM56" i="30"/>
  <c r="AE56" i="30"/>
  <c r="AK56" i="30"/>
  <c r="AJ56" i="30"/>
  <c r="O178" i="30"/>
  <c r="AO178" i="30"/>
  <c r="AM178" i="30"/>
  <c r="AN178" i="30"/>
  <c r="Z178" i="30"/>
  <c r="AE178" i="30"/>
  <c r="V178" i="30"/>
  <c r="AD49" i="30"/>
  <c r="L49" i="30"/>
  <c r="AL49" i="30"/>
  <c r="AH49" i="30"/>
  <c r="AJ49" i="30"/>
  <c r="Y49" i="30"/>
  <c r="S56" i="30"/>
  <c r="T56" i="30"/>
  <c r="AB56" i="30"/>
  <c r="P56" i="30"/>
  <c r="M124" i="30"/>
  <c r="L124" i="30"/>
  <c r="AE131" i="30"/>
  <c r="N131" i="30"/>
  <c r="AN131" i="30"/>
  <c r="M131" i="30"/>
  <c r="O131" i="30"/>
  <c r="P131" i="30"/>
  <c r="L56" i="30"/>
  <c r="AI56" i="30"/>
  <c r="Z56" i="30"/>
  <c r="N56" i="30"/>
  <c r="AN56" i="30"/>
  <c r="Y56" i="30"/>
  <c r="AA117" i="30"/>
  <c r="W117" i="30"/>
  <c r="P119" i="30"/>
  <c r="Z119" i="30"/>
  <c r="AI119" i="30"/>
  <c r="AC119" i="30"/>
  <c r="AD119" i="30"/>
  <c r="AL87" i="30"/>
  <c r="AJ87" i="30"/>
  <c r="AM279" i="30"/>
  <c r="L279" i="30"/>
  <c r="AI131" i="30"/>
  <c r="AB131" i="30"/>
  <c r="AO131" i="30"/>
  <c r="R131" i="30"/>
  <c r="AH131" i="30"/>
  <c r="Q131" i="30"/>
  <c r="AC56" i="30"/>
  <c r="AL56" i="30"/>
  <c r="AA56" i="30"/>
  <c r="M56" i="30"/>
  <c r="AG56" i="30"/>
  <c r="X56" i="30"/>
  <c r="AF56" i="30"/>
  <c r="Q119" i="30"/>
  <c r="AA119" i="30"/>
  <c r="AE119" i="30"/>
  <c r="AK119" i="30"/>
  <c r="AN119" i="30"/>
  <c r="S119" i="30"/>
  <c r="AM211" i="30"/>
  <c r="X137" i="30"/>
  <c r="AG137" i="30"/>
  <c r="AA137" i="30"/>
  <c r="AN137" i="30"/>
  <c r="AI137" i="30"/>
  <c r="AD137" i="30"/>
  <c r="Y137" i="30"/>
  <c r="V137" i="30"/>
  <c r="AC101" i="30"/>
  <c r="AF101" i="30"/>
  <c r="U101" i="30"/>
  <c r="AH101" i="30"/>
  <c r="AK101" i="30"/>
  <c r="AL101" i="30"/>
  <c r="M101" i="30"/>
  <c r="T101" i="30"/>
  <c r="AL94" i="30"/>
  <c r="AB94" i="30"/>
  <c r="M94" i="30"/>
  <c r="Z94" i="30"/>
  <c r="AF94" i="30"/>
  <c r="U94" i="30"/>
  <c r="T94" i="30"/>
  <c r="L94" i="30"/>
  <c r="Z211" i="30"/>
  <c r="AC211" i="30"/>
  <c r="Y211" i="30"/>
  <c r="AJ211" i="30"/>
  <c r="N211" i="30"/>
  <c r="AO211" i="30"/>
  <c r="U211" i="30"/>
  <c r="AF211" i="30"/>
  <c r="Z137" i="30"/>
  <c r="U137" i="30"/>
  <c r="O137" i="30"/>
  <c r="S137" i="30"/>
  <c r="W137" i="30"/>
  <c r="R137" i="30"/>
  <c r="M137" i="30"/>
  <c r="AC137" i="30"/>
  <c r="AD101" i="30"/>
  <c r="N101" i="30"/>
  <c r="V101" i="30"/>
  <c r="AB101" i="30"/>
  <c r="W101" i="30"/>
  <c r="AN101" i="30"/>
  <c r="AG101" i="30"/>
  <c r="L101" i="30"/>
  <c r="X94" i="30"/>
  <c r="AN94" i="30"/>
  <c r="N94" i="30"/>
  <c r="Q94" i="30"/>
  <c r="R94" i="30"/>
  <c r="P94" i="30"/>
  <c r="AM94" i="30"/>
  <c r="AD211" i="30"/>
  <c r="AK211" i="30"/>
  <c r="W211" i="30"/>
  <c r="V211" i="30"/>
  <c r="R211" i="30"/>
  <c r="Q211" i="30"/>
  <c r="AB211" i="30"/>
  <c r="X211" i="30"/>
  <c r="P211" i="30"/>
  <c r="M211" i="30"/>
  <c r="AN211" i="30"/>
  <c r="T211" i="30"/>
  <c r="N137" i="30"/>
  <c r="AM137" i="30"/>
  <c r="AH137" i="30"/>
  <c r="AO137" i="30"/>
  <c r="T137" i="30"/>
  <c r="P137" i="30"/>
  <c r="L137" i="30"/>
  <c r="P101" i="30"/>
  <c r="S101" i="30"/>
  <c r="AI101" i="30"/>
  <c r="AE101" i="30"/>
  <c r="AJ101" i="30"/>
  <c r="X101" i="30"/>
  <c r="AC94" i="30"/>
  <c r="V94" i="30"/>
  <c r="AA94" i="30"/>
  <c r="AH94" i="30"/>
  <c r="AI94" i="30"/>
  <c r="W94" i="30"/>
  <c r="Q77" i="30"/>
  <c r="AA77" i="30"/>
  <c r="AC77" i="30"/>
  <c r="X77" i="30"/>
  <c r="Y77" i="30"/>
  <c r="M77" i="30"/>
  <c r="AK77" i="30"/>
  <c r="AJ77" i="30"/>
  <c r="AE124" i="30"/>
  <c r="T124" i="30"/>
  <c r="AL124" i="30"/>
  <c r="Y124" i="30"/>
  <c r="W124" i="30"/>
  <c r="V124" i="30"/>
  <c r="AB124" i="30"/>
  <c r="X117" i="30"/>
  <c r="S117" i="30"/>
  <c r="O117" i="30"/>
  <c r="V117" i="30"/>
  <c r="Y117" i="30"/>
  <c r="AK117" i="30"/>
  <c r="M117" i="30"/>
  <c r="AG117" i="30"/>
  <c r="O87" i="30"/>
  <c r="AM87" i="30"/>
  <c r="L87" i="30"/>
  <c r="AG87" i="30"/>
  <c r="AC87" i="30"/>
  <c r="Q87" i="30"/>
  <c r="Z87" i="30"/>
  <c r="AD87" i="30"/>
  <c r="R279" i="30"/>
  <c r="X279" i="30"/>
  <c r="Z279" i="30"/>
  <c r="AF279" i="30"/>
  <c r="AB279" i="30"/>
  <c r="AL279" i="30"/>
  <c r="AJ279" i="30"/>
  <c r="AD279" i="30"/>
  <c r="AF77" i="30"/>
  <c r="N77" i="30"/>
  <c r="W77" i="30"/>
  <c r="V77" i="30"/>
  <c r="O77" i="30"/>
  <c r="T77" i="30"/>
  <c r="AI77" i="30"/>
  <c r="U77" i="30"/>
  <c r="N124" i="30"/>
  <c r="AD124" i="30"/>
  <c r="AK124" i="30"/>
  <c r="AF124" i="30"/>
  <c r="AJ124" i="30"/>
  <c r="AN124" i="30"/>
  <c r="O124" i="30"/>
  <c r="AN117" i="30"/>
  <c r="N117" i="30"/>
  <c r="U117" i="30"/>
  <c r="AM117" i="30"/>
  <c r="AJ117" i="30"/>
  <c r="AF117" i="30"/>
  <c r="L117" i="30"/>
  <c r="P87" i="30"/>
  <c r="AN87" i="30"/>
  <c r="Y87" i="30"/>
  <c r="R87" i="30"/>
  <c r="V87" i="30"/>
  <c r="N87" i="30"/>
  <c r="T87" i="30"/>
  <c r="AI87" i="30"/>
  <c r="AH279" i="30"/>
  <c r="AN279" i="30"/>
  <c r="O279" i="30"/>
  <c r="AC279" i="30"/>
  <c r="AA279" i="30"/>
  <c r="V279" i="30"/>
  <c r="T279" i="30"/>
  <c r="N279" i="30"/>
  <c r="AG77" i="30"/>
  <c r="Z77" i="30"/>
  <c r="AB77" i="30"/>
  <c r="AD77" i="30"/>
  <c r="AM77" i="30"/>
  <c r="P77" i="30"/>
  <c r="Q124" i="30"/>
  <c r="AA124" i="30"/>
  <c r="U124" i="30"/>
  <c r="Z124" i="30"/>
  <c r="AG124" i="30"/>
  <c r="AI124" i="30"/>
  <c r="S124" i="30"/>
  <c r="Q117" i="30"/>
  <c r="AC117" i="30"/>
  <c r="AB117" i="30"/>
  <c r="R117" i="30"/>
  <c r="AI117" i="30"/>
  <c r="AE117" i="30"/>
  <c r="AO87" i="30"/>
  <c r="AK87" i="30"/>
  <c r="AE87" i="30"/>
  <c r="W87" i="30"/>
  <c r="AA87" i="30"/>
  <c r="M87" i="30"/>
  <c r="W279" i="30"/>
  <c r="Q279" i="30"/>
  <c r="AE279" i="30"/>
  <c r="U279" i="30"/>
  <c r="M279" i="30"/>
  <c r="AK279" i="30"/>
  <c r="AI279" i="30"/>
  <c r="AK248" i="30"/>
  <c r="AG248" i="30"/>
  <c r="L248" i="30"/>
  <c r="AN248" i="30"/>
  <c r="Y248" i="30"/>
  <c r="T248" i="30"/>
  <c r="AI248" i="30"/>
  <c r="AD248" i="30"/>
  <c r="V248" i="30"/>
  <c r="AJ248" i="30"/>
  <c r="Q207" i="30"/>
  <c r="AM248" i="30"/>
  <c r="AF248" i="30"/>
  <c r="AL248" i="30"/>
  <c r="Z248" i="30"/>
  <c r="Q248" i="30"/>
  <c r="AA248" i="30"/>
  <c r="AB248" i="30"/>
  <c r="AC248" i="30"/>
  <c r="S248" i="30"/>
  <c r="X248" i="30"/>
  <c r="AE207" i="30"/>
  <c r="AA207" i="30"/>
  <c r="AF207" i="30"/>
  <c r="AB207" i="30"/>
  <c r="AK207" i="30"/>
  <c r="AD207" i="30"/>
  <c r="P207" i="30"/>
  <c r="U207" i="30"/>
  <c r="T207" i="30"/>
  <c r="Z207" i="30"/>
  <c r="W207" i="30"/>
  <c r="AC207" i="30"/>
  <c r="V207" i="30"/>
  <c r="M207" i="30"/>
  <c r="U248" i="30"/>
  <c r="R248" i="30"/>
  <c r="N248" i="30"/>
  <c r="M248" i="30"/>
  <c r="O248" i="30"/>
  <c r="W248" i="30"/>
  <c r="AO248" i="30"/>
  <c r="AH248" i="30"/>
  <c r="P248" i="30"/>
  <c r="Y207" i="30"/>
  <c r="R207" i="30"/>
  <c r="N207" i="30"/>
  <c r="X207" i="30"/>
  <c r="AN207" i="30"/>
  <c r="AM207" i="30"/>
  <c r="AH207" i="30"/>
  <c r="S207" i="30"/>
  <c r="AJ207" i="30"/>
  <c r="O207" i="30"/>
  <c r="AO207" i="30"/>
  <c r="L207" i="30"/>
  <c r="AG207" i="30"/>
  <c r="AL207" i="30"/>
  <c r="AQ183" i="30"/>
  <c r="X247" i="30"/>
  <c r="AN247" i="30"/>
  <c r="Y247" i="30"/>
  <c r="AO247" i="30"/>
  <c r="Z247" i="30"/>
  <c r="O247" i="30"/>
  <c r="W247" i="30"/>
  <c r="AF247" i="30"/>
  <c r="AG247" i="30"/>
  <c r="AH247" i="30"/>
  <c r="AA247" i="30"/>
  <c r="Q247" i="30"/>
  <c r="R247" i="30"/>
  <c r="P247" i="30"/>
  <c r="S247" i="30"/>
  <c r="AM247" i="30"/>
  <c r="AE247" i="30"/>
  <c r="AD247" i="30"/>
  <c r="N247" i="30"/>
  <c r="AC247" i="30"/>
  <c r="M247" i="30"/>
  <c r="AB247" i="30"/>
  <c r="L247" i="30"/>
  <c r="AI247" i="30"/>
  <c r="AL247" i="30"/>
  <c r="V247" i="30"/>
  <c r="AK247" i="30"/>
  <c r="U247" i="30"/>
  <c r="AJ247" i="30"/>
  <c r="T247" i="30"/>
  <c r="AR217" i="30"/>
  <c r="F243" i="30"/>
  <c r="X243" i="30"/>
  <c r="AN243" i="30"/>
  <c r="Y243" i="30"/>
  <c r="AO243" i="30"/>
  <c r="Z243" i="30"/>
  <c r="W243" i="30"/>
  <c r="AE243" i="30"/>
  <c r="L243" i="30"/>
  <c r="AB243" i="30"/>
  <c r="M243" i="30"/>
  <c r="AC243" i="30"/>
  <c r="N243" i="30"/>
  <c r="AD243" i="30"/>
  <c r="AM243" i="30"/>
  <c r="S243" i="30"/>
  <c r="P243" i="30"/>
  <c r="AF243" i="30"/>
  <c r="Q243" i="30"/>
  <c r="AG243" i="30"/>
  <c r="R243" i="30"/>
  <c r="AH243" i="30"/>
  <c r="AA243" i="30"/>
  <c r="AI243" i="30"/>
  <c r="T243" i="30"/>
  <c r="AJ243" i="30"/>
  <c r="U243" i="30"/>
  <c r="AK243" i="30"/>
  <c r="V243" i="30"/>
  <c r="AL243" i="30"/>
  <c r="O243" i="30"/>
  <c r="AQ217" i="30"/>
  <c r="AN203" i="30"/>
  <c r="AF203" i="30"/>
  <c r="M203" i="30"/>
  <c r="S203" i="30"/>
  <c r="AD203" i="30"/>
  <c r="AH203" i="30"/>
  <c r="N203" i="30"/>
  <c r="AK203" i="30"/>
  <c r="AI203" i="30"/>
  <c r="AG203" i="30"/>
  <c r="AB203" i="30"/>
  <c r="AA203" i="30"/>
  <c r="P203" i="30"/>
  <c r="O203" i="30"/>
  <c r="U203" i="30"/>
  <c r="AE203" i="30"/>
  <c r="T203" i="30"/>
  <c r="Z203" i="30"/>
  <c r="Q203" i="30"/>
  <c r="L203" i="30"/>
  <c r="AC203" i="30"/>
  <c r="AL203" i="30"/>
  <c r="AJ203" i="30"/>
  <c r="R203" i="30"/>
  <c r="X203" i="30"/>
  <c r="AM203" i="30"/>
  <c r="AO203" i="30"/>
  <c r="Y203" i="30"/>
  <c r="W203" i="30"/>
  <c r="V203" i="30"/>
  <c r="O102" i="30"/>
  <c r="W102" i="30"/>
  <c r="L102" i="30"/>
  <c r="N102" i="30"/>
  <c r="P102" i="30"/>
  <c r="R102" i="30"/>
  <c r="AI102" i="30"/>
  <c r="AN102" i="30"/>
  <c r="AJ102" i="30"/>
  <c r="AB102" i="30"/>
  <c r="AD102" i="30"/>
  <c r="AF102" i="30"/>
  <c r="AH102" i="30"/>
  <c r="AL102" i="30"/>
  <c r="T102" i="30"/>
  <c r="S102" i="30"/>
  <c r="Z102" i="30"/>
  <c r="AM102" i="30"/>
  <c r="AA102" i="30"/>
  <c r="X102" i="30"/>
  <c r="AK102" i="30"/>
  <c r="Y102" i="30"/>
  <c r="M102" i="30"/>
  <c r="AE102" i="30"/>
  <c r="Q102" i="30"/>
  <c r="U102" i="30"/>
  <c r="AO102" i="30"/>
  <c r="AC102" i="30"/>
  <c r="AG102" i="30"/>
  <c r="V102" i="30"/>
  <c r="N134" i="30"/>
  <c r="AB134" i="30"/>
  <c r="L134" i="30"/>
  <c r="AK134" i="30"/>
  <c r="AI134" i="30"/>
  <c r="AG134" i="30"/>
  <c r="P134" i="30"/>
  <c r="M134" i="30"/>
  <c r="W134" i="30"/>
  <c r="AJ134" i="30"/>
  <c r="AE134" i="30"/>
  <c r="Y134" i="30"/>
  <c r="AN134" i="30"/>
  <c r="AF134" i="30"/>
  <c r="S134" i="30"/>
  <c r="X134" i="30"/>
  <c r="AH134" i="30"/>
  <c r="AO134" i="30"/>
  <c r="V134" i="30"/>
  <c r="Z134" i="30"/>
  <c r="U134" i="30"/>
  <c r="AA134" i="30"/>
  <c r="AD134" i="30"/>
  <c r="AL134" i="30"/>
  <c r="O134" i="30"/>
  <c r="T134" i="30"/>
  <c r="AM134" i="30"/>
  <c r="R134" i="30"/>
  <c r="AC134" i="30"/>
  <c r="Q134" i="30"/>
  <c r="L19" i="30"/>
  <c r="AJ19" i="30"/>
  <c r="R19" i="30"/>
  <c r="P19" i="30"/>
  <c r="Q19" i="30"/>
  <c r="W19" i="30"/>
  <c r="U19" i="30"/>
  <c r="O19" i="30"/>
  <c r="N19" i="30"/>
  <c r="AC19" i="30"/>
  <c r="AD19" i="30"/>
  <c r="X19" i="30"/>
  <c r="AO19" i="30"/>
  <c r="V19" i="30"/>
  <c r="T19" i="30"/>
  <c r="AL19" i="30"/>
  <c r="AG19" i="30"/>
  <c r="AI19" i="30"/>
  <c r="AF19" i="30"/>
  <c r="Z19" i="30"/>
  <c r="Y19" i="30"/>
  <c r="AK19" i="30"/>
  <c r="AA19" i="30"/>
  <c r="AH19" i="30"/>
  <c r="AB19" i="30"/>
  <c r="AM19" i="30"/>
  <c r="M19" i="30"/>
  <c r="S19" i="30"/>
  <c r="AE19" i="30"/>
  <c r="AN19" i="30"/>
  <c r="AH60" i="30"/>
  <c r="Q60" i="30"/>
  <c r="S60" i="30"/>
  <c r="AB60" i="30"/>
  <c r="AI60" i="30"/>
  <c r="W60" i="30"/>
  <c r="P60" i="30"/>
  <c r="AD60" i="30"/>
  <c r="Y60" i="30"/>
  <c r="O60" i="30"/>
  <c r="V60" i="30"/>
  <c r="M60" i="30"/>
  <c r="AJ60" i="30"/>
  <c r="AK60" i="30"/>
  <c r="X60" i="30"/>
  <c r="L60" i="30"/>
  <c r="U60" i="30"/>
  <c r="T60" i="30"/>
  <c r="AL60" i="30"/>
  <c r="N60" i="30"/>
  <c r="AA60" i="30"/>
  <c r="AM60" i="30"/>
  <c r="R60" i="30"/>
  <c r="AN60" i="30"/>
  <c r="AF60" i="30"/>
  <c r="Z60" i="30"/>
  <c r="AE60" i="30"/>
  <c r="AG60" i="30"/>
  <c r="AO60" i="30"/>
  <c r="AC60" i="30"/>
  <c r="L48" i="30"/>
  <c r="P48" i="30"/>
  <c r="X48" i="30"/>
  <c r="AF48" i="30"/>
  <c r="AN48" i="30"/>
  <c r="S48" i="30"/>
  <c r="AD48" i="30"/>
  <c r="AO48" i="30"/>
  <c r="U48" i="30"/>
  <c r="AE48" i="30"/>
  <c r="R48" i="30"/>
  <c r="AM48" i="30"/>
  <c r="AG48" i="30"/>
  <c r="W48" i="30"/>
  <c r="AA48" i="30"/>
  <c r="Q48" i="30"/>
  <c r="T48" i="30"/>
  <c r="AB48" i="30"/>
  <c r="AJ48" i="30"/>
  <c r="N48" i="30"/>
  <c r="Y48" i="30"/>
  <c r="AI48" i="30"/>
  <c r="O48" i="30"/>
  <c r="Z48" i="30"/>
  <c r="AK48" i="30"/>
  <c r="AC48" i="30"/>
  <c r="V48" i="30"/>
  <c r="M48" i="30"/>
  <c r="AH48" i="30"/>
  <c r="AL48" i="30"/>
  <c r="U129" i="30"/>
  <c r="Q129" i="30"/>
  <c r="L129" i="30"/>
  <c r="AB129" i="30"/>
  <c r="N129" i="30"/>
  <c r="R129" i="30"/>
  <c r="AA129" i="30"/>
  <c r="AI129" i="30"/>
  <c r="AG129" i="30"/>
  <c r="S129" i="30"/>
  <c r="AD129" i="30"/>
  <c r="M129" i="30"/>
  <c r="AL129" i="30"/>
  <c r="X129" i="30"/>
  <c r="W129" i="30"/>
  <c r="AC129" i="30"/>
  <c r="Y129" i="30"/>
  <c r="AF129" i="30"/>
  <c r="AE129" i="30"/>
  <c r="O129" i="30"/>
  <c r="AJ129" i="30"/>
  <c r="AK129" i="30"/>
  <c r="T129" i="30"/>
  <c r="AH129" i="30"/>
  <c r="AO129" i="30"/>
  <c r="AN129" i="30"/>
  <c r="AM129" i="30"/>
  <c r="Z129" i="30"/>
  <c r="V129" i="30"/>
  <c r="P129" i="30"/>
  <c r="AF31" i="30"/>
  <c r="AD31" i="30"/>
  <c r="AB31" i="30"/>
  <c r="U31" i="30"/>
  <c r="AJ31" i="30"/>
  <c r="M31" i="30"/>
  <c r="AN31" i="30"/>
  <c r="P31" i="30"/>
  <c r="AC31" i="30"/>
  <c r="AM31" i="30"/>
  <c r="Q31" i="30"/>
  <c r="T31" i="30"/>
  <c r="AL31" i="30"/>
  <c r="X31" i="30"/>
  <c r="AO31" i="30"/>
  <c r="AA31" i="30"/>
  <c r="W31" i="30"/>
  <c r="AE31" i="30"/>
  <c r="AI31" i="30"/>
  <c r="Z31" i="30"/>
  <c r="R31" i="30"/>
  <c r="AH31" i="30"/>
  <c r="V31" i="30"/>
  <c r="N31" i="30"/>
  <c r="AG31" i="30"/>
  <c r="Y31" i="30"/>
  <c r="AK31" i="30"/>
  <c r="L31" i="30"/>
  <c r="O31" i="30"/>
  <c r="S31" i="30"/>
  <c r="Z138" i="30"/>
  <c r="AI138" i="30"/>
  <c r="AK138" i="30"/>
  <c r="R138" i="30"/>
  <c r="W138" i="30"/>
  <c r="AD138" i="30"/>
  <c r="AA138" i="30"/>
  <c r="AL138" i="30"/>
  <c r="U138" i="30"/>
  <c r="X138" i="30"/>
  <c r="P138" i="30"/>
  <c r="AC138" i="30"/>
  <c r="T138" i="30"/>
  <c r="S138" i="30"/>
  <c r="AJ138" i="30"/>
  <c r="AG138" i="30"/>
  <c r="Y138" i="30"/>
  <c r="AO138" i="30"/>
  <c r="O138" i="30"/>
  <c r="V138" i="30"/>
  <c r="AH138" i="30"/>
  <c r="N138" i="30"/>
  <c r="L138" i="30"/>
  <c r="M138" i="30"/>
  <c r="AN138" i="30"/>
  <c r="AM138" i="30"/>
  <c r="AE138" i="30"/>
  <c r="AB138" i="30"/>
  <c r="AF138" i="30"/>
  <c r="Q138" i="30"/>
  <c r="N23" i="30"/>
  <c r="AA23" i="30"/>
  <c r="R23" i="30"/>
  <c r="AM23" i="30"/>
  <c r="AH23" i="30"/>
  <c r="AF23" i="30"/>
  <c r="W23" i="30"/>
  <c r="M23" i="30"/>
  <c r="AJ23" i="30"/>
  <c r="AE23" i="30"/>
  <c r="S23" i="30"/>
  <c r="T23" i="30"/>
  <c r="Y23" i="30"/>
  <c r="AL23" i="30"/>
  <c r="AC23" i="30"/>
  <c r="AB23" i="30"/>
  <c r="AK23" i="30"/>
  <c r="L23" i="30"/>
  <c r="V23" i="30"/>
  <c r="AG23" i="30"/>
  <c r="P23" i="30"/>
  <c r="AD23" i="30"/>
  <c r="AO23" i="30"/>
  <c r="X23" i="30"/>
  <c r="Z23" i="30"/>
  <c r="Q23" i="30"/>
  <c r="AI23" i="30"/>
  <c r="AN23" i="30"/>
  <c r="O23" i="30"/>
  <c r="U23" i="30"/>
  <c r="M65" i="30"/>
  <c r="S65" i="30"/>
  <c r="L65" i="30"/>
  <c r="X65" i="30"/>
  <c r="Y65" i="30"/>
  <c r="AJ65" i="30"/>
  <c r="Q65" i="30"/>
  <c r="AB65" i="30"/>
  <c r="AO65" i="30"/>
  <c r="AL65" i="30"/>
  <c r="P65" i="30"/>
  <c r="AN65" i="30"/>
  <c r="AI65" i="30"/>
  <c r="Z65" i="30"/>
  <c r="AK65" i="30"/>
  <c r="AA65" i="30"/>
  <c r="AM65" i="30"/>
  <c r="AF65" i="30"/>
  <c r="W65" i="30"/>
  <c r="AE65" i="30"/>
  <c r="N65" i="30"/>
  <c r="O65" i="30"/>
  <c r="AC65" i="30"/>
  <c r="AG65" i="30"/>
  <c r="T65" i="30"/>
  <c r="AH65" i="30"/>
  <c r="U65" i="30"/>
  <c r="V65" i="30"/>
  <c r="AD65" i="30"/>
  <c r="R65" i="30"/>
  <c r="R98" i="30"/>
  <c r="U98" i="30"/>
  <c r="AJ98" i="30"/>
  <c r="X98" i="30"/>
  <c r="P98" i="30"/>
  <c r="AC98" i="30"/>
  <c r="AG98" i="30"/>
  <c r="AH98" i="30"/>
  <c r="Q98" i="30"/>
  <c r="AM98" i="30"/>
  <c r="AI98" i="30"/>
  <c r="AA98" i="30"/>
  <c r="AE98" i="30"/>
  <c r="M98" i="30"/>
  <c r="W98" i="30"/>
  <c r="S98" i="30"/>
  <c r="AO98" i="30"/>
  <c r="N98" i="30"/>
  <c r="AF98" i="30"/>
  <c r="L98" i="30"/>
  <c r="V98" i="30"/>
  <c r="AD98" i="30"/>
  <c r="AN98" i="30"/>
  <c r="T98" i="30"/>
  <c r="Z98" i="30"/>
  <c r="Y98" i="30"/>
  <c r="AB98" i="30"/>
  <c r="O98" i="30"/>
  <c r="AL98" i="30"/>
  <c r="AK98" i="30"/>
  <c r="P86" i="30"/>
  <c r="AA86" i="30"/>
  <c r="N86" i="30"/>
  <c r="M86" i="30"/>
  <c r="AJ86" i="30"/>
  <c r="AK86" i="30"/>
  <c r="AL86" i="30"/>
  <c r="X86" i="30"/>
  <c r="Y86" i="30"/>
  <c r="Z86" i="30"/>
  <c r="AE86" i="30"/>
  <c r="Q86" i="30"/>
  <c r="L86" i="30"/>
  <c r="AM86" i="30"/>
  <c r="R86" i="30"/>
  <c r="T86" i="30"/>
  <c r="U86" i="30"/>
  <c r="V86" i="30"/>
  <c r="O86" i="30"/>
  <c r="AN86" i="30"/>
  <c r="AO86" i="30"/>
  <c r="W86" i="30"/>
  <c r="AI86" i="30"/>
  <c r="AG86" i="30"/>
  <c r="S86" i="30"/>
  <c r="AC86" i="30"/>
  <c r="AH86" i="30"/>
  <c r="AF86" i="30"/>
  <c r="AD86" i="30"/>
  <c r="AB86" i="30"/>
  <c r="AP47" i="30"/>
  <c r="R68" i="30"/>
  <c r="P68" i="30"/>
  <c r="O68" i="30"/>
  <c r="AD68" i="30"/>
  <c r="AH68" i="30"/>
  <c r="AB68" i="30"/>
  <c r="AJ68" i="30"/>
  <c r="AF68" i="30"/>
  <c r="AG68" i="30"/>
  <c r="AI68" i="30"/>
  <c r="AM68" i="30"/>
  <c r="U68" i="30"/>
  <c r="X68" i="30"/>
  <c r="M68" i="30"/>
  <c r="AA68" i="30"/>
  <c r="W68" i="30"/>
  <c r="AK68" i="30"/>
  <c r="AE68" i="30"/>
  <c r="S68" i="30"/>
  <c r="Z68" i="30"/>
  <c r="AL68" i="30"/>
  <c r="AC68" i="30"/>
  <c r="AN68" i="30"/>
  <c r="V68" i="30"/>
  <c r="T68" i="30"/>
  <c r="Q68" i="30"/>
  <c r="N68" i="30"/>
  <c r="L68" i="30"/>
  <c r="AO68" i="30"/>
  <c r="Y68" i="30"/>
  <c r="AL118" i="30"/>
  <c r="AK118" i="30"/>
  <c r="P118" i="30"/>
  <c r="R118" i="30"/>
  <c r="T118" i="30"/>
  <c r="V118" i="30"/>
  <c r="AF118" i="30"/>
  <c r="AH118" i="30"/>
  <c r="Q118" i="30"/>
  <c r="S118" i="30"/>
  <c r="U118" i="30"/>
  <c r="AI118" i="30"/>
  <c r="AG118" i="30"/>
  <c r="AA118" i="30"/>
  <c r="AJ118" i="30"/>
  <c r="AN118" i="30"/>
  <c r="AO118" i="30"/>
  <c r="O118" i="30"/>
  <c r="L118" i="30"/>
  <c r="M118" i="30"/>
  <c r="N118" i="30"/>
  <c r="AE118" i="30"/>
  <c r="X118" i="30"/>
  <c r="Y118" i="30"/>
  <c r="Z118" i="30"/>
  <c r="W118" i="30"/>
  <c r="AB118" i="30"/>
  <c r="AC118" i="30"/>
  <c r="AD118" i="30"/>
  <c r="AM118" i="30"/>
  <c r="L52" i="30"/>
  <c r="AH52" i="30"/>
  <c r="AK52" i="30"/>
  <c r="AE52" i="30"/>
  <c r="AN52" i="30"/>
  <c r="AD52" i="30"/>
  <c r="AC52" i="30"/>
  <c r="AL52" i="30"/>
  <c r="AJ52" i="30"/>
  <c r="AG52" i="30"/>
  <c r="X52" i="30"/>
  <c r="O52" i="30"/>
  <c r="U52" i="30"/>
  <c r="AB52" i="30"/>
  <c r="AF52" i="30"/>
  <c r="N52" i="30"/>
  <c r="AM52" i="30"/>
  <c r="Q52" i="30"/>
  <c r="R52" i="30"/>
  <c r="AA52" i="30"/>
  <c r="M52" i="30"/>
  <c r="V52" i="30"/>
  <c r="AI52" i="30"/>
  <c r="Y52" i="30"/>
  <c r="Z52" i="30"/>
  <c r="S52" i="30"/>
  <c r="W52" i="30"/>
  <c r="AO52" i="30"/>
  <c r="P52" i="30"/>
  <c r="T52" i="30"/>
  <c r="R125" i="30"/>
  <c r="AM125" i="30"/>
  <c r="S125" i="30"/>
  <c r="Q125" i="30"/>
  <c r="AB125" i="30"/>
  <c r="AO125" i="30"/>
  <c r="V125" i="30"/>
  <c r="M125" i="30"/>
  <c r="AI125" i="30"/>
  <c r="O125" i="30"/>
  <c r="P125" i="30"/>
  <c r="AC125" i="30"/>
  <c r="U125" i="30"/>
  <c r="T125" i="30"/>
  <c r="AH125" i="30"/>
  <c r="AG125" i="30"/>
  <c r="L125" i="30"/>
  <c r="AD125" i="30"/>
  <c r="Y125" i="30"/>
  <c r="X125" i="30"/>
  <c r="AL125" i="30"/>
  <c r="Z125" i="30"/>
  <c r="AE125" i="30"/>
  <c r="AF125" i="30"/>
  <c r="AK125" i="30"/>
  <c r="AN125" i="30"/>
  <c r="AA125" i="30"/>
  <c r="N125" i="30"/>
  <c r="AJ125" i="30"/>
  <c r="W125" i="30"/>
  <c r="O51" i="30"/>
  <c r="W51" i="30"/>
  <c r="AE51" i="30"/>
  <c r="AM51" i="30"/>
  <c r="P51" i="30"/>
  <c r="X51" i="30"/>
  <c r="AF51" i="30"/>
  <c r="AN51" i="30"/>
  <c r="V51" i="30"/>
  <c r="AL51" i="30"/>
  <c r="Y51" i="30"/>
  <c r="AO51" i="30"/>
  <c r="Z51" i="30"/>
  <c r="M51" i="30"/>
  <c r="AC51" i="30"/>
  <c r="S51" i="30"/>
  <c r="AA51" i="30"/>
  <c r="AI51" i="30"/>
  <c r="L51" i="30"/>
  <c r="T51" i="30"/>
  <c r="AB51" i="30"/>
  <c r="AJ51" i="30"/>
  <c r="N51" i="30"/>
  <c r="AD51" i="30"/>
  <c r="Q51" i="30"/>
  <c r="AG51" i="30"/>
  <c r="R51" i="30"/>
  <c r="AH51" i="30"/>
  <c r="U51" i="30"/>
  <c r="AK51" i="30"/>
  <c r="P84" i="30"/>
  <c r="Z84" i="30"/>
  <c r="AA84" i="30"/>
  <c r="S84" i="30"/>
  <c r="W84" i="30"/>
  <c r="Q84" i="30"/>
  <c r="AB84" i="30"/>
  <c r="AC84" i="30"/>
  <c r="AD84" i="30"/>
  <c r="O84" i="30"/>
  <c r="AJ84" i="30"/>
  <c r="AK84" i="30"/>
  <c r="AL84" i="30"/>
  <c r="AE84" i="30"/>
  <c r="AG84" i="30"/>
  <c r="X84" i="30"/>
  <c r="Y84" i="30"/>
  <c r="AN84" i="30"/>
  <c r="AO84" i="30"/>
  <c r="R84" i="30"/>
  <c r="L84" i="30"/>
  <c r="M84" i="30"/>
  <c r="N84" i="30"/>
  <c r="AI84" i="30"/>
  <c r="T84" i="30"/>
  <c r="U84" i="30"/>
  <c r="V84" i="30"/>
  <c r="AM84" i="30"/>
  <c r="AH84" i="30"/>
  <c r="AF84" i="30"/>
  <c r="S85" i="30"/>
  <c r="T85" i="30"/>
  <c r="N85" i="30"/>
  <c r="AI85" i="30"/>
  <c r="U85" i="30"/>
  <c r="L85" i="30"/>
  <c r="AL85" i="30"/>
  <c r="AG85" i="30"/>
  <c r="AN85" i="30"/>
  <c r="AM85" i="30"/>
  <c r="AH85" i="30"/>
  <c r="AK85" i="30"/>
  <c r="P85" i="30"/>
  <c r="O85" i="30"/>
  <c r="AJ85" i="30"/>
  <c r="Y85" i="30"/>
  <c r="AD85" i="30"/>
  <c r="Z85" i="30"/>
  <c r="Q85" i="30"/>
  <c r="M85" i="30"/>
  <c r="AB85" i="30"/>
  <c r="AA85" i="30"/>
  <c r="V85" i="30"/>
  <c r="AO85" i="30"/>
  <c r="X85" i="30"/>
  <c r="W85" i="30"/>
  <c r="R85" i="30"/>
  <c r="AC85" i="30"/>
  <c r="AF85" i="30"/>
  <c r="AE85" i="30"/>
  <c r="L82" i="30"/>
  <c r="T82" i="30"/>
  <c r="AB82" i="30"/>
  <c r="AJ82" i="30"/>
  <c r="M82" i="30"/>
  <c r="U82" i="30"/>
  <c r="AC82" i="30"/>
  <c r="AK82" i="30"/>
  <c r="N82" i="30"/>
  <c r="V82" i="30"/>
  <c r="AD82" i="30"/>
  <c r="AL82" i="30"/>
  <c r="AE82" i="30"/>
  <c r="AI82" i="30"/>
  <c r="AM82" i="30"/>
  <c r="P82" i="30"/>
  <c r="X82" i="30"/>
  <c r="AF82" i="30"/>
  <c r="AN82" i="30"/>
  <c r="Q82" i="30"/>
  <c r="Y82" i="30"/>
  <c r="AG82" i="30"/>
  <c r="AO82" i="30"/>
  <c r="R82" i="30"/>
  <c r="Z82" i="30"/>
  <c r="AH82" i="30"/>
  <c r="O82" i="30"/>
  <c r="S82" i="30"/>
  <c r="W82" i="30"/>
  <c r="AA82" i="30"/>
  <c r="AB21" i="30"/>
  <c r="O21" i="30"/>
  <c r="AJ21" i="30"/>
  <c r="AA21" i="30"/>
  <c r="AM21" i="30"/>
  <c r="AN21" i="30"/>
  <c r="M21" i="30"/>
  <c r="W21" i="30"/>
  <c r="U21" i="30"/>
  <c r="AC21" i="30"/>
  <c r="Y21" i="30"/>
  <c r="L21" i="30"/>
  <c r="Z21" i="30"/>
  <c r="Q21" i="30"/>
  <c r="T21" i="30"/>
  <c r="AD21" i="30"/>
  <c r="AG21" i="30"/>
  <c r="N21" i="30"/>
  <c r="V21" i="30"/>
  <c r="X21" i="30"/>
  <c r="S21" i="30"/>
  <c r="AL21" i="30"/>
  <c r="AF21" i="30"/>
  <c r="AH21" i="30"/>
  <c r="AK21" i="30"/>
  <c r="AO21" i="30"/>
  <c r="P21" i="30"/>
  <c r="R21" i="30"/>
  <c r="AI21" i="30"/>
  <c r="AE21" i="30"/>
  <c r="F18" i="30"/>
  <c r="AV18" i="30"/>
  <c r="AE18" i="30"/>
  <c r="N18" i="30"/>
  <c r="Z18" i="30"/>
  <c r="S18" i="30"/>
  <c r="Q18" i="30"/>
  <c r="AD18" i="30"/>
  <c r="AJ18" i="30"/>
  <c r="O18" i="30"/>
  <c r="AO18" i="30"/>
  <c r="T18" i="30"/>
  <c r="AF18" i="30"/>
  <c r="M18" i="30"/>
  <c r="AI18" i="30"/>
  <c r="U18" i="30"/>
  <c r="P18" i="30"/>
  <c r="R18" i="30"/>
  <c r="W18" i="30"/>
  <c r="X18" i="30"/>
  <c r="AC18" i="30"/>
  <c r="V18" i="30"/>
  <c r="AA18" i="30"/>
  <c r="AB18" i="30"/>
  <c r="AK18" i="30"/>
  <c r="AH18" i="30"/>
  <c r="AM18" i="30"/>
  <c r="AN18" i="30"/>
  <c r="AG18" i="30"/>
  <c r="AL18" i="30"/>
  <c r="L18" i="30"/>
  <c r="Y18" i="30"/>
  <c r="T37" i="30"/>
  <c r="AG37" i="30"/>
  <c r="X37" i="30"/>
  <c r="N37" i="30"/>
  <c r="U37" i="30"/>
  <c r="AO37" i="30"/>
  <c r="M37" i="30"/>
  <c r="S37" i="30"/>
  <c r="AE37" i="30"/>
  <c r="V37" i="30"/>
  <c r="AA37" i="30"/>
  <c r="W37" i="30"/>
  <c r="P37" i="30"/>
  <c r="Q37" i="30"/>
  <c r="AN37" i="30"/>
  <c r="Y37" i="30"/>
  <c r="AB37" i="30"/>
  <c r="AC37" i="30"/>
  <c r="AK37" i="30"/>
  <c r="AL37" i="30"/>
  <c r="AH37" i="30"/>
  <c r="AJ37" i="30"/>
  <c r="Z37" i="30"/>
  <c r="AM37" i="30"/>
  <c r="R37" i="30"/>
  <c r="AI37" i="30"/>
  <c r="O37" i="30"/>
  <c r="AF37" i="30"/>
  <c r="L37" i="30"/>
  <c r="AD37" i="30"/>
  <c r="X22" i="30"/>
  <c r="AK22" i="30"/>
  <c r="AE22" i="30"/>
  <c r="AG22" i="30"/>
  <c r="AN22" i="30"/>
  <c r="R22" i="30"/>
  <c r="AJ22" i="30"/>
  <c r="AH22" i="30"/>
  <c r="V22" i="30"/>
  <c r="AO22" i="30"/>
  <c r="AL22" i="30"/>
  <c r="AM22" i="30"/>
  <c r="T22" i="30"/>
  <c r="Q22" i="30"/>
  <c r="L22" i="30"/>
  <c r="M22" i="30"/>
  <c r="S22" i="30"/>
  <c r="N22" i="30"/>
  <c r="P22" i="30"/>
  <c r="U22" i="30"/>
  <c r="AI22" i="30"/>
  <c r="AC22" i="30"/>
  <c r="Z22" i="30"/>
  <c r="AB22" i="30"/>
  <c r="O22" i="30"/>
  <c r="Y22" i="30"/>
  <c r="AD22" i="30"/>
  <c r="AF22" i="30"/>
  <c r="W22" i="30"/>
  <c r="AA22" i="30"/>
  <c r="L143" i="30"/>
  <c r="T143" i="30"/>
  <c r="AB143" i="30"/>
  <c r="AJ143" i="30"/>
  <c r="N143" i="30"/>
  <c r="Y143" i="30"/>
  <c r="AI143" i="30"/>
  <c r="O143" i="30"/>
  <c r="Z143" i="30"/>
  <c r="AK143" i="30"/>
  <c r="V143" i="30"/>
  <c r="AG143" i="30"/>
  <c r="AC143" i="30"/>
  <c r="AH143" i="30"/>
  <c r="AM143" i="30"/>
  <c r="P143" i="30"/>
  <c r="X143" i="30"/>
  <c r="AF143" i="30"/>
  <c r="AN143" i="30"/>
  <c r="S143" i="30"/>
  <c r="AD143" i="30"/>
  <c r="AO143" i="30"/>
  <c r="U143" i="30"/>
  <c r="AE143" i="30"/>
  <c r="Q143" i="30"/>
  <c r="AA143" i="30"/>
  <c r="AL143" i="30"/>
  <c r="M143" i="30"/>
  <c r="R143" i="30"/>
  <c r="W143" i="30"/>
  <c r="AM54" i="30"/>
  <c r="M54" i="30"/>
  <c r="N54" i="30"/>
  <c r="T54" i="30"/>
  <c r="X54" i="30"/>
  <c r="Q54" i="30"/>
  <c r="AH54" i="30"/>
  <c r="P54" i="30"/>
  <c r="U54" i="30"/>
  <c r="AL54" i="30"/>
  <c r="AF54" i="30"/>
  <c r="AC54" i="30"/>
  <c r="L54" i="30"/>
  <c r="AN54" i="30"/>
  <c r="AB54" i="30"/>
  <c r="Z54" i="30"/>
  <c r="S54" i="30"/>
  <c r="Y54" i="30"/>
  <c r="AD54" i="30"/>
  <c r="W54" i="30"/>
  <c r="AA54" i="30"/>
  <c r="AK54" i="30"/>
  <c r="AJ54" i="30"/>
  <c r="AI54" i="30"/>
  <c r="R54" i="30"/>
  <c r="O54" i="30"/>
  <c r="AO54" i="30"/>
  <c r="V54" i="30"/>
  <c r="AE54" i="30"/>
  <c r="AG54" i="30"/>
  <c r="AI75" i="30"/>
  <c r="AO75" i="30"/>
  <c r="W75" i="30"/>
  <c r="AL75" i="30"/>
  <c r="AK75" i="30"/>
  <c r="R75" i="30"/>
  <c r="N75" i="30"/>
  <c r="AE75" i="30"/>
  <c r="Q75" i="30"/>
  <c r="P75" i="30"/>
  <c r="AH75" i="30"/>
  <c r="T75" i="30"/>
  <c r="AM75" i="30"/>
  <c r="S75" i="30"/>
  <c r="M75" i="30"/>
  <c r="AN75" i="30"/>
  <c r="AC75" i="30"/>
  <c r="AF75" i="30"/>
  <c r="Y75" i="30"/>
  <c r="AJ75" i="30"/>
  <c r="AD75" i="30"/>
  <c r="AG75" i="30"/>
  <c r="AA75" i="30"/>
  <c r="L75" i="30"/>
  <c r="U75" i="30"/>
  <c r="V75" i="30"/>
  <c r="AB75" i="30"/>
  <c r="O75" i="30"/>
  <c r="Z75" i="30"/>
  <c r="X75" i="30"/>
  <c r="AG139" i="30"/>
  <c r="AD139" i="30"/>
  <c r="AK139" i="30"/>
  <c r="M139" i="30"/>
  <c r="R139" i="30"/>
  <c r="S139" i="30"/>
  <c r="AB139" i="30"/>
  <c r="L139" i="30"/>
  <c r="N139" i="30"/>
  <c r="T139" i="30"/>
  <c r="U139" i="30"/>
  <c r="V139" i="30"/>
  <c r="AM139" i="30"/>
  <c r="AO139" i="30"/>
  <c r="Q139" i="30"/>
  <c r="W139" i="30"/>
  <c r="AJ139" i="30"/>
  <c r="Y139" i="30"/>
  <c r="O139" i="30"/>
  <c r="AN139" i="30"/>
  <c r="AI139" i="30"/>
  <c r="Z139" i="30"/>
  <c r="P139" i="30"/>
  <c r="AC139" i="30"/>
  <c r="X139" i="30"/>
  <c r="AF139" i="30"/>
  <c r="AL139" i="30"/>
  <c r="AE139" i="30"/>
  <c r="AH139" i="30"/>
  <c r="AA139" i="30"/>
  <c r="Z15" i="30"/>
  <c r="T15" i="30"/>
  <c r="S15" i="30"/>
  <c r="AB15" i="30"/>
  <c r="AO15" i="30"/>
  <c r="AM15" i="30"/>
  <c r="AJ15" i="30"/>
  <c r="N15" i="30"/>
  <c r="AE15" i="30"/>
  <c r="AK15" i="30"/>
  <c r="AN15" i="30"/>
  <c r="O15" i="30"/>
  <c r="P15" i="30"/>
  <c r="U15" i="30"/>
  <c r="AD15" i="30"/>
  <c r="L15" i="30"/>
  <c r="Y15" i="30"/>
  <c r="AL15" i="30"/>
  <c r="X15" i="30"/>
  <c r="AI15" i="30"/>
  <c r="V15" i="30"/>
  <c r="AC15" i="30"/>
  <c r="M15" i="30"/>
  <c r="AA15" i="30"/>
  <c r="AH15" i="30"/>
  <c r="AG15" i="30"/>
  <c r="AF15" i="30"/>
  <c r="W15" i="30"/>
  <c r="R15" i="30"/>
  <c r="Q15" i="30"/>
  <c r="AO30" i="30"/>
  <c r="AI30" i="30"/>
  <c r="AK30" i="30"/>
  <c r="W30" i="30"/>
  <c r="N30" i="30"/>
  <c r="O30" i="30"/>
  <c r="AH30" i="30"/>
  <c r="Y30" i="30"/>
  <c r="T30" i="30"/>
  <c r="U30" i="30"/>
  <c r="AN30" i="30"/>
  <c r="AC30" i="30"/>
  <c r="AE30" i="30"/>
  <c r="AG30" i="30"/>
  <c r="AA30" i="30"/>
  <c r="AB30" i="30"/>
  <c r="P30" i="30"/>
  <c r="R30" i="30"/>
  <c r="AL30" i="30"/>
  <c r="M30" i="30"/>
  <c r="X30" i="30"/>
  <c r="Q30" i="30"/>
  <c r="L30" i="30"/>
  <c r="Z30" i="30"/>
  <c r="AM30" i="30"/>
  <c r="V30" i="30"/>
  <c r="AJ30" i="30"/>
  <c r="AD30" i="30"/>
  <c r="S30" i="30"/>
  <c r="AF30" i="30"/>
  <c r="R92" i="30"/>
  <c r="AE92" i="30"/>
  <c r="AI92" i="30"/>
  <c r="Y92" i="30"/>
  <c r="Z92" i="30"/>
  <c r="P92" i="30"/>
  <c r="AB92" i="30"/>
  <c r="AC92" i="30"/>
  <c r="AD92" i="30"/>
  <c r="X92" i="30"/>
  <c r="L92" i="30"/>
  <c r="AL92" i="30"/>
  <c r="AF92" i="30"/>
  <c r="AG92" i="30"/>
  <c r="AM92" i="30"/>
  <c r="U92" i="30"/>
  <c r="Q92" i="30"/>
  <c r="AO92" i="30"/>
  <c r="O92" i="30"/>
  <c r="S92" i="30"/>
  <c r="M92" i="30"/>
  <c r="N92" i="30"/>
  <c r="W92" i="30"/>
  <c r="AA92" i="30"/>
  <c r="AN92" i="30"/>
  <c r="AK92" i="30"/>
  <c r="AJ92" i="30"/>
  <c r="AH92" i="30"/>
  <c r="T92" i="30"/>
  <c r="V92" i="30"/>
  <c r="AM120" i="30"/>
  <c r="AD120" i="30"/>
  <c r="R120" i="30"/>
  <c r="AA120" i="30"/>
  <c r="AG120" i="30"/>
  <c r="AE120" i="30"/>
  <c r="M120" i="30"/>
  <c r="X120" i="30"/>
  <c r="P120" i="30"/>
  <c r="AN120" i="30"/>
  <c r="AL120" i="30"/>
  <c r="AO120" i="30"/>
  <c r="L120" i="30"/>
  <c r="Y120" i="30"/>
  <c r="AH120" i="30"/>
  <c r="O120" i="30"/>
  <c r="AC120" i="30"/>
  <c r="AI120" i="30"/>
  <c r="AK120" i="30"/>
  <c r="AJ120" i="30"/>
  <c r="Q120" i="30"/>
  <c r="S120" i="30"/>
  <c r="T120" i="30"/>
  <c r="AF120" i="30"/>
  <c r="N120" i="30"/>
  <c r="W120" i="30"/>
  <c r="AB120" i="30"/>
  <c r="Z120" i="30"/>
  <c r="V120" i="30"/>
  <c r="U120" i="30"/>
  <c r="AI121" i="30"/>
  <c r="AD121" i="30"/>
  <c r="L121" i="30"/>
  <c r="AO121" i="30"/>
  <c r="AH121" i="30"/>
  <c r="T121" i="30"/>
  <c r="M121" i="30"/>
  <c r="X121" i="30"/>
  <c r="S121" i="30"/>
  <c r="AG121" i="30"/>
  <c r="U121" i="30"/>
  <c r="Y121" i="30"/>
  <c r="Z121" i="30"/>
  <c r="W121" i="30"/>
  <c r="AJ121" i="30"/>
  <c r="N121" i="30"/>
  <c r="AA121" i="30"/>
  <c r="AN121" i="30"/>
  <c r="AL121" i="30"/>
  <c r="Q121" i="30"/>
  <c r="AB121" i="30"/>
  <c r="R121" i="30"/>
  <c r="V121" i="30"/>
  <c r="AC121" i="30"/>
  <c r="AF121" i="30"/>
  <c r="AE121" i="30"/>
  <c r="AM121" i="30"/>
  <c r="AK121" i="30"/>
  <c r="P121" i="30"/>
  <c r="O121" i="30"/>
  <c r="L123" i="30"/>
  <c r="AL123" i="30"/>
  <c r="Y123" i="30"/>
  <c r="R123" i="30"/>
  <c r="AB123" i="30"/>
  <c r="Q123" i="30"/>
  <c r="V123" i="30"/>
  <c r="AA123" i="30"/>
  <c r="M123" i="30"/>
  <c r="T123" i="30"/>
  <c r="S123" i="30"/>
  <c r="N123" i="30"/>
  <c r="AG123" i="30"/>
  <c r="AF123" i="30"/>
  <c r="AE123" i="30"/>
  <c r="Z123" i="30"/>
  <c r="AC123" i="30"/>
  <c r="X123" i="30"/>
  <c r="W123" i="30"/>
  <c r="U123" i="30"/>
  <c r="AJ123" i="30"/>
  <c r="AI123" i="30"/>
  <c r="AD123" i="30"/>
  <c r="AO123" i="30"/>
  <c r="P123" i="30"/>
  <c r="O123" i="30"/>
  <c r="AK123" i="30"/>
  <c r="AN123" i="30"/>
  <c r="AM123" i="30"/>
  <c r="AH123" i="30"/>
  <c r="M14" i="30"/>
  <c r="R14" i="30"/>
  <c r="W14" i="30"/>
  <c r="AB14" i="30"/>
  <c r="Y14" i="30"/>
  <c r="AD14" i="30"/>
  <c r="AI14" i="30"/>
  <c r="AN14" i="30"/>
  <c r="AG14" i="30"/>
  <c r="AL14" i="30"/>
  <c r="P14" i="30"/>
  <c r="AO14" i="30"/>
  <c r="AK14" i="30"/>
  <c r="O14" i="30"/>
  <c r="T14" i="30"/>
  <c r="AC14" i="30"/>
  <c r="AH14" i="30"/>
  <c r="AM14" i="30"/>
  <c r="L14" i="30"/>
  <c r="N14" i="30"/>
  <c r="S14" i="30"/>
  <c r="X14" i="30"/>
  <c r="Q14" i="30"/>
  <c r="V14" i="30"/>
  <c r="AA14" i="30"/>
  <c r="AF14" i="30"/>
  <c r="U14" i="30"/>
  <c r="Z14" i="30"/>
  <c r="AE14" i="30"/>
  <c r="AJ14" i="30"/>
  <c r="AL62" i="30"/>
  <c r="S62" i="30"/>
  <c r="L62" i="30"/>
  <c r="AJ62" i="30"/>
  <c r="AK62" i="30"/>
  <c r="T62" i="30"/>
  <c r="Z62" i="30"/>
  <c r="N62" i="30"/>
  <c r="Q62" i="30"/>
  <c r="AC62" i="30"/>
  <c r="P62" i="30"/>
  <c r="R62" i="30"/>
  <c r="W62" i="30"/>
  <c r="AI62" i="30"/>
  <c r="AA62" i="30"/>
  <c r="Y62" i="30"/>
  <c r="X62" i="30"/>
  <c r="AB62" i="30"/>
  <c r="AG62" i="30"/>
  <c r="V62" i="30"/>
  <c r="AN62" i="30"/>
  <c r="U62" i="30"/>
  <c r="AD62" i="30"/>
  <c r="AM62" i="30"/>
  <c r="AF62" i="30"/>
  <c r="AE62" i="30"/>
  <c r="AH62" i="30"/>
  <c r="M62" i="30"/>
  <c r="O62" i="30"/>
  <c r="AO62" i="30"/>
  <c r="Y99" i="30"/>
  <c r="P99" i="30"/>
  <c r="AH99" i="30"/>
  <c r="AB99" i="30"/>
  <c r="AO99" i="30"/>
  <c r="X99" i="30"/>
  <c r="AG99" i="30"/>
  <c r="T99" i="30"/>
  <c r="AE99" i="30"/>
  <c r="L99" i="30"/>
  <c r="AM99" i="30"/>
  <c r="AJ99" i="30"/>
  <c r="AF99" i="30"/>
  <c r="AN99" i="30"/>
  <c r="AI99" i="30"/>
  <c r="S99" i="30"/>
  <c r="U99" i="30"/>
  <c r="O99" i="30"/>
  <c r="N99" i="30"/>
  <c r="AA99" i="30"/>
  <c r="W99" i="30"/>
  <c r="AC99" i="30"/>
  <c r="V99" i="30"/>
  <c r="AL99" i="30"/>
  <c r="R99" i="30"/>
  <c r="AD99" i="30"/>
  <c r="AK99" i="30"/>
  <c r="Q99" i="30"/>
  <c r="Z99" i="30"/>
  <c r="M99" i="30"/>
  <c r="U100" i="30"/>
  <c r="AM100" i="30"/>
  <c r="AO100" i="30"/>
  <c r="S100" i="30"/>
  <c r="X100" i="30"/>
  <c r="AF100" i="30"/>
  <c r="W100" i="30"/>
  <c r="R100" i="30"/>
  <c r="AK100" i="30"/>
  <c r="AN100" i="30"/>
  <c r="Z100" i="30"/>
  <c r="L100" i="30"/>
  <c r="T100" i="30"/>
  <c r="AB100" i="30"/>
  <c r="M100" i="30"/>
  <c r="AD100" i="30"/>
  <c r="AA100" i="30"/>
  <c r="V100" i="30"/>
  <c r="AJ100" i="30"/>
  <c r="O100" i="30"/>
  <c r="AC100" i="30"/>
  <c r="AG100" i="30"/>
  <c r="AE100" i="30"/>
  <c r="N100" i="30"/>
  <c r="AI100" i="30"/>
  <c r="AL100" i="30"/>
  <c r="Y100" i="30"/>
  <c r="P100" i="30"/>
  <c r="AH100" i="30"/>
  <c r="Q100" i="30"/>
  <c r="L93" i="30"/>
  <c r="AI93" i="30"/>
  <c r="N93" i="30"/>
  <c r="Z93" i="30"/>
  <c r="AJ93" i="30"/>
  <c r="AE93" i="30"/>
  <c r="AF93" i="30"/>
  <c r="AH93" i="30"/>
  <c r="AM93" i="30"/>
  <c r="AN93" i="30"/>
  <c r="M93" i="30"/>
  <c r="AA93" i="30"/>
  <c r="Q93" i="30"/>
  <c r="U93" i="30"/>
  <c r="AL93" i="30"/>
  <c r="W93" i="30"/>
  <c r="X93" i="30"/>
  <c r="AO93" i="30"/>
  <c r="V93" i="30"/>
  <c r="AB93" i="30"/>
  <c r="R93" i="30"/>
  <c r="AD93" i="30"/>
  <c r="AK93" i="30"/>
  <c r="T93" i="30"/>
  <c r="AC93" i="30"/>
  <c r="P93" i="30"/>
  <c r="AG93" i="30"/>
  <c r="S93" i="30"/>
  <c r="Y93" i="30"/>
  <c r="O93" i="30"/>
  <c r="AN55" i="30"/>
  <c r="AF55" i="30"/>
  <c r="AD55" i="30"/>
  <c r="AG55" i="30"/>
  <c r="P55" i="30"/>
  <c r="AE55" i="30"/>
  <c r="X55" i="30"/>
  <c r="AM55" i="30"/>
  <c r="T55" i="30"/>
  <c r="N55" i="30"/>
  <c r="Z55" i="30"/>
  <c r="W55" i="30"/>
  <c r="AB55" i="30"/>
  <c r="Y55" i="30"/>
  <c r="AK55" i="30"/>
  <c r="AA55" i="30"/>
  <c r="Q55" i="30"/>
  <c r="AL55" i="30"/>
  <c r="R55" i="30"/>
  <c r="U55" i="30"/>
  <c r="AH55" i="30"/>
  <c r="S55" i="30"/>
  <c r="AO55" i="30"/>
  <c r="AJ55" i="30"/>
  <c r="AI55" i="30"/>
  <c r="AC55" i="30"/>
  <c r="L55" i="30"/>
  <c r="M55" i="30"/>
  <c r="O55" i="30"/>
  <c r="V55" i="30"/>
  <c r="L116" i="30"/>
  <c r="T116" i="30"/>
  <c r="AB116" i="30"/>
  <c r="AJ116" i="30"/>
  <c r="M116" i="30"/>
  <c r="U116" i="30"/>
  <c r="AC116" i="30"/>
  <c r="AK116" i="30"/>
  <c r="N116" i="30"/>
  <c r="V116" i="30"/>
  <c r="AD116" i="30"/>
  <c r="AL116" i="30"/>
  <c r="O116" i="30"/>
  <c r="S116" i="30"/>
  <c r="W116" i="30"/>
  <c r="P116" i="30"/>
  <c r="X116" i="30"/>
  <c r="AF116" i="30"/>
  <c r="AN116" i="30"/>
  <c r="Q116" i="30"/>
  <c r="Y116" i="30"/>
  <c r="AG116" i="30"/>
  <c r="AO116" i="30"/>
  <c r="R116" i="30"/>
  <c r="Z116" i="30"/>
  <c r="AH116" i="30"/>
  <c r="AA116" i="30"/>
  <c r="AE116" i="30"/>
  <c r="AI116" i="30"/>
  <c r="AM116" i="30"/>
  <c r="AV17" i="30"/>
  <c r="F17" i="30"/>
  <c r="AO17" i="30"/>
  <c r="AB17" i="30"/>
  <c r="AC17" i="30"/>
  <c r="AD17" i="30"/>
  <c r="S17" i="30"/>
  <c r="AF17" i="30"/>
  <c r="AG17" i="30"/>
  <c r="AH17" i="30"/>
  <c r="AE17" i="30"/>
  <c r="U17" i="30"/>
  <c r="AI17" i="30"/>
  <c r="Y17" i="30"/>
  <c r="O17" i="30"/>
  <c r="AN17" i="30"/>
  <c r="AJ17" i="30"/>
  <c r="L17" i="30"/>
  <c r="M17" i="30"/>
  <c r="N17" i="30"/>
  <c r="AM17" i="30"/>
  <c r="P17" i="30"/>
  <c r="Q17" i="30"/>
  <c r="R17" i="30"/>
  <c r="AA17" i="30"/>
  <c r="T17" i="30"/>
  <c r="V17" i="30"/>
  <c r="X17" i="30"/>
  <c r="Z17" i="30"/>
  <c r="W17" i="30"/>
  <c r="AK17" i="30"/>
  <c r="AL17" i="30"/>
  <c r="AP115" i="30"/>
  <c r="P133" i="30"/>
  <c r="AG133" i="30"/>
  <c r="AK133" i="30"/>
  <c r="W133" i="30"/>
  <c r="Z133" i="30"/>
  <c r="V133" i="30"/>
  <c r="AD133" i="30"/>
  <c r="R133" i="30"/>
  <c r="L133" i="30"/>
  <c r="AL133" i="30"/>
  <c r="AE133" i="30"/>
  <c r="T133" i="30"/>
  <c r="Q133" i="30"/>
  <c r="AA133" i="30"/>
  <c r="AN133" i="30"/>
  <c r="M133" i="30"/>
  <c r="O133" i="30"/>
  <c r="AF133" i="30"/>
  <c r="AJ133" i="30"/>
  <c r="AI133" i="30"/>
  <c r="Y133" i="30"/>
  <c r="S133" i="30"/>
  <c r="N133" i="30"/>
  <c r="U133" i="30"/>
  <c r="X133" i="30"/>
  <c r="AH133" i="30"/>
  <c r="AC133" i="30"/>
  <c r="AB133" i="30"/>
  <c r="AO133" i="30"/>
  <c r="AM133" i="30"/>
  <c r="AL97" i="30"/>
  <c r="AM97" i="30"/>
  <c r="U97" i="30"/>
  <c r="O97" i="30"/>
  <c r="Y97" i="30"/>
  <c r="AC97" i="30"/>
  <c r="W97" i="30"/>
  <c r="AG97" i="30"/>
  <c r="AK97" i="30"/>
  <c r="AE97" i="30"/>
  <c r="AO97" i="30"/>
  <c r="AD97" i="30"/>
  <c r="R97" i="30"/>
  <c r="AN97" i="30"/>
  <c r="P97" i="30"/>
  <c r="Z97" i="30"/>
  <c r="N97" i="30"/>
  <c r="X97" i="30"/>
  <c r="AH97" i="30"/>
  <c r="V97" i="30"/>
  <c r="AF97" i="30"/>
  <c r="M97" i="30"/>
  <c r="AI97" i="30"/>
  <c r="AJ97" i="30"/>
  <c r="L97" i="30"/>
  <c r="Q97" i="30"/>
  <c r="S97" i="30"/>
  <c r="T97" i="30"/>
  <c r="AA97" i="30"/>
  <c r="AB97" i="30"/>
  <c r="L96" i="30"/>
  <c r="AJ96" i="30"/>
  <c r="Z96" i="30"/>
  <c r="AF96" i="30"/>
  <c r="AH96" i="30"/>
  <c r="P96" i="30"/>
  <c r="O96" i="30"/>
  <c r="AK96" i="30"/>
  <c r="AL96" i="30"/>
  <c r="AN96" i="30"/>
  <c r="M96" i="30"/>
  <c r="N96" i="30"/>
  <c r="W96" i="30"/>
  <c r="AA96" i="30"/>
  <c r="AO96" i="30"/>
  <c r="Y96" i="30"/>
  <c r="AE96" i="30"/>
  <c r="AI96" i="30"/>
  <c r="Q96" i="30"/>
  <c r="T96" i="30"/>
  <c r="R96" i="30"/>
  <c r="S96" i="30"/>
  <c r="U96" i="30"/>
  <c r="V96" i="30"/>
  <c r="AM96" i="30"/>
  <c r="AB96" i="30"/>
  <c r="AC96" i="30"/>
  <c r="AD96" i="30"/>
  <c r="X96" i="30"/>
  <c r="AG96" i="30"/>
  <c r="AO26" i="30"/>
  <c r="AM26" i="30"/>
  <c r="U26" i="30"/>
  <c r="Y26" i="30"/>
  <c r="N26" i="30"/>
  <c r="AF26" i="30"/>
  <c r="Z26" i="30"/>
  <c r="X26" i="30"/>
  <c r="L26" i="30"/>
  <c r="AE26" i="30"/>
  <c r="W26" i="30"/>
  <c r="V26" i="30"/>
  <c r="M26" i="30"/>
  <c r="S26" i="30"/>
  <c r="AN26" i="30"/>
  <c r="O26" i="30"/>
  <c r="T26" i="30"/>
  <c r="AI26" i="30"/>
  <c r="AD26" i="30"/>
  <c r="AA26" i="30"/>
  <c r="P26" i="30"/>
  <c r="AB26" i="30"/>
  <c r="AK26" i="30"/>
  <c r="Q26" i="30"/>
  <c r="AL26" i="30"/>
  <c r="AG26" i="30"/>
  <c r="R26" i="30"/>
  <c r="AJ26" i="30"/>
  <c r="AH26" i="30"/>
  <c r="AC26" i="30"/>
  <c r="AE29" i="30"/>
  <c r="N29" i="30"/>
  <c r="S29" i="30"/>
  <c r="AD29" i="30"/>
  <c r="O29" i="30"/>
  <c r="U29" i="30"/>
  <c r="AF29" i="30"/>
  <c r="AA29" i="30"/>
  <c r="M29" i="30"/>
  <c r="X29" i="30"/>
  <c r="AJ29" i="30"/>
  <c r="AK29" i="30"/>
  <c r="V29" i="30"/>
  <c r="L29" i="30"/>
  <c r="Z29" i="30"/>
  <c r="R29" i="30"/>
  <c r="T29" i="30"/>
  <c r="Y29" i="30"/>
  <c r="W29" i="30"/>
  <c r="AN29" i="30"/>
  <c r="AI29" i="30"/>
  <c r="AO29" i="30"/>
  <c r="Q29" i="30"/>
  <c r="P29" i="30"/>
  <c r="AH29" i="30"/>
  <c r="AB29" i="30"/>
  <c r="AG29" i="30"/>
  <c r="AC29" i="30"/>
  <c r="AM29" i="30"/>
  <c r="AL29" i="30"/>
  <c r="O33" i="30"/>
  <c r="M33" i="30"/>
  <c r="W33" i="30"/>
  <c r="AB33" i="30"/>
  <c r="AI33" i="30"/>
  <c r="AF33" i="30"/>
  <c r="R33" i="30"/>
  <c r="S33" i="30"/>
  <c r="P33" i="30"/>
  <c r="Y33" i="30"/>
  <c r="AG33" i="30"/>
  <c r="X33" i="30"/>
  <c r="U33" i="30"/>
  <c r="V33" i="30"/>
  <c r="Q33" i="30"/>
  <c r="AJ33" i="30"/>
  <c r="AN33" i="30"/>
  <c r="AH33" i="30"/>
  <c r="AM33" i="30"/>
  <c r="AC33" i="30"/>
  <c r="AK33" i="30"/>
  <c r="T33" i="30"/>
  <c r="L33" i="30"/>
  <c r="AD33" i="30"/>
  <c r="AA33" i="30"/>
  <c r="AO33" i="30"/>
  <c r="Z33" i="30"/>
  <c r="N33" i="30"/>
  <c r="AL33" i="30"/>
  <c r="AE33" i="30"/>
  <c r="AK69" i="30"/>
  <c r="P69" i="30"/>
  <c r="U69" i="30"/>
  <c r="L69" i="30"/>
  <c r="M69" i="30"/>
  <c r="Z69" i="30"/>
  <c r="W69" i="30"/>
  <c r="O69" i="30"/>
  <c r="AH69" i="30"/>
  <c r="V69" i="30"/>
  <c r="AF69" i="30"/>
  <c r="AL69" i="30"/>
  <c r="R69" i="30"/>
  <c r="AC69" i="30"/>
  <c r="X69" i="30"/>
  <c r="AB69" i="30"/>
  <c r="AO69" i="30"/>
  <c r="T69" i="30"/>
  <c r="Y69" i="30"/>
  <c r="AN69" i="30"/>
  <c r="AE69" i="30"/>
  <c r="AJ69" i="30"/>
  <c r="AG69" i="30"/>
  <c r="AI69" i="30"/>
  <c r="AA69" i="30"/>
  <c r="N69" i="30"/>
  <c r="AD69" i="30"/>
  <c r="Q69" i="30"/>
  <c r="AM69" i="30"/>
  <c r="S69" i="30"/>
  <c r="O132" i="30"/>
  <c r="Y132" i="30"/>
  <c r="AD132" i="30"/>
  <c r="AA132" i="30"/>
  <c r="AH132" i="30"/>
  <c r="AI132" i="30"/>
  <c r="AL132" i="30"/>
  <c r="Z132" i="30"/>
  <c r="M132" i="30"/>
  <c r="T132" i="30"/>
  <c r="Q132" i="30"/>
  <c r="AB132" i="30"/>
  <c r="U132" i="30"/>
  <c r="AJ132" i="30"/>
  <c r="S132" i="30"/>
  <c r="L132" i="30"/>
  <c r="AC132" i="30"/>
  <c r="W132" i="30"/>
  <c r="AE132" i="30"/>
  <c r="AK132" i="30"/>
  <c r="AM132" i="30"/>
  <c r="N132" i="30"/>
  <c r="R132" i="30"/>
  <c r="AF132" i="30"/>
  <c r="AN132" i="30"/>
  <c r="AG132" i="30"/>
  <c r="AO132" i="30"/>
  <c r="X132" i="30"/>
  <c r="V132" i="30"/>
  <c r="P132" i="30"/>
  <c r="N89" i="30"/>
  <c r="V89" i="30"/>
  <c r="AD89" i="30"/>
  <c r="AL89" i="30"/>
  <c r="S89" i="30"/>
  <c r="AA89" i="30"/>
  <c r="AI89" i="30"/>
  <c r="L89" i="30"/>
  <c r="T89" i="30"/>
  <c r="AB89" i="30"/>
  <c r="AJ89" i="30"/>
  <c r="M89" i="30"/>
  <c r="Q89" i="30"/>
  <c r="U89" i="30"/>
  <c r="Y89" i="30"/>
  <c r="R89" i="30"/>
  <c r="Z89" i="30"/>
  <c r="AH89" i="30"/>
  <c r="O89" i="30"/>
  <c r="W89" i="30"/>
  <c r="AE89" i="30"/>
  <c r="AM89" i="30"/>
  <c r="P89" i="30"/>
  <c r="X89" i="30"/>
  <c r="AF89" i="30"/>
  <c r="AN89" i="30"/>
  <c r="AC89" i="30"/>
  <c r="AG89" i="30"/>
  <c r="AK89" i="30"/>
  <c r="AO89" i="30"/>
  <c r="P61" i="30"/>
  <c r="AN61" i="30"/>
  <c r="AA61" i="30"/>
  <c r="AH61" i="30"/>
  <c r="L61" i="30"/>
  <c r="O61" i="30"/>
  <c r="AG61" i="30"/>
  <c r="N61" i="30"/>
  <c r="T61" i="30"/>
  <c r="S61" i="30"/>
  <c r="AF61" i="30"/>
  <c r="M61" i="30"/>
  <c r="AJ61" i="30"/>
  <c r="W61" i="30"/>
  <c r="U61" i="30"/>
  <c r="X61" i="30"/>
  <c r="AE61" i="30"/>
  <c r="AD61" i="30"/>
  <c r="AM61" i="30"/>
  <c r="AB61" i="30"/>
  <c r="AK61" i="30"/>
  <c r="AO61" i="30"/>
  <c r="R61" i="30"/>
  <c r="Z61" i="30"/>
  <c r="AI61" i="30"/>
  <c r="Q61" i="30"/>
  <c r="AC61" i="30"/>
  <c r="V61" i="30"/>
  <c r="Y61" i="30"/>
  <c r="AL61" i="30"/>
  <c r="M50" i="30"/>
  <c r="W50" i="30"/>
  <c r="X50" i="30"/>
  <c r="AA50" i="30"/>
  <c r="P50" i="30"/>
  <c r="AL50" i="30"/>
  <c r="AK50" i="30"/>
  <c r="AN50" i="30"/>
  <c r="AJ50" i="30"/>
  <c r="R50" i="30"/>
  <c r="Q50" i="30"/>
  <c r="AF50" i="30"/>
  <c r="AB50" i="30"/>
  <c r="N50" i="30"/>
  <c r="Y50" i="30"/>
  <c r="AO50" i="30"/>
  <c r="T50" i="30"/>
  <c r="Z50" i="30"/>
  <c r="L50" i="30"/>
  <c r="S50" i="30"/>
  <c r="O50" i="30"/>
  <c r="V50" i="30"/>
  <c r="U50" i="30"/>
  <c r="AM50" i="30"/>
  <c r="AH50" i="30"/>
  <c r="AG50" i="30"/>
  <c r="AI50" i="30"/>
  <c r="AE50" i="30"/>
  <c r="AD50" i="30"/>
  <c r="AC50" i="30"/>
  <c r="U130" i="30"/>
  <c r="M130" i="30"/>
  <c r="AI130" i="30"/>
  <c r="W130" i="30"/>
  <c r="X130" i="30"/>
  <c r="AM130" i="30"/>
  <c r="N130" i="30"/>
  <c r="AH130" i="30"/>
  <c r="AE130" i="30"/>
  <c r="AF130" i="30"/>
  <c r="AO130" i="30"/>
  <c r="AJ130" i="30"/>
  <c r="P130" i="30"/>
  <c r="AC130" i="30"/>
  <c r="Z130" i="30"/>
  <c r="AG130" i="30"/>
  <c r="S130" i="30"/>
  <c r="AB130" i="30"/>
  <c r="Y130" i="30"/>
  <c r="T130" i="30"/>
  <c r="AD130" i="30"/>
  <c r="Q130" i="30"/>
  <c r="AA130" i="30"/>
  <c r="R130" i="30"/>
  <c r="O130" i="30"/>
  <c r="AN130" i="30"/>
  <c r="V130" i="30"/>
  <c r="L130" i="30"/>
  <c r="AL130" i="30"/>
  <c r="AK130" i="30"/>
  <c r="S63" i="30"/>
  <c r="AO63" i="30"/>
  <c r="P63" i="30"/>
  <c r="AH63" i="30"/>
  <c r="T63" i="30"/>
  <c r="AG63" i="30"/>
  <c r="AE63" i="30"/>
  <c r="AF63" i="30"/>
  <c r="R63" i="30"/>
  <c r="V63" i="30"/>
  <c r="W63" i="30"/>
  <c r="AI63" i="30"/>
  <c r="AB63" i="30"/>
  <c r="AA63" i="30"/>
  <c r="U63" i="30"/>
  <c r="AN63" i="30"/>
  <c r="AC63" i="30"/>
  <c r="AK63" i="30"/>
  <c r="Y63" i="30"/>
  <c r="AL63" i="30"/>
  <c r="Z63" i="30"/>
  <c r="N63" i="30"/>
  <c r="L63" i="30"/>
  <c r="AM63" i="30"/>
  <c r="M63" i="30"/>
  <c r="AD63" i="30"/>
  <c r="X63" i="30"/>
  <c r="Q63" i="30"/>
  <c r="O63" i="30"/>
  <c r="AJ63" i="30"/>
  <c r="M128" i="30"/>
  <c r="T128" i="30"/>
  <c r="U128" i="30"/>
  <c r="AM128" i="30"/>
  <c r="AC128" i="30"/>
  <c r="AN128" i="30"/>
  <c r="AE128" i="30"/>
  <c r="AL128" i="30"/>
  <c r="P128" i="30"/>
  <c r="V128" i="30"/>
  <c r="X128" i="30"/>
  <c r="AD128" i="30"/>
  <c r="AK128" i="30"/>
  <c r="N128" i="30"/>
  <c r="AI128" i="30"/>
  <c r="AF128" i="30"/>
  <c r="O128" i="30"/>
  <c r="AH128" i="30"/>
  <c r="AG128" i="30"/>
  <c r="AB128" i="30"/>
  <c r="AA128" i="30"/>
  <c r="Z128" i="30"/>
  <c r="Y128" i="30"/>
  <c r="W128" i="30"/>
  <c r="R128" i="30"/>
  <c r="Q128" i="30"/>
  <c r="L128" i="30"/>
  <c r="S128" i="30"/>
  <c r="AO128" i="30"/>
  <c r="AJ128" i="30"/>
  <c r="AB90" i="30"/>
  <c r="O90" i="30"/>
  <c r="AN90" i="30"/>
  <c r="AA90" i="30"/>
  <c r="AD90" i="30"/>
  <c r="AO90" i="30"/>
  <c r="AC90" i="30"/>
  <c r="P90" i="30"/>
  <c r="S90" i="30"/>
  <c r="Z90" i="30"/>
  <c r="T90" i="30"/>
  <c r="AF90" i="30"/>
  <c r="N90" i="30"/>
  <c r="W90" i="30"/>
  <c r="Q90" i="30"/>
  <c r="AE90" i="30"/>
  <c r="AL90" i="30"/>
  <c r="AK90" i="30"/>
  <c r="AJ90" i="30"/>
  <c r="M90" i="30"/>
  <c r="AG90" i="30"/>
  <c r="AM90" i="30"/>
  <c r="L90" i="30"/>
  <c r="Y90" i="30"/>
  <c r="AH90" i="30"/>
  <c r="X90" i="30"/>
  <c r="R90" i="30"/>
  <c r="AI90" i="30"/>
  <c r="V90" i="30"/>
  <c r="U90" i="30"/>
  <c r="T91" i="30"/>
  <c r="M91" i="30"/>
  <c r="AJ91" i="30"/>
  <c r="S91" i="30"/>
  <c r="Y91" i="30"/>
  <c r="AB91" i="30"/>
  <c r="AA91" i="30"/>
  <c r="V91" i="30"/>
  <c r="AC91" i="30"/>
  <c r="AN91" i="30"/>
  <c r="AM91" i="30"/>
  <c r="AH91" i="30"/>
  <c r="AG91" i="30"/>
  <c r="P91" i="30"/>
  <c r="O91" i="30"/>
  <c r="AD91" i="30"/>
  <c r="N91" i="30"/>
  <c r="Z91" i="30"/>
  <c r="U91" i="30"/>
  <c r="AI91" i="30"/>
  <c r="Q91" i="30"/>
  <c r="L91" i="30"/>
  <c r="AL91" i="30"/>
  <c r="AK91" i="30"/>
  <c r="X91" i="30"/>
  <c r="W91" i="30"/>
  <c r="R91" i="30"/>
  <c r="AO91" i="30"/>
  <c r="AF91" i="30"/>
  <c r="AE91" i="30"/>
  <c r="AB36" i="30"/>
  <c r="AM36" i="30"/>
  <c r="R36" i="30"/>
  <c r="AJ36" i="30"/>
  <c r="AN36" i="30"/>
  <c r="AD36" i="30"/>
  <c r="N36" i="30"/>
  <c r="AH36" i="30"/>
  <c r="AI36" i="30"/>
  <c r="O36" i="30"/>
  <c r="AE36" i="30"/>
  <c r="M36" i="30"/>
  <c r="AF36" i="30"/>
  <c r="W36" i="30"/>
  <c r="AG36" i="30"/>
  <c r="AL36" i="30"/>
  <c r="X36" i="30"/>
  <c r="T36" i="30"/>
  <c r="S36" i="30"/>
  <c r="P36" i="30"/>
  <c r="Y36" i="30"/>
  <c r="Q36" i="30"/>
  <c r="Z36" i="30"/>
  <c r="AK36" i="30"/>
  <c r="U36" i="30"/>
  <c r="AA36" i="30"/>
  <c r="L36" i="30"/>
  <c r="AC36" i="30"/>
  <c r="V36" i="30"/>
  <c r="AO36" i="30"/>
  <c r="V144" i="30"/>
  <c r="T144" i="30"/>
  <c r="AD144" i="30"/>
  <c r="M144" i="30"/>
  <c r="R144" i="30"/>
  <c r="AF144" i="30"/>
  <c r="L144" i="30"/>
  <c r="AN144" i="30"/>
  <c r="AA144" i="30"/>
  <c r="AI144" i="30"/>
  <c r="P144" i="30"/>
  <c r="X144" i="30"/>
  <c r="Z144" i="30"/>
  <c r="AH144" i="30"/>
  <c r="AG144" i="30"/>
  <c r="Y144" i="30"/>
  <c r="AE144" i="30"/>
  <c r="S144" i="30"/>
  <c r="AO144" i="30"/>
  <c r="W144" i="30"/>
  <c r="AJ144" i="30"/>
  <c r="Q144" i="30"/>
  <c r="O144" i="30"/>
  <c r="AL144" i="30"/>
  <c r="N144" i="30"/>
  <c r="AK144" i="30"/>
  <c r="AC144" i="30"/>
  <c r="AM144" i="30"/>
  <c r="AB144" i="30"/>
  <c r="U144" i="30"/>
  <c r="L88" i="30"/>
  <c r="T88" i="30"/>
  <c r="AB88" i="30"/>
  <c r="AJ88" i="30"/>
  <c r="M88" i="30"/>
  <c r="U88" i="30"/>
  <c r="AC88" i="30"/>
  <c r="AK88" i="30"/>
  <c r="N88" i="30"/>
  <c r="V88" i="30"/>
  <c r="AD88" i="30"/>
  <c r="AL88" i="30"/>
  <c r="O88" i="30"/>
  <c r="S88" i="30"/>
  <c r="W88" i="30"/>
  <c r="P88" i="30"/>
  <c r="X88" i="30"/>
  <c r="AF88" i="30"/>
  <c r="AN88" i="30"/>
  <c r="Q88" i="30"/>
  <c r="Y88" i="30"/>
  <c r="AG88" i="30"/>
  <c r="AO88" i="30"/>
  <c r="R88" i="30"/>
  <c r="Z88" i="30"/>
  <c r="AH88" i="30"/>
  <c r="AA88" i="30"/>
  <c r="AE88" i="30"/>
  <c r="AI88" i="30"/>
  <c r="AM88" i="30"/>
  <c r="T145" i="30"/>
  <c r="L145" i="30"/>
  <c r="AH145" i="30"/>
  <c r="AD145" i="30"/>
  <c r="O145" i="30"/>
  <c r="Z145" i="30"/>
  <c r="S145" i="30"/>
  <c r="AJ145" i="30"/>
  <c r="AG145" i="30"/>
  <c r="W145" i="30"/>
  <c r="AC145" i="30"/>
  <c r="N145" i="30"/>
  <c r="AN145" i="30"/>
  <c r="AM145" i="30"/>
  <c r="Q145" i="30"/>
  <c r="AK145" i="30"/>
  <c r="AL145" i="30"/>
  <c r="AB145" i="30"/>
  <c r="AI145" i="30"/>
  <c r="AF145" i="30"/>
  <c r="Y145" i="30"/>
  <c r="X145" i="30"/>
  <c r="V145" i="30"/>
  <c r="M145" i="30"/>
  <c r="AE145" i="30"/>
  <c r="AO145" i="30"/>
  <c r="U145" i="30"/>
  <c r="AA145" i="30"/>
  <c r="P145" i="30"/>
  <c r="R145" i="30"/>
  <c r="W64" i="30"/>
  <c r="AD64" i="30"/>
  <c r="L64" i="30"/>
  <c r="AJ64" i="30"/>
  <c r="M64" i="30"/>
  <c r="AH64" i="30"/>
  <c r="Q64" i="30"/>
  <c r="S64" i="30"/>
  <c r="X64" i="30"/>
  <c r="AB64" i="30"/>
  <c r="V64" i="30"/>
  <c r="O64" i="30"/>
  <c r="AI64" i="30"/>
  <c r="AC64" i="30"/>
  <c r="Y64" i="30"/>
  <c r="N64" i="30"/>
  <c r="U64" i="30"/>
  <c r="AG64" i="30"/>
  <c r="T64" i="30"/>
  <c r="R64" i="30"/>
  <c r="AA64" i="30"/>
  <c r="AM64" i="30"/>
  <c r="AE64" i="30"/>
  <c r="P64" i="30"/>
  <c r="AN64" i="30"/>
  <c r="AF64" i="30"/>
  <c r="AO64" i="30"/>
  <c r="AK64" i="30"/>
  <c r="AL64" i="30"/>
  <c r="Z64" i="30"/>
  <c r="AH127" i="30"/>
  <c r="W127" i="30"/>
  <c r="X127" i="30"/>
  <c r="AM127" i="30"/>
  <c r="R127" i="30"/>
  <c r="U127" i="30"/>
  <c r="T127" i="30"/>
  <c r="S127" i="30"/>
  <c r="N127" i="30"/>
  <c r="AG127" i="30"/>
  <c r="P127" i="30"/>
  <c r="O127" i="30"/>
  <c r="Y127" i="30"/>
  <c r="AB127" i="30"/>
  <c r="AA127" i="30"/>
  <c r="V127" i="30"/>
  <c r="AN127" i="30"/>
  <c r="AK127" i="30"/>
  <c r="AC127" i="30"/>
  <c r="M127" i="30"/>
  <c r="AJ127" i="30"/>
  <c r="AI127" i="30"/>
  <c r="AD127" i="30"/>
  <c r="AO127" i="30"/>
  <c r="AF127" i="30"/>
  <c r="AE127" i="30"/>
  <c r="Z127" i="30"/>
  <c r="Q127" i="30"/>
  <c r="L127" i="30"/>
  <c r="AL127" i="30"/>
  <c r="R28" i="30"/>
  <c r="W28" i="30"/>
  <c r="Z28" i="30"/>
  <c r="AB28" i="30"/>
  <c r="O28" i="30"/>
  <c r="Q28" i="30"/>
  <c r="AO28" i="30"/>
  <c r="P28" i="30"/>
  <c r="M28" i="30"/>
  <c r="N28" i="30"/>
  <c r="T28" i="30"/>
  <c r="AN28" i="30"/>
  <c r="U28" i="30"/>
  <c r="V28" i="30"/>
  <c r="AJ28" i="30"/>
  <c r="AF28" i="30"/>
  <c r="AM28" i="30"/>
  <c r="AG28" i="30"/>
  <c r="Y28" i="30"/>
  <c r="L28" i="30"/>
  <c r="AE28" i="30"/>
  <c r="AC28" i="30"/>
  <c r="AD28" i="30"/>
  <c r="AA28" i="30"/>
  <c r="X28" i="30"/>
  <c r="AK28" i="30"/>
  <c r="AL28" i="30"/>
  <c r="S28" i="30"/>
  <c r="AI28" i="30"/>
  <c r="AH28" i="30"/>
  <c r="F25" i="30"/>
  <c r="AV25" i="30"/>
  <c r="P25" i="30"/>
  <c r="AJ25" i="30"/>
  <c r="AD25" i="30"/>
  <c r="L25" i="30"/>
  <c r="Y25" i="30"/>
  <c r="W25" i="30"/>
  <c r="AI25" i="30"/>
  <c r="AC25" i="30"/>
  <c r="R25" i="30"/>
  <c r="O25" i="30"/>
  <c r="AH25" i="30"/>
  <c r="T25" i="30"/>
  <c r="AK25" i="30"/>
  <c r="V25" i="30"/>
  <c r="AG25" i="30"/>
  <c r="AL25" i="30"/>
  <c r="AB25" i="30"/>
  <c r="AE25" i="30"/>
  <c r="M25" i="30"/>
  <c r="N25" i="30"/>
  <c r="Q25" i="30"/>
  <c r="AA25" i="30"/>
  <c r="AF25" i="30"/>
  <c r="AN25" i="30"/>
  <c r="S25" i="30"/>
  <c r="AO25" i="30"/>
  <c r="X25" i="30"/>
  <c r="Z25" i="30"/>
  <c r="U25" i="30"/>
  <c r="AM25" i="30"/>
  <c r="W27" i="30"/>
  <c r="N27" i="30"/>
  <c r="X27" i="30"/>
  <c r="AA27" i="30"/>
  <c r="AB27" i="30"/>
  <c r="Y27" i="30"/>
  <c r="AG27" i="30"/>
  <c r="AE27" i="30"/>
  <c r="AF27" i="30"/>
  <c r="AK27" i="30"/>
  <c r="M27" i="30"/>
  <c r="AJ27" i="30"/>
  <c r="V27" i="30"/>
  <c r="AN27" i="30"/>
  <c r="S27" i="30"/>
  <c r="AH27" i="30"/>
  <c r="L27" i="30"/>
  <c r="R27" i="30"/>
  <c r="AL27" i="30"/>
  <c r="O27" i="30"/>
  <c r="P27" i="30"/>
  <c r="Z27" i="30"/>
  <c r="U27" i="30"/>
  <c r="AI27" i="30"/>
  <c r="Q27" i="30"/>
  <c r="AM27" i="30"/>
  <c r="AC27" i="30"/>
  <c r="T27" i="30"/>
  <c r="AD27" i="30"/>
  <c r="AO27" i="30"/>
  <c r="R16" i="30"/>
  <c r="W16" i="30"/>
  <c r="X16" i="30"/>
  <c r="AO16" i="30"/>
  <c r="V16" i="30"/>
  <c r="AA16" i="30"/>
  <c r="AB16" i="30"/>
  <c r="AG16" i="30"/>
  <c r="O16" i="30"/>
  <c r="P16" i="30"/>
  <c r="AK16" i="30"/>
  <c r="N16" i="30"/>
  <c r="S16" i="30"/>
  <c r="T16" i="30"/>
  <c r="Y16" i="30"/>
  <c r="AH16" i="30"/>
  <c r="AM16" i="30"/>
  <c r="AN16" i="30"/>
  <c r="Q16" i="30"/>
  <c r="AL16" i="30"/>
  <c r="L16" i="30"/>
  <c r="U16" i="30"/>
  <c r="Z16" i="30"/>
  <c r="AE16" i="30"/>
  <c r="AF16" i="30"/>
  <c r="AC16" i="30"/>
  <c r="AD16" i="30"/>
  <c r="AI16" i="30"/>
  <c r="AJ16" i="30"/>
  <c r="M16" i="30"/>
  <c r="F24" i="30"/>
  <c r="AD24" i="30"/>
  <c r="O24" i="30"/>
  <c r="AE24" i="30"/>
  <c r="AG24" i="30"/>
  <c r="AV24" i="30"/>
  <c r="AF24" i="30"/>
  <c r="AB24" i="30"/>
  <c r="N24" i="30"/>
  <c r="AI24" i="30"/>
  <c r="L24" i="30"/>
  <c r="Q24" i="30"/>
  <c r="Z24" i="30"/>
  <c r="AJ24" i="30"/>
  <c r="U24" i="30"/>
  <c r="R24" i="30"/>
  <c r="Y24" i="30"/>
  <c r="W24" i="30"/>
  <c r="AN24" i="30"/>
  <c r="AL24" i="30"/>
  <c r="AH24" i="30"/>
  <c r="AA24" i="30"/>
  <c r="AC24" i="30"/>
  <c r="V24" i="30"/>
  <c r="P24" i="30"/>
  <c r="S24" i="30"/>
  <c r="AK24" i="30"/>
  <c r="T24" i="30"/>
  <c r="AM24" i="30"/>
  <c r="M24" i="30"/>
  <c r="AO24" i="30"/>
  <c r="X24" i="30"/>
  <c r="AB122" i="30"/>
  <c r="AD122" i="30"/>
  <c r="AF122" i="30"/>
  <c r="AH122" i="30"/>
  <c r="Q122" i="30"/>
  <c r="L122" i="30"/>
  <c r="AM122" i="30"/>
  <c r="T122" i="30"/>
  <c r="U122" i="30"/>
  <c r="V122" i="30"/>
  <c r="O122" i="30"/>
  <c r="AN122" i="30"/>
  <c r="AO122" i="30"/>
  <c r="W122" i="30"/>
  <c r="AC122" i="30"/>
  <c r="AI122" i="30"/>
  <c r="AG122" i="30"/>
  <c r="S122" i="30"/>
  <c r="AA122" i="30"/>
  <c r="N122" i="30"/>
  <c r="P122" i="30"/>
  <c r="M122" i="30"/>
  <c r="R122" i="30"/>
  <c r="AJ122" i="30"/>
  <c r="AK122" i="30"/>
  <c r="AL122" i="30"/>
  <c r="X122" i="30"/>
  <c r="Y122" i="30"/>
  <c r="Z122" i="30"/>
  <c r="AE122" i="30"/>
  <c r="AN59" i="30"/>
  <c r="AO59" i="30"/>
  <c r="Q59" i="30"/>
  <c r="AK59" i="30"/>
  <c r="W59" i="30"/>
  <c r="AA59" i="30"/>
  <c r="M59" i="30"/>
  <c r="L59" i="30"/>
  <c r="R59" i="30"/>
  <c r="P59" i="30"/>
  <c r="AB59" i="30"/>
  <c r="AG59" i="30"/>
  <c r="AJ59" i="30"/>
  <c r="V59" i="30"/>
  <c r="AL59" i="30"/>
  <c r="AF59" i="30"/>
  <c r="AM59" i="30"/>
  <c r="T59" i="30"/>
  <c r="AD59" i="30"/>
  <c r="X59" i="30"/>
  <c r="AE59" i="30"/>
  <c r="AI59" i="30"/>
  <c r="AC59" i="30"/>
  <c r="O59" i="30"/>
  <c r="AH59" i="30"/>
  <c r="Z59" i="30"/>
  <c r="N59" i="30"/>
  <c r="S59" i="30"/>
  <c r="U59" i="30"/>
  <c r="Y59" i="30"/>
  <c r="AN20" i="30"/>
  <c r="AK20" i="30"/>
  <c r="T20" i="30"/>
  <c r="AD20" i="30"/>
  <c r="AA20" i="30"/>
  <c r="L20" i="30"/>
  <c r="Q20" i="30"/>
  <c r="AE20" i="30"/>
  <c r="AC20" i="30"/>
  <c r="AO20" i="30"/>
  <c r="P20" i="30"/>
  <c r="W20" i="30"/>
  <c r="AG20" i="30"/>
  <c r="AL20" i="30"/>
  <c r="AI20" i="30"/>
  <c r="X20" i="30"/>
  <c r="N20" i="30"/>
  <c r="Z20" i="30"/>
  <c r="AB20" i="30"/>
  <c r="S20" i="30"/>
  <c r="AM20" i="30"/>
  <c r="M20" i="30"/>
  <c r="AJ20" i="30"/>
  <c r="V20" i="30"/>
  <c r="O20" i="30"/>
  <c r="AF20" i="30"/>
  <c r="R20" i="30"/>
  <c r="U20" i="30"/>
  <c r="Y20" i="30"/>
  <c r="AH20" i="30"/>
  <c r="N58" i="30"/>
  <c r="V58" i="30"/>
  <c r="AD58" i="30"/>
  <c r="AL58" i="30"/>
  <c r="T58" i="30"/>
  <c r="AE58" i="30"/>
  <c r="AO58" i="30"/>
  <c r="U58" i="30"/>
  <c r="AF58" i="30"/>
  <c r="M58" i="30"/>
  <c r="AI58" i="30"/>
  <c r="AB58" i="30"/>
  <c r="S58" i="30"/>
  <c r="AN58" i="30"/>
  <c r="W58" i="30"/>
  <c r="R58" i="30"/>
  <c r="Z58" i="30"/>
  <c r="AH58" i="30"/>
  <c r="O58" i="30"/>
  <c r="Y58" i="30"/>
  <c r="AJ58" i="30"/>
  <c r="P58" i="30"/>
  <c r="AA58" i="30"/>
  <c r="AK58" i="30"/>
  <c r="X58" i="30"/>
  <c r="Q58" i="30"/>
  <c r="AM58" i="30"/>
  <c r="AC58" i="30"/>
  <c r="L58" i="30"/>
  <c r="AG58" i="30"/>
  <c r="V53" i="30"/>
  <c r="L53" i="30"/>
  <c r="O53" i="30"/>
  <c r="P53" i="30"/>
  <c r="Z53" i="30"/>
  <c r="AD53" i="30"/>
  <c r="S53" i="30"/>
  <c r="T53" i="30"/>
  <c r="AH53" i="30"/>
  <c r="AL53" i="30"/>
  <c r="W53" i="30"/>
  <c r="M53" i="30"/>
  <c r="AA53" i="30"/>
  <c r="U53" i="30"/>
  <c r="N53" i="30"/>
  <c r="R53" i="30"/>
  <c r="AN53" i="30"/>
  <c r="AE53" i="30"/>
  <c r="AF53" i="30"/>
  <c r="AC53" i="30"/>
  <c r="AG53" i="30"/>
  <c r="AI53" i="30"/>
  <c r="AJ53" i="30"/>
  <c r="AK53" i="30"/>
  <c r="AO53" i="30"/>
  <c r="X53" i="30"/>
  <c r="Q53" i="30"/>
  <c r="AB53" i="30"/>
  <c r="Y53" i="30"/>
  <c r="AM53" i="30"/>
  <c r="N83" i="30"/>
  <c r="V83" i="30"/>
  <c r="AD83" i="30"/>
  <c r="AL83" i="30"/>
  <c r="S83" i="30"/>
  <c r="AA83" i="30"/>
  <c r="AI83" i="30"/>
  <c r="L83" i="30"/>
  <c r="T83" i="30"/>
  <c r="AB83" i="30"/>
  <c r="AJ83" i="30"/>
  <c r="Q83" i="30"/>
  <c r="U83" i="30"/>
  <c r="Y83" i="30"/>
  <c r="M83" i="30"/>
  <c r="R83" i="30"/>
  <c r="Z83" i="30"/>
  <c r="AH83" i="30"/>
  <c r="O83" i="30"/>
  <c r="W83" i="30"/>
  <c r="AE83" i="30"/>
  <c r="AM83" i="30"/>
  <c r="P83" i="30"/>
  <c r="X83" i="30"/>
  <c r="AF83" i="30"/>
  <c r="AN83" i="30"/>
  <c r="AG83" i="30"/>
  <c r="AK83" i="30"/>
  <c r="AO83" i="30"/>
  <c r="AC83" i="30"/>
  <c r="AB66" i="30"/>
  <c r="O66" i="30"/>
  <c r="P66" i="30"/>
  <c r="N66" i="30"/>
  <c r="T66" i="30"/>
  <c r="AG66" i="30"/>
  <c r="AH66" i="30"/>
  <c r="AC66" i="30"/>
  <c r="Z66" i="30"/>
  <c r="AK66" i="30"/>
  <c r="V66" i="30"/>
  <c r="Y66" i="30"/>
  <c r="AN66" i="30"/>
  <c r="AI66" i="30"/>
  <c r="S66" i="30"/>
  <c r="AE66" i="30"/>
  <c r="R66" i="30"/>
  <c r="AF66" i="30"/>
  <c r="AM66" i="30"/>
  <c r="AO66" i="30"/>
  <c r="Q66" i="30"/>
  <c r="AJ66" i="30"/>
  <c r="M66" i="30"/>
  <c r="L66" i="30"/>
  <c r="AD66" i="30"/>
  <c r="AA66" i="30"/>
  <c r="X66" i="30"/>
  <c r="W66" i="30"/>
  <c r="U66" i="30"/>
  <c r="AL66" i="30"/>
  <c r="V72" i="30"/>
  <c r="O72" i="30"/>
  <c r="L72" i="30"/>
  <c r="AF72" i="30"/>
  <c r="AA72" i="30"/>
  <c r="Y72" i="30"/>
  <c r="AK72" i="30"/>
  <c r="S72" i="30"/>
  <c r="AC72" i="30"/>
  <c r="Q72" i="30"/>
  <c r="AB72" i="30"/>
  <c r="U72" i="30"/>
  <c r="AL72" i="30"/>
  <c r="T72" i="30"/>
  <c r="M72" i="30"/>
  <c r="AI72" i="30"/>
  <c r="AD72" i="30"/>
  <c r="AJ72" i="30"/>
  <c r="AM72" i="30"/>
  <c r="Z72" i="30"/>
  <c r="AO72" i="30"/>
  <c r="AN72" i="30"/>
  <c r="W72" i="30"/>
  <c r="X72" i="30"/>
  <c r="P72" i="30"/>
  <c r="AG72" i="30"/>
  <c r="R72" i="30"/>
  <c r="AE72" i="30"/>
  <c r="N72" i="30"/>
  <c r="AH72" i="30"/>
  <c r="L95" i="30"/>
  <c r="N95" i="30"/>
  <c r="AE95" i="30"/>
  <c r="AF95" i="30"/>
  <c r="V95" i="30"/>
  <c r="AH95" i="30"/>
  <c r="AI95" i="30"/>
  <c r="AJ95" i="30"/>
  <c r="AD95" i="30"/>
  <c r="R95" i="30"/>
  <c r="AN95" i="30"/>
  <c r="M95" i="30"/>
  <c r="X95" i="30"/>
  <c r="AB95" i="30"/>
  <c r="AA95" i="30"/>
  <c r="AK95" i="30"/>
  <c r="O95" i="30"/>
  <c r="P95" i="30"/>
  <c r="U95" i="30"/>
  <c r="Y95" i="30"/>
  <c r="S95" i="30"/>
  <c r="T95" i="30"/>
  <c r="AC95" i="30"/>
  <c r="AG95" i="30"/>
  <c r="AM95" i="30"/>
  <c r="AL95" i="30"/>
  <c r="Q95" i="30"/>
  <c r="AO95" i="30"/>
  <c r="Z95" i="30"/>
  <c r="W95" i="30"/>
  <c r="T67" i="30"/>
  <c r="AA67" i="30"/>
  <c r="AM67" i="30"/>
  <c r="AK67" i="30"/>
  <c r="AN67" i="30"/>
  <c r="W67" i="30"/>
  <c r="AI67" i="30"/>
  <c r="L67" i="30"/>
  <c r="Q67" i="30"/>
  <c r="AC67" i="30"/>
  <c r="O67" i="30"/>
  <c r="P67" i="30"/>
  <c r="V67" i="30"/>
  <c r="AH67" i="30"/>
  <c r="Z67" i="30"/>
  <c r="AJ67" i="30"/>
  <c r="R67" i="30"/>
  <c r="Y67" i="30"/>
  <c r="X67" i="30"/>
  <c r="AG67" i="30"/>
  <c r="U67" i="30"/>
  <c r="AD67" i="30"/>
  <c r="AB67" i="30"/>
  <c r="AL67" i="30"/>
  <c r="AE67" i="30"/>
  <c r="AO67" i="30"/>
  <c r="AF67" i="30"/>
  <c r="M67" i="30"/>
  <c r="N67" i="30"/>
  <c r="S67" i="30"/>
  <c r="T179" i="30"/>
  <c r="W179" i="30"/>
  <c r="O179" i="30"/>
  <c r="AI179" i="30"/>
  <c r="AB179" i="30"/>
  <c r="AL179" i="30"/>
  <c r="Q179" i="30"/>
  <c r="AD179" i="30"/>
  <c r="M179" i="30"/>
  <c r="AC179" i="30"/>
  <c r="AG179" i="30"/>
  <c r="AF179" i="30"/>
  <c r="AA179" i="30"/>
  <c r="Z179" i="30"/>
  <c r="P179" i="30"/>
  <c r="R179" i="30"/>
  <c r="L179" i="30"/>
  <c r="V179" i="30"/>
  <c r="AO179" i="30"/>
  <c r="AN179" i="30"/>
  <c r="AE179" i="30"/>
  <c r="AH179" i="30"/>
  <c r="U179" i="30"/>
  <c r="AM179" i="30"/>
  <c r="S179" i="30"/>
  <c r="Y179" i="30"/>
  <c r="X179" i="30"/>
  <c r="N179" i="30"/>
  <c r="AK179" i="30"/>
  <c r="AJ179" i="30"/>
  <c r="V208" i="30"/>
  <c r="Y208" i="30"/>
  <c r="O208" i="30"/>
  <c r="AG208" i="30"/>
  <c r="S208" i="30"/>
  <c r="U208" i="30"/>
  <c r="W208" i="30"/>
  <c r="AK208" i="30"/>
  <c r="AB208" i="30"/>
  <c r="AE208" i="30"/>
  <c r="AO208" i="30"/>
  <c r="AI208" i="30"/>
  <c r="M208" i="30"/>
  <c r="AM208" i="30"/>
  <c r="AC208" i="30"/>
  <c r="AA208" i="30"/>
  <c r="Q208" i="30"/>
  <c r="P208" i="30"/>
  <c r="N208" i="30"/>
  <c r="T208" i="30"/>
  <c r="R208" i="30"/>
  <c r="X208" i="30"/>
  <c r="AL208" i="30"/>
  <c r="Z208" i="30"/>
  <c r="AF208" i="30"/>
  <c r="AD208" i="30"/>
  <c r="AJ208" i="30"/>
  <c r="AH208" i="30"/>
  <c r="AN208" i="30"/>
  <c r="L208" i="30"/>
  <c r="F281" i="30"/>
  <c r="O281" i="30"/>
  <c r="P281" i="30"/>
  <c r="AG281" i="30"/>
  <c r="N281" i="30"/>
  <c r="S281" i="30"/>
  <c r="T281" i="30"/>
  <c r="AC281" i="30"/>
  <c r="R281" i="30"/>
  <c r="W281" i="30"/>
  <c r="X281" i="30"/>
  <c r="U281" i="30"/>
  <c r="V281" i="30"/>
  <c r="AA281" i="30"/>
  <c r="AB281" i="30"/>
  <c r="AK281" i="30"/>
  <c r="Z281" i="30"/>
  <c r="AE281" i="30"/>
  <c r="AF281" i="30"/>
  <c r="Y281" i="30"/>
  <c r="AD281" i="30"/>
  <c r="AI281" i="30"/>
  <c r="AJ281" i="30"/>
  <c r="AO281" i="30"/>
  <c r="AH281" i="30"/>
  <c r="AM281" i="30"/>
  <c r="AN281" i="30"/>
  <c r="M281" i="30"/>
  <c r="AL281" i="30"/>
  <c r="L281" i="30"/>
  <c r="Q281" i="30"/>
  <c r="O76" i="30"/>
  <c r="T76" i="30"/>
  <c r="Z76" i="30"/>
  <c r="P76" i="30"/>
  <c r="S76" i="30"/>
  <c r="X76" i="30"/>
  <c r="U76" i="30"/>
  <c r="AB76" i="30"/>
  <c r="AC76" i="30"/>
  <c r="Q76" i="30"/>
  <c r="Y76" i="30"/>
  <c r="N76" i="30"/>
  <c r="R76" i="30"/>
  <c r="AD76" i="30"/>
  <c r="W76" i="30"/>
  <c r="AN76" i="30"/>
  <c r="AL76" i="30"/>
  <c r="AF76" i="30"/>
  <c r="AI76" i="30"/>
  <c r="AM76" i="30"/>
  <c r="L76" i="30"/>
  <c r="AG76" i="30"/>
  <c r="AA76" i="30"/>
  <c r="V76" i="30"/>
  <c r="AO76" i="30"/>
  <c r="M76" i="30"/>
  <c r="AK76" i="30"/>
  <c r="AE76" i="30"/>
  <c r="AJ76" i="30"/>
  <c r="AH76" i="30"/>
  <c r="R103" i="30"/>
  <c r="AM103" i="30"/>
  <c r="AC103" i="30"/>
  <c r="V103" i="30"/>
  <c r="X103" i="30"/>
  <c r="M103" i="30"/>
  <c r="P103" i="30"/>
  <c r="AD103" i="30"/>
  <c r="AK103" i="30"/>
  <c r="T103" i="30"/>
  <c r="Z103" i="30"/>
  <c r="AF103" i="30"/>
  <c r="W103" i="30"/>
  <c r="N103" i="30"/>
  <c r="AN103" i="30"/>
  <c r="Q103" i="30"/>
  <c r="AL103" i="30"/>
  <c r="AB103" i="30"/>
  <c r="AI103" i="30"/>
  <c r="U103" i="30"/>
  <c r="S103" i="30"/>
  <c r="O103" i="30"/>
  <c r="AG103" i="30"/>
  <c r="L103" i="30"/>
  <c r="AH103" i="30"/>
  <c r="Y103" i="30"/>
  <c r="AE103" i="30"/>
  <c r="AO103" i="30"/>
  <c r="AJ103" i="30"/>
  <c r="AA103" i="30"/>
  <c r="R106" i="30"/>
  <c r="AA106" i="30"/>
  <c r="Q106" i="30"/>
  <c r="AO106" i="30"/>
  <c r="L106" i="30"/>
  <c r="N106" i="30"/>
  <c r="AL106" i="30"/>
  <c r="AI106" i="30"/>
  <c r="P106" i="30"/>
  <c r="X106" i="30"/>
  <c r="Z106" i="30"/>
  <c r="AB106" i="30"/>
  <c r="AD106" i="30"/>
  <c r="AK106" i="30"/>
  <c r="AF106" i="30"/>
  <c r="T106" i="30"/>
  <c r="U106" i="30"/>
  <c r="O106" i="30"/>
  <c r="AN106" i="30"/>
  <c r="W106" i="30"/>
  <c r="M106" i="30"/>
  <c r="AM106" i="30"/>
  <c r="AJ106" i="30"/>
  <c r="AG106" i="30"/>
  <c r="V106" i="30"/>
  <c r="Y106" i="30"/>
  <c r="AE106" i="30"/>
  <c r="AC106" i="30"/>
  <c r="S106" i="30"/>
  <c r="AH106" i="30"/>
  <c r="AH204" i="30"/>
  <c r="V204" i="30"/>
  <c r="L204" i="30"/>
  <c r="Z204" i="30"/>
  <c r="AL204" i="30"/>
  <c r="M204" i="30"/>
  <c r="S204" i="30"/>
  <c r="AK204" i="30"/>
  <c r="AB204" i="30"/>
  <c r="W204" i="30"/>
  <c r="AC204" i="30"/>
  <c r="AJ204" i="30"/>
  <c r="Q204" i="30"/>
  <c r="R204" i="30"/>
  <c r="U204" i="30"/>
  <c r="AA204" i="30"/>
  <c r="AF204" i="30"/>
  <c r="P204" i="30"/>
  <c r="AG204" i="30"/>
  <c r="N204" i="30"/>
  <c r="X204" i="30"/>
  <c r="T204" i="30"/>
  <c r="AO204" i="30"/>
  <c r="AM204" i="30"/>
  <c r="AN204" i="30"/>
  <c r="AE204" i="30"/>
  <c r="AD204" i="30"/>
  <c r="O204" i="30"/>
  <c r="Y204" i="30"/>
  <c r="AI204" i="30"/>
  <c r="AE41" i="30"/>
  <c r="N41" i="30"/>
  <c r="T41" i="30"/>
  <c r="AF41" i="30"/>
  <c r="M41" i="30"/>
  <c r="R41" i="30"/>
  <c r="Y41" i="30"/>
  <c r="AK41" i="30"/>
  <c r="AI41" i="30"/>
  <c r="V41" i="30"/>
  <c r="U41" i="30"/>
  <c r="AG41" i="30"/>
  <c r="Z41" i="30"/>
  <c r="AJ41" i="30"/>
  <c r="Q41" i="30"/>
  <c r="AN41" i="30"/>
  <c r="AD41" i="30"/>
  <c r="AO41" i="30"/>
  <c r="W41" i="30"/>
  <c r="X41" i="30"/>
  <c r="AH41" i="30"/>
  <c r="P41" i="30"/>
  <c r="AB41" i="30"/>
  <c r="AC41" i="30"/>
  <c r="AL41" i="30"/>
  <c r="L41" i="30"/>
  <c r="S41" i="30"/>
  <c r="O41" i="30"/>
  <c r="AA41" i="30"/>
  <c r="AM41" i="30"/>
  <c r="O212" i="30"/>
  <c r="AB212" i="30"/>
  <c r="U212" i="30"/>
  <c r="S212" i="30"/>
  <c r="AF212" i="30"/>
  <c r="AD212" i="30"/>
  <c r="Q212" i="30"/>
  <c r="T212" i="30"/>
  <c r="AA212" i="30"/>
  <c r="N212" i="30"/>
  <c r="V212" i="30"/>
  <c r="AI212" i="30"/>
  <c r="AO212" i="30"/>
  <c r="Z212" i="30"/>
  <c r="L212" i="30"/>
  <c r="M212" i="30"/>
  <c r="P212" i="30"/>
  <c r="AL212" i="30"/>
  <c r="AG212" i="30"/>
  <c r="AE212" i="30"/>
  <c r="Y212" i="30"/>
  <c r="AJ212" i="30"/>
  <c r="R212" i="30"/>
  <c r="W212" i="30"/>
  <c r="X212" i="30"/>
  <c r="AC212" i="30"/>
  <c r="AH212" i="30"/>
  <c r="AM212" i="30"/>
  <c r="AN212" i="30"/>
  <c r="AK212" i="30"/>
  <c r="AI110" i="30"/>
  <c r="U110" i="30"/>
  <c r="W110" i="30"/>
  <c r="L110" i="30"/>
  <c r="M110" i="30"/>
  <c r="N110" i="30"/>
  <c r="AE110" i="30"/>
  <c r="P110" i="30"/>
  <c r="Q110" i="30"/>
  <c r="R110" i="30"/>
  <c r="S110" i="30"/>
  <c r="AJ110" i="30"/>
  <c r="AL110" i="30"/>
  <c r="AO110" i="30"/>
  <c r="Z110" i="30"/>
  <c r="V110" i="30"/>
  <c r="Y110" i="30"/>
  <c r="AB110" i="30"/>
  <c r="AC110" i="30"/>
  <c r="AD110" i="30"/>
  <c r="AM110" i="30"/>
  <c r="AF110" i="30"/>
  <c r="AG110" i="30"/>
  <c r="AH110" i="30"/>
  <c r="AA110" i="30"/>
  <c r="AK110" i="30"/>
  <c r="AN110" i="30"/>
  <c r="O110" i="30"/>
  <c r="X110" i="30"/>
  <c r="T110" i="30"/>
  <c r="AP81" i="30"/>
  <c r="Z40" i="30"/>
  <c r="AJ40" i="30"/>
  <c r="N40" i="30"/>
  <c r="T40" i="30"/>
  <c r="AA40" i="30"/>
  <c r="L40" i="30"/>
  <c r="AI40" i="30"/>
  <c r="W40" i="30"/>
  <c r="Y40" i="30"/>
  <c r="AF40" i="30"/>
  <c r="AM40" i="30"/>
  <c r="U40" i="30"/>
  <c r="AL40" i="30"/>
  <c r="AN40" i="30"/>
  <c r="S40" i="30"/>
  <c r="AE40" i="30"/>
  <c r="O40" i="30"/>
  <c r="AB40" i="30"/>
  <c r="AK40" i="30"/>
  <c r="M40" i="30"/>
  <c r="P40" i="30"/>
  <c r="R40" i="30"/>
  <c r="AD40" i="30"/>
  <c r="V40" i="30"/>
  <c r="X40" i="30"/>
  <c r="AC40" i="30"/>
  <c r="AO40" i="30"/>
  <c r="AG40" i="30"/>
  <c r="Q40" i="30"/>
  <c r="AH40" i="30"/>
  <c r="Z42" i="30"/>
  <c r="N42" i="30"/>
  <c r="M42" i="30"/>
  <c r="P42" i="30"/>
  <c r="AI42" i="30"/>
  <c r="S42" i="30"/>
  <c r="T42" i="30"/>
  <c r="AF42" i="30"/>
  <c r="AC42" i="30"/>
  <c r="O42" i="30"/>
  <c r="V42" i="30"/>
  <c r="AO42" i="30"/>
  <c r="AE42" i="30"/>
  <c r="AM42" i="30"/>
  <c r="AA42" i="30"/>
  <c r="AN42" i="30"/>
  <c r="AK42" i="30"/>
  <c r="AB42" i="30"/>
  <c r="AL42" i="30"/>
  <c r="L42" i="30"/>
  <c r="Y42" i="30"/>
  <c r="AH42" i="30"/>
  <c r="R42" i="30"/>
  <c r="W42" i="30"/>
  <c r="Q42" i="30"/>
  <c r="U42" i="30"/>
  <c r="AG42" i="30"/>
  <c r="X42" i="30"/>
  <c r="AD42" i="30"/>
  <c r="AJ42" i="30"/>
  <c r="H28" i="30" l="1"/>
  <c r="B183" i="30"/>
  <c r="B47" i="30"/>
  <c r="B149" i="30"/>
  <c r="B81" i="30"/>
  <c r="B251" i="30"/>
  <c r="B115" i="30"/>
  <c r="B217" i="30"/>
  <c r="F6" i="30"/>
  <c r="AF8" i="30" s="1"/>
  <c r="G6" i="30"/>
  <c r="G5" i="30"/>
  <c r="M15" i="28" l="1"/>
  <c r="N15" i="28"/>
  <c r="K14" i="28"/>
  <c r="J15" i="28"/>
  <c r="K15" i="28"/>
  <c r="J14" i="28"/>
  <c r="L15" i="28"/>
  <c r="L14" i="28"/>
  <c r="N14" i="28"/>
  <c r="M14" i="28"/>
  <c r="L13" i="28"/>
  <c r="N13" i="28"/>
  <c r="M13" i="28"/>
  <c r="K13" i="28"/>
  <c r="J13" i="28"/>
  <c r="H29" i="30"/>
  <c r="H30" i="30" s="1"/>
  <c r="AG8" i="30"/>
  <c r="AK8" i="30"/>
  <c r="R8" i="30"/>
  <c r="Y8" i="30"/>
  <c r="T8" i="30"/>
  <c r="AO8" i="30"/>
  <c r="AD8" i="30"/>
  <c r="V8" i="30"/>
  <c r="Z8" i="30"/>
  <c r="AH8" i="30"/>
  <c r="S8" i="30"/>
  <c r="AB8" i="30"/>
  <c r="AJ8" i="30"/>
  <c r="Q8" i="30"/>
  <c r="L8" i="30"/>
  <c r="AA8" i="30"/>
  <c r="AN8" i="30"/>
  <c r="AE8" i="30"/>
  <c r="AC8" i="30"/>
  <c r="AM8" i="30"/>
  <c r="N8" i="30"/>
  <c r="M8" i="30"/>
  <c r="AL8" i="30"/>
  <c r="P8" i="30"/>
  <c r="O8" i="30"/>
  <c r="X8" i="30"/>
  <c r="W8" i="30"/>
  <c r="U8" i="30"/>
  <c r="AI8" i="30"/>
  <c r="G8" i="30"/>
  <c r="G7" i="30"/>
  <c r="AI9" i="30"/>
  <c r="AF9" i="30"/>
  <c r="M9" i="30"/>
  <c r="U9" i="30"/>
  <c r="AC9" i="30"/>
  <c r="AK9" i="30"/>
  <c r="N9" i="30"/>
  <c r="V9" i="30"/>
  <c r="AD9" i="30"/>
  <c r="AL9" i="30"/>
  <c r="S9" i="30"/>
  <c r="AE9" i="30"/>
  <c r="P9" i="30"/>
  <c r="AB9" i="30"/>
  <c r="L9" i="30"/>
  <c r="W9" i="30"/>
  <c r="X9" i="30"/>
  <c r="AJ9" i="30"/>
  <c r="Q9" i="30"/>
  <c r="Y9" i="30"/>
  <c r="AG9" i="30"/>
  <c r="AO9" i="30"/>
  <c r="R9" i="30"/>
  <c r="Z9" i="30"/>
  <c r="AH9" i="30"/>
  <c r="O9" i="30"/>
  <c r="AA9" i="30"/>
  <c r="AM9" i="30"/>
  <c r="T9" i="30"/>
  <c r="AN9" i="30"/>
  <c r="O13" i="28" l="1"/>
  <c r="N16" i="28"/>
  <c r="L16" i="28"/>
  <c r="O14" i="28"/>
  <c r="O15" i="28"/>
  <c r="J16" i="28"/>
  <c r="K16" i="28"/>
  <c r="M16" i="28"/>
  <c r="H31" i="30"/>
  <c r="O7" i="35"/>
  <c r="O6" i="35"/>
  <c r="M22" i="17"/>
  <c r="M9" i="17"/>
  <c r="M30" i="17"/>
  <c r="M32" i="17"/>
  <c r="M31" i="17"/>
  <c r="M26" i="17"/>
  <c r="M14" i="17"/>
  <c r="M28" i="17"/>
  <c r="M27" i="17"/>
  <c r="M18" i="17"/>
  <c r="M10" i="17"/>
  <c r="M24" i="17"/>
  <c r="M23" i="17"/>
  <c r="M29" i="17"/>
  <c r="M35" i="17"/>
  <c r="M19" i="17"/>
  <c r="M15" i="17"/>
  <c r="M34" i="17"/>
  <c r="M33" i="17"/>
  <c r="M20" i="17"/>
  <c r="M17" i="17"/>
  <c r="M25" i="17"/>
  <c r="M16" i="17"/>
  <c r="M21" i="17"/>
  <c r="M12" i="17"/>
  <c r="M11" i="17"/>
  <c r="M6" i="17"/>
  <c r="M13" i="17"/>
  <c r="M7" i="17"/>
  <c r="M8" i="17"/>
  <c r="O16" i="28" l="1"/>
  <c r="H32" i="30"/>
  <c r="H33" i="30" s="1"/>
  <c r="I25" i="35"/>
  <c r="M5" i="35" s="1"/>
  <c r="I39" i="35"/>
  <c r="M7" i="35" s="1"/>
  <c r="I32" i="35"/>
  <c r="M6" i="35" s="1"/>
  <c r="R10" i="29" l="1"/>
  <c r="Q10" i="29" s="1"/>
  <c r="R9" i="29"/>
  <c r="O9" i="29" s="1"/>
  <c r="H34" i="30"/>
  <c r="B7" i="37"/>
  <c r="B4" i="37"/>
  <c r="D5" i="30"/>
  <c r="C56" i="29"/>
  <c r="C55" i="29"/>
  <c r="G42" i="28" s="1"/>
  <c r="H35" i="30" l="1"/>
  <c r="B8" i="37"/>
  <c r="D55" i="29"/>
  <c r="F42" i="28" s="1"/>
  <c r="H36" i="30" l="1"/>
  <c r="C41" i="35"/>
  <c r="B9" i="37"/>
  <c r="B10" i="37" s="1"/>
  <c r="B55" i="29"/>
  <c r="B42" i="28" s="1"/>
  <c r="B15" i="51" l="1"/>
  <c r="C44" i="22" s="1"/>
  <c r="H37" i="30"/>
  <c r="H38" i="30" s="1"/>
  <c r="H39" i="30" s="1"/>
  <c r="H40" i="30" s="1"/>
  <c r="C45" i="22"/>
  <c r="B41" i="35"/>
  <c r="C76" i="22"/>
  <c r="B11" i="37"/>
  <c r="C74" i="22"/>
  <c r="C73" i="22"/>
  <c r="C46" i="22"/>
  <c r="C69" i="22" l="1"/>
  <c r="C70" i="22"/>
  <c r="H41" i="30"/>
  <c r="H42" i="30" s="1"/>
  <c r="H43" i="30" s="1"/>
  <c r="C51" i="22"/>
  <c r="B12" i="37"/>
  <c r="B13" i="37" s="1"/>
  <c r="C49" i="22"/>
  <c r="C50" i="22"/>
  <c r="C75" i="22"/>
  <c r="C48" i="22"/>
  <c r="C47" i="22"/>
  <c r="C72" i="22"/>
  <c r="C71" i="22"/>
  <c r="F5" i="30"/>
  <c r="H48" i="30" l="1"/>
  <c r="B14" i="37"/>
  <c r="F8" i="30"/>
  <c r="F7" i="30"/>
  <c r="J9" i="17"/>
  <c r="J19" i="17"/>
  <c r="J16" i="17"/>
  <c r="J30" i="17"/>
  <c r="J13" i="17"/>
  <c r="J26" i="17"/>
  <c r="J18" i="17"/>
  <c r="J14" i="17"/>
  <c r="J12" i="17"/>
  <c r="J33" i="17"/>
  <c r="J34" i="17"/>
  <c r="J21" i="17"/>
  <c r="J15" i="17"/>
  <c r="J11" i="17"/>
  <c r="J28" i="17"/>
  <c r="J35" i="17"/>
  <c r="J25" i="17"/>
  <c r="J20" i="17"/>
  <c r="J22" i="17"/>
  <c r="J17" i="17"/>
  <c r="J24" i="17"/>
  <c r="J6" i="17"/>
  <c r="J31" i="17"/>
  <c r="J32" i="17"/>
  <c r="J7" i="17"/>
  <c r="J8" i="17"/>
  <c r="J27" i="17"/>
  <c r="J23" i="17"/>
  <c r="J10" i="17"/>
  <c r="J29" i="17"/>
  <c r="H49" i="30" l="1"/>
  <c r="H50" i="30" s="1"/>
  <c r="B15" i="37"/>
  <c r="H51" i="30" l="1"/>
  <c r="H52" i="30" s="1"/>
  <c r="B16" i="37"/>
  <c r="H53" i="30" l="1"/>
  <c r="B17" i="37"/>
  <c r="H54" i="30" l="1"/>
  <c r="H55" i="30" s="1"/>
  <c r="B18" i="37"/>
  <c r="B108" i="22"/>
  <c r="B118" i="22"/>
  <c r="B104" i="22"/>
  <c r="B106" i="22"/>
  <c r="B115" i="22"/>
  <c r="B117" i="22"/>
  <c r="B111" i="22"/>
  <c r="B100" i="22"/>
  <c r="B114" i="22"/>
  <c r="B105" i="22"/>
  <c r="B116" i="22"/>
  <c r="B109" i="22"/>
  <c r="B110" i="22"/>
  <c r="B119" i="22"/>
  <c r="B103" i="22"/>
  <c r="B101" i="22"/>
  <c r="B112" i="22"/>
  <c r="B120" i="22"/>
  <c r="B113" i="22"/>
  <c r="B107" i="22"/>
  <c r="B102" i="22"/>
  <c r="AX102" i="22" s="1"/>
  <c r="H56" i="30" l="1"/>
  <c r="B19" i="37"/>
  <c r="AY118" i="22"/>
  <c r="AZ118" i="22"/>
  <c r="AX118" i="22"/>
  <c r="AY108" i="22"/>
  <c r="AX108" i="22"/>
  <c r="AZ108" i="22"/>
  <c r="AZ112" i="22"/>
  <c r="AY112" i="22"/>
  <c r="AX112" i="22"/>
  <c r="AZ119" i="22"/>
  <c r="AX119" i="22"/>
  <c r="AY119" i="22"/>
  <c r="AX117" i="22"/>
  <c r="AY117" i="22"/>
  <c r="AZ117" i="22"/>
  <c r="AX115" i="22"/>
  <c r="AZ115" i="22"/>
  <c r="AY115" i="22"/>
  <c r="AZ107" i="22"/>
  <c r="AX107" i="22"/>
  <c r="AY107" i="22"/>
  <c r="AX103" i="22"/>
  <c r="AY103" i="22"/>
  <c r="AZ103" i="22"/>
  <c r="AZ109" i="22"/>
  <c r="AY109" i="22"/>
  <c r="AX109" i="22"/>
  <c r="AX116" i="22"/>
  <c r="AY116" i="22"/>
  <c r="AZ116" i="22"/>
  <c r="AX104" i="22"/>
  <c r="AZ104" i="22"/>
  <c r="AY104" i="22"/>
  <c r="AX106" i="22"/>
  <c r="AY106" i="22"/>
  <c r="AZ106" i="22"/>
  <c r="AX113" i="22"/>
  <c r="AZ113" i="22"/>
  <c r="AY113" i="22"/>
  <c r="AZ120" i="22"/>
  <c r="AY120" i="22"/>
  <c r="AX120" i="22"/>
  <c r="AZ101" i="22"/>
  <c r="AY101" i="22"/>
  <c r="AX101" i="22"/>
  <c r="AY110" i="22"/>
  <c r="AX110" i="22"/>
  <c r="AZ110" i="22"/>
  <c r="AZ105" i="22"/>
  <c r="AY105" i="22"/>
  <c r="AX105" i="22"/>
  <c r="AX114" i="22"/>
  <c r="AY114" i="22"/>
  <c r="AZ114" i="22"/>
  <c r="AX100" i="22"/>
  <c r="AY100" i="22"/>
  <c r="AZ100" i="22"/>
  <c r="AY111" i="22"/>
  <c r="AZ111" i="22"/>
  <c r="AX111" i="22"/>
  <c r="AZ102" i="22"/>
  <c r="AY102" i="22"/>
  <c r="H57" i="30" l="1"/>
  <c r="H58" i="30" s="1"/>
  <c r="H59" i="30" s="1"/>
  <c r="H60" i="30"/>
  <c r="B20" i="37"/>
  <c r="H61" i="30" l="1"/>
  <c r="H62" i="30" s="1"/>
  <c r="H63" i="30" s="1"/>
  <c r="H64" i="30" s="1"/>
  <c r="H65" i="30" s="1"/>
  <c r="B21" i="37"/>
  <c r="AP13" i="30"/>
  <c r="E5" i="30"/>
  <c r="E6" i="30"/>
  <c r="AP12" i="30"/>
  <c r="AD32" i="30"/>
  <c r="T32" i="30"/>
  <c r="AE32" i="30"/>
  <c r="AC32" i="30"/>
  <c r="S32" i="30"/>
  <c r="AG32" i="30"/>
  <c r="O32" i="30"/>
  <c r="R32" i="30"/>
  <c r="AH32" i="30"/>
  <c r="AA32" i="30"/>
  <c r="X32" i="30"/>
  <c r="AL32" i="30"/>
  <c r="AO32" i="30"/>
  <c r="AI32" i="30"/>
  <c r="AN32" i="30"/>
  <c r="AK32" i="30"/>
  <c r="AF32" i="30"/>
  <c r="W32" i="30"/>
  <c r="Q32" i="30"/>
  <c r="Y32" i="30"/>
  <c r="N32" i="30"/>
  <c r="U32" i="30"/>
  <c r="AB32" i="30"/>
  <c r="L32" i="30"/>
  <c r="V32" i="30"/>
  <c r="P32" i="30"/>
  <c r="Z32" i="30"/>
  <c r="AM32" i="30"/>
  <c r="AJ32" i="30"/>
  <c r="M32" i="30"/>
  <c r="H66" i="30" l="1"/>
  <c r="H67" i="30" s="1"/>
  <c r="H68" i="30" s="1"/>
  <c r="B22" i="37"/>
  <c r="L7" i="30"/>
  <c r="B13" i="30"/>
  <c r="Q7" i="30"/>
  <c r="AH7" i="30"/>
  <c r="AK7" i="30"/>
  <c r="AM7" i="30"/>
  <c r="W7" i="30"/>
  <c r="Y7" i="30"/>
  <c r="E7" i="30"/>
  <c r="AG7" i="30"/>
  <c r="AI7" i="30"/>
  <c r="P7" i="30"/>
  <c r="O7" i="30"/>
  <c r="R7" i="30"/>
  <c r="AC7" i="30"/>
  <c r="X7" i="30"/>
  <c r="N7" i="30"/>
  <c r="V7" i="30"/>
  <c r="AJ7" i="30"/>
  <c r="S7" i="30"/>
  <c r="AN7" i="30"/>
  <c r="AA7" i="30"/>
  <c r="M7" i="30"/>
  <c r="AD7" i="30"/>
  <c r="Z7" i="30"/>
  <c r="AF7" i="30"/>
  <c r="AB7" i="30"/>
  <c r="D6" i="30"/>
  <c r="AE7" i="30"/>
  <c r="T7" i="30"/>
  <c r="AL7" i="30"/>
  <c r="U7" i="30"/>
  <c r="AO7" i="30"/>
  <c r="E8" i="30"/>
  <c r="D8" i="30" s="1"/>
  <c r="H69" i="30" l="1"/>
  <c r="H70" i="30" s="1"/>
  <c r="O5" i="35"/>
  <c r="N8" i="35" s="1"/>
  <c r="B23" i="37"/>
  <c r="AL6" i="30"/>
  <c r="X6" i="30"/>
  <c r="G10" i="17"/>
  <c r="Y6" i="30"/>
  <c r="G28" i="17"/>
  <c r="AF6" i="30"/>
  <c r="G21" i="17"/>
  <c r="AJ6" i="30"/>
  <c r="G23" i="17"/>
  <c r="G29" i="17"/>
  <c r="G17" i="17"/>
  <c r="Q6" i="30"/>
  <c r="G22" i="17"/>
  <c r="G35" i="17"/>
  <c r="G25" i="17"/>
  <c r="G20" i="17"/>
  <c r="AN6" i="30"/>
  <c r="G16" i="17"/>
  <c r="R6" i="30"/>
  <c r="G27" i="17"/>
  <c r="G33" i="17"/>
  <c r="G7" i="17"/>
  <c r="T6" i="30"/>
  <c r="G15" i="17"/>
  <c r="AD6" i="30"/>
  <c r="G8" i="17"/>
  <c r="AK6" i="30"/>
  <c r="L6" i="30"/>
  <c r="D7" i="30"/>
  <c r="G13" i="17"/>
  <c r="G9" i="17"/>
  <c r="G11" i="17"/>
  <c r="O6" i="30"/>
  <c r="G6" i="17"/>
  <c r="W6" i="30"/>
  <c r="AM6" i="30"/>
  <c r="AG6" i="30"/>
  <c r="G12" i="17"/>
  <c r="V6" i="30"/>
  <c r="N6" i="30"/>
  <c r="S6" i="30"/>
  <c r="G24" i="17"/>
  <c r="AI6" i="30"/>
  <c r="G19" i="17"/>
  <c r="G18" i="17"/>
  <c r="AH6" i="30"/>
  <c r="U6" i="30"/>
  <c r="G31" i="17"/>
  <c r="P6" i="30"/>
  <c r="AC6" i="30"/>
  <c r="G34" i="17"/>
  <c r="G30" i="17"/>
  <c r="G26" i="17"/>
  <c r="G32" i="17"/>
  <c r="M6" i="30"/>
  <c r="AB6" i="30"/>
  <c r="AA6" i="30"/>
  <c r="Z6" i="30"/>
  <c r="AO6" i="30"/>
  <c r="G14" i="17"/>
  <c r="AE6" i="30"/>
  <c r="H71" i="30" l="1"/>
  <c r="H72" i="30" s="1"/>
  <c r="H73" i="30" s="1"/>
  <c r="H74" i="30" s="1"/>
  <c r="B24" i="37"/>
  <c r="H75" i="30" l="1"/>
  <c r="H83" i="30"/>
  <c r="B25" i="37"/>
  <c r="H76" i="30" l="1"/>
  <c r="H77" i="30" s="1"/>
  <c r="B26" i="37"/>
  <c r="H78" i="30" l="1"/>
  <c r="H90" i="30"/>
  <c r="B27" i="37"/>
  <c r="H82" i="30" l="1"/>
  <c r="B28" i="37"/>
  <c r="H84" i="30" l="1"/>
  <c r="B29" i="37"/>
  <c r="H85" i="30" l="1"/>
  <c r="B30" i="37"/>
  <c r="H86" i="30" l="1"/>
  <c r="B31" i="37"/>
  <c r="H87" i="30" l="1"/>
  <c r="H88" i="30" s="1"/>
  <c r="H89" i="30" s="1"/>
  <c r="B32" i="37"/>
  <c r="H91" i="30" l="1"/>
  <c r="H92" i="30" s="1"/>
  <c r="H93" i="30" s="1"/>
  <c r="B33" i="37"/>
  <c r="H104" i="30"/>
  <c r="H94" i="30" l="1"/>
  <c r="H95" i="30" s="1"/>
  <c r="H96" i="30" s="1"/>
  <c r="H97" i="30" s="1"/>
  <c r="B34" i="37"/>
  <c r="H98" i="30" l="1"/>
  <c r="H99" i="30" s="1"/>
  <c r="H100" i="30" s="1"/>
  <c r="H101" i="30" s="1"/>
  <c r="H102" i="30" s="1"/>
  <c r="H103" i="30" s="1"/>
  <c r="B35" i="37"/>
  <c r="H105" i="30" l="1"/>
  <c r="H106" i="30" s="1"/>
  <c r="B36" i="37"/>
  <c r="H107" i="30" l="1"/>
  <c r="H108" i="30" s="1"/>
  <c r="H109" i="30" s="1"/>
  <c r="B37" i="37"/>
  <c r="H110" i="30" l="1"/>
  <c r="H111" i="30" s="1"/>
  <c r="B38" i="37"/>
  <c r="B39" i="37" l="1"/>
  <c r="H116" i="30"/>
  <c r="B40" i="37" l="1"/>
  <c r="H117" i="30"/>
  <c r="B41" i="37" l="1"/>
  <c r="H118" i="30"/>
  <c r="H119" i="30" l="1"/>
  <c r="H120" i="30" s="1"/>
  <c r="B42" i="37"/>
  <c r="H121" i="30" l="1"/>
  <c r="H122" i="30" s="1"/>
  <c r="H123" i="30" s="1"/>
  <c r="B43" i="37"/>
  <c r="H124" i="30" l="1"/>
  <c r="H125" i="30" s="1"/>
  <c r="B44" i="37"/>
  <c r="H126" i="30" l="1"/>
  <c r="H127" i="30" s="1"/>
  <c r="B45" i="37"/>
  <c r="H128" i="30" l="1"/>
  <c r="H129" i="30" s="1"/>
  <c r="B46" i="37"/>
  <c r="H130" i="30" l="1"/>
  <c r="H131" i="30" s="1"/>
  <c r="H132" i="30" s="1"/>
  <c r="B47" i="37"/>
  <c r="H133" i="30" l="1"/>
  <c r="H134" i="30" s="1"/>
  <c r="B48" i="37"/>
  <c r="H135" i="30" l="1"/>
  <c r="B49" i="37"/>
  <c r="H136" i="30"/>
  <c r="H137" i="30" s="1"/>
  <c r="H138" i="30" s="1"/>
  <c r="H139" i="30" s="1"/>
  <c r="H140" i="30" s="1"/>
  <c r="H141" i="30" l="1"/>
  <c r="H142" i="30" s="1"/>
  <c r="H143" i="30" s="1"/>
  <c r="H144" i="30" s="1"/>
  <c r="H145" i="30" s="1"/>
  <c r="H146" i="30" s="1"/>
  <c r="H150" i="30" s="1"/>
  <c r="B50" i="37"/>
  <c r="H151" i="30" l="1"/>
  <c r="H152" i="30" s="1"/>
  <c r="B51" i="37"/>
  <c r="H153" i="30" l="1"/>
  <c r="H154" i="30"/>
  <c r="B52" i="37"/>
  <c r="H155" i="30" l="1"/>
  <c r="H156" i="30" s="1"/>
  <c r="B53" i="37"/>
  <c r="H157" i="30" l="1"/>
  <c r="H158" i="30" s="1"/>
  <c r="B54" i="37"/>
  <c r="H159" i="30" l="1"/>
  <c r="B55" i="37"/>
  <c r="H160" i="30" l="1"/>
  <c r="H161" i="30" s="1"/>
  <c r="B56" i="37"/>
  <c r="H162" i="30" l="1"/>
  <c r="B57" i="37"/>
  <c r="H163" i="30" l="1"/>
  <c r="H164" i="30" s="1"/>
  <c r="B58" i="37"/>
  <c r="H165" i="30" l="1"/>
  <c r="H166" i="30" s="1"/>
  <c r="H167" i="30"/>
  <c r="B59" i="37"/>
  <c r="H168" i="30" l="1"/>
  <c r="H169" i="30" s="1"/>
  <c r="H170" i="30" s="1"/>
  <c r="H171" i="30" s="1"/>
  <c r="H172" i="30" s="1"/>
  <c r="H173" i="30" s="1"/>
  <c r="B60" i="37"/>
  <c r="B61" i="37" l="1"/>
  <c r="H174" i="30"/>
  <c r="B62" i="37" l="1"/>
  <c r="H175" i="30"/>
  <c r="B63" i="37" l="1"/>
  <c r="H176" i="30"/>
  <c r="H177" i="30" s="1"/>
  <c r="H178" i="30" l="1"/>
  <c r="H179" i="30" s="1"/>
  <c r="H180" i="30" s="1"/>
  <c r="B64" i="37"/>
  <c r="B65" i="37" l="1"/>
  <c r="H184" i="30"/>
  <c r="B66" i="37" l="1"/>
  <c r="H185" i="30"/>
  <c r="B67" i="37" l="1"/>
  <c r="H186" i="30"/>
  <c r="B68" i="37" l="1"/>
  <c r="H187" i="30"/>
  <c r="H188" i="30" l="1"/>
  <c r="H189" i="30" s="1"/>
  <c r="H190" i="30" s="1"/>
  <c r="B69" i="37"/>
  <c r="B70" i="37" l="1"/>
  <c r="H191" i="30"/>
  <c r="B71" i="37" l="1"/>
  <c r="H192" i="30"/>
  <c r="B72" i="37" l="1"/>
  <c r="H193" i="30"/>
  <c r="B73" i="37" l="1"/>
  <c r="H194" i="30"/>
  <c r="H195" i="30" l="1"/>
  <c r="H196" i="30" s="1"/>
  <c r="H197" i="30" s="1"/>
  <c r="B74" i="37"/>
  <c r="B75" i="37" l="1"/>
  <c r="H198" i="30"/>
  <c r="B76" i="37" l="1"/>
  <c r="H199" i="30"/>
  <c r="B77" i="37" l="1"/>
  <c r="H200" i="30"/>
  <c r="B78" i="37" l="1"/>
  <c r="H201" i="30"/>
  <c r="H202" i="30" l="1"/>
  <c r="H203" i="30" s="1"/>
  <c r="H204" i="30" s="1"/>
  <c r="B79" i="37"/>
  <c r="B80" i="37" l="1"/>
  <c r="H205" i="30"/>
  <c r="AV236" i="30"/>
  <c r="B81" i="37" l="1"/>
  <c r="H206" i="30"/>
  <c r="B82" i="37" l="1"/>
  <c r="H207" i="30"/>
  <c r="B83" i="37" l="1"/>
  <c r="H208" i="30"/>
  <c r="H209" i="30" l="1"/>
  <c r="H210" i="30" s="1"/>
  <c r="H211" i="30" s="1"/>
  <c r="H212" i="30" s="1"/>
  <c r="B84" i="37"/>
  <c r="B85" i="37" l="1"/>
  <c r="H218" i="30"/>
  <c r="AV243" i="30"/>
  <c r="B86" i="37" l="1"/>
  <c r="H219" i="30"/>
  <c r="B87" i="37" l="1"/>
  <c r="H220" i="30"/>
  <c r="H221" i="30" l="1"/>
  <c r="H222" i="30" s="1"/>
  <c r="B88" i="37"/>
  <c r="H223" i="30" l="1"/>
  <c r="H224" i="30" s="1"/>
  <c r="B89" i="37"/>
  <c r="H225" i="30" l="1"/>
  <c r="H226" i="30" s="1"/>
  <c r="H227" i="30" s="1"/>
  <c r="H228" i="30" s="1"/>
  <c r="H229" i="30" s="1"/>
  <c r="B90" i="37"/>
  <c r="AV260" i="30"/>
  <c r="H230" i="30" l="1"/>
  <c r="H231" i="30" s="1"/>
  <c r="B91" i="37"/>
  <c r="H232" i="30" l="1"/>
  <c r="H233" i="30" s="1"/>
  <c r="H234" i="30" s="1"/>
  <c r="H235" i="30" s="1"/>
  <c r="H236" i="30" s="1"/>
  <c r="B92" i="37"/>
  <c r="H237" i="30" l="1"/>
  <c r="H238" i="30" s="1"/>
  <c r="B93" i="37"/>
  <c r="H239" i="30" l="1"/>
  <c r="H240" i="30" s="1"/>
  <c r="B94" i="37"/>
  <c r="H241" i="30" l="1"/>
  <c r="B95" i="37"/>
  <c r="AV267" i="30"/>
  <c r="H242" i="30" l="1"/>
  <c r="H243" i="30" s="1"/>
  <c r="H244" i="30" s="1"/>
  <c r="H245" i="30" s="1"/>
  <c r="B96" i="37"/>
  <c r="H246" i="30" l="1"/>
  <c r="B97" i="37"/>
  <c r="H247" i="30" l="1"/>
  <c r="H248" i="30" s="1"/>
  <c r="H252" i="30" s="1"/>
  <c r="B98" i="37"/>
  <c r="H253" i="30" l="1"/>
  <c r="H254" i="30" s="1"/>
  <c r="H255" i="30" s="1"/>
  <c r="H256" i="30"/>
  <c r="B99" i="37"/>
  <c r="H257" i="30" l="1"/>
  <c r="H258" i="30" s="1"/>
  <c r="H259" i="30" s="1"/>
  <c r="B100" i="37"/>
  <c r="H260" i="30" l="1"/>
  <c r="B101" i="37"/>
  <c r="H261" i="30" l="1"/>
  <c r="H262" i="30" s="1"/>
  <c r="B102" i="37"/>
  <c r="H263" i="30" l="1"/>
  <c r="B103" i="37"/>
  <c r="H264" i="30" l="1"/>
  <c r="B104" i="37"/>
  <c r="AV281" i="30"/>
  <c r="H265" i="30" l="1"/>
  <c r="B105" i="37"/>
  <c r="H266" i="30" l="1"/>
  <c r="B106" i="37"/>
  <c r="H267" i="30" l="1"/>
  <c r="B107" i="37"/>
  <c r="H268" i="30" l="1"/>
  <c r="H269" i="30" s="1"/>
  <c r="H270" i="30"/>
  <c r="B108" i="37"/>
  <c r="H271" i="30" l="1"/>
  <c r="H272" i="30" s="1"/>
  <c r="H273" i="30" s="1"/>
  <c r="B109" i="37"/>
  <c r="AV292" i="30"/>
  <c r="H274" i="30" l="1"/>
  <c r="B110" i="37"/>
  <c r="H275" i="30" l="1"/>
  <c r="B111" i="37"/>
  <c r="H276" i="30" l="1"/>
  <c r="B112" i="37"/>
  <c r="H277" i="30" l="1"/>
  <c r="B113" i="37"/>
  <c r="H278" i="30" l="1"/>
  <c r="H286" i="30"/>
  <c r="H287" i="30" s="1"/>
  <c r="B114" i="37"/>
  <c r="AV299" i="30"/>
  <c r="H279" i="30" l="1"/>
  <c r="H280" i="30" s="1"/>
  <c r="H288" i="30"/>
  <c r="B115" i="37"/>
  <c r="H281" i="30" l="1"/>
  <c r="H289" i="30" s="1"/>
  <c r="H290" i="30" s="1"/>
  <c r="H291" i="30" s="1"/>
  <c r="H292" i="30" s="1"/>
  <c r="H293" i="30" s="1"/>
  <c r="H294" i="30" s="1"/>
  <c r="H295" i="30" s="1"/>
  <c r="H296" i="30" s="1"/>
  <c r="H297" i="30" s="1"/>
  <c r="H298" i="30" s="1"/>
  <c r="H299" i="30" s="1"/>
  <c r="H300" i="30" s="1"/>
  <c r="H301" i="30" s="1"/>
  <c r="H302" i="30" s="1"/>
  <c r="H303" i="30" s="1"/>
  <c r="H304" i="30" s="1"/>
  <c r="H305" i="30" s="1"/>
  <c r="H306" i="30" s="1"/>
  <c r="H307" i="30" s="1"/>
  <c r="H308" i="30" s="1"/>
  <c r="H309" i="30" s="1"/>
  <c r="H310" i="30" s="1"/>
  <c r="H311" i="30" s="1"/>
  <c r="H312" i="30" s="1"/>
  <c r="H313" i="30" s="1"/>
  <c r="B116" i="37"/>
  <c r="H314" i="30" l="1"/>
  <c r="H315" i="30" s="1"/>
  <c r="H316" i="30" s="1"/>
  <c r="H320" i="30" s="1"/>
  <c r="H321" i="30" s="1"/>
  <c r="H322" i="30" s="1"/>
  <c r="H323" i="30" s="1"/>
  <c r="H324" i="30" s="1"/>
  <c r="H325" i="30" s="1"/>
  <c r="H326" i="30" s="1"/>
  <c r="H327" i="30" s="1"/>
  <c r="H328" i="30" s="1"/>
  <c r="H329" i="30" s="1"/>
  <c r="B117" i="37"/>
  <c r="H330" i="30" l="1"/>
  <c r="H331" i="30" s="1"/>
  <c r="B118" i="37"/>
  <c r="H332" i="30" l="1"/>
  <c r="H333" i="30" s="1"/>
  <c r="H334" i="30" s="1"/>
  <c r="H335" i="30" s="1"/>
  <c r="H336" i="30" s="1"/>
  <c r="B119" i="37"/>
  <c r="AV306" i="30"/>
  <c r="H337" i="30" l="1"/>
  <c r="H338" i="30" s="1"/>
  <c r="H339" i="30" s="1"/>
  <c r="B120" i="37"/>
  <c r="H340" i="30" l="1"/>
  <c r="H341" i="30" s="1"/>
  <c r="H342" i="30" s="1"/>
  <c r="O8" i="29" s="1"/>
  <c r="B121" i="37"/>
  <c r="B3" i="38" l="1"/>
  <c r="B122" i="37"/>
  <c r="B6" i="38" l="1"/>
  <c r="B7" i="38" s="1"/>
  <c r="F7" i="38" s="1"/>
  <c r="C4" i="37"/>
  <c r="E5" i="38"/>
  <c r="D5" i="38" s="1"/>
  <c r="F5" i="38"/>
  <c r="B123" i="37"/>
  <c r="E6" i="38" l="1"/>
  <c r="D6" i="38" s="1"/>
  <c r="F6" i="38"/>
  <c r="B8" i="38"/>
  <c r="F8" i="38" s="1"/>
  <c r="E7" i="38"/>
  <c r="D7" i="38" s="1"/>
  <c r="C5" i="38"/>
  <c r="B124" i="37"/>
  <c r="AV313" i="30"/>
  <c r="B9" i="38" l="1"/>
  <c r="B10" i="38" s="1"/>
  <c r="F10" i="38" s="1"/>
  <c r="E8" i="38"/>
  <c r="C8" i="38" s="1"/>
  <c r="C6" i="38"/>
  <c r="C7" i="38"/>
  <c r="B125" i="37"/>
  <c r="D8" i="38" l="1"/>
  <c r="E9" i="38"/>
  <c r="D9" i="38" s="1"/>
  <c r="B11" i="38"/>
  <c r="E11" i="38" s="1"/>
  <c r="E10" i="38"/>
  <c r="D10" i="38" s="1"/>
  <c r="F9" i="38"/>
  <c r="B126" i="37"/>
  <c r="B12" i="38" l="1"/>
  <c r="E12" i="38" s="1"/>
  <c r="F11" i="38"/>
  <c r="C9" i="38"/>
  <c r="C10" i="38"/>
  <c r="D11" i="38"/>
  <c r="C11" i="38"/>
  <c r="B127" i="37"/>
  <c r="B13" i="38" l="1"/>
  <c r="B14" i="38" s="1"/>
  <c r="B15" i="38" s="1"/>
  <c r="F12" i="38"/>
  <c r="D12" i="38"/>
  <c r="C12" i="38"/>
  <c r="B128" i="37"/>
  <c r="F13" i="38" l="1"/>
  <c r="E13" i="38"/>
  <c r="D13" i="38" s="1"/>
  <c r="E15" i="38"/>
  <c r="D15" i="38" s="1"/>
  <c r="F15" i="38"/>
  <c r="E14" i="38"/>
  <c r="F14" i="38"/>
  <c r="B16" i="38"/>
  <c r="B129" i="37"/>
  <c r="C13" i="38" l="1"/>
  <c r="D14" i="38"/>
  <c r="C15" i="38"/>
  <c r="E16" i="38"/>
  <c r="B17" i="38"/>
  <c r="F16" i="38"/>
  <c r="C14" i="38"/>
  <c r="B130" i="37"/>
  <c r="E17" i="38" l="1"/>
  <c r="F17" i="38"/>
  <c r="B18" i="38"/>
  <c r="D16" i="38"/>
  <c r="C16" i="38"/>
  <c r="B131" i="37"/>
  <c r="AU343" i="30"/>
  <c r="G343" i="30" s="1"/>
  <c r="AV343" i="30"/>
  <c r="AU347" i="30"/>
  <c r="G347" i="30" s="1"/>
  <c r="E18" i="38" l="1"/>
  <c r="B19" i="38"/>
  <c r="F18" i="38"/>
  <c r="D17" i="38"/>
  <c r="C17" i="38"/>
  <c r="B132" i="37"/>
  <c r="B20" i="38" l="1"/>
  <c r="B21" i="38" s="1"/>
  <c r="F19" i="38"/>
  <c r="E19" i="38"/>
  <c r="D18" i="38"/>
  <c r="C18" i="38"/>
  <c r="B133" i="37"/>
  <c r="F343" i="30"/>
  <c r="D19" i="38" l="1"/>
  <c r="C19" i="38"/>
  <c r="F21" i="38"/>
  <c r="E21" i="38"/>
  <c r="D21" i="38" s="1"/>
  <c r="E20" i="38"/>
  <c r="C20" i="38" s="1"/>
  <c r="F20" i="38"/>
  <c r="B22" i="38"/>
  <c r="B134" i="37"/>
  <c r="B23" i="38" l="1"/>
  <c r="B24" i="38" s="1"/>
  <c r="F24" i="38" s="1"/>
  <c r="E22" i="38"/>
  <c r="D22" i="38" s="1"/>
  <c r="F22" i="38"/>
  <c r="D20" i="38"/>
  <c r="C21" i="38"/>
  <c r="B135" i="37"/>
  <c r="C22" i="38" l="1"/>
  <c r="B25" i="38"/>
  <c r="B26" i="38" s="1"/>
  <c r="B27" i="38" s="1"/>
  <c r="E24" i="38"/>
  <c r="D24" i="38" s="1"/>
  <c r="E23" i="38"/>
  <c r="F23" i="38"/>
  <c r="B136" i="37"/>
  <c r="F25" i="38" l="1"/>
  <c r="E25" i="38"/>
  <c r="D25" i="38" s="1"/>
  <c r="C24" i="38"/>
  <c r="D23" i="38"/>
  <c r="C23" i="38"/>
  <c r="F27" i="38"/>
  <c r="E27" i="38"/>
  <c r="D27" i="38" s="1"/>
  <c r="B28" i="38"/>
  <c r="E26" i="38"/>
  <c r="D26" i="38" s="1"/>
  <c r="F26" i="38"/>
  <c r="B137" i="37"/>
  <c r="C25" i="38" l="1"/>
  <c r="E28" i="38"/>
  <c r="D28" i="38" s="1"/>
  <c r="F28" i="38"/>
  <c r="B29" i="38"/>
  <c r="C26" i="38"/>
  <c r="C27" i="38"/>
  <c r="B138" i="37"/>
  <c r="E29" i="38" l="1"/>
  <c r="D29" i="38" s="1"/>
  <c r="F29" i="38"/>
  <c r="B30" i="38"/>
  <c r="C28" i="38"/>
  <c r="B139" i="37"/>
  <c r="B31" i="38" l="1"/>
  <c r="B32" i="38" s="1"/>
  <c r="F30" i="38"/>
  <c r="E30" i="38"/>
  <c r="C29" i="38"/>
  <c r="B140" i="37"/>
  <c r="C30" i="38" l="1"/>
  <c r="D30" i="38"/>
  <c r="F32" i="38"/>
  <c r="E32" i="38"/>
  <c r="D32" i="38" s="1"/>
  <c r="B33" i="38"/>
  <c r="B34" i="38" s="1"/>
  <c r="E31" i="38"/>
  <c r="D31" i="38" s="1"/>
  <c r="F31" i="38"/>
  <c r="B141" i="37"/>
  <c r="E34" i="38" l="1"/>
  <c r="D34" i="38" s="1"/>
  <c r="F34" i="38"/>
  <c r="B35" i="38"/>
  <c r="B36" i="38" s="1"/>
  <c r="F33" i="38"/>
  <c r="E33" i="38"/>
  <c r="D33" i="38" s="1"/>
  <c r="C31" i="38"/>
  <c r="C32" i="38"/>
  <c r="B142" i="37"/>
  <c r="E36" i="38" l="1"/>
  <c r="D36" i="38" s="1"/>
  <c r="F36" i="38"/>
  <c r="E35" i="38"/>
  <c r="D35" i="38" s="1"/>
  <c r="F35" i="38"/>
  <c r="B37" i="38"/>
  <c r="C33" i="38"/>
  <c r="C34" i="38"/>
  <c r="B143" i="37"/>
  <c r="B38" i="38" l="1"/>
  <c r="F37" i="38"/>
  <c r="E37" i="38"/>
  <c r="C35" i="38"/>
  <c r="C36" i="38"/>
  <c r="B144" i="37"/>
  <c r="E38" i="38" l="1"/>
  <c r="D38" i="38" s="1"/>
  <c r="F38" i="38"/>
  <c r="B39" i="38"/>
  <c r="C37" i="38"/>
  <c r="D37" i="38"/>
  <c r="B145" i="37"/>
  <c r="C38" i="38" l="1"/>
  <c r="B40" i="38"/>
  <c r="E39" i="38"/>
  <c r="D39" i="38" s="1"/>
  <c r="F39" i="38"/>
  <c r="B146" i="37"/>
  <c r="F40" i="38" l="1"/>
  <c r="E40" i="38"/>
  <c r="D40" i="38" s="1"/>
  <c r="B41" i="38"/>
  <c r="C39" i="38"/>
  <c r="B147" i="37"/>
  <c r="E41" i="38" l="1"/>
  <c r="D41" i="38" s="1"/>
  <c r="F41" i="38"/>
  <c r="B42" i="38"/>
  <c r="B43" i="38" s="1"/>
  <c r="C40" i="38"/>
  <c r="B148" i="37"/>
  <c r="B44" i="38" l="1"/>
  <c r="E43" i="38"/>
  <c r="D43" i="38" s="1"/>
  <c r="F43" i="38"/>
  <c r="C41" i="38"/>
  <c r="F42" i="38"/>
  <c r="E42" i="38"/>
  <c r="D42" i="38" s="1"/>
  <c r="B149" i="37"/>
  <c r="F44" i="38" l="1"/>
  <c r="E44" i="38"/>
  <c r="D44" i="38" s="1"/>
  <c r="B45" i="38"/>
  <c r="C43" i="38"/>
  <c r="C42" i="38"/>
  <c r="B150" i="37"/>
  <c r="E45" i="38" l="1"/>
  <c r="D45" i="38" s="1"/>
  <c r="F45" i="38"/>
  <c r="B46" i="38"/>
  <c r="C44" i="38"/>
  <c r="B151" i="37"/>
  <c r="E46" i="38" l="1"/>
  <c r="D46" i="38" s="1"/>
  <c r="F46" i="38"/>
  <c r="B47" i="38"/>
  <c r="B48" i="38" s="1"/>
  <c r="C45" i="38"/>
  <c r="B152" i="37"/>
  <c r="F47" i="38" l="1"/>
  <c r="E47" i="38"/>
  <c r="D47" i="38" s="1"/>
  <c r="C46" i="38"/>
  <c r="B49" i="38"/>
  <c r="B50" i="38" s="1"/>
  <c r="B51" i="38" s="1"/>
  <c r="E48" i="38"/>
  <c r="D48" i="38" s="1"/>
  <c r="F48" i="38"/>
  <c r="B153" i="37"/>
  <c r="C48" i="38" l="1"/>
  <c r="B52" i="38"/>
  <c r="E51" i="38"/>
  <c r="D51" i="38" s="1"/>
  <c r="F51" i="38"/>
  <c r="F49" i="38"/>
  <c r="E49" i="38"/>
  <c r="D49" i="38" s="1"/>
  <c r="C47" i="38"/>
  <c r="F50" i="38"/>
  <c r="E50" i="38"/>
  <c r="D50" i="38" s="1"/>
  <c r="B154" i="37"/>
  <c r="B53" i="38" l="1"/>
  <c r="C49" i="38"/>
  <c r="C51" i="38"/>
  <c r="C50" i="38"/>
  <c r="F52" i="38"/>
  <c r="E52" i="38"/>
  <c r="D52" i="38" s="1"/>
  <c r="B155" i="37"/>
  <c r="B54" i="38" l="1"/>
  <c r="F53" i="38"/>
  <c r="E53" i="38"/>
  <c r="D53" i="38" s="1"/>
  <c r="C52" i="38"/>
  <c r="B156" i="37"/>
  <c r="E54" i="38" l="1"/>
  <c r="D54" i="38" s="1"/>
  <c r="F54" i="38"/>
  <c r="B55" i="38"/>
  <c r="C53" i="38"/>
  <c r="B157" i="37"/>
  <c r="F55" i="38" l="1"/>
  <c r="E55" i="38"/>
  <c r="D55" i="38" s="1"/>
  <c r="B56" i="38"/>
  <c r="C54" i="38"/>
  <c r="B158" i="37"/>
  <c r="F56" i="38" l="1"/>
  <c r="E56" i="38"/>
  <c r="D56" i="38" s="1"/>
  <c r="B57" i="38"/>
  <c r="C55" i="38"/>
  <c r="B159" i="37"/>
  <c r="E57" i="38" l="1"/>
  <c r="D57" i="38" s="1"/>
  <c r="F57" i="38"/>
  <c r="B58" i="38"/>
  <c r="C56" i="38"/>
  <c r="B160" i="37"/>
  <c r="E58" i="38" l="1"/>
  <c r="D58" i="38" s="1"/>
  <c r="F58" i="38"/>
  <c r="B59" i="38"/>
  <c r="C57" i="38"/>
  <c r="B161" i="37"/>
  <c r="C58" i="38" l="1"/>
  <c r="B60" i="38"/>
  <c r="E59" i="38"/>
  <c r="D59" i="38" s="1"/>
  <c r="F59" i="38"/>
  <c r="B162" i="37"/>
  <c r="B61" i="38" l="1"/>
  <c r="F60" i="38"/>
  <c r="E60" i="38"/>
  <c r="D60" i="38" s="1"/>
  <c r="C59" i="38"/>
  <c r="B163" i="37"/>
  <c r="C60" i="38" l="1"/>
  <c r="F61" i="38"/>
  <c r="E61" i="38"/>
  <c r="D61" i="38" s="1"/>
  <c r="B62" i="38"/>
  <c r="B164" i="37"/>
  <c r="C61" i="38" l="1"/>
  <c r="E62" i="38"/>
  <c r="D62" i="38" s="1"/>
  <c r="F62" i="38"/>
  <c r="B63" i="38"/>
  <c r="B165" i="37"/>
  <c r="E63" i="38" l="1"/>
  <c r="D63" i="38" s="1"/>
  <c r="F63" i="38"/>
  <c r="B64" i="38"/>
  <c r="C62" i="38"/>
  <c r="B166" i="37"/>
  <c r="F64" i="38" l="1"/>
  <c r="E64" i="38"/>
  <c r="D64" i="38" s="1"/>
  <c r="B65" i="38"/>
  <c r="C63" i="38"/>
  <c r="B167" i="37"/>
  <c r="F65" i="38" l="1"/>
  <c r="E65" i="38"/>
  <c r="D65" i="38" s="1"/>
  <c r="B66" i="38"/>
  <c r="C64" i="38"/>
  <c r="B168" i="37"/>
  <c r="B169" i="37" s="1"/>
  <c r="C65" i="38" l="1"/>
  <c r="B67" i="38"/>
  <c r="F66" i="38"/>
  <c r="E66" i="38"/>
  <c r="D66" i="38" s="1"/>
  <c r="B170" i="37"/>
  <c r="E67" i="38" l="1"/>
  <c r="D67" i="38" s="1"/>
  <c r="F67" i="38"/>
  <c r="B68" i="38"/>
  <c r="C66" i="38"/>
  <c r="B171" i="37"/>
  <c r="C67" i="38" l="1"/>
  <c r="B69" i="38"/>
  <c r="F68" i="38"/>
  <c r="E68" i="38"/>
  <c r="D68" i="38" s="1"/>
  <c r="B172" i="37"/>
  <c r="F69" i="38" l="1"/>
  <c r="E69" i="38"/>
  <c r="D69" i="38" s="1"/>
  <c r="B70" i="38"/>
  <c r="C68" i="38"/>
  <c r="B173" i="37"/>
  <c r="AU23" i="30"/>
  <c r="G23" i="30" s="1"/>
  <c r="F23" i="30"/>
  <c r="AU16" i="30"/>
  <c r="G16" i="30" s="1"/>
  <c r="F16" i="30"/>
  <c r="AV23" i="30"/>
  <c r="AV16" i="30"/>
  <c r="E70" i="38" l="1"/>
  <c r="D70" i="38" s="1"/>
  <c r="F70" i="38"/>
  <c r="B71" i="38"/>
  <c r="C69" i="38"/>
  <c r="B174" i="37"/>
  <c r="F15" i="30"/>
  <c r="AU15" i="30"/>
  <c r="G15" i="30" s="1"/>
  <c r="AU21" i="30"/>
  <c r="G21" i="30" s="1"/>
  <c r="F21" i="30"/>
  <c r="F20" i="30"/>
  <c r="AU20" i="30"/>
  <c r="G20" i="30" s="1"/>
  <c r="AU22" i="30"/>
  <c r="G22" i="30" s="1"/>
  <c r="F22" i="30"/>
  <c r="AU19" i="30"/>
  <c r="G19" i="30" s="1"/>
  <c r="F19" i="30"/>
  <c r="F14" i="30"/>
  <c r="AV21" i="30"/>
  <c r="AV20" i="30"/>
  <c r="AV22" i="30"/>
  <c r="AV14" i="30"/>
  <c r="AV19" i="30"/>
  <c r="AV15" i="30"/>
  <c r="AU14" i="30"/>
  <c r="AU26" i="30" l="1"/>
  <c r="G26" i="30" s="1"/>
  <c r="E26" i="30" s="1"/>
  <c r="AV26" i="30"/>
  <c r="B72" i="38"/>
  <c r="E71" i="38"/>
  <c r="D71" i="38" s="1"/>
  <c r="F71" i="38"/>
  <c r="C70" i="38"/>
  <c r="AU27" i="30"/>
  <c r="G27" i="30" s="1"/>
  <c r="E27" i="30" s="1"/>
  <c r="F27" i="30" s="1"/>
  <c r="AV27" i="30"/>
  <c r="B175" i="37"/>
  <c r="G14" i="30"/>
  <c r="F26" i="30" l="1"/>
  <c r="AV28" i="30"/>
  <c r="C71" i="38"/>
  <c r="B73" i="38"/>
  <c r="E72" i="38"/>
  <c r="D72" i="38" s="1"/>
  <c r="F72" i="38"/>
  <c r="AU28" i="30"/>
  <c r="B176" i="37"/>
  <c r="B74" i="38" l="1"/>
  <c r="E73" i="38"/>
  <c r="D73" i="38" s="1"/>
  <c r="F73" i="38"/>
  <c r="C72" i="38"/>
  <c r="AV29" i="30"/>
  <c r="G28" i="30"/>
  <c r="E28" i="30" s="1"/>
  <c r="AU29" i="30"/>
  <c r="B177" i="37"/>
  <c r="C17" i="27" l="1"/>
  <c r="AU30" i="30"/>
  <c r="G30" i="30" s="1"/>
  <c r="E30" i="30" s="1"/>
  <c r="AV30" i="30"/>
  <c r="C73" i="38"/>
  <c r="F74" i="38"/>
  <c r="E74" i="38"/>
  <c r="D74" i="38" s="1"/>
  <c r="B75" i="38"/>
  <c r="F28" i="30"/>
  <c r="G29" i="30"/>
  <c r="E29" i="30" s="1"/>
  <c r="D17" i="27" s="1"/>
  <c r="B178" i="37"/>
  <c r="E17" i="27" l="1"/>
  <c r="AU31" i="30"/>
  <c r="G31" i="30" s="1"/>
  <c r="E31" i="30" s="1"/>
  <c r="F31" i="30" s="1"/>
  <c r="AV31" i="30"/>
  <c r="C74" i="38"/>
  <c r="F75" i="38"/>
  <c r="E75" i="38"/>
  <c r="D75" i="38" s="1"/>
  <c r="B76" i="38"/>
  <c r="F29" i="30"/>
  <c r="B179" i="37"/>
  <c r="F30" i="30"/>
  <c r="AV32" i="30" l="1"/>
  <c r="F17" i="27"/>
  <c r="AU32" i="30"/>
  <c r="G32" i="30" s="1"/>
  <c r="E32" i="30" s="1"/>
  <c r="AV33" i="30"/>
  <c r="AU33" i="30"/>
  <c r="B77" i="38"/>
  <c r="E76" i="38"/>
  <c r="D76" i="38" s="1"/>
  <c r="F76" i="38"/>
  <c r="C75" i="38"/>
  <c r="B180" i="37"/>
  <c r="G17" i="27" l="1"/>
  <c r="F32" i="30"/>
  <c r="AU34" i="30"/>
  <c r="AU35" i="30" s="1"/>
  <c r="G35" i="30" s="1"/>
  <c r="E35" i="30" s="1"/>
  <c r="C21" i="27" s="1"/>
  <c r="AV34" i="30"/>
  <c r="G33" i="30"/>
  <c r="E33" i="30" s="1"/>
  <c r="F77" i="38"/>
  <c r="E77" i="38"/>
  <c r="D77" i="38" s="1"/>
  <c r="B78" i="38"/>
  <c r="C76" i="38"/>
  <c r="F33" i="30"/>
  <c r="B181" i="37"/>
  <c r="AV36" i="30" l="1"/>
  <c r="AV35" i="30"/>
  <c r="F35" i="30"/>
  <c r="G34" i="30"/>
  <c r="E34" i="30" s="1"/>
  <c r="F34" i="30" s="1"/>
  <c r="AU36" i="30"/>
  <c r="G36" i="30" s="1"/>
  <c r="E36" i="30" s="1"/>
  <c r="D21" i="27" s="1"/>
  <c r="B79" i="38"/>
  <c r="E78" i="38"/>
  <c r="D78" i="38" s="1"/>
  <c r="F78" i="38"/>
  <c r="C77" i="38"/>
  <c r="B182" i="37"/>
  <c r="F36" i="30" l="1"/>
  <c r="AV37" i="30"/>
  <c r="AU37" i="30"/>
  <c r="C78" i="38"/>
  <c r="E79" i="38"/>
  <c r="D79" i="38" s="1"/>
  <c r="F79" i="38"/>
  <c r="B80" i="38"/>
  <c r="B183" i="37"/>
  <c r="AV38" i="30" l="1"/>
  <c r="AU38" i="30"/>
  <c r="AV39" i="30" s="1"/>
  <c r="G37" i="30"/>
  <c r="E37" i="30" s="1"/>
  <c r="C79" i="38"/>
  <c r="B81" i="38"/>
  <c r="F80" i="38"/>
  <c r="E80" i="38"/>
  <c r="AV41" i="30"/>
  <c r="AU41" i="30"/>
  <c r="B184" i="37"/>
  <c r="E21" i="27" l="1"/>
  <c r="F37" i="30"/>
  <c r="G38" i="30"/>
  <c r="E38" i="30" s="1"/>
  <c r="AU39" i="30"/>
  <c r="E81" i="38"/>
  <c r="D81" i="38" s="1"/>
  <c r="F81" i="38"/>
  <c r="B82" i="38"/>
  <c r="C80" i="38"/>
  <c r="D80" i="38"/>
  <c r="F40" i="30"/>
  <c r="G41" i="30"/>
  <c r="E41" i="30" s="1"/>
  <c r="B185" i="37"/>
  <c r="F41" i="30"/>
  <c r="F38" i="30" l="1"/>
  <c r="F21" i="27"/>
  <c r="AV40" i="30"/>
  <c r="G39" i="30"/>
  <c r="E39" i="30" s="1"/>
  <c r="AU40" i="30"/>
  <c r="AV42" i="30" s="1"/>
  <c r="F82" i="38"/>
  <c r="E82" i="38"/>
  <c r="D82" i="38" s="1"/>
  <c r="B83" i="38"/>
  <c r="C81" i="38"/>
  <c r="E25" i="27"/>
  <c r="B186" i="37"/>
  <c r="G21" i="27" l="1"/>
  <c r="F39" i="30"/>
  <c r="AU42" i="30"/>
  <c r="AU43" i="30" s="1"/>
  <c r="C29" i="27"/>
  <c r="G40" i="30"/>
  <c r="E40" i="30" s="1"/>
  <c r="F83" i="38"/>
  <c r="E83" i="38"/>
  <c r="D83" i="38" s="1"/>
  <c r="B84" i="38"/>
  <c r="C82" i="38"/>
  <c r="G25" i="27"/>
  <c r="F25" i="27"/>
  <c r="B187" i="37"/>
  <c r="AV48" i="30" l="1"/>
  <c r="G43" i="30"/>
  <c r="E43" i="30" s="1"/>
  <c r="AU48" i="30"/>
  <c r="AV43" i="30"/>
  <c r="G42" i="30"/>
  <c r="E42" i="30" s="1"/>
  <c r="F42" i="30" s="1"/>
  <c r="F84" i="38"/>
  <c r="E84" i="38"/>
  <c r="D84" i="38" s="1"/>
  <c r="B85" i="38"/>
  <c r="C83" i="38"/>
  <c r="AU51" i="30"/>
  <c r="AV52" i="30" s="1"/>
  <c r="B188" i="37"/>
  <c r="D25" i="51" l="1"/>
  <c r="D23" i="51"/>
  <c r="D14" i="51"/>
  <c r="D20" i="51"/>
  <c r="D13" i="51"/>
  <c r="D26" i="51"/>
  <c r="D8" i="51"/>
  <c r="D22" i="51"/>
  <c r="D24" i="51"/>
  <c r="D18" i="51"/>
  <c r="D27" i="51"/>
  <c r="D11" i="51"/>
  <c r="D12" i="51"/>
  <c r="D19" i="51"/>
  <c r="D16" i="51"/>
  <c r="D10" i="51"/>
  <c r="D17" i="51"/>
  <c r="D9" i="51"/>
  <c r="D15" i="51"/>
  <c r="D28" i="51"/>
  <c r="D21" i="51"/>
  <c r="D25" i="27"/>
  <c r="F43" i="30"/>
  <c r="G48" i="30"/>
  <c r="E48" i="30" s="1"/>
  <c r="AV49" i="30"/>
  <c r="AU49" i="30"/>
  <c r="AV50" i="30" s="1"/>
  <c r="C25" i="27"/>
  <c r="F85" i="38"/>
  <c r="E85" i="38"/>
  <c r="D85" i="38" s="1"/>
  <c r="B86" i="38"/>
  <c r="C84" i="38"/>
  <c r="AU52" i="30"/>
  <c r="G51" i="30"/>
  <c r="E51" i="30" s="1"/>
  <c r="B189" i="37"/>
  <c r="D29" i="51" l="1"/>
  <c r="E27" i="51"/>
  <c r="E10" i="51"/>
  <c r="E22" i="51"/>
  <c r="E14" i="51"/>
  <c r="E15" i="51"/>
  <c r="E17" i="51"/>
  <c r="E18" i="51"/>
  <c r="E8" i="51"/>
  <c r="E9" i="51"/>
  <c r="E25" i="51"/>
  <c r="E23" i="51"/>
  <c r="E24" i="51"/>
  <c r="E13" i="51"/>
  <c r="E16" i="51"/>
  <c r="E21" i="51"/>
  <c r="E12" i="51"/>
  <c r="E26" i="51"/>
  <c r="E19" i="51"/>
  <c r="E20" i="51"/>
  <c r="E28" i="51"/>
  <c r="E11" i="51"/>
  <c r="M9" i="27"/>
  <c r="F48" i="30"/>
  <c r="N9" i="27"/>
  <c r="AU50" i="30"/>
  <c r="AU53" i="30" s="1"/>
  <c r="AV54" i="30" s="1"/>
  <c r="G49" i="30"/>
  <c r="E49" i="30" s="1"/>
  <c r="F86" i="38"/>
  <c r="E86" i="38"/>
  <c r="D86" i="38" s="1"/>
  <c r="B87" i="38"/>
  <c r="C85" i="38"/>
  <c r="F51" i="30"/>
  <c r="G52" i="30"/>
  <c r="E52" i="30" s="1"/>
  <c r="B190" i="37"/>
  <c r="E29" i="51" l="1"/>
  <c r="AV53" i="30"/>
  <c r="O9" i="27"/>
  <c r="F49" i="30"/>
  <c r="AV51" i="30"/>
  <c r="G50" i="30"/>
  <c r="E50" i="30" s="1"/>
  <c r="F52" i="30"/>
  <c r="F87" i="38"/>
  <c r="E87" i="38"/>
  <c r="D87" i="38" s="1"/>
  <c r="B88" i="38"/>
  <c r="C86" i="38"/>
  <c r="AU54" i="30"/>
  <c r="AV55" i="30" s="1"/>
  <c r="G53" i="30"/>
  <c r="E53" i="30" s="1"/>
  <c r="F53" i="30" s="1"/>
  <c r="B191" i="37"/>
  <c r="P9" i="27" l="1"/>
  <c r="F50" i="30"/>
  <c r="G54" i="30"/>
  <c r="E54" i="30" s="1"/>
  <c r="L13" i="27" s="1"/>
  <c r="AU55" i="30"/>
  <c r="G55" i="30" s="1"/>
  <c r="E55" i="30" s="1"/>
  <c r="F55" i="30" s="1"/>
  <c r="E88" i="38"/>
  <c r="D88" i="38" s="1"/>
  <c r="F88" i="38"/>
  <c r="B89" i="38"/>
  <c r="C87" i="38"/>
  <c r="B192" i="37"/>
  <c r="F54" i="30" l="1"/>
  <c r="AV56" i="30"/>
  <c r="M13" i="27"/>
  <c r="AU56" i="30"/>
  <c r="E89" i="38"/>
  <c r="D89" i="38" s="1"/>
  <c r="F89" i="38"/>
  <c r="B90" i="38"/>
  <c r="C88" i="38"/>
  <c r="AU57" i="30"/>
  <c r="AV58" i="30"/>
  <c r="B193" i="37"/>
  <c r="G56" i="30" l="1"/>
  <c r="E56" i="30" s="1"/>
  <c r="F56" i="30" s="1"/>
  <c r="AV57" i="30"/>
  <c r="N13" i="27"/>
  <c r="G57" i="30"/>
  <c r="E57" i="30" s="1"/>
  <c r="AU58" i="30"/>
  <c r="F90" i="38"/>
  <c r="E90" i="38"/>
  <c r="D90" i="38" s="1"/>
  <c r="B91" i="38"/>
  <c r="C89" i="38"/>
  <c r="B194" i="37"/>
  <c r="F57" i="30" l="1"/>
  <c r="O13" i="27"/>
  <c r="G58" i="30"/>
  <c r="E58" i="30" s="1"/>
  <c r="AU59" i="30"/>
  <c r="AV59" i="30"/>
  <c r="E91" i="38"/>
  <c r="D91" i="38" s="1"/>
  <c r="F91" i="38"/>
  <c r="B92" i="38"/>
  <c r="C90" i="38"/>
  <c r="B195" i="37"/>
  <c r="AV60" i="30" l="1"/>
  <c r="F58" i="30"/>
  <c r="P13" i="27"/>
  <c r="G59" i="30"/>
  <c r="E59" i="30" s="1"/>
  <c r="AU60" i="30"/>
  <c r="AV61" i="30" s="1"/>
  <c r="E92" i="38"/>
  <c r="D92" i="38" s="1"/>
  <c r="F92" i="38"/>
  <c r="B93" i="38"/>
  <c r="C91" i="38"/>
  <c r="B196" i="37"/>
  <c r="AU61" i="30" l="1"/>
  <c r="G60" i="30"/>
  <c r="E60" i="30" s="1"/>
  <c r="F59" i="30"/>
  <c r="F93" i="38"/>
  <c r="E93" i="38"/>
  <c r="D93" i="38" s="1"/>
  <c r="B94" i="38"/>
  <c r="C92" i="38"/>
  <c r="B197" i="37"/>
  <c r="AV62" i="30" l="1"/>
  <c r="AU62" i="30"/>
  <c r="F60" i="30"/>
  <c r="G61" i="30"/>
  <c r="E61" i="30" s="1"/>
  <c r="AV65" i="30"/>
  <c r="AU66" i="30"/>
  <c r="G66" i="30" s="1"/>
  <c r="E66" i="30" s="1"/>
  <c r="F66" i="30" s="1"/>
  <c r="AV66" i="30"/>
  <c r="E94" i="38"/>
  <c r="D94" i="38" s="1"/>
  <c r="F94" i="38"/>
  <c r="B95" i="38"/>
  <c r="C93" i="38"/>
  <c r="B198" i="37"/>
  <c r="G62" i="30" l="1"/>
  <c r="E62" i="30" s="1"/>
  <c r="F62" i="30" s="1"/>
  <c r="AV63" i="30"/>
  <c r="L17" i="27"/>
  <c r="F61" i="30"/>
  <c r="M17" i="27"/>
  <c r="AU63" i="30"/>
  <c r="C94" i="38"/>
  <c r="E95" i="38"/>
  <c r="D95" i="38" s="1"/>
  <c r="F95" i="38"/>
  <c r="B96" i="38"/>
  <c r="B199" i="37"/>
  <c r="AV64" i="30" l="1"/>
  <c r="G63" i="30"/>
  <c r="E63" i="30" s="1"/>
  <c r="AU64" i="30"/>
  <c r="G64" i="30" s="1"/>
  <c r="E64" i="30" s="1"/>
  <c r="F64" i="30" s="1"/>
  <c r="F65" i="30"/>
  <c r="C95" i="38"/>
  <c r="F96" i="38"/>
  <c r="E96" i="38"/>
  <c r="D96" i="38" s="1"/>
  <c r="B97" i="38"/>
  <c r="B200" i="37"/>
  <c r="N17" i="27" l="1"/>
  <c r="F63" i="30"/>
  <c r="O17" i="27"/>
  <c r="AU65" i="30"/>
  <c r="F97" i="38"/>
  <c r="E97" i="38"/>
  <c r="D97" i="38" s="1"/>
  <c r="B98" i="38"/>
  <c r="C96" i="38"/>
  <c r="AV72" i="30"/>
  <c r="AV73" i="30"/>
  <c r="B201" i="37"/>
  <c r="AV67" i="30" l="1"/>
  <c r="G65" i="30"/>
  <c r="E65" i="30" s="1"/>
  <c r="P17" i="27" s="1"/>
  <c r="AU67" i="30"/>
  <c r="AV68" i="30" s="1"/>
  <c r="E98" i="38"/>
  <c r="D98" i="38" s="1"/>
  <c r="F98" i="38"/>
  <c r="B99" i="38"/>
  <c r="C97" i="38"/>
  <c r="F73" i="30"/>
  <c r="B202" i="37"/>
  <c r="G67" i="30" l="1"/>
  <c r="E67" i="30" s="1"/>
  <c r="F67" i="30" s="1"/>
  <c r="AU68" i="30"/>
  <c r="AU72" i="30"/>
  <c r="F99" i="38"/>
  <c r="E99" i="38"/>
  <c r="D99" i="38" s="1"/>
  <c r="B100" i="38"/>
  <c r="C98" i="38"/>
  <c r="F72" i="30"/>
  <c r="B203" i="37"/>
  <c r="AV69" i="30" l="1"/>
  <c r="G68" i="30"/>
  <c r="E68" i="30" s="1"/>
  <c r="AU69" i="30"/>
  <c r="AU70" i="30" s="1"/>
  <c r="G70" i="30" s="1"/>
  <c r="E70" i="30" s="1"/>
  <c r="F70" i="30" s="1"/>
  <c r="AU73" i="30"/>
  <c r="G72" i="30"/>
  <c r="E72" i="30" s="1"/>
  <c r="E100" i="38"/>
  <c r="D100" i="38" s="1"/>
  <c r="F100" i="38"/>
  <c r="B101" i="38"/>
  <c r="C99" i="38"/>
  <c r="B204" i="37"/>
  <c r="L21" i="27" l="1"/>
  <c r="F68" i="30"/>
  <c r="AV71" i="30"/>
  <c r="AV70" i="30"/>
  <c r="G69" i="30"/>
  <c r="E69" i="30" s="1"/>
  <c r="AU71" i="30"/>
  <c r="G71" i="30" s="1"/>
  <c r="E71" i="30" s="1"/>
  <c r="G73" i="30"/>
  <c r="E73" i="30" s="1"/>
  <c r="F101" i="38"/>
  <c r="E101" i="38"/>
  <c r="D101" i="38" s="1"/>
  <c r="B102" i="38"/>
  <c r="C100" i="38"/>
  <c r="L29" i="27"/>
  <c r="C38" i="27"/>
  <c r="B205" i="37"/>
  <c r="AV74" i="30" l="1"/>
  <c r="O21" i="27"/>
  <c r="F71" i="30"/>
  <c r="M21" i="27"/>
  <c r="F69" i="30"/>
  <c r="AU74" i="30"/>
  <c r="AV75" i="30" s="1"/>
  <c r="N21" i="27"/>
  <c r="P21" i="27"/>
  <c r="M29" i="27"/>
  <c r="AV82" i="30"/>
  <c r="AV83" i="30"/>
  <c r="F102" i="38"/>
  <c r="E102" i="38"/>
  <c r="D102" i="38" s="1"/>
  <c r="B103" i="38"/>
  <c r="C101" i="38"/>
  <c r="AU83" i="30"/>
  <c r="D38" i="27"/>
  <c r="B206" i="37"/>
  <c r="G74" i="30" l="1"/>
  <c r="E74" i="30" s="1"/>
  <c r="AU75" i="30"/>
  <c r="F103" i="38"/>
  <c r="E103" i="38"/>
  <c r="D103" i="38" s="1"/>
  <c r="B104" i="38"/>
  <c r="C102" i="38"/>
  <c r="G83" i="30"/>
  <c r="E83" i="30" s="1"/>
  <c r="F83" i="30" s="1"/>
  <c r="B207" i="37"/>
  <c r="L25" i="27" l="1"/>
  <c r="F74" i="30"/>
  <c r="AV76" i="30"/>
  <c r="AU76" i="30"/>
  <c r="AU77" i="30" s="1"/>
  <c r="G77" i="30" s="1"/>
  <c r="E77" i="30" s="1"/>
  <c r="G75" i="30"/>
  <c r="E75" i="30" s="1"/>
  <c r="AU82" i="30"/>
  <c r="F104" i="38"/>
  <c r="E104" i="38"/>
  <c r="D104" i="38" s="1"/>
  <c r="B105" i="38"/>
  <c r="C103" i="38"/>
  <c r="E38" i="27"/>
  <c r="B208" i="37"/>
  <c r="AV78" i="30" l="1"/>
  <c r="O25" i="27"/>
  <c r="F77" i="30"/>
  <c r="AV77" i="30"/>
  <c r="M25" i="27"/>
  <c r="F75" i="30"/>
  <c r="G76" i="30"/>
  <c r="E76" i="30" s="1"/>
  <c r="F76" i="30" s="1"/>
  <c r="AU78" i="30"/>
  <c r="G78" i="30" s="1"/>
  <c r="E78" i="30" s="1"/>
  <c r="G82" i="30"/>
  <c r="E82" i="30" s="1"/>
  <c r="AU84" i="30"/>
  <c r="F105" i="38"/>
  <c r="E105" i="38"/>
  <c r="D105" i="38" s="1"/>
  <c r="B106" i="38"/>
  <c r="C104" i="38"/>
  <c r="F38" i="27"/>
  <c r="B209" i="37"/>
  <c r="AV84" i="30" l="1"/>
  <c r="F8" i="51"/>
  <c r="F11" i="51"/>
  <c r="F23" i="51"/>
  <c r="F18" i="51"/>
  <c r="F12" i="51"/>
  <c r="F19" i="51"/>
  <c r="F25" i="51"/>
  <c r="F13" i="51"/>
  <c r="F17" i="51"/>
  <c r="F9" i="51"/>
  <c r="F27" i="51"/>
  <c r="F24" i="51"/>
  <c r="F20" i="51"/>
  <c r="F22" i="51"/>
  <c r="F21" i="51"/>
  <c r="F28" i="51"/>
  <c r="F26" i="51"/>
  <c r="F14" i="51"/>
  <c r="F10" i="51"/>
  <c r="F16" i="51"/>
  <c r="F15" i="51"/>
  <c r="F82" i="30"/>
  <c r="P25" i="27"/>
  <c r="F78" i="30"/>
  <c r="N25" i="27"/>
  <c r="AV85" i="30"/>
  <c r="AU85" i="30"/>
  <c r="G84" i="30"/>
  <c r="E84" i="30" s="1"/>
  <c r="F84" i="30" s="1"/>
  <c r="F106" i="38"/>
  <c r="E106" i="38"/>
  <c r="D106" i="38" s="1"/>
  <c r="B107" i="38"/>
  <c r="C105" i="38"/>
  <c r="G38" i="27"/>
  <c r="B210" i="37"/>
  <c r="F29" i="51" l="1"/>
  <c r="G15" i="51"/>
  <c r="G10" i="51"/>
  <c r="G27" i="51"/>
  <c r="G24" i="51"/>
  <c r="G20" i="51"/>
  <c r="G22" i="51"/>
  <c r="G23" i="51"/>
  <c r="G8" i="51"/>
  <c r="G16" i="51"/>
  <c r="G12" i="51"/>
  <c r="G14" i="51"/>
  <c r="G26" i="51"/>
  <c r="G11" i="51"/>
  <c r="G13" i="51"/>
  <c r="G17" i="51"/>
  <c r="G9" i="51"/>
  <c r="G21" i="51"/>
  <c r="G28" i="51"/>
  <c r="G18" i="51"/>
  <c r="G19" i="51"/>
  <c r="G25" i="51"/>
  <c r="AV86" i="30"/>
  <c r="AU86" i="30"/>
  <c r="G85" i="30"/>
  <c r="E85" i="30" s="1"/>
  <c r="AV90" i="30"/>
  <c r="F107" i="38"/>
  <c r="E107" i="38"/>
  <c r="D107" i="38" s="1"/>
  <c r="B108" i="38"/>
  <c r="C106" i="38"/>
  <c r="AV89" i="30"/>
  <c r="B211" i="37"/>
  <c r="G29" i="51" l="1"/>
  <c r="F85" i="30"/>
  <c r="AV87" i="30"/>
  <c r="G86" i="30"/>
  <c r="E86" i="30" s="1"/>
  <c r="AU87" i="30"/>
  <c r="E108" i="38"/>
  <c r="D108" i="38" s="1"/>
  <c r="F108" i="38"/>
  <c r="B109" i="38"/>
  <c r="C107" i="38"/>
  <c r="F89" i="30"/>
  <c r="C42" i="27"/>
  <c r="D42" i="27"/>
  <c r="B212" i="37"/>
  <c r="F86" i="30" l="1"/>
  <c r="AV88" i="30"/>
  <c r="G87" i="30"/>
  <c r="E87" i="30" s="1"/>
  <c r="AU88" i="30"/>
  <c r="E109" i="38"/>
  <c r="D109" i="38" s="1"/>
  <c r="F109" i="38"/>
  <c r="B110" i="38"/>
  <c r="C108" i="38"/>
  <c r="B213" i="37"/>
  <c r="F87" i="30" l="1"/>
  <c r="F42" i="27"/>
  <c r="AU89" i="30"/>
  <c r="G88" i="30"/>
  <c r="E88" i="30" s="1"/>
  <c r="F110" i="38"/>
  <c r="E110" i="38"/>
  <c r="D110" i="38" s="1"/>
  <c r="B111" i="38"/>
  <c r="C109" i="38"/>
  <c r="AU96" i="30"/>
  <c r="AV97" i="30" s="1"/>
  <c r="B214" i="37"/>
  <c r="G42" i="27" l="1"/>
  <c r="F88" i="30"/>
  <c r="AU90" i="30"/>
  <c r="G89" i="30"/>
  <c r="E89" i="30" s="1"/>
  <c r="E42" i="27" s="1"/>
  <c r="G96" i="30"/>
  <c r="E96" i="30" s="1"/>
  <c r="F111" i="38"/>
  <c r="E111" i="38"/>
  <c r="D111" i="38" s="1"/>
  <c r="B112" i="38"/>
  <c r="C110" i="38"/>
  <c r="F96" i="30"/>
  <c r="AU97" i="30"/>
  <c r="B215" i="37"/>
  <c r="AV91" i="30" l="1"/>
  <c r="G90" i="30"/>
  <c r="E90" i="30" s="1"/>
  <c r="F90" i="30" s="1"/>
  <c r="AU91" i="30"/>
  <c r="AU92" i="30" s="1"/>
  <c r="AV93" i="30" s="1"/>
  <c r="F112" i="38"/>
  <c r="E112" i="38"/>
  <c r="D112" i="38" s="1"/>
  <c r="B113" i="38"/>
  <c r="C111" i="38"/>
  <c r="G97" i="30"/>
  <c r="E97" i="30" s="1"/>
  <c r="F97" i="30" s="1"/>
  <c r="B216" i="37"/>
  <c r="G92" i="30" l="1"/>
  <c r="E92" i="30" s="1"/>
  <c r="AV92" i="30"/>
  <c r="G91" i="30"/>
  <c r="E91" i="30" s="1"/>
  <c r="AU93" i="30"/>
  <c r="AU94" i="30" s="1"/>
  <c r="E113" i="38"/>
  <c r="D113" i="38" s="1"/>
  <c r="F113" i="38"/>
  <c r="B114" i="38"/>
  <c r="C112" i="38"/>
  <c r="B217" i="37"/>
  <c r="C58" i="27"/>
  <c r="AV95" i="30" l="1"/>
  <c r="D46" i="27"/>
  <c r="F92" i="30"/>
  <c r="AV94" i="30"/>
  <c r="AU95" i="30"/>
  <c r="AU98" i="30" s="1"/>
  <c r="G98" i="30" s="1"/>
  <c r="E98" i="30" s="1"/>
  <c r="F98" i="30" s="1"/>
  <c r="G94" i="30"/>
  <c r="E94" i="30" s="1"/>
  <c r="G93" i="30"/>
  <c r="E93" i="30" s="1"/>
  <c r="F91" i="30"/>
  <c r="C46" i="27"/>
  <c r="F114" i="38"/>
  <c r="E114" i="38"/>
  <c r="D114" i="38" s="1"/>
  <c r="B115" i="38"/>
  <c r="C113" i="38"/>
  <c r="B218" i="37"/>
  <c r="AV98" i="30" l="1"/>
  <c r="E46" i="27"/>
  <c r="F93" i="30"/>
  <c r="AV99" i="30"/>
  <c r="AU99" i="30"/>
  <c r="G99" i="30" s="1"/>
  <c r="E99" i="30" s="1"/>
  <c r="F99" i="30" s="1"/>
  <c r="F94" i="30"/>
  <c r="F46" i="27"/>
  <c r="AV96" i="30"/>
  <c r="G95" i="30"/>
  <c r="E95" i="30" s="1"/>
  <c r="F115" i="38"/>
  <c r="E115" i="38"/>
  <c r="D115" i="38" s="1"/>
  <c r="B116" i="38"/>
  <c r="C114" i="38"/>
  <c r="AV103" i="30"/>
  <c r="C50" i="27"/>
  <c r="B219" i="37"/>
  <c r="G46" i="27" l="1"/>
  <c r="F95" i="30"/>
  <c r="AV100" i="30"/>
  <c r="AU100" i="30"/>
  <c r="AV101" i="30" s="1"/>
  <c r="AV104" i="30"/>
  <c r="E116" i="38"/>
  <c r="D116" i="38" s="1"/>
  <c r="F116" i="38"/>
  <c r="B117" i="38"/>
  <c r="C115" i="38"/>
  <c r="F103" i="30"/>
  <c r="D50" i="27"/>
  <c r="AU104" i="30"/>
  <c r="B220" i="37"/>
  <c r="G100" i="30" l="1"/>
  <c r="E100" i="30" s="1"/>
  <c r="F100" i="30" s="1"/>
  <c r="AU101" i="30"/>
  <c r="AV102" i="30" s="1"/>
  <c r="AU103" i="30"/>
  <c r="G103" i="30" s="1"/>
  <c r="E103" i="30" s="1"/>
  <c r="F117" i="38"/>
  <c r="E117" i="38"/>
  <c r="D117" i="38" s="1"/>
  <c r="B118" i="38"/>
  <c r="C116" i="38"/>
  <c r="G104" i="30"/>
  <c r="E104" i="30" s="1"/>
  <c r="F104" i="30" s="1"/>
  <c r="B221" i="37"/>
  <c r="G101" i="30" l="1"/>
  <c r="E101" i="30" s="1"/>
  <c r="F101" i="30" s="1"/>
  <c r="AU102" i="30"/>
  <c r="AV105" i="30" s="1"/>
  <c r="E118" i="38"/>
  <c r="D118" i="38" s="1"/>
  <c r="F118" i="38"/>
  <c r="B119" i="38"/>
  <c r="C117" i="38"/>
  <c r="E50" i="27"/>
  <c r="B222" i="37"/>
  <c r="G102" i="30" l="1"/>
  <c r="E102" i="30" s="1"/>
  <c r="F102" i="30" s="1"/>
  <c r="AU105" i="30"/>
  <c r="AV106" i="30" s="1"/>
  <c r="F119" i="38"/>
  <c r="E119" i="38"/>
  <c r="D119" i="38" s="1"/>
  <c r="B120" i="38"/>
  <c r="C118" i="38"/>
  <c r="F50" i="27"/>
  <c r="B223" i="37"/>
  <c r="AU106" i="30" l="1"/>
  <c r="G105" i="30"/>
  <c r="E105" i="30" s="1"/>
  <c r="E120" i="38"/>
  <c r="D120" i="38" s="1"/>
  <c r="F120" i="38"/>
  <c r="B121" i="38"/>
  <c r="C119" i="38"/>
  <c r="G50" i="27"/>
  <c r="B224" i="37"/>
  <c r="C54" i="27" l="1"/>
  <c r="F105" i="30"/>
  <c r="AV107" i="30"/>
  <c r="AU107" i="30"/>
  <c r="AV108" i="30" s="1"/>
  <c r="G106" i="30"/>
  <c r="E106" i="30" s="1"/>
  <c r="F106" i="30" s="1"/>
  <c r="AV110" i="30"/>
  <c r="AU110" i="30"/>
  <c r="F121" i="38"/>
  <c r="E121" i="38"/>
  <c r="D121" i="38" s="1"/>
  <c r="B122" i="38"/>
  <c r="C120" i="38"/>
  <c r="B225" i="37"/>
  <c r="AU108" i="30" l="1"/>
  <c r="G108" i="30" s="1"/>
  <c r="E108" i="30" s="1"/>
  <c r="F108" i="30" s="1"/>
  <c r="D54" i="27"/>
  <c r="G107" i="30"/>
  <c r="E107" i="30" s="1"/>
  <c r="F107" i="30" s="1"/>
  <c r="AV111" i="30"/>
  <c r="G110" i="30"/>
  <c r="E110" i="30" s="1"/>
  <c r="AU111" i="30"/>
  <c r="F122" i="38"/>
  <c r="E122" i="38"/>
  <c r="D122" i="38" s="1"/>
  <c r="B123" i="38"/>
  <c r="C121" i="38"/>
  <c r="B226" i="37"/>
  <c r="AU109" i="30" l="1"/>
  <c r="G109" i="30" s="1"/>
  <c r="E109" i="30" s="1"/>
  <c r="F109" i="30" s="1"/>
  <c r="AV109" i="30"/>
  <c r="E54" i="27"/>
  <c r="F110" i="30"/>
  <c r="G111" i="30"/>
  <c r="E111" i="30" s="1"/>
  <c r="E123" i="38"/>
  <c r="D123" i="38" s="1"/>
  <c r="F123" i="38"/>
  <c r="B124" i="38"/>
  <c r="C122" i="38"/>
  <c r="B227" i="37"/>
  <c r="B228" i="37" s="1"/>
  <c r="AU116" i="30" l="1"/>
  <c r="AU117" i="30" s="1"/>
  <c r="G117" i="30" s="1"/>
  <c r="E117" i="30" s="1"/>
  <c r="M38" i="27" s="1"/>
  <c r="G54" i="27"/>
  <c r="AV116" i="30"/>
  <c r="H20" i="51"/>
  <c r="H12" i="51"/>
  <c r="H24" i="51"/>
  <c r="H21" i="51"/>
  <c r="H23" i="51"/>
  <c r="H17" i="51"/>
  <c r="H16" i="51"/>
  <c r="H13" i="51"/>
  <c r="H8" i="51"/>
  <c r="H15" i="51"/>
  <c r="H22" i="51"/>
  <c r="H27" i="51"/>
  <c r="H11" i="51"/>
  <c r="H28" i="51"/>
  <c r="H25" i="51"/>
  <c r="H10" i="51"/>
  <c r="H18" i="51"/>
  <c r="H14" i="51"/>
  <c r="H9" i="51"/>
  <c r="H26" i="51"/>
  <c r="H19" i="51"/>
  <c r="F111" i="30"/>
  <c r="F54" i="27"/>
  <c r="F124" i="38"/>
  <c r="E124" i="38"/>
  <c r="D124" i="38" s="1"/>
  <c r="B125" i="38"/>
  <c r="C123" i="38"/>
  <c r="B229" i="37"/>
  <c r="G116" i="30" l="1"/>
  <c r="E116" i="30" s="1"/>
  <c r="AU118" i="30"/>
  <c r="AU119" i="30" s="1"/>
  <c r="AU120" i="30" s="1"/>
  <c r="G120" i="30" s="1"/>
  <c r="E120" i="30" s="1"/>
  <c r="P38" i="27" s="1"/>
  <c r="AV117" i="30"/>
  <c r="AV118" i="30"/>
  <c r="AV119" i="30"/>
  <c r="F117" i="30"/>
  <c r="AV120" i="30"/>
  <c r="H29" i="51"/>
  <c r="I17" i="51"/>
  <c r="I23" i="51"/>
  <c r="I18" i="51"/>
  <c r="I13" i="51"/>
  <c r="I16" i="51"/>
  <c r="I21" i="51"/>
  <c r="I11" i="51"/>
  <c r="I9" i="51"/>
  <c r="I22" i="51"/>
  <c r="I20" i="51"/>
  <c r="I14" i="51"/>
  <c r="I25" i="51"/>
  <c r="I10" i="51"/>
  <c r="I27" i="51"/>
  <c r="I28" i="51"/>
  <c r="I24" i="51"/>
  <c r="I15" i="51"/>
  <c r="I12" i="51"/>
  <c r="I26" i="51"/>
  <c r="I8" i="51"/>
  <c r="I19" i="51"/>
  <c r="F116" i="30"/>
  <c r="L38" i="27"/>
  <c r="G118" i="30"/>
  <c r="E118" i="30" s="1"/>
  <c r="F118" i="30" s="1"/>
  <c r="G119" i="30"/>
  <c r="E119" i="30" s="1"/>
  <c r="O38" i="27" s="1"/>
  <c r="AV121" i="30"/>
  <c r="AU121" i="30"/>
  <c r="E125" i="38"/>
  <c r="D125" i="38" s="1"/>
  <c r="F125" i="38"/>
  <c r="B126" i="38"/>
  <c r="C124" i="38"/>
  <c r="F120" i="30"/>
  <c r="B230" i="37"/>
  <c r="G121" i="30" l="1"/>
  <c r="E121" i="30" s="1"/>
  <c r="F121" i="30" s="1"/>
  <c r="I29" i="51"/>
  <c r="N38" i="27"/>
  <c r="AV122" i="30"/>
  <c r="F119" i="30"/>
  <c r="AU122" i="30"/>
  <c r="AV123" i="30"/>
  <c r="F126" i="38"/>
  <c r="E126" i="38"/>
  <c r="D126" i="38" s="1"/>
  <c r="B127" i="38"/>
  <c r="C125" i="38"/>
  <c r="B231" i="37"/>
  <c r="AU123" i="30" l="1"/>
  <c r="AU124" i="30" s="1"/>
  <c r="AV125" i="30" s="1"/>
  <c r="G122" i="30"/>
  <c r="E122" i="30" s="1"/>
  <c r="E127" i="38"/>
  <c r="D127" i="38" s="1"/>
  <c r="F127" i="38"/>
  <c r="B128" i="38"/>
  <c r="C126" i="38"/>
  <c r="B232" i="37"/>
  <c r="AV124" i="30" l="1"/>
  <c r="G123" i="30"/>
  <c r="E123" i="30" s="1"/>
  <c r="AU125" i="30"/>
  <c r="G125" i="30" s="1"/>
  <c r="E125" i="30" s="1"/>
  <c r="N42" i="27" s="1"/>
  <c r="G124" i="30"/>
  <c r="E124" i="30" s="1"/>
  <c r="AU129" i="30"/>
  <c r="AV128" i="30"/>
  <c r="AV129" i="30"/>
  <c r="F122" i="30"/>
  <c r="E128" i="38"/>
  <c r="D128" i="38" s="1"/>
  <c r="F128" i="38"/>
  <c r="B129" i="38"/>
  <c r="C127" i="38"/>
  <c r="B233" i="37"/>
  <c r="M42" i="27" l="1"/>
  <c r="F124" i="30"/>
  <c r="AV126" i="30"/>
  <c r="F123" i="30"/>
  <c r="L42" i="27"/>
  <c r="G129" i="30"/>
  <c r="E129" i="30" s="1"/>
  <c r="F129" i="30" s="1"/>
  <c r="F125" i="30"/>
  <c r="AU126" i="30"/>
  <c r="F129" i="38"/>
  <c r="E129" i="38"/>
  <c r="D129" i="38" s="1"/>
  <c r="B130" i="38"/>
  <c r="C128" i="38"/>
  <c r="B234" i="37"/>
  <c r="AV127" i="30" l="1"/>
  <c r="AU127" i="30"/>
  <c r="G126" i="30"/>
  <c r="E126" i="30" s="1"/>
  <c r="F126" i="30" s="1"/>
  <c r="G5" i="38"/>
  <c r="AV135" i="30"/>
  <c r="E130" i="38"/>
  <c r="D130" i="38" s="1"/>
  <c r="F130" i="38"/>
  <c r="B131" i="38"/>
  <c r="C129" i="38"/>
  <c r="AU136" i="30"/>
  <c r="AV136" i="30"/>
  <c r="B235" i="37"/>
  <c r="AU128" i="30" l="1"/>
  <c r="G128" i="30" s="1"/>
  <c r="E128" i="30" s="1"/>
  <c r="F128" i="30" s="1"/>
  <c r="O42" i="27"/>
  <c r="G127" i="30"/>
  <c r="E127" i="30" s="1"/>
  <c r="F127" i="30" s="1"/>
  <c r="C130" i="38"/>
  <c r="F131" i="38"/>
  <c r="E131" i="38"/>
  <c r="D131" i="38" s="1"/>
  <c r="B132" i="38"/>
  <c r="F135" i="30"/>
  <c r="G136" i="30"/>
  <c r="E136" i="30" s="1"/>
  <c r="B236" i="37"/>
  <c r="AV130" i="30" l="1"/>
  <c r="AU130" i="30"/>
  <c r="P42" i="27"/>
  <c r="C131" i="38"/>
  <c r="F132" i="38"/>
  <c r="E132" i="38"/>
  <c r="D132" i="38" s="1"/>
  <c r="B133" i="38"/>
  <c r="F136" i="30"/>
  <c r="B237" i="37"/>
  <c r="L67" i="27"/>
  <c r="AU131" i="30" l="1"/>
  <c r="G131" i="30" s="1"/>
  <c r="E131" i="30" s="1"/>
  <c r="M46" i="27" s="1"/>
  <c r="G130" i="30"/>
  <c r="E130" i="30" s="1"/>
  <c r="F130" i="30" s="1"/>
  <c r="AV131" i="30"/>
  <c r="C132" i="38"/>
  <c r="E133" i="38"/>
  <c r="D133" i="38" s="1"/>
  <c r="F133" i="38"/>
  <c r="B134" i="38"/>
  <c r="B238" i="37"/>
  <c r="AV132" i="30" l="1"/>
  <c r="F131" i="30"/>
  <c r="AU132" i="30"/>
  <c r="AU133" i="30" s="1"/>
  <c r="L46" i="27"/>
  <c r="C133" i="38"/>
  <c r="F134" i="38"/>
  <c r="E134" i="38"/>
  <c r="D134" i="38" s="1"/>
  <c r="B135" i="38"/>
  <c r="B239" i="37"/>
  <c r="AV133" i="30" l="1"/>
  <c r="AV134" i="30"/>
  <c r="G132" i="30"/>
  <c r="E132" i="30" s="1"/>
  <c r="AU134" i="30"/>
  <c r="G134" i="30" s="1"/>
  <c r="E134" i="30" s="1"/>
  <c r="F134" i="30" s="1"/>
  <c r="G133" i="30"/>
  <c r="E133" i="30" s="1"/>
  <c r="F133" i="30" s="1"/>
  <c r="AU135" i="30"/>
  <c r="C134" i="38"/>
  <c r="F135" i="38"/>
  <c r="E135" i="38"/>
  <c r="D135" i="38" s="1"/>
  <c r="B136" i="38"/>
  <c r="AV142" i="30"/>
  <c r="B240" i="37"/>
  <c r="AU137" i="30" l="1"/>
  <c r="AV138" i="30" s="1"/>
  <c r="AV137" i="30"/>
  <c r="F132" i="30"/>
  <c r="N46" i="27"/>
  <c r="O46" i="27"/>
  <c r="P46" i="27"/>
  <c r="G135" i="30"/>
  <c r="E135" i="30" s="1"/>
  <c r="AU138" i="30"/>
  <c r="AU139" i="30" s="1"/>
  <c r="G139" i="30" s="1"/>
  <c r="E139" i="30" s="1"/>
  <c r="F139" i="30" s="1"/>
  <c r="AU143" i="30"/>
  <c r="C135" i="38"/>
  <c r="F136" i="38"/>
  <c r="E136" i="38"/>
  <c r="D136" i="38" s="1"/>
  <c r="B137" i="38"/>
  <c r="F143" i="30"/>
  <c r="B241" i="37"/>
  <c r="G137" i="30" l="1"/>
  <c r="E137" i="30" s="1"/>
  <c r="L50" i="27" s="1"/>
  <c r="AV140" i="30"/>
  <c r="N50" i="27"/>
  <c r="AV139" i="30"/>
  <c r="G138" i="30"/>
  <c r="E138" i="30" s="1"/>
  <c r="F138" i="30" s="1"/>
  <c r="AU140" i="30"/>
  <c r="AV141" i="30" s="1"/>
  <c r="G143" i="30"/>
  <c r="E143" i="30" s="1"/>
  <c r="AV150" i="30"/>
  <c r="C136" i="38"/>
  <c r="F137" i="38"/>
  <c r="E137" i="38"/>
  <c r="D137" i="38" s="1"/>
  <c r="B138" i="38"/>
  <c r="AV151" i="30"/>
  <c r="B242" i="37"/>
  <c r="F137" i="30" l="1"/>
  <c r="M50" i="27"/>
  <c r="G140" i="30"/>
  <c r="E140" i="30" s="1"/>
  <c r="O50" i="27" s="1"/>
  <c r="AU141" i="30"/>
  <c r="AU142" i="30"/>
  <c r="G6" i="38"/>
  <c r="C67" i="27"/>
  <c r="F150" i="30"/>
  <c r="AV152" i="30"/>
  <c r="C137" i="38"/>
  <c r="F138" i="38"/>
  <c r="E138" i="38"/>
  <c r="D138" i="38" s="1"/>
  <c r="B139" i="38"/>
  <c r="F151" i="30"/>
  <c r="D67" i="27"/>
  <c r="AU153" i="30"/>
  <c r="AV153" i="30"/>
  <c r="B243" i="37"/>
  <c r="AV144" i="30" l="1"/>
  <c r="AU144" i="30"/>
  <c r="G144" i="30" s="1"/>
  <c r="E144" i="30" s="1"/>
  <c r="AV143" i="30"/>
  <c r="G142" i="30"/>
  <c r="E142" i="30" s="1"/>
  <c r="G141" i="30"/>
  <c r="E141" i="30" s="1"/>
  <c r="AU145" i="30"/>
  <c r="G145" i="30" s="1"/>
  <c r="E145" i="30" s="1"/>
  <c r="F145" i="30" s="1"/>
  <c r="F140" i="30"/>
  <c r="AU146" i="30"/>
  <c r="G146" i="30" s="1"/>
  <c r="E146" i="30" s="1"/>
  <c r="F146" i="30" s="1"/>
  <c r="C138" i="38"/>
  <c r="E139" i="38"/>
  <c r="D139" i="38" s="1"/>
  <c r="F139" i="38"/>
  <c r="B140" i="38"/>
  <c r="F152" i="30"/>
  <c r="AU154" i="30"/>
  <c r="G153" i="30"/>
  <c r="E153" i="30" s="1"/>
  <c r="AV154" i="30"/>
  <c r="B244" i="37"/>
  <c r="P50" i="27" l="1"/>
  <c r="F141" i="30"/>
  <c r="F144" i="30"/>
  <c r="L54" i="27"/>
  <c r="AV145" i="30"/>
  <c r="AV146" i="30"/>
  <c r="J14" i="51"/>
  <c r="J28" i="51"/>
  <c r="J21" i="51"/>
  <c r="J23" i="51"/>
  <c r="J19" i="51"/>
  <c r="J22" i="51"/>
  <c r="J26" i="51"/>
  <c r="J17" i="51"/>
  <c r="J20" i="51"/>
  <c r="J25" i="51"/>
  <c r="J9" i="51"/>
  <c r="J8" i="51"/>
  <c r="J13" i="51"/>
  <c r="J11" i="51"/>
  <c r="J16" i="51"/>
  <c r="J12" i="51"/>
  <c r="J27" i="51"/>
  <c r="J15" i="51"/>
  <c r="J18" i="51"/>
  <c r="J24" i="51"/>
  <c r="J10" i="51"/>
  <c r="M58" i="27"/>
  <c r="N54" i="27"/>
  <c r="L58" i="27"/>
  <c r="M54" i="27"/>
  <c r="AU150" i="30"/>
  <c r="O54" i="27"/>
  <c r="AU151" i="30"/>
  <c r="G151" i="30" s="1"/>
  <c r="E151" i="30" s="1"/>
  <c r="F142" i="30"/>
  <c r="P54" i="27"/>
  <c r="C139" i="38"/>
  <c r="F140" i="38"/>
  <c r="E140" i="38"/>
  <c r="D140" i="38" s="1"/>
  <c r="B141" i="38"/>
  <c r="G154" i="30"/>
  <c r="E154" i="30" s="1"/>
  <c r="AV155" i="30"/>
  <c r="F153" i="30"/>
  <c r="B245" i="37"/>
  <c r="K9" i="51" l="1"/>
  <c r="J29" i="51"/>
  <c r="H5" i="51" s="1"/>
  <c r="K12" i="51"/>
  <c r="K18" i="51"/>
  <c r="K11" i="51"/>
  <c r="K25" i="51"/>
  <c r="K20" i="51"/>
  <c r="K28" i="51"/>
  <c r="K23" i="51"/>
  <c r="K14" i="51"/>
  <c r="K17" i="51"/>
  <c r="K16" i="51"/>
  <c r="K21" i="51"/>
  <c r="K22" i="51"/>
  <c r="K13" i="51"/>
  <c r="K8" i="51"/>
  <c r="K26" i="51"/>
  <c r="K24" i="51"/>
  <c r="K19" i="51"/>
  <c r="K27" i="51"/>
  <c r="K10" i="51"/>
  <c r="K15" i="51"/>
  <c r="G150" i="30"/>
  <c r="E150" i="30" s="1"/>
  <c r="AU152" i="30"/>
  <c r="C140" i="38"/>
  <c r="F141" i="38"/>
  <c r="E141" i="38"/>
  <c r="D141" i="38" s="1"/>
  <c r="B142" i="38"/>
  <c r="F154" i="30"/>
  <c r="B246" i="37"/>
  <c r="K29" i="51" l="1"/>
  <c r="F67" i="27"/>
  <c r="G152" i="30"/>
  <c r="E152" i="30" s="1"/>
  <c r="AU155" i="30"/>
  <c r="G155" i="30" s="1"/>
  <c r="E155" i="30" s="1"/>
  <c r="G7" i="38" s="1"/>
  <c r="C141" i="38"/>
  <c r="E142" i="38"/>
  <c r="D142" i="38" s="1"/>
  <c r="F142" i="38"/>
  <c r="B143" i="38"/>
  <c r="AV159" i="30"/>
  <c r="F155" i="30"/>
  <c r="B247" i="37"/>
  <c r="AV156" i="30" l="1"/>
  <c r="I5" i="51"/>
  <c r="J5" i="51"/>
  <c r="E67" i="27"/>
  <c r="G67" i="27"/>
  <c r="AU156" i="30"/>
  <c r="G9" i="38"/>
  <c r="C71" i="27"/>
  <c r="C142" i="38"/>
  <c r="F143" i="38"/>
  <c r="E143" i="38"/>
  <c r="D143" i="38" s="1"/>
  <c r="B144" i="38"/>
  <c r="AV160" i="30"/>
  <c r="B248" i="37"/>
  <c r="G156" i="30" l="1"/>
  <c r="E156" i="30" s="1"/>
  <c r="F156" i="30" s="1"/>
  <c r="AV157" i="30"/>
  <c r="D71" i="27"/>
  <c r="AU157" i="30"/>
  <c r="G157" i="30" s="1"/>
  <c r="E157" i="30" s="1"/>
  <c r="F157" i="30" s="1"/>
  <c r="F160" i="30"/>
  <c r="C143" i="38"/>
  <c r="F144" i="38"/>
  <c r="E144" i="38"/>
  <c r="D144" i="38" s="1"/>
  <c r="B145" i="38"/>
  <c r="B249" i="37"/>
  <c r="AV158" i="30" l="1"/>
  <c r="G8" i="38"/>
  <c r="AU158" i="30"/>
  <c r="C144" i="38"/>
  <c r="E145" i="38"/>
  <c r="D145" i="38" s="1"/>
  <c r="F145" i="38"/>
  <c r="B146" i="38"/>
  <c r="E71" i="27"/>
  <c r="F159" i="30"/>
  <c r="B250" i="37"/>
  <c r="G158" i="30" l="1"/>
  <c r="E158" i="30" s="1"/>
  <c r="F158" i="30" s="1"/>
  <c r="AU159" i="30"/>
  <c r="G11" i="38"/>
  <c r="C145" i="38"/>
  <c r="E146" i="38"/>
  <c r="D146" i="38" s="1"/>
  <c r="F146" i="38"/>
  <c r="B147" i="38"/>
  <c r="B251" i="37"/>
  <c r="AU160" i="30" l="1"/>
  <c r="AU161" i="30" s="1"/>
  <c r="G159" i="30"/>
  <c r="E159" i="30" s="1"/>
  <c r="AV166" i="30"/>
  <c r="AV167" i="30"/>
  <c r="C146" i="38"/>
  <c r="E147" i="38"/>
  <c r="D147" i="38" s="1"/>
  <c r="F147" i="38"/>
  <c r="B148" i="38"/>
  <c r="AU167" i="30"/>
  <c r="B252" i="37"/>
  <c r="AV161" i="30" l="1"/>
  <c r="AV162" i="30"/>
  <c r="G161" i="30"/>
  <c r="E161" i="30" s="1"/>
  <c r="F161" i="30" s="1"/>
  <c r="AU162" i="30"/>
  <c r="G162" i="30" s="1"/>
  <c r="E162" i="30" s="1"/>
  <c r="G10" i="38"/>
  <c r="G71" i="27"/>
  <c r="G160" i="30"/>
  <c r="E160" i="30" s="1"/>
  <c r="F71" i="27" s="1"/>
  <c r="G13" i="38"/>
  <c r="C147" i="38"/>
  <c r="F148" i="38"/>
  <c r="E148" i="38"/>
  <c r="D148" i="38" s="1"/>
  <c r="B149" i="38"/>
  <c r="F166" i="30"/>
  <c r="G167" i="30"/>
  <c r="E167" i="30" s="1"/>
  <c r="B253" i="37"/>
  <c r="AV163" i="30" l="1"/>
  <c r="C75" i="27"/>
  <c r="F162" i="30"/>
  <c r="AU163" i="30"/>
  <c r="AV164" i="30" s="1"/>
  <c r="F167" i="30"/>
  <c r="F149" i="38"/>
  <c r="E149" i="38"/>
  <c r="D149" i="38" s="1"/>
  <c r="B150" i="38"/>
  <c r="C148" i="38"/>
  <c r="B254" i="37"/>
  <c r="G163" i="30" l="1"/>
  <c r="E163" i="30" s="1"/>
  <c r="F163" i="30" s="1"/>
  <c r="AU164" i="30"/>
  <c r="G164" i="30" s="1"/>
  <c r="E164" i="30" s="1"/>
  <c r="F164" i="30" s="1"/>
  <c r="D75" i="27"/>
  <c r="C149" i="38"/>
  <c r="F150" i="38"/>
  <c r="E150" i="38"/>
  <c r="D150" i="38" s="1"/>
  <c r="B151" i="38"/>
  <c r="B255" i="37"/>
  <c r="F54" i="29"/>
  <c r="E41" i="28" s="1"/>
  <c r="AU165" i="30" l="1"/>
  <c r="G165" i="30" s="1"/>
  <c r="E165" i="30" s="1"/>
  <c r="AV165" i="30"/>
  <c r="AA28" i="51"/>
  <c r="Z28" i="51"/>
  <c r="Y28" i="51"/>
  <c r="G12" i="38"/>
  <c r="E75" i="27"/>
  <c r="AU166" i="30"/>
  <c r="G15" i="38"/>
  <c r="C150" i="38"/>
  <c r="E151" i="38"/>
  <c r="D151" i="38" s="1"/>
  <c r="F151" i="38"/>
  <c r="B152" i="38"/>
  <c r="AV173" i="30"/>
  <c r="G54" i="29"/>
  <c r="F41" i="28" s="1"/>
  <c r="Y4" i="44"/>
  <c r="B256" i="37"/>
  <c r="AV168" i="30" l="1"/>
  <c r="F75" i="27"/>
  <c r="F165" i="30"/>
  <c r="AU168" i="30"/>
  <c r="G168" i="30" s="1"/>
  <c r="E168" i="30" s="1"/>
  <c r="F168" i="30" s="1"/>
  <c r="G166" i="30"/>
  <c r="E166" i="30" s="1"/>
  <c r="AV174" i="30"/>
  <c r="C151" i="38"/>
  <c r="F152" i="38"/>
  <c r="E152" i="38"/>
  <c r="D152" i="38" s="1"/>
  <c r="B153" i="38"/>
  <c r="F173" i="30"/>
  <c r="AU174" i="30"/>
  <c r="B257" i="37"/>
  <c r="AU169" i="30" l="1"/>
  <c r="AV170" i="30" s="1"/>
  <c r="AV169" i="30"/>
  <c r="G14" i="38"/>
  <c r="G75" i="27"/>
  <c r="C152" i="38"/>
  <c r="F153" i="38"/>
  <c r="E153" i="38"/>
  <c r="D153" i="38" s="1"/>
  <c r="B154" i="38"/>
  <c r="G174" i="30"/>
  <c r="E174" i="30" s="1"/>
  <c r="F174" i="30" s="1"/>
  <c r="B258" i="37"/>
  <c r="AU170" i="30" l="1"/>
  <c r="AV171" i="30" s="1"/>
  <c r="G169" i="30"/>
  <c r="E169" i="30" s="1"/>
  <c r="F169" i="30" s="1"/>
  <c r="C79" i="27"/>
  <c r="F154" i="38"/>
  <c r="E154" i="38"/>
  <c r="D154" i="38" s="1"/>
  <c r="B155" i="38"/>
  <c r="C153" i="38"/>
  <c r="M67" i="27"/>
  <c r="B259" i="37"/>
  <c r="AU171" i="30" l="1"/>
  <c r="G171" i="30" s="1"/>
  <c r="E171" i="30" s="1"/>
  <c r="F171" i="30" s="1"/>
  <c r="G170" i="30"/>
  <c r="E170" i="30" s="1"/>
  <c r="F170" i="30" s="1"/>
  <c r="D79" i="27"/>
  <c r="G16" i="38"/>
  <c r="AV178" i="30"/>
  <c r="C154" i="38"/>
  <c r="F155" i="38"/>
  <c r="E155" i="38"/>
  <c r="D155" i="38" s="1"/>
  <c r="B156" i="38"/>
  <c r="B260" i="37"/>
  <c r="E79" i="27" l="1"/>
  <c r="AV172" i="30"/>
  <c r="AU172" i="30"/>
  <c r="G172" i="30" s="1"/>
  <c r="E172" i="30" s="1"/>
  <c r="F172" i="30" s="1"/>
  <c r="AU173" i="30"/>
  <c r="F178" i="30"/>
  <c r="C155" i="38"/>
  <c r="E156" i="38"/>
  <c r="D156" i="38" s="1"/>
  <c r="F156" i="38"/>
  <c r="B157" i="38"/>
  <c r="AV180" i="30"/>
  <c r="B261" i="37"/>
  <c r="AU175" i="30" l="1"/>
  <c r="G175" i="30" s="1"/>
  <c r="E175" i="30" s="1"/>
  <c r="F175" i="30" s="1"/>
  <c r="AV175" i="30"/>
  <c r="G173" i="30"/>
  <c r="E173" i="30" s="1"/>
  <c r="G17" i="38"/>
  <c r="F79" i="27"/>
  <c r="G20" i="38"/>
  <c r="C156" i="38"/>
  <c r="F157" i="38"/>
  <c r="E157" i="38"/>
  <c r="D157" i="38" s="1"/>
  <c r="B158" i="38"/>
  <c r="C87" i="27"/>
  <c r="AU184" i="30"/>
  <c r="B262" i="37"/>
  <c r="AV176" i="30" l="1"/>
  <c r="AU176" i="30"/>
  <c r="AV177" i="30" s="1"/>
  <c r="G18" i="38"/>
  <c r="G79" i="27"/>
  <c r="G21" i="38"/>
  <c r="AV185" i="30"/>
  <c r="C157" i="38"/>
  <c r="F158" i="38"/>
  <c r="E158" i="38"/>
  <c r="D158" i="38" s="1"/>
  <c r="B159" i="38"/>
  <c r="F180" i="30"/>
  <c r="AU185" i="30"/>
  <c r="D87" i="27"/>
  <c r="G184" i="30"/>
  <c r="E184" i="30" s="1"/>
  <c r="B263" i="37"/>
  <c r="AV186" i="30" l="1"/>
  <c r="AU177" i="30"/>
  <c r="G177" i="30" s="1"/>
  <c r="E177" i="30" s="1"/>
  <c r="F177" i="30" s="1"/>
  <c r="G176" i="30"/>
  <c r="E176" i="30" s="1"/>
  <c r="F176" i="30" s="1"/>
  <c r="F184" i="30"/>
  <c r="C83" i="27"/>
  <c r="AU178" i="30"/>
  <c r="C158" i="38"/>
  <c r="F159" i="38"/>
  <c r="E159" i="38"/>
  <c r="D159" i="38" s="1"/>
  <c r="B160" i="38"/>
  <c r="G185" i="30"/>
  <c r="E185" i="30" s="1"/>
  <c r="N67" i="27"/>
  <c r="B264" i="37"/>
  <c r="AV179" i="30" l="1"/>
  <c r="G178" i="30"/>
  <c r="E178" i="30" s="1"/>
  <c r="AU179" i="30"/>
  <c r="D83" i="27"/>
  <c r="O67" i="27"/>
  <c r="F185" i="30"/>
  <c r="P67" i="27"/>
  <c r="C159" i="38"/>
  <c r="E160" i="38"/>
  <c r="D160" i="38" s="1"/>
  <c r="F160" i="38"/>
  <c r="B161" i="38"/>
  <c r="B265" i="37"/>
  <c r="G179" i="30" l="1"/>
  <c r="E179" i="30" s="1"/>
  <c r="F179" i="30" s="1"/>
  <c r="AU180" i="30"/>
  <c r="G19" i="38"/>
  <c r="E83" i="27"/>
  <c r="AV190" i="30"/>
  <c r="C160" i="38"/>
  <c r="E161" i="38"/>
  <c r="D161" i="38" s="1"/>
  <c r="F161" i="38"/>
  <c r="B162" i="38"/>
  <c r="AU191" i="30"/>
  <c r="B266" i="37"/>
  <c r="M14" i="51" l="1"/>
  <c r="M17" i="51"/>
  <c r="M10" i="51"/>
  <c r="M19" i="51"/>
  <c r="M9" i="51"/>
  <c r="M20" i="51"/>
  <c r="M22" i="51"/>
  <c r="M21" i="51"/>
  <c r="M18" i="51"/>
  <c r="M16" i="51"/>
  <c r="M15" i="51"/>
  <c r="M28" i="51"/>
  <c r="M26" i="51"/>
  <c r="M24" i="51"/>
  <c r="M23" i="51"/>
  <c r="M8" i="51"/>
  <c r="M25" i="51"/>
  <c r="M27" i="51"/>
  <c r="M12" i="51"/>
  <c r="M13" i="51"/>
  <c r="M11" i="51"/>
  <c r="AV184" i="30"/>
  <c r="G180" i="30"/>
  <c r="E180" i="30" s="1"/>
  <c r="F83" i="27"/>
  <c r="AU186" i="30"/>
  <c r="C161" i="38"/>
  <c r="F162" i="38"/>
  <c r="E162" i="38"/>
  <c r="D162" i="38" s="1"/>
  <c r="B163" i="38"/>
  <c r="G191" i="30"/>
  <c r="E191" i="30" s="1"/>
  <c r="F191" i="30" s="1"/>
  <c r="B267" i="37"/>
  <c r="AV187" i="30" l="1"/>
  <c r="M29" i="51"/>
  <c r="L13" i="51"/>
  <c r="L8" i="51"/>
  <c r="L26" i="51"/>
  <c r="L24" i="51"/>
  <c r="L22" i="51"/>
  <c r="L20" i="51"/>
  <c r="L12" i="51"/>
  <c r="L25" i="51"/>
  <c r="L23" i="51"/>
  <c r="L11" i="51"/>
  <c r="L18" i="51"/>
  <c r="L14" i="51"/>
  <c r="L16" i="51"/>
  <c r="L10" i="51"/>
  <c r="L21" i="51"/>
  <c r="L9" i="51"/>
  <c r="L17" i="51"/>
  <c r="L27" i="51"/>
  <c r="L15" i="51"/>
  <c r="L19" i="51"/>
  <c r="L28" i="51"/>
  <c r="G83" i="27"/>
  <c r="G186" i="30"/>
  <c r="E186" i="30" s="1"/>
  <c r="AU187" i="30"/>
  <c r="C162" i="38"/>
  <c r="F163" i="38"/>
  <c r="E163" i="38"/>
  <c r="D163" i="38" s="1"/>
  <c r="B164" i="38"/>
  <c r="B268" i="37"/>
  <c r="G187" i="30" l="1"/>
  <c r="E187" i="30" s="1"/>
  <c r="F187" i="30" s="1"/>
  <c r="AV188" i="30"/>
  <c r="M71" i="27"/>
  <c r="L29" i="51"/>
  <c r="AU188" i="30"/>
  <c r="G188" i="30" s="1"/>
  <c r="E188" i="30" s="1"/>
  <c r="F186" i="30"/>
  <c r="L71" i="27"/>
  <c r="C163" i="38"/>
  <c r="F164" i="38"/>
  <c r="E164" i="38"/>
  <c r="D164" i="38" s="1"/>
  <c r="B165" i="38"/>
  <c r="B269" i="37"/>
  <c r="AV189" i="30" l="1"/>
  <c r="F188" i="30"/>
  <c r="N71" i="27"/>
  <c r="AU189" i="30"/>
  <c r="AV198" i="30"/>
  <c r="F165" i="38"/>
  <c r="E165" i="38"/>
  <c r="D165" i="38" s="1"/>
  <c r="B166" i="38"/>
  <c r="C164" i="38"/>
  <c r="AV197" i="30"/>
  <c r="AU198" i="30"/>
  <c r="B270" i="37"/>
  <c r="G189" i="30" l="1"/>
  <c r="E189" i="30" s="1"/>
  <c r="AU190" i="30"/>
  <c r="C165" i="38"/>
  <c r="F166" i="38"/>
  <c r="E166" i="38"/>
  <c r="D166" i="38" s="1"/>
  <c r="B167" i="38"/>
  <c r="G198" i="30"/>
  <c r="E198" i="30" s="1"/>
  <c r="F198" i="30" s="1"/>
  <c r="B271" i="37"/>
  <c r="AU192" i="30" l="1"/>
  <c r="AV192" i="30"/>
  <c r="AV193" i="30"/>
  <c r="AV191" i="30"/>
  <c r="G190" i="30"/>
  <c r="E190" i="30" s="1"/>
  <c r="AU193" i="30"/>
  <c r="F189" i="30"/>
  <c r="O71" i="27"/>
  <c r="C166" i="38"/>
  <c r="F167" i="38"/>
  <c r="E167" i="38"/>
  <c r="D167" i="38" s="1"/>
  <c r="B168" i="38"/>
  <c r="B272" i="37"/>
  <c r="G192" i="30" l="1"/>
  <c r="E192" i="30" s="1"/>
  <c r="F192" i="30" s="1"/>
  <c r="AV194" i="30"/>
  <c r="G193" i="30"/>
  <c r="E193" i="30" s="1"/>
  <c r="AU194" i="30"/>
  <c r="AU195" i="30" s="1"/>
  <c r="G195" i="30" s="1"/>
  <c r="E195" i="30" s="1"/>
  <c r="O75" i="27" s="1"/>
  <c r="F190" i="30"/>
  <c r="P71" i="27"/>
  <c r="C167" i="38"/>
  <c r="F168" i="38"/>
  <c r="E168" i="38"/>
  <c r="D168" i="38" s="1"/>
  <c r="B169" i="38"/>
  <c r="B273" i="37"/>
  <c r="AU196" i="30" l="1"/>
  <c r="G196" i="30" s="1"/>
  <c r="E196" i="30" s="1"/>
  <c r="F196" i="30" s="1"/>
  <c r="AV195" i="30"/>
  <c r="AV196" i="30"/>
  <c r="F195" i="30"/>
  <c r="AU197" i="30"/>
  <c r="AV199" i="30" s="1"/>
  <c r="G194" i="30"/>
  <c r="E194" i="30" s="1"/>
  <c r="F193" i="30"/>
  <c r="L75" i="27"/>
  <c r="AV204" i="30"/>
  <c r="C168" i="38"/>
  <c r="F169" i="38"/>
  <c r="E169" i="38"/>
  <c r="D169" i="38" s="1"/>
  <c r="B170" i="38"/>
  <c r="AU205" i="30"/>
  <c r="B274" i="37"/>
  <c r="AU199" i="30" l="1"/>
  <c r="AV200" i="30"/>
  <c r="M75" i="27"/>
  <c r="F194" i="30"/>
  <c r="N75" i="27"/>
  <c r="G197" i="30"/>
  <c r="E197" i="30" s="1"/>
  <c r="AV205" i="30"/>
  <c r="E170" i="38"/>
  <c r="D170" i="38" s="1"/>
  <c r="F170" i="38"/>
  <c r="B171" i="38"/>
  <c r="C169" i="38"/>
  <c r="G205" i="30"/>
  <c r="E205" i="30" s="1"/>
  <c r="F205" i="30" s="1"/>
  <c r="C96" i="27"/>
  <c r="D96" i="27"/>
  <c r="B275" i="37"/>
  <c r="G199" i="30" l="1"/>
  <c r="E199" i="30" s="1"/>
  <c r="F199" i="30" s="1"/>
  <c r="AU200" i="30"/>
  <c r="L79" i="27"/>
  <c r="F197" i="30"/>
  <c r="P75" i="27"/>
  <c r="AU204" i="30"/>
  <c r="G204" i="30" s="1"/>
  <c r="E204" i="30" s="1"/>
  <c r="F204" i="30" s="1"/>
  <c r="C170" i="38"/>
  <c r="F171" i="38"/>
  <c r="E171" i="38"/>
  <c r="D171" i="38" s="1"/>
  <c r="B172" i="38"/>
  <c r="B276" i="37"/>
  <c r="AV201" i="30" l="1"/>
  <c r="G200" i="30"/>
  <c r="E200" i="30" s="1"/>
  <c r="F200" i="30" s="1"/>
  <c r="AU201" i="30"/>
  <c r="M79" i="27"/>
  <c r="C171" i="38"/>
  <c r="E172" i="38"/>
  <c r="D172" i="38" s="1"/>
  <c r="F172" i="38"/>
  <c r="B173" i="38"/>
  <c r="E96" i="27"/>
  <c r="B277" i="37"/>
  <c r="G201" i="30" l="1"/>
  <c r="E201" i="30" s="1"/>
  <c r="AV202" i="30"/>
  <c r="AU202" i="30"/>
  <c r="C172" i="38"/>
  <c r="E173" i="38"/>
  <c r="D173" i="38" s="1"/>
  <c r="F173" i="38"/>
  <c r="B174" i="38"/>
  <c r="AU211" i="30"/>
  <c r="B278" i="37"/>
  <c r="F201" i="30" l="1"/>
  <c r="N79" i="27"/>
  <c r="G202" i="30"/>
  <c r="E202" i="30" s="1"/>
  <c r="AV203" i="30"/>
  <c r="AU203" i="30"/>
  <c r="AU212" i="30"/>
  <c r="AV212" i="30"/>
  <c r="AV218" i="30"/>
  <c r="E174" i="38"/>
  <c r="D174" i="38" s="1"/>
  <c r="F174" i="38"/>
  <c r="B175" i="38"/>
  <c r="C173" i="38"/>
  <c r="G211" i="30"/>
  <c r="E211" i="30" s="1"/>
  <c r="G22" i="38" s="1"/>
  <c r="AU218" i="30"/>
  <c r="F96" i="27"/>
  <c r="B279" i="37"/>
  <c r="AV206" i="30" l="1"/>
  <c r="G203" i="30"/>
  <c r="E203" i="30" s="1"/>
  <c r="AU206" i="30"/>
  <c r="AU207" i="30"/>
  <c r="G207" i="30" s="1"/>
  <c r="E207" i="30" s="1"/>
  <c r="F202" i="30"/>
  <c r="O79" i="27"/>
  <c r="G212" i="30"/>
  <c r="E212" i="30" s="1"/>
  <c r="G218" i="30"/>
  <c r="E218" i="30" s="1"/>
  <c r="F211" i="30"/>
  <c r="G96" i="27"/>
  <c r="F218" i="30"/>
  <c r="F212" i="30"/>
  <c r="F175" i="38"/>
  <c r="E175" i="38"/>
  <c r="D175" i="38" s="1"/>
  <c r="B176" i="38"/>
  <c r="C174" i="38"/>
  <c r="B280" i="37"/>
  <c r="AV208" i="30" l="1"/>
  <c r="AU208" i="30"/>
  <c r="F207" i="30"/>
  <c r="M83" i="27"/>
  <c r="G206" i="30"/>
  <c r="E206" i="30" s="1"/>
  <c r="AU209" i="30"/>
  <c r="G209" i="30" s="1"/>
  <c r="E209" i="30" s="1"/>
  <c r="AV209" i="30"/>
  <c r="F203" i="30"/>
  <c r="P79" i="27"/>
  <c r="AV207" i="30"/>
  <c r="AV211" i="30"/>
  <c r="C175" i="38"/>
  <c r="F176" i="38"/>
  <c r="E176" i="38"/>
  <c r="D176" i="38" s="1"/>
  <c r="B177" i="38"/>
  <c r="B281" i="37"/>
  <c r="F209" i="30" l="1"/>
  <c r="O83" i="27"/>
  <c r="F206" i="30"/>
  <c r="L83" i="27"/>
  <c r="G208" i="30"/>
  <c r="E208" i="30" s="1"/>
  <c r="AV210" i="30"/>
  <c r="AU210" i="30"/>
  <c r="AU219" i="30" s="1"/>
  <c r="G219" i="30" s="1"/>
  <c r="E219" i="30" s="1"/>
  <c r="G23" i="38"/>
  <c r="AV224" i="30"/>
  <c r="E177" i="38"/>
  <c r="D177" i="38" s="1"/>
  <c r="F177" i="38"/>
  <c r="B178" i="38"/>
  <c r="C176" i="38"/>
  <c r="B282" i="37"/>
  <c r="F219" i="30" l="1"/>
  <c r="C100" i="27"/>
  <c r="F208" i="30"/>
  <c r="N83" i="27"/>
  <c r="AU220" i="30"/>
  <c r="G220" i="30" s="1"/>
  <c r="E220" i="30" s="1"/>
  <c r="G210" i="30"/>
  <c r="E210" i="30" s="1"/>
  <c r="N19" i="51" s="1"/>
  <c r="AV220" i="30"/>
  <c r="AU221" i="30"/>
  <c r="AU222" i="30" s="1"/>
  <c r="G222" i="30" s="1"/>
  <c r="E222" i="30" s="1"/>
  <c r="F222" i="30" s="1"/>
  <c r="AV219" i="30"/>
  <c r="AV221" i="30"/>
  <c r="AV223" i="30"/>
  <c r="AU223" i="30"/>
  <c r="F223" i="30"/>
  <c r="G24" i="38"/>
  <c r="C177" i="38"/>
  <c r="AU225" i="30"/>
  <c r="E178" i="38"/>
  <c r="D178" i="38" s="1"/>
  <c r="F178" i="38"/>
  <c r="B179" i="38"/>
  <c r="B283" i="37"/>
  <c r="N13" i="51" l="1"/>
  <c r="N10" i="51"/>
  <c r="N28" i="51"/>
  <c r="N14" i="51"/>
  <c r="N20" i="51"/>
  <c r="N24" i="51"/>
  <c r="N26" i="51"/>
  <c r="N27" i="51"/>
  <c r="N11" i="51"/>
  <c r="N25" i="51"/>
  <c r="F210" i="30"/>
  <c r="N18" i="51"/>
  <c r="P83" i="27"/>
  <c r="N16" i="51"/>
  <c r="N17" i="51"/>
  <c r="F220" i="30"/>
  <c r="D100" i="27"/>
  <c r="N21" i="51"/>
  <c r="N12" i="51"/>
  <c r="N23" i="51"/>
  <c r="G221" i="30"/>
  <c r="E221" i="30" s="1"/>
  <c r="F221" i="30" s="1"/>
  <c r="N22" i="51"/>
  <c r="AV222" i="30"/>
  <c r="N15" i="51"/>
  <c r="N9" i="51"/>
  <c r="N8" i="51"/>
  <c r="G223" i="30"/>
  <c r="E223" i="30" s="1"/>
  <c r="F100" i="27" s="1"/>
  <c r="AU224" i="30"/>
  <c r="F224" i="30"/>
  <c r="G25" i="38"/>
  <c r="G225" i="30"/>
  <c r="E225" i="30" s="1"/>
  <c r="F225" i="30" s="1"/>
  <c r="C178" i="38"/>
  <c r="F179" i="38"/>
  <c r="E179" i="38"/>
  <c r="D179" i="38" s="1"/>
  <c r="B180" i="38"/>
  <c r="B284" i="37"/>
  <c r="E100" i="27" l="1"/>
  <c r="O17" i="51"/>
  <c r="O23" i="51"/>
  <c r="O25" i="51"/>
  <c r="O14" i="51"/>
  <c r="O10" i="51"/>
  <c r="O28" i="51"/>
  <c r="O24" i="51"/>
  <c r="O12" i="51"/>
  <c r="O20" i="51"/>
  <c r="O15" i="51"/>
  <c r="O27" i="51"/>
  <c r="O13" i="51"/>
  <c r="O18" i="51"/>
  <c r="O11" i="51"/>
  <c r="O16" i="51"/>
  <c r="O21" i="51"/>
  <c r="O19" i="51"/>
  <c r="O9" i="51"/>
  <c r="O26" i="51"/>
  <c r="O8" i="51"/>
  <c r="O22" i="51"/>
  <c r="N29" i="51"/>
  <c r="AU226" i="30"/>
  <c r="AV227" i="30" s="1"/>
  <c r="AV226" i="30"/>
  <c r="AV225" i="30"/>
  <c r="G224" i="30"/>
  <c r="E224" i="30" s="1"/>
  <c r="G100" i="27" s="1"/>
  <c r="G26" i="38"/>
  <c r="C179" i="38"/>
  <c r="E180" i="38"/>
  <c r="D180" i="38" s="1"/>
  <c r="F180" i="38"/>
  <c r="B181" i="38"/>
  <c r="B285" i="37"/>
  <c r="O29" i="51" l="1"/>
  <c r="AU227" i="30"/>
  <c r="AV228" i="30" s="1"/>
  <c r="G226" i="30"/>
  <c r="E226" i="30" s="1"/>
  <c r="F226" i="30" s="1"/>
  <c r="AU228" i="30"/>
  <c r="AV229" i="30" s="1"/>
  <c r="E181" i="38"/>
  <c r="D181" i="38" s="1"/>
  <c r="F181" i="38"/>
  <c r="B182" i="38"/>
  <c r="C180" i="38"/>
  <c r="C104" i="27"/>
  <c r="B286" i="37"/>
  <c r="G227" i="30" l="1"/>
  <c r="E227" i="30" s="1"/>
  <c r="F227" i="30" s="1"/>
  <c r="G228" i="30"/>
  <c r="E228" i="30" s="1"/>
  <c r="F228" i="30" s="1"/>
  <c r="AU229" i="30"/>
  <c r="AV230" i="30" s="1"/>
  <c r="AV232" i="30"/>
  <c r="C181" i="38"/>
  <c r="AU232" i="30"/>
  <c r="G232" i="30" s="1"/>
  <c r="E232" i="30" s="1"/>
  <c r="F232" i="30" s="1"/>
  <c r="F182" i="38"/>
  <c r="E182" i="38"/>
  <c r="D182" i="38" s="1"/>
  <c r="B183" i="38"/>
  <c r="AV231" i="30"/>
  <c r="G67" i="38"/>
  <c r="D104" i="27"/>
  <c r="B287" i="37"/>
  <c r="AU230" i="30" l="1"/>
  <c r="G229" i="30"/>
  <c r="E229" i="30" s="1"/>
  <c r="F231" i="30"/>
  <c r="G29" i="38"/>
  <c r="G28" i="38"/>
  <c r="C182" i="38"/>
  <c r="F183" i="38"/>
  <c r="E183" i="38"/>
  <c r="D183" i="38" s="1"/>
  <c r="B184" i="38"/>
  <c r="E104" i="27"/>
  <c r="B288" i="37"/>
  <c r="G27" i="38" l="1"/>
  <c r="F229" i="30"/>
  <c r="AU231" i="30"/>
  <c r="AU233" i="30" s="1"/>
  <c r="G230" i="30"/>
  <c r="E230" i="30" s="1"/>
  <c r="F230" i="30" s="1"/>
  <c r="C183" i="38"/>
  <c r="F184" i="38"/>
  <c r="E184" i="38"/>
  <c r="D184" i="38" s="1"/>
  <c r="B185" i="38"/>
  <c r="F104" i="27"/>
  <c r="B289" i="37"/>
  <c r="AV233" i="30" l="1"/>
  <c r="AV234" i="30"/>
  <c r="G233" i="30"/>
  <c r="E233" i="30" s="1"/>
  <c r="F233" i="30" s="1"/>
  <c r="G231" i="30"/>
  <c r="E231" i="30" s="1"/>
  <c r="G104" i="27" s="1"/>
  <c r="AU234" i="30"/>
  <c r="E185" i="38"/>
  <c r="D185" i="38" s="1"/>
  <c r="F185" i="38"/>
  <c r="B186" i="38"/>
  <c r="C184" i="38"/>
  <c r="AV240" i="30"/>
  <c r="B290" i="37"/>
  <c r="AV235" i="30" l="1"/>
  <c r="G234" i="30"/>
  <c r="E234" i="30" s="1"/>
  <c r="F234" i="30" s="1"/>
  <c r="AU235" i="30"/>
  <c r="AV237" i="30"/>
  <c r="G68" i="38"/>
  <c r="C185" i="38"/>
  <c r="F186" i="38"/>
  <c r="E186" i="38"/>
  <c r="D186" i="38" s="1"/>
  <c r="B187" i="38"/>
  <c r="G69" i="38"/>
  <c r="B291" i="37"/>
  <c r="G235" i="30" l="1"/>
  <c r="E235" i="30" s="1"/>
  <c r="F235" i="30" s="1"/>
  <c r="AU236" i="30"/>
  <c r="C108" i="27"/>
  <c r="F238" i="30"/>
  <c r="G32" i="38"/>
  <c r="AV239" i="30"/>
  <c r="AU239" i="30"/>
  <c r="G239" i="30" s="1"/>
  <c r="E239" i="30" s="1"/>
  <c r="F239" i="30" s="1"/>
  <c r="C186" i="38"/>
  <c r="AV238" i="30"/>
  <c r="E187" i="38"/>
  <c r="D187" i="38" s="1"/>
  <c r="F187" i="38"/>
  <c r="B188" i="38"/>
  <c r="D108" i="27"/>
  <c r="F240" i="30"/>
  <c r="B292" i="37"/>
  <c r="G236" i="30" l="1"/>
  <c r="E236" i="30" s="1"/>
  <c r="G30" i="38" s="1"/>
  <c r="AU237" i="30"/>
  <c r="F237" i="30"/>
  <c r="G31" i="38"/>
  <c r="C187" i="38"/>
  <c r="F188" i="38"/>
  <c r="E188" i="38"/>
  <c r="D188" i="38" s="1"/>
  <c r="B189" i="38"/>
  <c r="E108" i="27"/>
  <c r="B293" i="37"/>
  <c r="AU238" i="30" l="1"/>
  <c r="AU240" i="30" s="1"/>
  <c r="G237" i="30"/>
  <c r="E237" i="30" s="1"/>
  <c r="E189" i="38"/>
  <c r="D189" i="38" s="1"/>
  <c r="F189" i="38"/>
  <c r="B190" i="38"/>
  <c r="C188" i="38"/>
  <c r="F108" i="27"/>
  <c r="B294" i="37"/>
  <c r="AV241" i="30" l="1"/>
  <c r="G240" i="30"/>
  <c r="E240" i="30" s="1"/>
  <c r="G238" i="30"/>
  <c r="E238" i="30" s="1"/>
  <c r="G108" i="27" s="1"/>
  <c r="AU241" i="30"/>
  <c r="F241" i="30"/>
  <c r="G33" i="38"/>
  <c r="F190" i="38"/>
  <c r="E190" i="38"/>
  <c r="D190" i="38" s="1"/>
  <c r="B191" i="38"/>
  <c r="C189" i="38"/>
  <c r="AV247" i="30"/>
  <c r="B295" i="37"/>
  <c r="B296" i="37" s="1"/>
  <c r="AV242" i="30" l="1"/>
  <c r="AU242" i="30"/>
  <c r="G241" i="30"/>
  <c r="E241" i="30" s="1"/>
  <c r="AV244" i="30"/>
  <c r="C190" i="38"/>
  <c r="F191" i="38"/>
  <c r="E191" i="38"/>
  <c r="D191" i="38" s="1"/>
  <c r="B192" i="38"/>
  <c r="F242" i="30"/>
  <c r="C112" i="27"/>
  <c r="AU246" i="30"/>
  <c r="B297" i="37"/>
  <c r="G242" i="30" l="1"/>
  <c r="E242" i="30" s="1"/>
  <c r="AU243" i="30"/>
  <c r="AV246" i="30"/>
  <c r="C191" i="38"/>
  <c r="F192" i="38"/>
  <c r="E192" i="38"/>
  <c r="D192" i="38" s="1"/>
  <c r="B193" i="38"/>
  <c r="AV245" i="30"/>
  <c r="D112" i="27"/>
  <c r="G246" i="30"/>
  <c r="E246" i="30" s="1"/>
  <c r="F246" i="30" s="1"/>
  <c r="F247" i="30"/>
  <c r="B298" i="37"/>
  <c r="G243" i="30" l="1"/>
  <c r="E243" i="30" s="1"/>
  <c r="G34" i="38" s="1"/>
  <c r="AU244" i="30"/>
  <c r="C192" i="38"/>
  <c r="E193" i="38"/>
  <c r="D193" i="38" s="1"/>
  <c r="F193" i="38"/>
  <c r="B194" i="38"/>
  <c r="E112" i="27"/>
  <c r="F248" i="30"/>
  <c r="B299" i="37"/>
  <c r="F48" i="29"/>
  <c r="E35" i="28" s="1"/>
  <c r="AA22" i="51" l="1"/>
  <c r="Z22" i="51"/>
  <c r="Y22" i="51"/>
  <c r="AU245" i="30"/>
  <c r="AU247" i="30" s="1"/>
  <c r="G244" i="30"/>
  <c r="E244" i="30" s="1"/>
  <c r="F244" i="30" s="1"/>
  <c r="C193" i="38"/>
  <c r="G194" i="38"/>
  <c r="E194" i="38"/>
  <c r="D194" i="38" s="1"/>
  <c r="F194" i="38"/>
  <c r="B195" i="38"/>
  <c r="G48" i="29"/>
  <c r="F35" i="28" s="1"/>
  <c r="S4" i="44"/>
  <c r="F112" i="27"/>
  <c r="B300" i="37"/>
  <c r="AV248" i="30" l="1"/>
  <c r="G247" i="30"/>
  <c r="E247" i="30" s="1"/>
  <c r="G245" i="30"/>
  <c r="E245" i="30" s="1"/>
  <c r="AU248" i="30"/>
  <c r="C194" i="38"/>
  <c r="F195" i="38"/>
  <c r="G195" i="38"/>
  <c r="E195" i="38"/>
  <c r="D195" i="38" s="1"/>
  <c r="B196" i="38"/>
  <c r="AV257" i="30"/>
  <c r="B301" i="37"/>
  <c r="AV252" i="30" l="1"/>
  <c r="AU252" i="30"/>
  <c r="G248" i="30"/>
  <c r="E248" i="30" s="1"/>
  <c r="F245" i="30"/>
  <c r="G112" i="27"/>
  <c r="L96" i="27"/>
  <c r="F252" i="30"/>
  <c r="AV255" i="30"/>
  <c r="AV254" i="30"/>
  <c r="C195" i="38"/>
  <c r="F196" i="38"/>
  <c r="E196" i="38"/>
  <c r="D196" i="38" s="1"/>
  <c r="G196" i="38"/>
  <c r="B197" i="38"/>
  <c r="AU256" i="30"/>
  <c r="AV258" i="30"/>
  <c r="B302" i="37"/>
  <c r="P8" i="51" l="1"/>
  <c r="P11" i="51"/>
  <c r="P27" i="51"/>
  <c r="P20" i="51"/>
  <c r="P17" i="51"/>
  <c r="P15" i="51"/>
  <c r="P28" i="51"/>
  <c r="P22" i="51"/>
  <c r="P25" i="51"/>
  <c r="P19" i="51"/>
  <c r="P14" i="51"/>
  <c r="P16" i="51"/>
  <c r="P10" i="51"/>
  <c r="P18" i="51"/>
  <c r="P13" i="51"/>
  <c r="P24" i="51"/>
  <c r="P26" i="51"/>
  <c r="P23" i="51"/>
  <c r="P12" i="51"/>
  <c r="P9" i="51"/>
  <c r="P21" i="51"/>
  <c r="Q27" i="51"/>
  <c r="Q18" i="51"/>
  <c r="Q15" i="51"/>
  <c r="Q16" i="51"/>
  <c r="Q8" i="51"/>
  <c r="Q10" i="51"/>
  <c r="Q21" i="51"/>
  <c r="Q9" i="51"/>
  <c r="Q23" i="51"/>
  <c r="Q26" i="51"/>
  <c r="Q13" i="51"/>
  <c r="Q12" i="51"/>
  <c r="Q22" i="51"/>
  <c r="Q17" i="51"/>
  <c r="Q25" i="51"/>
  <c r="Q28" i="51"/>
  <c r="Q20" i="51"/>
  <c r="Q24" i="51"/>
  <c r="Q11" i="51"/>
  <c r="Q19" i="51"/>
  <c r="Q14" i="51"/>
  <c r="D116" i="27"/>
  <c r="G35" i="38"/>
  <c r="C116" i="27"/>
  <c r="AU253" i="30"/>
  <c r="G252" i="30"/>
  <c r="E252" i="30" s="1"/>
  <c r="AV256" i="30"/>
  <c r="F255" i="30"/>
  <c r="F254" i="30"/>
  <c r="C196" i="38"/>
  <c r="G197" i="38"/>
  <c r="E197" i="38"/>
  <c r="D197" i="38" s="1"/>
  <c r="F197" i="38"/>
  <c r="B198" i="38"/>
  <c r="G256" i="30"/>
  <c r="E256" i="30" s="1"/>
  <c r="F257" i="30"/>
  <c r="AV259" i="30"/>
  <c r="B303" i="37"/>
  <c r="P29" i="51" l="1"/>
  <c r="N5" i="51" s="1"/>
  <c r="Q29" i="51"/>
  <c r="G253" i="30"/>
  <c r="E253" i="30" s="1"/>
  <c r="AU254" i="30"/>
  <c r="G254" i="30" s="1"/>
  <c r="E254" i="30" s="1"/>
  <c r="O96" i="27" s="1"/>
  <c r="F256" i="30"/>
  <c r="C197" i="38"/>
  <c r="F198" i="38"/>
  <c r="G198" i="38"/>
  <c r="E198" i="38"/>
  <c r="D198" i="38" s="1"/>
  <c r="B199" i="38"/>
  <c r="AV261" i="30"/>
  <c r="F258" i="30"/>
  <c r="AV262" i="30"/>
  <c r="B304" i="37"/>
  <c r="P5" i="51" l="1"/>
  <c r="O5" i="51"/>
  <c r="M96" i="27"/>
  <c r="N96" i="27"/>
  <c r="AU255" i="30"/>
  <c r="AU257" i="30" s="1"/>
  <c r="G257" i="30" s="1"/>
  <c r="E257" i="30" s="1"/>
  <c r="F259" i="30"/>
  <c r="F199" i="38"/>
  <c r="G199" i="38"/>
  <c r="E199" i="38"/>
  <c r="D199" i="38" s="1"/>
  <c r="B200" i="38"/>
  <c r="C198" i="38"/>
  <c r="F261" i="30"/>
  <c r="AV263" i="30"/>
  <c r="B305" i="37"/>
  <c r="G255" i="30" l="1"/>
  <c r="E255" i="30" s="1"/>
  <c r="AU258" i="30"/>
  <c r="C199" i="38"/>
  <c r="AU263" i="30"/>
  <c r="G263" i="30" s="1"/>
  <c r="E263" i="30" s="1"/>
  <c r="G200" i="38"/>
  <c r="E200" i="38"/>
  <c r="D200" i="38" s="1"/>
  <c r="F200" i="38"/>
  <c r="B201" i="38"/>
  <c r="F262" i="30"/>
  <c r="AV264" i="30"/>
  <c r="B306" i="37"/>
  <c r="P96" i="27" l="1"/>
  <c r="AU259" i="30"/>
  <c r="G258" i="30"/>
  <c r="E258" i="30" s="1"/>
  <c r="G36" i="38" s="1"/>
  <c r="G37" i="38"/>
  <c r="L100" i="27"/>
  <c r="C200" i="38"/>
  <c r="E201" i="38"/>
  <c r="D201" i="38" s="1"/>
  <c r="G201" i="38"/>
  <c r="F201" i="38"/>
  <c r="B202" i="38"/>
  <c r="F263" i="30"/>
  <c r="AV265" i="30"/>
  <c r="B307" i="37"/>
  <c r="G259" i="30" l="1"/>
  <c r="E259" i="30" s="1"/>
  <c r="M100" i="27" s="1"/>
  <c r="AU260" i="30"/>
  <c r="G38" i="38"/>
  <c r="F202" i="38"/>
  <c r="G202" i="38"/>
  <c r="E202" i="38"/>
  <c r="D202" i="38" s="1"/>
  <c r="B203" i="38"/>
  <c r="C201" i="38"/>
  <c r="F264" i="30"/>
  <c r="AV266" i="30"/>
  <c r="B308" i="37"/>
  <c r="AU261" i="30" l="1"/>
  <c r="G260" i="30"/>
  <c r="E260" i="30" s="1"/>
  <c r="N100" i="27" s="1"/>
  <c r="G39" i="38"/>
  <c r="C202" i="38"/>
  <c r="E203" i="38"/>
  <c r="D203" i="38" s="1"/>
  <c r="F203" i="38"/>
  <c r="G203" i="38"/>
  <c r="B204" i="38"/>
  <c r="AV268" i="30"/>
  <c r="F265" i="30"/>
  <c r="B309" i="37"/>
  <c r="G261" i="30" l="1"/>
  <c r="E261" i="30" s="1"/>
  <c r="O100" i="27" s="1"/>
  <c r="AU262" i="30"/>
  <c r="AU264" i="30" s="1"/>
  <c r="G264" i="30" s="1"/>
  <c r="E264" i="30" s="1"/>
  <c r="AV269" i="30"/>
  <c r="C203" i="38"/>
  <c r="F204" i="38"/>
  <c r="G204" i="38"/>
  <c r="E204" i="38"/>
  <c r="D204" i="38" s="1"/>
  <c r="B205" i="38"/>
  <c r="F268" i="30"/>
  <c r="F266" i="30"/>
  <c r="AV270" i="30"/>
  <c r="AU270" i="30"/>
  <c r="B310" i="37"/>
  <c r="E6" i="37"/>
  <c r="G262" i="30" l="1"/>
  <c r="E262" i="30" s="1"/>
  <c r="P100" i="27" s="1"/>
  <c r="AU265" i="30"/>
  <c r="AU266" i="30" s="1"/>
  <c r="G43" i="38"/>
  <c r="C204" i="38"/>
  <c r="F205" i="38"/>
  <c r="G205" i="38"/>
  <c r="E205" i="38"/>
  <c r="D205" i="38" s="1"/>
  <c r="B206" i="38"/>
  <c r="AV271" i="30"/>
  <c r="G270" i="30"/>
  <c r="E270" i="30" s="1"/>
  <c r="F269" i="30"/>
  <c r="B311" i="37"/>
  <c r="C6" i="37"/>
  <c r="D6" i="37"/>
  <c r="AU267" i="30" l="1"/>
  <c r="AU268" i="30" s="1"/>
  <c r="G268" i="30" s="1"/>
  <c r="E268" i="30" s="1"/>
  <c r="G266" i="30"/>
  <c r="E266" i="30" s="1"/>
  <c r="G265" i="30"/>
  <c r="E265" i="30" s="1"/>
  <c r="G40" i="38" s="1"/>
  <c r="C205" i="38"/>
  <c r="G206" i="38"/>
  <c r="F206" i="38"/>
  <c r="E206" i="38"/>
  <c r="D206" i="38" s="1"/>
  <c r="B207" i="38"/>
  <c r="F270" i="30"/>
  <c r="AV272" i="30"/>
  <c r="B312" i="37"/>
  <c r="B53" i="22"/>
  <c r="B78" i="22"/>
  <c r="B54" i="22"/>
  <c r="B79" i="22"/>
  <c r="B55" i="22"/>
  <c r="B80" i="22"/>
  <c r="B81" i="22"/>
  <c r="B56" i="22"/>
  <c r="B77" i="22"/>
  <c r="B52" i="22"/>
  <c r="B76" i="22"/>
  <c r="B51" i="22"/>
  <c r="B82" i="22"/>
  <c r="B57" i="22"/>
  <c r="G267" i="30" l="1"/>
  <c r="E267" i="30" s="1"/>
  <c r="O104" i="27" s="1"/>
  <c r="AU269" i="30"/>
  <c r="G269" i="30" s="1"/>
  <c r="E269" i="30" s="1"/>
  <c r="P104" i="27" s="1"/>
  <c r="G42" i="38"/>
  <c r="L104" i="27"/>
  <c r="M104" i="27"/>
  <c r="G41" i="38"/>
  <c r="N104" i="27"/>
  <c r="F275" i="30"/>
  <c r="G45" i="38"/>
  <c r="AV275" i="30"/>
  <c r="C206" i="38"/>
  <c r="E207" i="38"/>
  <c r="D207" i="38" s="1"/>
  <c r="F207" i="38"/>
  <c r="G207" i="38"/>
  <c r="B208" i="38"/>
  <c r="AV276" i="30"/>
  <c r="F271" i="30"/>
  <c r="F38" i="35"/>
  <c r="F35" i="35"/>
  <c r="F39" i="35"/>
  <c r="F37" i="35"/>
  <c r="F40" i="35"/>
  <c r="F34" i="35"/>
  <c r="F36" i="35"/>
  <c r="F272" i="30"/>
  <c r="F273" i="30"/>
  <c r="B313" i="37"/>
  <c r="AZ51" i="22"/>
  <c r="AY51" i="22"/>
  <c r="AX51" i="22"/>
  <c r="AZ77" i="22"/>
  <c r="AX77" i="22"/>
  <c r="AY77" i="22"/>
  <c r="AY54" i="22"/>
  <c r="AZ54" i="22"/>
  <c r="AX54" i="22"/>
  <c r="AZ76" i="22"/>
  <c r="AX76" i="22"/>
  <c r="AY76" i="22"/>
  <c r="AZ80" i="22"/>
  <c r="AY80" i="22"/>
  <c r="AX80" i="22"/>
  <c r="AX78" i="22"/>
  <c r="AZ78" i="22"/>
  <c r="AY78" i="22"/>
  <c r="AY57" i="22"/>
  <c r="AX57" i="22"/>
  <c r="AZ57" i="22"/>
  <c r="AY56" i="22"/>
  <c r="AX56" i="22"/>
  <c r="AZ56" i="22"/>
  <c r="AY55" i="22"/>
  <c r="AX55" i="22"/>
  <c r="AZ55" i="22"/>
  <c r="AY79" i="22"/>
  <c r="AZ79" i="22"/>
  <c r="AX79" i="22"/>
  <c r="AY53" i="22"/>
  <c r="AZ53" i="22"/>
  <c r="AX53" i="22"/>
  <c r="AY82" i="22"/>
  <c r="AZ82" i="22"/>
  <c r="AX82" i="22"/>
  <c r="AZ52" i="22"/>
  <c r="AX52" i="22"/>
  <c r="AY52" i="22"/>
  <c r="AZ81" i="22"/>
  <c r="AY81" i="22"/>
  <c r="AX81" i="22"/>
  <c r="AU271" i="30" l="1"/>
  <c r="G271" i="30" s="1"/>
  <c r="E271" i="30" s="1"/>
  <c r="AV273" i="30"/>
  <c r="AV277" i="30"/>
  <c r="C207" i="38"/>
  <c r="F208" i="38"/>
  <c r="E208" i="38"/>
  <c r="D208" i="38" s="1"/>
  <c r="G208" i="38"/>
  <c r="B209" i="38"/>
  <c r="AU277" i="30"/>
  <c r="AV278" i="30"/>
  <c r="B314" i="37"/>
  <c r="B315" i="37" s="1"/>
  <c r="AU272" i="30" l="1"/>
  <c r="AU274" i="30"/>
  <c r="C208" i="38"/>
  <c r="E209" i="38"/>
  <c r="D209" i="38" s="1"/>
  <c r="G209" i="38"/>
  <c r="F209" i="38"/>
  <c r="B210" i="38"/>
  <c r="F276" i="30"/>
  <c r="G277" i="30"/>
  <c r="AV279" i="30"/>
  <c r="F278" i="30"/>
  <c r="B316" i="37"/>
  <c r="G272" i="30" l="1"/>
  <c r="E272" i="30" s="1"/>
  <c r="L108" i="27" s="1"/>
  <c r="AU273" i="30"/>
  <c r="G273" i="30" s="1"/>
  <c r="E273" i="30" s="1"/>
  <c r="G274" i="30"/>
  <c r="E274" i="30" s="1"/>
  <c r="AU275" i="30"/>
  <c r="AU276" i="30" s="1"/>
  <c r="G276" i="30" s="1"/>
  <c r="E276" i="30" s="1"/>
  <c r="G46" i="38" s="1"/>
  <c r="C209" i="38"/>
  <c r="G210" i="38"/>
  <c r="E210" i="38"/>
  <c r="D210" i="38" s="1"/>
  <c r="F210" i="38"/>
  <c r="B211" i="38"/>
  <c r="E277" i="30"/>
  <c r="F279" i="30"/>
  <c r="AV280" i="30"/>
  <c r="B317" i="37"/>
  <c r="M108" i="27" l="1"/>
  <c r="AU278" i="30"/>
  <c r="G278" i="30" s="1"/>
  <c r="E278" i="30" s="1"/>
  <c r="G275" i="30"/>
  <c r="E275" i="30" s="1"/>
  <c r="O108" i="27" s="1"/>
  <c r="G44" i="38"/>
  <c r="N108" i="27"/>
  <c r="F277" i="30"/>
  <c r="C210" i="38"/>
  <c r="F211" i="38"/>
  <c r="G211" i="38"/>
  <c r="E211" i="38"/>
  <c r="D211" i="38" s="1"/>
  <c r="B212" i="38"/>
  <c r="AV286" i="30"/>
  <c r="AV289" i="30"/>
  <c r="B318" i="37"/>
  <c r="AU279" i="30" l="1"/>
  <c r="G279" i="30" s="1"/>
  <c r="E279" i="30" s="1"/>
  <c r="G47" i="38" s="1"/>
  <c r="P108" i="27"/>
  <c r="G49" i="38"/>
  <c r="G50" i="38"/>
  <c r="AV287" i="30"/>
  <c r="C211" i="38"/>
  <c r="F212" i="38"/>
  <c r="G212" i="38"/>
  <c r="E212" i="38"/>
  <c r="D212" i="38" s="1"/>
  <c r="B213" i="38"/>
  <c r="F286" i="30"/>
  <c r="C125" i="27"/>
  <c r="D125" i="27"/>
  <c r="AU288" i="30"/>
  <c r="G288" i="30" s="1"/>
  <c r="AV288" i="30"/>
  <c r="F287" i="30"/>
  <c r="F289" i="30"/>
  <c r="B319" i="37"/>
  <c r="AU280" i="30" l="1"/>
  <c r="G280" i="30" s="1"/>
  <c r="E280" i="30" s="1"/>
  <c r="M112" i="27" s="1"/>
  <c r="AU286" i="30"/>
  <c r="G286" i="30" s="1"/>
  <c r="E286" i="30" s="1"/>
  <c r="F280" i="30"/>
  <c r="C212" i="38"/>
  <c r="F213" i="38"/>
  <c r="G213" i="38"/>
  <c r="E213" i="38"/>
  <c r="D213" i="38" s="1"/>
  <c r="B214" i="38"/>
  <c r="L112" i="27"/>
  <c r="E288" i="30"/>
  <c r="F288" i="30" s="1"/>
  <c r="P112" i="27"/>
  <c r="B320" i="37"/>
  <c r="AU281" i="30" l="1"/>
  <c r="G281" i="30" s="1"/>
  <c r="E281" i="30" s="1"/>
  <c r="S10" i="51"/>
  <c r="S24" i="51"/>
  <c r="S18" i="51"/>
  <c r="S28" i="51"/>
  <c r="S14" i="51"/>
  <c r="S21" i="51"/>
  <c r="S27" i="51"/>
  <c r="S12" i="51"/>
  <c r="S22" i="51"/>
  <c r="S26" i="51"/>
  <c r="S9" i="51"/>
  <c r="S16" i="51"/>
  <c r="S8" i="51"/>
  <c r="S25" i="51"/>
  <c r="S20" i="51"/>
  <c r="S15" i="51"/>
  <c r="S13" i="51"/>
  <c r="S19" i="51"/>
  <c r="S23" i="51"/>
  <c r="S17" i="51"/>
  <c r="S11" i="51"/>
  <c r="AU287" i="30"/>
  <c r="C213" i="38"/>
  <c r="F214" i="38"/>
  <c r="G214" i="38"/>
  <c r="E214" i="38"/>
  <c r="D214" i="38" s="1"/>
  <c r="B215" i="38"/>
  <c r="AV290" i="30"/>
  <c r="E125" i="27"/>
  <c r="B321" i="37"/>
  <c r="R8" i="51" l="1"/>
  <c r="R23" i="51"/>
  <c r="R10" i="51"/>
  <c r="R22" i="51"/>
  <c r="R11" i="51"/>
  <c r="R20" i="51"/>
  <c r="R28" i="51"/>
  <c r="R19" i="51"/>
  <c r="R17" i="51"/>
  <c r="R16" i="51"/>
  <c r="R12" i="51"/>
  <c r="R27" i="51"/>
  <c r="R25" i="51"/>
  <c r="R14" i="51"/>
  <c r="R15" i="51"/>
  <c r="R13" i="51"/>
  <c r="R9" i="51"/>
  <c r="R26" i="51"/>
  <c r="R21" i="51"/>
  <c r="R18" i="51"/>
  <c r="R24" i="51"/>
  <c r="S29" i="51"/>
  <c r="O112" i="27"/>
  <c r="G287" i="30"/>
  <c r="E287" i="30" s="1"/>
  <c r="AU289" i="30"/>
  <c r="G48" i="38"/>
  <c r="N112" i="27"/>
  <c r="C214" i="38"/>
  <c r="F215" i="38"/>
  <c r="E215" i="38"/>
  <c r="D215" i="38" s="1"/>
  <c r="G215" i="38"/>
  <c r="B216" i="38"/>
  <c r="F125" i="27"/>
  <c r="AV296" i="30"/>
  <c r="B322" i="37"/>
  <c r="R29" i="51" l="1"/>
  <c r="G289" i="30"/>
  <c r="E289" i="30" s="1"/>
  <c r="AU290" i="30"/>
  <c r="C215" i="38"/>
  <c r="F216" i="38"/>
  <c r="G216" i="38"/>
  <c r="E216" i="38"/>
  <c r="D216" i="38" s="1"/>
  <c r="B217" i="38"/>
  <c r="B323" i="37"/>
  <c r="AV291" i="30" l="1"/>
  <c r="G290" i="30"/>
  <c r="E290" i="30" s="1"/>
  <c r="AU291" i="30"/>
  <c r="AV294" i="30"/>
  <c r="AV293" i="30"/>
  <c r="C216" i="38"/>
  <c r="E217" i="38"/>
  <c r="D217" i="38" s="1"/>
  <c r="F217" i="38"/>
  <c r="G217" i="38"/>
  <c r="B218" i="38"/>
  <c r="F290" i="30"/>
  <c r="G125" i="27"/>
  <c r="F296" i="30"/>
  <c r="B324" i="37"/>
  <c r="G51" i="38" l="1"/>
  <c r="AU292" i="30"/>
  <c r="G291" i="30"/>
  <c r="E291" i="30" s="1"/>
  <c r="E129" i="27" s="1"/>
  <c r="D129" i="27"/>
  <c r="AU294" i="30"/>
  <c r="G294" i="30" s="1"/>
  <c r="E294" i="30" s="1"/>
  <c r="G54" i="38" s="1"/>
  <c r="G53" i="38"/>
  <c r="F294" i="30"/>
  <c r="F291" i="30"/>
  <c r="AV295" i="30"/>
  <c r="AU295" i="30"/>
  <c r="G295" i="30" s="1"/>
  <c r="E295" i="30" s="1"/>
  <c r="C217" i="38"/>
  <c r="F218" i="38"/>
  <c r="G218" i="38"/>
  <c r="E218" i="38"/>
  <c r="D218" i="38" s="1"/>
  <c r="B219" i="38"/>
  <c r="F293" i="30"/>
  <c r="C129" i="27"/>
  <c r="AV303" i="30"/>
  <c r="B325" i="37"/>
  <c r="G292" i="30" l="1"/>
  <c r="E292" i="30" s="1"/>
  <c r="G52" i="38" s="1"/>
  <c r="AU293" i="30"/>
  <c r="F295" i="30"/>
  <c r="C218" i="38"/>
  <c r="E219" i="38"/>
  <c r="D219" i="38" s="1"/>
  <c r="F219" i="38"/>
  <c r="G219" i="38"/>
  <c r="B220" i="38"/>
  <c r="AV297" i="30"/>
  <c r="B326" i="37"/>
  <c r="G293" i="30" l="1"/>
  <c r="E293" i="30" s="1"/>
  <c r="AU296" i="30"/>
  <c r="AV298" i="30"/>
  <c r="C219" i="38"/>
  <c r="G220" i="38"/>
  <c r="E220" i="38"/>
  <c r="D220" i="38" s="1"/>
  <c r="F220" i="38"/>
  <c r="B221" i="38"/>
  <c r="F129" i="27"/>
  <c r="F303" i="30"/>
  <c r="B327" i="37"/>
  <c r="AU297" i="30" l="1"/>
  <c r="G296" i="30"/>
  <c r="E296" i="30" s="1"/>
  <c r="G56" i="38"/>
  <c r="G177" i="38"/>
  <c r="AV300" i="30"/>
  <c r="F298" i="30"/>
  <c r="C220" i="38"/>
  <c r="F221" i="38"/>
  <c r="E221" i="38"/>
  <c r="D221" i="38" s="1"/>
  <c r="G221" i="38"/>
  <c r="B222" i="38"/>
  <c r="F300" i="30"/>
  <c r="AV301" i="30"/>
  <c r="G87" i="38"/>
  <c r="G166" i="38"/>
  <c r="B328" i="37"/>
  <c r="G297" i="30" l="1"/>
  <c r="E297" i="30" s="1"/>
  <c r="G55" i="38" s="1"/>
  <c r="AU298" i="30"/>
  <c r="AU299" i="30" s="1"/>
  <c r="G299" i="30" s="1"/>
  <c r="E299" i="30" s="1"/>
  <c r="AU301" i="30"/>
  <c r="G301" i="30" s="1"/>
  <c r="C133" i="27"/>
  <c r="AV302" i="30"/>
  <c r="C221" i="38"/>
  <c r="G222" i="38"/>
  <c r="E222" i="38"/>
  <c r="D222" i="38" s="1"/>
  <c r="F222" i="38"/>
  <c r="B223" i="38"/>
  <c r="F297" i="30"/>
  <c r="G129" i="27"/>
  <c r="AU302" i="30"/>
  <c r="G167" i="38"/>
  <c r="B329" i="37"/>
  <c r="G298" i="30" l="1"/>
  <c r="E298" i="30" s="1"/>
  <c r="AU300" i="30"/>
  <c r="G300" i="30" s="1"/>
  <c r="E300" i="30" s="1"/>
  <c r="G57" i="38"/>
  <c r="G178" i="38"/>
  <c r="C222" i="38"/>
  <c r="G223" i="38"/>
  <c r="E223" i="38"/>
  <c r="D223" i="38" s="1"/>
  <c r="F223" i="38"/>
  <c r="B224" i="38"/>
  <c r="E301" i="30"/>
  <c r="G302" i="30"/>
  <c r="G168" i="38"/>
  <c r="B330" i="37"/>
  <c r="AU303" i="30" l="1"/>
  <c r="G303" i="30" s="1"/>
  <c r="E303" i="30" s="1"/>
  <c r="G58" i="38"/>
  <c r="G179" i="38"/>
  <c r="C223" i="38"/>
  <c r="F224" i="38"/>
  <c r="G224" i="38"/>
  <c r="E224" i="38"/>
  <c r="D224" i="38" s="1"/>
  <c r="B225" i="38"/>
  <c r="AV304" i="30"/>
  <c r="F301" i="30"/>
  <c r="G88" i="38"/>
  <c r="D133" i="27"/>
  <c r="E302" i="30"/>
  <c r="F310" i="30"/>
  <c r="G169" i="38"/>
  <c r="B331" i="37"/>
  <c r="AU304" i="30" l="1"/>
  <c r="G304" i="30" s="1"/>
  <c r="F302" i="30"/>
  <c r="AV305" i="30"/>
  <c r="C224" i="38"/>
  <c r="G225" i="38"/>
  <c r="E225" i="38"/>
  <c r="D225" i="38" s="1"/>
  <c r="F225" i="38"/>
  <c r="B226" i="38"/>
  <c r="F304" i="30"/>
  <c r="F133" i="27"/>
  <c r="G133" i="27"/>
  <c r="E133" i="27"/>
  <c r="G170" i="38"/>
  <c r="B332" i="37"/>
  <c r="AU305" i="30" l="1"/>
  <c r="AU306" i="30" s="1"/>
  <c r="AV307" i="30" s="1"/>
  <c r="E304" i="30"/>
  <c r="C225" i="38"/>
  <c r="G226" i="38"/>
  <c r="E226" i="38"/>
  <c r="D226" i="38" s="1"/>
  <c r="F226" i="38"/>
  <c r="B227" i="38"/>
  <c r="AV310" i="30"/>
  <c r="G171" i="38"/>
  <c r="B333" i="37"/>
  <c r="G305" i="30" l="1"/>
  <c r="E305" i="30" s="1"/>
  <c r="G59" i="38"/>
  <c r="G180" i="38"/>
  <c r="F305" i="30"/>
  <c r="C226" i="38"/>
  <c r="G306" i="30"/>
  <c r="G227" i="38"/>
  <c r="E227" i="38"/>
  <c r="D227" i="38" s="1"/>
  <c r="F227" i="38"/>
  <c r="B228" i="38"/>
  <c r="AU307" i="30"/>
  <c r="G307" i="30" s="1"/>
  <c r="E307" i="30" s="1"/>
  <c r="G183" i="38" s="1"/>
  <c r="G90" i="38"/>
  <c r="G89" i="38"/>
  <c r="G181" i="38"/>
  <c r="C137" i="27"/>
  <c r="AV311" i="30"/>
  <c r="C145" i="27"/>
  <c r="AV320" i="30"/>
  <c r="G172" i="38"/>
  <c r="B334" i="37"/>
  <c r="E306" i="30" l="1"/>
  <c r="G182" i="38" s="1"/>
  <c r="G61" i="38"/>
  <c r="G60" i="38"/>
  <c r="G105" i="38"/>
  <c r="G106" i="38"/>
  <c r="D137" i="27"/>
  <c r="F307" i="30"/>
  <c r="AV308" i="30"/>
  <c r="C227" i="38"/>
  <c r="AU308" i="30"/>
  <c r="G228" i="38"/>
  <c r="E228" i="38"/>
  <c r="D228" i="38" s="1"/>
  <c r="F228" i="38"/>
  <c r="B229" i="38"/>
  <c r="D145" i="27"/>
  <c r="G173" i="38"/>
  <c r="B335" i="37"/>
  <c r="AV309" i="30" l="1"/>
  <c r="C228" i="38"/>
  <c r="G308" i="30"/>
  <c r="AU309" i="30"/>
  <c r="G229" i="38"/>
  <c r="E229" i="38"/>
  <c r="D229" i="38" s="1"/>
  <c r="F229" i="38"/>
  <c r="F311" i="30"/>
  <c r="G92" i="38"/>
  <c r="E137" i="27"/>
  <c r="AV322" i="30"/>
  <c r="G175" i="38"/>
  <c r="G174" i="38"/>
  <c r="B336" i="37"/>
  <c r="E308" i="30" l="1"/>
  <c r="G184" i="38" s="1"/>
  <c r="G62" i="38"/>
  <c r="G107" i="38"/>
  <c r="F308" i="30"/>
  <c r="C229" i="38"/>
  <c r="AU310" i="30"/>
  <c r="G309" i="30"/>
  <c r="F137" i="27"/>
  <c r="G93" i="38"/>
  <c r="G94" i="38"/>
  <c r="F320" i="30"/>
  <c r="AV325" i="30"/>
  <c r="B337" i="37"/>
  <c r="E309" i="30" l="1"/>
  <c r="AU311" i="30"/>
  <c r="AV312" i="30"/>
  <c r="F309" i="30"/>
  <c r="G91" i="38"/>
  <c r="G156" i="38"/>
  <c r="G137" i="27"/>
  <c r="G310" i="30"/>
  <c r="AV321" i="30"/>
  <c r="G164" i="38"/>
  <c r="G165" i="38"/>
  <c r="G192" i="38"/>
  <c r="AV326" i="30"/>
  <c r="AU326" i="30"/>
  <c r="G176" i="38"/>
  <c r="G191" i="38"/>
  <c r="G190" i="38"/>
  <c r="F322" i="30"/>
  <c r="F321" i="30"/>
  <c r="B338" i="37"/>
  <c r="G311" i="30" l="1"/>
  <c r="E311" i="30" s="1"/>
  <c r="E310" i="30"/>
  <c r="G63" i="38"/>
  <c r="AU312" i="30"/>
  <c r="G108" i="38"/>
  <c r="F314" i="30"/>
  <c r="AV315" i="30"/>
  <c r="AV314" i="30"/>
  <c r="F312" i="30"/>
  <c r="G157" i="38"/>
  <c r="C141" i="27"/>
  <c r="G163" i="38"/>
  <c r="AV327" i="30"/>
  <c r="G326" i="30"/>
  <c r="B339" i="37"/>
  <c r="G185" i="38" l="1"/>
  <c r="G312" i="30"/>
  <c r="E312" i="30" s="1"/>
  <c r="G159" i="38" s="1"/>
  <c r="G186" i="38"/>
  <c r="AU313" i="30"/>
  <c r="G149" i="38"/>
  <c r="G150" i="38"/>
  <c r="G65" i="38"/>
  <c r="AV316" i="30"/>
  <c r="D141" i="27"/>
  <c r="AU316" i="30"/>
  <c r="G316" i="30" s="1"/>
  <c r="E316" i="30" s="1"/>
  <c r="G97" i="38"/>
  <c r="G96" i="38"/>
  <c r="G193" i="38"/>
  <c r="G98" i="38"/>
  <c r="G99" i="38"/>
  <c r="G130" i="38"/>
  <c r="G158" i="38"/>
  <c r="AV328" i="30"/>
  <c r="E326" i="30"/>
  <c r="F325" i="30"/>
  <c r="B340" i="37"/>
  <c r="AU314" i="30" l="1"/>
  <c r="G314" i="30" s="1"/>
  <c r="E314" i="30" s="1"/>
  <c r="G188" i="38"/>
  <c r="G313" i="30"/>
  <c r="AU315" i="30"/>
  <c r="G315" i="30" s="1"/>
  <c r="E315" i="30" s="1"/>
  <c r="G66" i="38"/>
  <c r="G110" i="38"/>
  <c r="G109" i="38"/>
  <c r="G64" i="38"/>
  <c r="G155" i="38"/>
  <c r="G152" i="38"/>
  <c r="G154" i="38"/>
  <c r="G151" i="38"/>
  <c r="G112" i="38"/>
  <c r="G111" i="38"/>
  <c r="G114" i="38"/>
  <c r="G113" i="38"/>
  <c r="G115" i="38"/>
  <c r="G118" i="38"/>
  <c r="G117" i="38"/>
  <c r="G120" i="38"/>
  <c r="G119" i="38"/>
  <c r="G122" i="38"/>
  <c r="G121" i="38"/>
  <c r="G124" i="38"/>
  <c r="G123" i="38"/>
  <c r="G126" i="38"/>
  <c r="G125" i="38"/>
  <c r="G128" i="38"/>
  <c r="F315" i="30"/>
  <c r="G127" i="38"/>
  <c r="G129" i="38"/>
  <c r="F316" i="30"/>
  <c r="G102" i="38"/>
  <c r="G103" i="38"/>
  <c r="G100" i="38"/>
  <c r="G101" i="38"/>
  <c r="F326" i="30"/>
  <c r="AV329" i="30"/>
  <c r="B341" i="37"/>
  <c r="G141" i="27" l="1"/>
  <c r="G162" i="38"/>
  <c r="U20" i="51"/>
  <c r="U10" i="51"/>
  <c r="U26" i="51"/>
  <c r="U25" i="51"/>
  <c r="U22" i="51"/>
  <c r="U27" i="51"/>
  <c r="U19" i="51"/>
  <c r="U16" i="51"/>
  <c r="U18" i="51"/>
  <c r="U28" i="51"/>
  <c r="U15" i="51"/>
  <c r="U17" i="51"/>
  <c r="U11" i="51"/>
  <c r="U23" i="51"/>
  <c r="U24" i="51"/>
  <c r="U13" i="51"/>
  <c r="U8" i="51"/>
  <c r="U21" i="51"/>
  <c r="U14" i="51"/>
  <c r="U12" i="51"/>
  <c r="U9" i="51"/>
  <c r="AU320" i="30"/>
  <c r="G320" i="30" s="1"/>
  <c r="E320" i="30" s="1"/>
  <c r="AU321" i="30"/>
  <c r="AU322" i="30" s="1"/>
  <c r="G189" i="38"/>
  <c r="E313" i="30"/>
  <c r="G160" i="38" s="1"/>
  <c r="G135" i="38"/>
  <c r="G134" i="38"/>
  <c r="G137" i="38"/>
  <c r="G136" i="38"/>
  <c r="G139" i="38"/>
  <c r="G138" i="38"/>
  <c r="G140" i="38"/>
  <c r="E141" i="27"/>
  <c r="F327" i="30"/>
  <c r="AV332" i="30"/>
  <c r="B342" i="37"/>
  <c r="G153" i="38" l="1"/>
  <c r="G161" i="38"/>
  <c r="T8" i="51"/>
  <c r="T28" i="51"/>
  <c r="T19" i="51"/>
  <c r="T16" i="51"/>
  <c r="T20" i="51"/>
  <c r="T12" i="51"/>
  <c r="T24" i="51"/>
  <c r="T22" i="51"/>
  <c r="T13" i="51"/>
  <c r="T25" i="51"/>
  <c r="T15" i="51"/>
  <c r="T11" i="51"/>
  <c r="T9" i="51"/>
  <c r="T21" i="51"/>
  <c r="T18" i="51"/>
  <c r="T23" i="51"/>
  <c r="T14" i="51"/>
  <c r="T17" i="51"/>
  <c r="T26" i="51"/>
  <c r="T27" i="51"/>
  <c r="T10" i="51"/>
  <c r="U29" i="51"/>
  <c r="L125" i="27"/>
  <c r="G116" i="38"/>
  <c r="G131" i="38"/>
  <c r="G132" i="38"/>
  <c r="G143" i="38"/>
  <c r="G133" i="38"/>
  <c r="G141" i="38"/>
  <c r="G142" i="38"/>
  <c r="F141" i="27"/>
  <c r="G322" i="30"/>
  <c r="E322" i="30" s="1"/>
  <c r="G321" i="30"/>
  <c r="E321" i="30" s="1"/>
  <c r="AU323" i="30"/>
  <c r="G187" i="38"/>
  <c r="AV333" i="30"/>
  <c r="AU333" i="30"/>
  <c r="F328" i="30"/>
  <c r="B343" i="37"/>
  <c r="T29" i="51" l="1"/>
  <c r="M125" i="27"/>
  <c r="G144" i="38"/>
  <c r="N125" i="27"/>
  <c r="G145" i="38"/>
  <c r="G323" i="30"/>
  <c r="E323" i="30" s="1"/>
  <c r="AU324" i="30"/>
  <c r="G70" i="38"/>
  <c r="G95" i="38"/>
  <c r="G71" i="38"/>
  <c r="AV334" i="30"/>
  <c r="G333" i="30"/>
  <c r="AU334" i="30"/>
  <c r="F329" i="30"/>
  <c r="B344" i="37"/>
  <c r="O125" i="27" l="1"/>
  <c r="G146" i="38"/>
  <c r="G324" i="30"/>
  <c r="E324" i="30" s="1"/>
  <c r="AU325" i="30"/>
  <c r="AU327" i="30" s="1"/>
  <c r="G327" i="30" s="1"/>
  <c r="E327" i="30" s="1"/>
  <c r="G104" i="38"/>
  <c r="G72" i="38"/>
  <c r="F332" i="30"/>
  <c r="AV335" i="30"/>
  <c r="G334" i="30"/>
  <c r="E333" i="30"/>
  <c r="B345" i="37"/>
  <c r="G148" i="38" l="1"/>
  <c r="L129" i="27"/>
  <c r="P125" i="27"/>
  <c r="G147" i="38"/>
  <c r="G325" i="30"/>
  <c r="E325" i="30" s="1"/>
  <c r="AU328" i="30"/>
  <c r="AU329" i="30"/>
  <c r="G73" i="38"/>
  <c r="F333" i="30"/>
  <c r="AV336" i="30"/>
  <c r="E334" i="30"/>
  <c r="B346" i="37"/>
  <c r="AU330" i="30" l="1"/>
  <c r="G329" i="30"/>
  <c r="E329" i="30" s="1"/>
  <c r="N129" i="27" s="1"/>
  <c r="G328" i="30"/>
  <c r="E328" i="30" s="1"/>
  <c r="M129" i="27" s="1"/>
  <c r="G74" i="38"/>
  <c r="F334" i="30"/>
  <c r="AV339" i="30"/>
  <c r="B347" i="37"/>
  <c r="G75" i="38" l="1"/>
  <c r="L133" i="27"/>
  <c r="G76" i="38"/>
  <c r="G330" i="30"/>
  <c r="E330" i="30" s="1"/>
  <c r="O129" i="27" s="1"/>
  <c r="AU331" i="30"/>
  <c r="AU332" i="30"/>
  <c r="G332" i="30" s="1"/>
  <c r="E332" i="30" s="1"/>
  <c r="G79" i="38" s="1"/>
  <c r="AV340" i="30"/>
  <c r="AU340" i="30"/>
  <c r="F335" i="30"/>
  <c r="B348" i="37"/>
  <c r="G331" i="30" l="1"/>
  <c r="E331" i="30" s="1"/>
  <c r="P129" i="27" s="1"/>
  <c r="AU335" i="30"/>
  <c r="G335" i="30" s="1"/>
  <c r="E335" i="30" s="1"/>
  <c r="G77" i="38"/>
  <c r="AV341" i="30"/>
  <c r="G340" i="30"/>
  <c r="AU341" i="30"/>
  <c r="F336" i="30"/>
  <c r="B349" i="37"/>
  <c r="G80" i="38" l="1"/>
  <c r="M133" i="27"/>
  <c r="G78" i="38"/>
  <c r="AU336" i="30"/>
  <c r="E340" i="30"/>
  <c r="F340" i="30"/>
  <c r="F339" i="30"/>
  <c r="AV342" i="30"/>
  <c r="G341" i="30"/>
  <c r="AU342" i="30"/>
  <c r="G342" i="30" s="1"/>
  <c r="B350" i="37"/>
  <c r="AU337" i="30" l="1"/>
  <c r="G336" i="30"/>
  <c r="E336" i="30" s="1"/>
  <c r="N133" i="27" s="1"/>
  <c r="E342" i="30"/>
  <c r="E341" i="30"/>
  <c r="L137" i="27" s="1"/>
  <c r="B351" i="37"/>
  <c r="L141" i="27" l="1"/>
  <c r="G81" i="38"/>
  <c r="M137" i="27"/>
  <c r="G337" i="30"/>
  <c r="AU338" i="30"/>
  <c r="F43" i="29"/>
  <c r="E30" i="28" s="1"/>
  <c r="F41" i="29"/>
  <c r="E28" i="28" s="1"/>
  <c r="F342" i="30"/>
  <c r="G86" i="38"/>
  <c r="F45" i="29"/>
  <c r="E32" i="28" s="1"/>
  <c r="F46" i="29"/>
  <c r="E33" i="28" s="1"/>
  <c r="F42" i="29"/>
  <c r="E29" i="28" s="1"/>
  <c r="F47" i="29"/>
  <c r="E34" i="28" s="1"/>
  <c r="F341" i="30"/>
  <c r="G85" i="38"/>
  <c r="F44" i="29"/>
  <c r="E31" i="28" s="1"/>
  <c r="B352" i="37"/>
  <c r="Y20" i="51" l="1"/>
  <c r="AA20" i="51"/>
  <c r="Z20" i="51"/>
  <c r="AA19" i="51"/>
  <c r="Z19" i="51"/>
  <c r="Y19" i="51"/>
  <c r="Y15" i="51"/>
  <c r="AA15" i="51"/>
  <c r="Z15" i="51"/>
  <c r="AA17" i="51"/>
  <c r="Y17" i="51"/>
  <c r="Z17" i="51"/>
  <c r="AA18" i="51"/>
  <c r="Z18" i="51"/>
  <c r="Y18" i="51"/>
  <c r="AA21" i="51"/>
  <c r="Y21" i="51"/>
  <c r="Z21" i="51"/>
  <c r="AA16" i="51"/>
  <c r="Z16" i="51"/>
  <c r="Y16" i="51"/>
  <c r="W22" i="51"/>
  <c r="X22" i="51" s="1"/>
  <c r="W17" i="51"/>
  <c r="X17" i="51" s="1"/>
  <c r="W12" i="51"/>
  <c r="X12" i="51" s="1"/>
  <c r="W10" i="51"/>
  <c r="X10" i="51" s="1"/>
  <c r="W28" i="51"/>
  <c r="X28" i="51" s="1"/>
  <c r="W20" i="51"/>
  <c r="X20" i="51" s="1"/>
  <c r="W25" i="51"/>
  <c r="X25" i="51" s="1"/>
  <c r="W14" i="51"/>
  <c r="X14" i="51" s="1"/>
  <c r="W24" i="51"/>
  <c r="X24" i="51" s="1"/>
  <c r="W26" i="51"/>
  <c r="X26" i="51" s="1"/>
  <c r="W13" i="51"/>
  <c r="X13" i="51" s="1"/>
  <c r="W16" i="51"/>
  <c r="X16" i="51" s="1"/>
  <c r="W19" i="51"/>
  <c r="X19" i="51" s="1"/>
  <c r="W27" i="51"/>
  <c r="X27" i="51" s="1"/>
  <c r="W11" i="51"/>
  <c r="X11" i="51" s="1"/>
  <c r="W18" i="51"/>
  <c r="X18" i="51" s="1"/>
  <c r="W21" i="51"/>
  <c r="X21" i="51" s="1"/>
  <c r="W9" i="51"/>
  <c r="X9" i="51" s="1"/>
  <c r="W15" i="51"/>
  <c r="X15" i="51" s="1"/>
  <c r="W8" i="51"/>
  <c r="W23" i="51"/>
  <c r="X23" i="51" s="1"/>
  <c r="G338" i="30"/>
  <c r="AU339" i="30"/>
  <c r="G339" i="30" s="1"/>
  <c r="E339" i="30" s="1"/>
  <c r="E337" i="30"/>
  <c r="E7" i="37"/>
  <c r="B71" i="22"/>
  <c r="AZ71" i="22" s="1"/>
  <c r="B46" i="22"/>
  <c r="AY46" i="22" s="1"/>
  <c r="G43" i="29"/>
  <c r="F30" i="28" s="1"/>
  <c r="P4" i="44"/>
  <c r="O4" i="44"/>
  <c r="M4" i="44"/>
  <c r="N4" i="44"/>
  <c r="Q4" i="44"/>
  <c r="R4" i="44"/>
  <c r="G41" i="29"/>
  <c r="F28" i="28" s="1"/>
  <c r="L4" i="44"/>
  <c r="B44" i="22"/>
  <c r="AY44" i="22" s="1"/>
  <c r="B69" i="22"/>
  <c r="AY69" i="22" s="1"/>
  <c r="F71" i="29"/>
  <c r="M30" i="28" s="1"/>
  <c r="F72" i="29"/>
  <c r="M31" i="28" s="1"/>
  <c r="F70" i="29"/>
  <c r="M29" i="28" s="1"/>
  <c r="F69" i="29"/>
  <c r="M28" i="28" s="1"/>
  <c r="F68" i="29"/>
  <c r="M27" i="28" s="1"/>
  <c r="F65" i="29"/>
  <c r="M24" i="28" s="1"/>
  <c r="F66" i="29"/>
  <c r="M25" i="28" s="1"/>
  <c r="F67" i="29"/>
  <c r="M26" i="28" s="1"/>
  <c r="G44" i="29"/>
  <c r="F31" i="28" s="1"/>
  <c r="B72" i="22"/>
  <c r="B47" i="22"/>
  <c r="B48" i="22"/>
  <c r="B73" i="22"/>
  <c r="G45" i="29"/>
  <c r="F32" i="28" s="1"/>
  <c r="F73" i="29"/>
  <c r="M32" i="28" s="1"/>
  <c r="G42" i="29"/>
  <c r="F29" i="28" s="1"/>
  <c r="B45" i="22"/>
  <c r="B70" i="22"/>
  <c r="G47" i="29"/>
  <c r="F34" i="28" s="1"/>
  <c r="B75" i="22"/>
  <c r="B50" i="22"/>
  <c r="G46" i="29"/>
  <c r="F33" i="28" s="1"/>
  <c r="B74" i="22"/>
  <c r="B49" i="22"/>
  <c r="B353" i="37"/>
  <c r="W29" i="51" l="1"/>
  <c r="X8" i="51"/>
  <c r="X29" i="51" s="1"/>
  <c r="AX71" i="22"/>
  <c r="O133" i="27"/>
  <c r="E8" i="37"/>
  <c r="C8" i="37" s="1"/>
  <c r="D7" i="37"/>
  <c r="C7" i="37"/>
  <c r="G82" i="38"/>
  <c r="N137" i="27"/>
  <c r="AZ46" i="22"/>
  <c r="G84" i="38"/>
  <c r="P137" i="27"/>
  <c r="E338" i="30"/>
  <c r="F37" i="29" s="1"/>
  <c r="E24" i="28" s="1"/>
  <c r="AY71" i="22"/>
  <c r="AX46" i="22"/>
  <c r="G70" i="29"/>
  <c r="N29" i="28" s="1"/>
  <c r="G72" i="29"/>
  <c r="N31" i="28" s="1"/>
  <c r="AZ44" i="22"/>
  <c r="G71" i="29"/>
  <c r="N30" i="28" s="1"/>
  <c r="B98" i="22"/>
  <c r="AX98" i="22" s="1"/>
  <c r="F28" i="35"/>
  <c r="F27" i="35"/>
  <c r="F29" i="35"/>
  <c r="F30" i="35"/>
  <c r="AZ69" i="22"/>
  <c r="AX69" i="22"/>
  <c r="AX44" i="22"/>
  <c r="B97" i="22"/>
  <c r="AY97" i="22" s="1"/>
  <c r="B96" i="22"/>
  <c r="AY96" i="22" s="1"/>
  <c r="F33" i="35"/>
  <c r="F32" i="35"/>
  <c r="F31" i="35"/>
  <c r="G67" i="29"/>
  <c r="N26" i="28" s="1"/>
  <c r="B93" i="22"/>
  <c r="B95" i="22"/>
  <c r="G69" i="29"/>
  <c r="N28" i="28" s="1"/>
  <c r="G65" i="29"/>
  <c r="N24" i="28" s="1"/>
  <c r="B91" i="22"/>
  <c r="G66" i="29"/>
  <c r="N25" i="28" s="1"/>
  <c r="B92" i="22"/>
  <c r="G68" i="29"/>
  <c r="N27" i="28" s="1"/>
  <c r="B94" i="22"/>
  <c r="AY49" i="22"/>
  <c r="AX49" i="22"/>
  <c r="AZ49" i="22"/>
  <c r="AX48" i="22"/>
  <c r="AY48" i="22"/>
  <c r="AZ48" i="22"/>
  <c r="AZ47" i="22"/>
  <c r="AX47" i="22"/>
  <c r="AY47" i="22"/>
  <c r="AY50" i="22"/>
  <c r="AX50" i="22"/>
  <c r="AZ50" i="22"/>
  <c r="AZ74" i="22"/>
  <c r="AX74" i="22"/>
  <c r="AY74" i="22"/>
  <c r="AX75" i="22"/>
  <c r="AZ75" i="22"/>
  <c r="AY75" i="22"/>
  <c r="AY70" i="22"/>
  <c r="AX70" i="22"/>
  <c r="AZ70" i="22"/>
  <c r="AY45" i="22"/>
  <c r="AZ45" i="22"/>
  <c r="AX45" i="22"/>
  <c r="B99" i="22"/>
  <c r="G73" i="29"/>
  <c r="N32" i="28" s="1"/>
  <c r="AZ73" i="22"/>
  <c r="AY73" i="22"/>
  <c r="AX73" i="22"/>
  <c r="AX72" i="22"/>
  <c r="AY72" i="22"/>
  <c r="AZ72" i="22"/>
  <c r="B354" i="37"/>
  <c r="E9" i="37" l="1"/>
  <c r="D9" i="37" s="1"/>
  <c r="V18" i="51"/>
  <c r="V17" i="51"/>
  <c r="V27" i="51"/>
  <c r="Y11" i="51"/>
  <c r="AA11" i="51"/>
  <c r="Z11" i="51"/>
  <c r="V15" i="51"/>
  <c r="V12" i="51"/>
  <c r="V9" i="51"/>
  <c r="V13" i="51"/>
  <c r="V14" i="51"/>
  <c r="V11" i="51"/>
  <c r="V23" i="51"/>
  <c r="V16" i="51"/>
  <c r="V21" i="51"/>
  <c r="V22" i="51"/>
  <c r="V24" i="51"/>
  <c r="V19" i="51"/>
  <c r="V25" i="51"/>
  <c r="V28" i="51"/>
  <c r="V26" i="51"/>
  <c r="V20" i="51"/>
  <c r="V10" i="51"/>
  <c r="V8" i="51"/>
  <c r="U5" i="51"/>
  <c r="B65" i="22"/>
  <c r="G37" i="29"/>
  <c r="F24" i="28" s="1"/>
  <c r="B40" i="22"/>
  <c r="H4" i="44"/>
  <c r="F39" i="29"/>
  <c r="E26" i="28" s="1"/>
  <c r="F38" i="29"/>
  <c r="E25" i="28" s="1"/>
  <c r="F35" i="29"/>
  <c r="E22" i="28" s="1"/>
  <c r="F36" i="29"/>
  <c r="E23" i="28" s="1"/>
  <c r="F40" i="29"/>
  <c r="E27" i="28" s="1"/>
  <c r="P133" i="27"/>
  <c r="F34" i="29"/>
  <c r="E21" i="28" s="1"/>
  <c r="E10" i="37"/>
  <c r="G83" i="38"/>
  <c r="O137" i="27"/>
  <c r="D8" i="37"/>
  <c r="AZ98" i="22"/>
  <c r="AY98" i="22"/>
  <c r="AX96" i="22"/>
  <c r="AX97" i="22"/>
  <c r="AZ97" i="22"/>
  <c r="AZ96" i="22"/>
  <c r="AZ92" i="22"/>
  <c r="AY92" i="22"/>
  <c r="AX92" i="22"/>
  <c r="AY93" i="22"/>
  <c r="AX93" i="22"/>
  <c r="AZ93" i="22"/>
  <c r="AY95" i="22"/>
  <c r="AX95" i="22"/>
  <c r="AZ95" i="22"/>
  <c r="AZ94" i="22"/>
  <c r="AX94" i="22"/>
  <c r="AY94" i="22"/>
  <c r="AZ91" i="22"/>
  <c r="AX91" i="22"/>
  <c r="AY91" i="22"/>
  <c r="C52" i="22"/>
  <c r="C77" i="22"/>
  <c r="AX99" i="22"/>
  <c r="AY99" i="22"/>
  <c r="AZ99" i="22"/>
  <c r="B355" i="37"/>
  <c r="F64" i="29" l="1"/>
  <c r="M23" i="28" s="1"/>
  <c r="C9" i="37"/>
  <c r="C10" i="37"/>
  <c r="AA8" i="51"/>
  <c r="Z8" i="51"/>
  <c r="Y8" i="51"/>
  <c r="V29" i="51"/>
  <c r="AA12" i="51"/>
  <c r="Y12" i="51"/>
  <c r="Z12" i="51"/>
  <c r="AA13" i="51"/>
  <c r="Y13" i="51"/>
  <c r="Z13" i="51"/>
  <c r="Y14" i="51"/>
  <c r="AA14" i="51"/>
  <c r="Z14" i="51"/>
  <c r="Z10" i="51"/>
  <c r="AA10" i="51"/>
  <c r="Y10" i="51"/>
  <c r="AA9" i="51"/>
  <c r="Z9" i="51"/>
  <c r="Y9" i="51"/>
  <c r="F62" i="29"/>
  <c r="M21" i="28" s="1"/>
  <c r="F63" i="29"/>
  <c r="M22" i="28" s="1"/>
  <c r="B43" i="22"/>
  <c r="AY43" i="22" s="1"/>
  <c r="B68" i="22"/>
  <c r="AY68" i="22" s="1"/>
  <c r="K4" i="44"/>
  <c r="G40" i="29"/>
  <c r="F27" i="28" s="1"/>
  <c r="F23" i="35"/>
  <c r="B67" i="22"/>
  <c r="AY67" i="22" s="1"/>
  <c r="B42" i="22"/>
  <c r="AX42" i="22" s="1"/>
  <c r="G39" i="29"/>
  <c r="F26" i="28" s="1"/>
  <c r="E4" i="44"/>
  <c r="B37" i="22"/>
  <c r="G34" i="29"/>
  <c r="F21" i="28" s="1"/>
  <c r="J4" i="44"/>
  <c r="AY40" i="22"/>
  <c r="AZ40" i="22"/>
  <c r="AX40" i="22"/>
  <c r="B64" i="22"/>
  <c r="G4" i="44"/>
  <c r="G36" i="29"/>
  <c r="F23" i="28" s="1"/>
  <c r="B39" i="22"/>
  <c r="B38" i="22"/>
  <c r="B63" i="22"/>
  <c r="F4" i="44"/>
  <c r="G35" i="29"/>
  <c r="F22" i="28" s="1"/>
  <c r="AY65" i="22"/>
  <c r="AZ65" i="22"/>
  <c r="AX65" i="22"/>
  <c r="B41" i="22"/>
  <c r="G38" i="29"/>
  <c r="F25" i="28" s="1"/>
  <c r="B66" i="22"/>
  <c r="I4" i="44"/>
  <c r="D10" i="37"/>
  <c r="E11" i="37"/>
  <c r="C11" i="37" s="1"/>
  <c r="C53" i="22"/>
  <c r="C78" i="22"/>
  <c r="B356" i="37"/>
  <c r="G64" i="29" l="1"/>
  <c r="N23" i="28" s="1"/>
  <c r="B90" i="22"/>
  <c r="AZ90" i="22" s="1"/>
  <c r="T5" i="51"/>
  <c r="V5" i="51"/>
  <c r="AZ68" i="22"/>
  <c r="AX68" i="22"/>
  <c r="AX43" i="22"/>
  <c r="G62" i="29"/>
  <c r="N21" i="28" s="1"/>
  <c r="B88" i="22"/>
  <c r="B89" i="22"/>
  <c r="G63" i="29"/>
  <c r="N22" i="28" s="1"/>
  <c r="AZ43" i="22"/>
  <c r="F26" i="35"/>
  <c r="AZ67" i="22"/>
  <c r="F25" i="35"/>
  <c r="AX67" i="22"/>
  <c r="AY42" i="22"/>
  <c r="AZ42" i="22"/>
  <c r="F22" i="35"/>
  <c r="AX41" i="22"/>
  <c r="AY41" i="22"/>
  <c r="AZ41" i="22"/>
  <c r="AX38" i="22"/>
  <c r="AY38" i="22"/>
  <c r="AZ38" i="22"/>
  <c r="AY39" i="22"/>
  <c r="AX39" i="22"/>
  <c r="AZ39" i="22"/>
  <c r="AY37" i="22"/>
  <c r="AZ37" i="22"/>
  <c r="F24" i="35"/>
  <c r="F21" i="35"/>
  <c r="AX64" i="22"/>
  <c r="AY64" i="22"/>
  <c r="AZ64" i="22"/>
  <c r="AX66" i="22"/>
  <c r="AY66" i="22"/>
  <c r="AZ66" i="22"/>
  <c r="AZ63" i="22"/>
  <c r="AX63" i="22"/>
  <c r="AY63" i="22"/>
  <c r="E12" i="37"/>
  <c r="C12" i="37" s="1"/>
  <c r="D11" i="37"/>
  <c r="C54" i="22"/>
  <c r="C79" i="22"/>
  <c r="B357" i="37"/>
  <c r="AX90" i="22" l="1"/>
  <c r="AY90" i="22"/>
  <c r="AZ88" i="22"/>
  <c r="AY88" i="22"/>
  <c r="AX88" i="22"/>
  <c r="AY89" i="22"/>
  <c r="AZ89" i="22"/>
  <c r="AX89" i="22"/>
  <c r="V61" i="22"/>
  <c r="G34" i="22"/>
  <c r="Z36" i="22"/>
  <c r="AH61" i="22"/>
  <c r="X61" i="22"/>
  <c r="N61" i="22"/>
  <c r="AF61" i="22"/>
  <c r="M61" i="22"/>
  <c r="I36" i="22"/>
  <c r="L34" i="22"/>
  <c r="AG34" i="22"/>
  <c r="I61" i="22"/>
  <c r="V34" i="22"/>
  <c r="V35" i="22"/>
  <c r="AI61" i="22"/>
  <c r="AA61" i="22"/>
  <c r="K34" i="22"/>
  <c r="AY62" i="22"/>
  <c r="M34" i="22"/>
  <c r="Z61" i="22"/>
  <c r="Q61" i="22"/>
  <c r="V36" i="22"/>
  <c r="AB34" i="22"/>
  <c r="X34" i="22"/>
  <c r="AE35" i="22"/>
  <c r="O62" i="22"/>
  <c r="AX36" i="22"/>
  <c r="X60" i="22"/>
  <c r="R34" i="22"/>
  <c r="Z34" i="22"/>
  <c r="AB35" i="22"/>
  <c r="AY36" i="22"/>
  <c r="H34" i="22"/>
  <c r="AD34" i="22"/>
  <c r="AF35" i="22"/>
  <c r="Y34" i="22"/>
  <c r="S34" i="22"/>
  <c r="AD36" i="22"/>
  <c r="AA35" i="22"/>
  <c r="U34" i="22"/>
  <c r="W36" i="22"/>
  <c r="AI35" i="22"/>
  <c r="P35" i="22"/>
  <c r="O34" i="22"/>
  <c r="AC36" i="22"/>
  <c r="G35" i="22"/>
  <c r="N34" i="22"/>
  <c r="AG36" i="22"/>
  <c r="M62" i="22"/>
  <c r="J34" i="22"/>
  <c r="U36" i="22"/>
  <c r="Y60" i="22"/>
  <c r="I35" i="22"/>
  <c r="F34" i="22"/>
  <c r="AC61" i="22"/>
  <c r="J61" i="22"/>
  <c r="N36" i="22"/>
  <c r="AF36" i="22"/>
  <c r="W61" i="22"/>
  <c r="S61" i="22"/>
  <c r="AB61" i="22"/>
  <c r="AE61" i="22"/>
  <c r="AA34" i="22"/>
  <c r="R36" i="22"/>
  <c r="AH35" i="22"/>
  <c r="U61" i="22"/>
  <c r="P61" i="22"/>
  <c r="T36" i="22"/>
  <c r="Y35" i="22"/>
  <c r="O61" i="22"/>
  <c r="T34" i="22"/>
  <c r="AI36" i="22"/>
  <c r="AC35" i="22"/>
  <c r="M35" i="22"/>
  <c r="L61" i="22"/>
  <c r="AD61" i="22"/>
  <c r="AG61" i="22"/>
  <c r="AF34" i="22"/>
  <c r="AZ36" i="22"/>
  <c r="X35" i="22"/>
  <c r="J35" i="22"/>
  <c r="Y61" i="22"/>
  <c r="K61" i="22"/>
  <c r="AI34" i="22"/>
  <c r="AH36" i="22"/>
  <c r="N35" i="22"/>
  <c r="K62" i="22"/>
  <c r="T61" i="22"/>
  <c r="R61" i="22"/>
  <c r="W34" i="22"/>
  <c r="AA36" i="22"/>
  <c r="U62" i="22"/>
  <c r="AX62" i="22"/>
  <c r="T62" i="22"/>
  <c r="N62" i="22"/>
  <c r="P34" i="22"/>
  <c r="R62" i="22"/>
  <c r="Z62" i="22"/>
  <c r="O35" i="22"/>
  <c r="AE34" i="22"/>
  <c r="Q34" i="22"/>
  <c r="Q36" i="22"/>
  <c r="P36" i="22"/>
  <c r="AG35" i="22"/>
  <c r="H35" i="22"/>
  <c r="AI62" i="22"/>
  <c r="U35" i="22"/>
  <c r="AH62" i="22"/>
  <c r="AH34" i="22"/>
  <c r="AC34" i="22"/>
  <c r="L36" i="22"/>
  <c r="M36" i="22"/>
  <c r="Z35" i="22"/>
  <c r="Q35" i="22"/>
  <c r="AA62" i="22"/>
  <c r="I34" i="22"/>
  <c r="K36" i="22"/>
  <c r="Y36" i="22"/>
  <c r="S35" i="22"/>
  <c r="F35" i="22"/>
  <c r="Q62" i="22"/>
  <c r="L62" i="22"/>
  <c r="S62" i="22"/>
  <c r="AC60" i="22"/>
  <c r="X62" i="22"/>
  <c r="T60" i="22"/>
  <c r="H36" i="22"/>
  <c r="S36" i="22"/>
  <c r="W35" i="22"/>
  <c r="K35" i="22"/>
  <c r="J62" i="22"/>
  <c r="O60" i="22"/>
  <c r="X36" i="22"/>
  <c r="F36" i="22"/>
  <c r="L35" i="22"/>
  <c r="AD35" i="22"/>
  <c r="I62" i="22"/>
  <c r="L60" i="22"/>
  <c r="AB36" i="22"/>
  <c r="G36" i="22"/>
  <c r="O36" i="22"/>
  <c r="T35" i="22"/>
  <c r="AF62" i="22"/>
  <c r="AD60" i="22"/>
  <c r="AE36" i="22"/>
  <c r="J36" i="22"/>
  <c r="R35" i="22"/>
  <c r="Y62" i="22"/>
  <c r="K60" i="22"/>
  <c r="J60" i="22"/>
  <c r="AE60" i="22"/>
  <c r="V62" i="22"/>
  <c r="AC62" i="22"/>
  <c r="AA60" i="22"/>
  <c r="Z60" i="22"/>
  <c r="AI60" i="22"/>
  <c r="U60" i="22"/>
  <c r="AG62" i="22"/>
  <c r="AD62" i="22"/>
  <c r="V60" i="22"/>
  <c r="AB60" i="22"/>
  <c r="M60" i="22"/>
  <c r="W62" i="22"/>
  <c r="AZ62" i="22"/>
  <c r="N60" i="22"/>
  <c r="I60" i="22"/>
  <c r="AH60" i="22"/>
  <c r="AE62" i="22"/>
  <c r="AB62" i="22"/>
  <c r="R60" i="22"/>
  <c r="S60" i="22"/>
  <c r="AF60" i="22"/>
  <c r="P62" i="22"/>
  <c r="W60" i="22"/>
  <c r="AG60" i="22"/>
  <c r="Q60" i="22"/>
  <c r="P60" i="22"/>
  <c r="E13" i="37"/>
  <c r="E14" i="37" s="1"/>
  <c r="D12" i="37"/>
  <c r="C80" i="22"/>
  <c r="C55" i="22"/>
  <c r="B358" i="37"/>
  <c r="V85" i="22" l="1"/>
  <c r="AD85" i="22"/>
  <c r="AD6" i="22" s="1"/>
  <c r="E30" i="17" s="1"/>
  <c r="T85" i="22"/>
  <c r="T6" i="22" s="1"/>
  <c r="E20" i="17" s="1"/>
  <c r="AB85" i="22"/>
  <c r="AB6" i="22" s="1"/>
  <c r="E28" i="17" s="1"/>
  <c r="AE85" i="22"/>
  <c r="AE6" i="22" s="1"/>
  <c r="E31" i="17" s="1"/>
  <c r="G85" i="22"/>
  <c r="N85" i="22"/>
  <c r="N6" i="22" s="1"/>
  <c r="E14" i="17" s="1"/>
  <c r="Y85" i="22"/>
  <c r="Y6" i="22" s="1"/>
  <c r="E25" i="17" s="1"/>
  <c r="AF85" i="22"/>
  <c r="AF6" i="22" s="1"/>
  <c r="E32" i="17" s="1"/>
  <c r="R85" i="22"/>
  <c r="R6" i="22" s="1"/>
  <c r="E18" i="17" s="1"/>
  <c r="W85" i="22"/>
  <c r="W6" i="22" s="1"/>
  <c r="E23" i="17" s="1"/>
  <c r="AC85" i="22"/>
  <c r="AC6" i="22" s="1"/>
  <c r="E29" i="17" s="1"/>
  <c r="AX87" i="22"/>
  <c r="AI85" i="22"/>
  <c r="AI6" i="22" s="1"/>
  <c r="E35" i="17" s="1"/>
  <c r="F85" i="22"/>
  <c r="K85" i="22"/>
  <c r="K6" i="22" s="1"/>
  <c r="E11" i="17" s="1"/>
  <c r="L85" i="22"/>
  <c r="L6" i="22" s="1"/>
  <c r="E12" i="17" s="1"/>
  <c r="H85" i="22"/>
  <c r="AG85" i="22"/>
  <c r="AG6" i="22" s="1"/>
  <c r="E33" i="17" s="1"/>
  <c r="J85" i="22"/>
  <c r="J6" i="22" s="1"/>
  <c r="E10" i="17" s="1"/>
  <c r="Z85" i="22"/>
  <c r="Z6" i="22" s="1"/>
  <c r="E26" i="17" s="1"/>
  <c r="Q85" i="22"/>
  <c r="Q6" i="22" s="1"/>
  <c r="E17" i="17" s="1"/>
  <c r="S85" i="22"/>
  <c r="S6" i="22" s="1"/>
  <c r="E19" i="17" s="1"/>
  <c r="O85" i="22"/>
  <c r="O6" i="22" s="1"/>
  <c r="E15" i="17" s="1"/>
  <c r="I85" i="22"/>
  <c r="I6" i="22" s="1"/>
  <c r="E9" i="17" s="1"/>
  <c r="U85" i="22"/>
  <c r="U6" i="22" s="1"/>
  <c r="E21" i="17" s="1"/>
  <c r="AA85" i="22"/>
  <c r="AA6" i="22" s="1"/>
  <c r="E27" i="17" s="1"/>
  <c r="X85" i="22"/>
  <c r="X6" i="22" s="1"/>
  <c r="E24" i="17" s="1"/>
  <c r="P85" i="22"/>
  <c r="P6" i="22" s="1"/>
  <c r="E16" i="17" s="1"/>
  <c r="AH85" i="22"/>
  <c r="AH6" i="22" s="1"/>
  <c r="E34" i="17" s="1"/>
  <c r="M85" i="22"/>
  <c r="M6" i="22" s="1"/>
  <c r="E13" i="17" s="1"/>
  <c r="U86" i="22"/>
  <c r="U8" i="22" s="1"/>
  <c r="H21" i="17" s="1"/>
  <c r="R86" i="22"/>
  <c r="R8" i="22" s="1"/>
  <c r="H18" i="17" s="1"/>
  <c r="J86" i="22"/>
  <c r="J8" i="22" s="1"/>
  <c r="H10" i="17" s="1"/>
  <c r="F86" i="22"/>
  <c r="AB86" i="22"/>
  <c r="AB8" i="22" s="1"/>
  <c r="H28" i="17" s="1"/>
  <c r="AI86" i="22"/>
  <c r="AI8" i="22" s="1"/>
  <c r="H35" i="17" s="1"/>
  <c r="AE86" i="22"/>
  <c r="AE8" i="22" s="1"/>
  <c r="H31" i="17" s="1"/>
  <c r="Y86" i="22"/>
  <c r="Y8" i="22" s="1"/>
  <c r="H25" i="17" s="1"/>
  <c r="I86" i="22"/>
  <c r="I8" i="22" s="1"/>
  <c r="H9" i="17" s="1"/>
  <c r="AH86" i="22"/>
  <c r="AH8" i="22" s="1"/>
  <c r="H34" i="17" s="1"/>
  <c r="Z86" i="22"/>
  <c r="Z8" i="22" s="1"/>
  <c r="H26" i="17" s="1"/>
  <c r="O86" i="22"/>
  <c r="O8" i="22" s="1"/>
  <c r="H15" i="17" s="1"/>
  <c r="V86" i="22"/>
  <c r="V8" i="22" s="1"/>
  <c r="H22" i="17" s="1"/>
  <c r="AF86" i="22"/>
  <c r="AF8" i="22" s="1"/>
  <c r="H32" i="17" s="1"/>
  <c r="AA86" i="22"/>
  <c r="AA8" i="22" s="1"/>
  <c r="H27" i="17" s="1"/>
  <c r="K86" i="22"/>
  <c r="K8" i="22" s="1"/>
  <c r="H11" i="17" s="1"/>
  <c r="AD86" i="22"/>
  <c r="AD8" i="22" s="1"/>
  <c r="H30" i="17" s="1"/>
  <c r="L86" i="22"/>
  <c r="L8" i="22" s="1"/>
  <c r="H12" i="17" s="1"/>
  <c r="Q86" i="22"/>
  <c r="Q8" i="22" s="1"/>
  <c r="H17" i="17" s="1"/>
  <c r="AC86" i="22"/>
  <c r="AC8" i="22" s="1"/>
  <c r="H29" i="17" s="1"/>
  <c r="N86" i="22"/>
  <c r="N8" i="22" s="1"/>
  <c r="H14" i="17" s="1"/>
  <c r="M86" i="22"/>
  <c r="M8" i="22" s="1"/>
  <c r="H13" i="17" s="1"/>
  <c r="G86" i="22"/>
  <c r="P86" i="22"/>
  <c r="P8" i="22" s="1"/>
  <c r="H16" i="17" s="1"/>
  <c r="S86" i="22"/>
  <c r="S8" i="22" s="1"/>
  <c r="H19" i="17" s="1"/>
  <c r="T86" i="22"/>
  <c r="T8" i="22" s="1"/>
  <c r="H20" i="17" s="1"/>
  <c r="X86" i="22"/>
  <c r="X8" i="22" s="1"/>
  <c r="H24" i="17" s="1"/>
  <c r="AY87" i="22"/>
  <c r="W86" i="22"/>
  <c r="W8" i="22" s="1"/>
  <c r="H23" i="17" s="1"/>
  <c r="H86" i="22"/>
  <c r="AG86" i="22"/>
  <c r="AG8" i="22" s="1"/>
  <c r="H33" i="17" s="1"/>
  <c r="P87" i="22"/>
  <c r="P10" i="22" s="1"/>
  <c r="K16" i="17" s="1"/>
  <c r="X87" i="22"/>
  <c r="X10" i="22" s="1"/>
  <c r="K24" i="17" s="1"/>
  <c r="AC87" i="22"/>
  <c r="AC10" i="22" s="1"/>
  <c r="K29" i="17" s="1"/>
  <c r="M87" i="22"/>
  <c r="M10" i="22" s="1"/>
  <c r="K13" i="17" s="1"/>
  <c r="J87" i="22"/>
  <c r="J10" i="22" s="1"/>
  <c r="K10" i="17" s="1"/>
  <c r="S87" i="22"/>
  <c r="S10" i="22" s="1"/>
  <c r="K19" i="17" s="1"/>
  <c r="Y87" i="22"/>
  <c r="Y10" i="22" s="1"/>
  <c r="AH87" i="22"/>
  <c r="AH10" i="22" s="1"/>
  <c r="K34" i="17" s="1"/>
  <c r="V87" i="22"/>
  <c r="V10" i="22" s="1"/>
  <c r="K22" i="17" s="1"/>
  <c r="U87" i="22"/>
  <c r="U10" i="22" s="1"/>
  <c r="K21" i="17" s="1"/>
  <c r="Q87" i="22"/>
  <c r="Q10" i="22" s="1"/>
  <c r="K17" i="17" s="1"/>
  <c r="AF87" i="22"/>
  <c r="AF10" i="22" s="1"/>
  <c r="K32" i="17" s="1"/>
  <c r="G87" i="22"/>
  <c r="Z87" i="22"/>
  <c r="Z10" i="22" s="1"/>
  <c r="K26" i="17" s="1"/>
  <c r="AA87" i="22"/>
  <c r="AA10" i="22" s="1"/>
  <c r="K27" i="17" s="1"/>
  <c r="AE87" i="22"/>
  <c r="AE10" i="22" s="1"/>
  <c r="K31" i="17" s="1"/>
  <c r="AB87" i="22"/>
  <c r="AB10" i="22" s="1"/>
  <c r="F87" i="22"/>
  <c r="AG87" i="22"/>
  <c r="AG10" i="22" s="1"/>
  <c r="K33" i="17" s="1"/>
  <c r="K87" i="22"/>
  <c r="K10" i="22" s="1"/>
  <c r="K11" i="17" s="1"/>
  <c r="R87" i="22"/>
  <c r="R10" i="22" s="1"/>
  <c r="K18" i="17" s="1"/>
  <c r="T87" i="22"/>
  <c r="T10" i="22" s="1"/>
  <c r="K20" i="17" s="1"/>
  <c r="I87" i="22"/>
  <c r="I10" i="22" s="1"/>
  <c r="K9" i="17" s="1"/>
  <c r="L87" i="22"/>
  <c r="L10" i="22" s="1"/>
  <c r="K12" i="17" s="1"/>
  <c r="AZ87" i="22"/>
  <c r="N87" i="22"/>
  <c r="N10" i="22" s="1"/>
  <c r="K14" i="17" s="1"/>
  <c r="AD87" i="22"/>
  <c r="AD10" i="22" s="1"/>
  <c r="K30" i="17" s="1"/>
  <c r="O87" i="22"/>
  <c r="O10" i="22" s="1"/>
  <c r="K15" i="17" s="1"/>
  <c r="AI87" i="22"/>
  <c r="AI10" i="22" s="1"/>
  <c r="K35" i="17" s="1"/>
  <c r="W87" i="22"/>
  <c r="W10" i="22" s="1"/>
  <c r="K23" i="17" s="1"/>
  <c r="H87" i="22"/>
  <c r="E15" i="37"/>
  <c r="E16" i="37" s="1"/>
  <c r="D14" i="37"/>
  <c r="V6" i="22"/>
  <c r="E22" i="17" s="1"/>
  <c r="D13" i="37"/>
  <c r="C14" i="37"/>
  <c r="C13" i="37"/>
  <c r="C57" i="22"/>
  <c r="C82" i="22"/>
  <c r="C56" i="22"/>
  <c r="C81" i="22"/>
  <c r="B359" i="37"/>
  <c r="E17" i="37" l="1"/>
  <c r="C17" i="37" s="1"/>
  <c r="D16" i="37"/>
  <c r="Z12" i="22"/>
  <c r="N26" i="17" s="1"/>
  <c r="I12" i="22"/>
  <c r="N9" i="17" s="1"/>
  <c r="C15" i="37"/>
  <c r="D15" i="37"/>
  <c r="C16" i="37"/>
  <c r="AB12" i="22"/>
  <c r="N28" i="17" s="1"/>
  <c r="K28" i="17"/>
  <c r="V12" i="22"/>
  <c r="N22" i="17" s="1"/>
  <c r="AG12" i="22"/>
  <c r="N33" i="17" s="1"/>
  <c r="M12" i="22"/>
  <c r="N13" i="17" s="1"/>
  <c r="K12" i="22"/>
  <c r="N11" i="17" s="1"/>
  <c r="AI12" i="22"/>
  <c r="N35" i="17" s="1"/>
  <c r="Y12" i="22"/>
  <c r="N25" i="17" s="1"/>
  <c r="AD12" i="22"/>
  <c r="N30" i="17" s="1"/>
  <c r="O12" i="22"/>
  <c r="N15" i="17" s="1"/>
  <c r="L12" i="22"/>
  <c r="N12" i="17" s="1"/>
  <c r="AF12" i="22"/>
  <c r="N32" i="17" s="1"/>
  <c r="T12" i="22"/>
  <c r="N20" i="17" s="1"/>
  <c r="AA12" i="22"/>
  <c r="N27" i="17" s="1"/>
  <c r="AC12" i="22"/>
  <c r="N29" i="17" s="1"/>
  <c r="AH12" i="22"/>
  <c r="N34" i="17" s="1"/>
  <c r="X12" i="22"/>
  <c r="N24" i="17" s="1"/>
  <c r="U12" i="22"/>
  <c r="N21" i="17" s="1"/>
  <c r="Q12" i="22"/>
  <c r="N17" i="17" s="1"/>
  <c r="J12" i="22"/>
  <c r="N10" i="17" s="1"/>
  <c r="R12" i="22"/>
  <c r="N18" i="17" s="1"/>
  <c r="K25" i="17"/>
  <c r="W12" i="22"/>
  <c r="N23" i="17" s="1"/>
  <c r="N12" i="22"/>
  <c r="N14" i="17" s="1"/>
  <c r="P12" i="22"/>
  <c r="N16" i="17" s="1"/>
  <c r="AE12" i="22"/>
  <c r="N31" i="17" s="1"/>
  <c r="S12" i="22"/>
  <c r="N19" i="17" s="1"/>
  <c r="B360" i="37"/>
  <c r="E18" i="37" l="1"/>
  <c r="C18" i="37" s="1"/>
  <c r="D17" i="37"/>
  <c r="B361" i="37"/>
  <c r="E19" i="37" l="1"/>
  <c r="C19" i="37" s="1"/>
  <c r="D18" i="37"/>
  <c r="B362" i="37"/>
  <c r="E20" i="37" l="1"/>
  <c r="C20" i="37" s="1"/>
  <c r="D19" i="37"/>
  <c r="B363" i="37"/>
  <c r="E21" i="37" l="1"/>
  <c r="D20" i="37"/>
  <c r="B364" i="37"/>
  <c r="C21" i="37" l="1"/>
  <c r="D21" i="37"/>
  <c r="E22" i="37"/>
  <c r="E23" i="37" l="1"/>
  <c r="C23" i="37" s="1"/>
  <c r="D22" i="37"/>
  <c r="C22" i="37"/>
  <c r="F61" i="22"/>
  <c r="F8" i="22" s="1"/>
  <c r="H61" i="22"/>
  <c r="H8" i="22" s="1"/>
  <c r="G61" i="22"/>
  <c r="G8" i="22" s="1"/>
  <c r="F62" i="22"/>
  <c r="F10" i="22" s="1"/>
  <c r="H60" i="22"/>
  <c r="H6" i="22" s="1"/>
  <c r="H62" i="22"/>
  <c r="H10" i="22" s="1"/>
  <c r="F60" i="22"/>
  <c r="F6" i="22" s="1"/>
  <c r="G62" i="22"/>
  <c r="G10" i="22" s="1"/>
  <c r="G60" i="22"/>
  <c r="G6" i="22" s="1"/>
  <c r="E24" i="37" l="1"/>
  <c r="C24" i="37" s="1"/>
  <c r="D23" i="37"/>
  <c r="H7" i="17"/>
  <c r="K8" i="17"/>
  <c r="H8" i="17"/>
  <c r="K7" i="17"/>
  <c r="E10" i="22"/>
  <c r="I7" i="35" s="1"/>
  <c r="K6" i="17"/>
  <c r="J7" i="35"/>
  <c r="H12" i="22"/>
  <c r="E8" i="22"/>
  <c r="I6" i="35" s="1"/>
  <c r="J6" i="35"/>
  <c r="H6" i="17"/>
  <c r="J5" i="35"/>
  <c r="F12" i="22"/>
  <c r="E6" i="22"/>
  <c r="I5" i="35" s="1"/>
  <c r="E6" i="17"/>
  <c r="E7" i="17"/>
  <c r="G12" i="22"/>
  <c r="E8" i="17"/>
  <c r="E25" i="37" l="1"/>
  <c r="C25" i="37" s="1"/>
  <c r="D24" i="37"/>
  <c r="N7" i="17"/>
  <c r="E4" i="35"/>
  <c r="N8" i="17"/>
  <c r="E12" i="22"/>
  <c r="N6" i="17"/>
  <c r="E26" i="37" l="1"/>
  <c r="C26" i="37" s="1"/>
  <c r="D25" i="37"/>
  <c r="E27" i="37" l="1"/>
  <c r="C27" i="37" s="1"/>
  <c r="D26" i="37"/>
  <c r="E28" i="37" l="1"/>
  <c r="C28" i="37" s="1"/>
  <c r="D27" i="37"/>
  <c r="E29" i="37" l="1"/>
  <c r="C29" i="37" s="1"/>
  <c r="D28" i="37"/>
  <c r="D29" i="37" l="1"/>
  <c r="E30" i="37"/>
  <c r="C30" i="37" l="1"/>
  <c r="E31" i="37"/>
  <c r="C31" i="37" s="1"/>
  <c r="D30" i="37"/>
  <c r="E32" i="37" l="1"/>
  <c r="C32" i="37" s="1"/>
  <c r="D31" i="37"/>
  <c r="D32" i="37" l="1"/>
  <c r="E33" i="37"/>
  <c r="C33" i="37" s="1"/>
  <c r="E34" i="37" l="1"/>
  <c r="D33" i="37"/>
  <c r="C34" i="37" l="1"/>
  <c r="E35" i="37"/>
  <c r="D34" i="37"/>
  <c r="C35" i="37" l="1"/>
  <c r="D35" i="37"/>
  <c r="E36" i="37"/>
  <c r="C36" i="37" l="1"/>
  <c r="D36" i="37"/>
  <c r="E37" i="37"/>
  <c r="C37" i="37" l="1"/>
  <c r="D37" i="37"/>
  <c r="E38" i="37"/>
  <c r="C38" i="37" l="1"/>
  <c r="E39" i="37"/>
  <c r="C39" i="37" s="1"/>
  <c r="D38" i="37"/>
  <c r="D39" i="37" l="1"/>
  <c r="E40" i="37"/>
  <c r="C40" i="37" l="1"/>
  <c r="E41" i="37"/>
  <c r="D40" i="37"/>
  <c r="C41" i="37" l="1"/>
  <c r="D41" i="37"/>
  <c r="E42" i="37"/>
  <c r="C42" i="37" l="1"/>
  <c r="E43" i="37"/>
  <c r="C43" i="37" s="1"/>
  <c r="D42" i="37"/>
  <c r="D43" i="37" l="1"/>
  <c r="E44" i="37"/>
  <c r="C44" i="37" l="1"/>
  <c r="E45" i="37"/>
  <c r="D44" i="37"/>
  <c r="C45" i="37" l="1"/>
  <c r="D45" i="37"/>
  <c r="E46" i="37"/>
  <c r="C46" i="37" l="1"/>
  <c r="E47" i="37"/>
  <c r="D46" i="37"/>
  <c r="C47" i="37" l="1"/>
  <c r="E48" i="37"/>
  <c r="D47" i="37"/>
  <c r="C48" i="37" l="1"/>
  <c r="E49" i="37"/>
  <c r="D48" i="37"/>
  <c r="C49" i="37" l="1"/>
  <c r="D49" i="37"/>
  <c r="E50" i="37"/>
  <c r="C50" i="37" l="1"/>
  <c r="E51" i="37"/>
  <c r="D50" i="37"/>
  <c r="C51" i="37" l="1"/>
  <c r="E52" i="37"/>
  <c r="D51" i="37"/>
  <c r="C52" i="37" l="1"/>
  <c r="E53" i="37"/>
  <c r="C53" i="37" s="1"/>
  <c r="D52" i="37"/>
  <c r="D53" i="37" l="1"/>
  <c r="E54" i="37"/>
  <c r="C54" i="37" s="1"/>
  <c r="E55" i="37" l="1"/>
  <c r="D54" i="37"/>
  <c r="C55" i="37" l="1"/>
  <c r="D55" i="37"/>
  <c r="E56" i="37"/>
  <c r="E57" i="37" l="1"/>
  <c r="C57" i="37" s="1"/>
  <c r="D56" i="37"/>
  <c r="C56" i="37"/>
  <c r="E58" i="37" l="1"/>
  <c r="C58" i="37" s="1"/>
  <c r="D57" i="37"/>
  <c r="E59" i="37" l="1"/>
  <c r="D58" i="37"/>
  <c r="C59" i="37" l="1"/>
  <c r="E60" i="37"/>
  <c r="D59" i="37"/>
  <c r="C60" i="37" l="1"/>
  <c r="D60" i="37"/>
  <c r="E61" i="37"/>
  <c r="E62" i="37" l="1"/>
  <c r="C62" i="37" s="1"/>
  <c r="D61" i="37"/>
  <c r="C61" i="37"/>
  <c r="D62" i="37" l="1"/>
  <c r="E63" i="37"/>
  <c r="C63" i="37" s="1"/>
  <c r="E64" i="37" l="1"/>
  <c r="D63" i="37"/>
  <c r="C64" i="37" l="1"/>
  <c r="E65" i="37"/>
  <c r="C65" i="37" s="1"/>
  <c r="D64" i="37"/>
  <c r="D65" i="37" l="1"/>
  <c r="E66" i="37"/>
  <c r="C66" i="37" l="1"/>
  <c r="E67" i="37"/>
  <c r="D66" i="37"/>
  <c r="C67" i="37" l="1"/>
  <c r="D67" i="37"/>
  <c r="E68" i="37"/>
  <c r="C68" i="37" l="1"/>
  <c r="D68" i="37"/>
  <c r="E69" i="37"/>
  <c r="C69" i="37" l="1"/>
  <c r="E70" i="37"/>
  <c r="C70" i="37" s="1"/>
  <c r="D69" i="37"/>
  <c r="E71" i="37" l="1"/>
  <c r="C71" i="37" s="1"/>
  <c r="D70" i="37"/>
  <c r="E72" i="37" l="1"/>
  <c r="C72" i="37" s="1"/>
  <c r="D71" i="37"/>
  <c r="E73" i="37" l="1"/>
  <c r="C73" i="37" s="1"/>
  <c r="D72" i="37"/>
  <c r="D73" i="37" l="1"/>
  <c r="E74" i="37"/>
  <c r="C74" i="37" s="1"/>
  <c r="E75" i="37" l="1"/>
  <c r="C75" i="37" s="1"/>
  <c r="D74" i="37"/>
  <c r="E76" i="37" l="1"/>
  <c r="C76" i="37" s="1"/>
  <c r="D75" i="37"/>
  <c r="D76" i="37" l="1"/>
  <c r="E77" i="37"/>
  <c r="C77" i="37" l="1"/>
  <c r="D77" i="37"/>
  <c r="E78" i="37"/>
  <c r="C78" i="37" s="1"/>
  <c r="D78" i="37" l="1"/>
  <c r="E79" i="37"/>
  <c r="C79" i="37" s="1"/>
  <c r="E80" i="37" l="1"/>
  <c r="D79" i="37"/>
  <c r="C80" i="37" l="1"/>
  <c r="D80" i="37"/>
  <c r="E81" i="37"/>
  <c r="C81" i="37" s="1"/>
  <c r="E82" i="37" l="1"/>
  <c r="C82" i="37" s="1"/>
  <c r="D81" i="37"/>
  <c r="D82" i="37" l="1"/>
  <c r="E83" i="37"/>
  <c r="C83" i="37" l="1"/>
  <c r="D83" i="37"/>
  <c r="E84" i="37"/>
  <c r="C84" i="37" s="1"/>
  <c r="E85" i="37" l="1"/>
  <c r="D84" i="37"/>
  <c r="C85" i="37" l="1"/>
  <c r="E86" i="37"/>
  <c r="D85" i="37"/>
  <c r="C86" i="37" l="1"/>
  <c r="E87" i="37"/>
  <c r="C87" i="37" s="1"/>
  <c r="D86" i="37"/>
  <c r="D87" i="37" l="1"/>
  <c r="E88" i="37"/>
  <c r="C88" i="37" s="1"/>
  <c r="D88" i="37" l="1"/>
  <c r="E89" i="37"/>
  <c r="C89" i="37" l="1"/>
  <c r="D89" i="37"/>
  <c r="E90" i="37"/>
  <c r="E91" i="37" l="1"/>
  <c r="C91" i="37" s="1"/>
  <c r="D90" i="37"/>
  <c r="C90" i="37"/>
  <c r="D91" i="37" l="1"/>
  <c r="E92" i="37"/>
  <c r="C92" i="37" l="1"/>
  <c r="D92" i="37"/>
  <c r="E93" i="37"/>
  <c r="C93" i="37" s="1"/>
  <c r="E94" i="37" l="1"/>
  <c r="C94" i="37" s="1"/>
  <c r="D93" i="37"/>
  <c r="E95" i="37" l="1"/>
  <c r="C95" i="37" s="1"/>
  <c r="D94" i="37"/>
  <c r="E96" i="37" l="1"/>
  <c r="C96" i="37" s="1"/>
  <c r="D95" i="37"/>
  <c r="E97" i="37" l="1"/>
  <c r="D96" i="37"/>
  <c r="C97" i="37" l="1"/>
  <c r="E98" i="37"/>
  <c r="D97" i="37"/>
  <c r="C98" i="37" l="1"/>
  <c r="D98" i="37"/>
  <c r="E99" i="37"/>
  <c r="C99" i="37" l="1"/>
  <c r="E100" i="37"/>
  <c r="D99" i="37"/>
  <c r="C100" i="37" l="1"/>
  <c r="E101" i="37"/>
  <c r="D100" i="37"/>
  <c r="C101" i="37" l="1"/>
  <c r="D101" i="37"/>
  <c r="E102" i="37"/>
  <c r="C102" i="37" l="1"/>
  <c r="E103" i="37"/>
  <c r="D102" i="37"/>
  <c r="C103" i="37" l="1"/>
  <c r="D103" i="37"/>
  <c r="E104" i="37"/>
  <c r="E105" i="37" l="1"/>
  <c r="D104" i="37"/>
  <c r="C104" i="37"/>
  <c r="C105" i="37" l="1"/>
  <c r="D105" i="37"/>
  <c r="E106" i="37"/>
  <c r="C106" i="37" l="1"/>
  <c r="E107" i="37"/>
  <c r="D106" i="37"/>
  <c r="C107" i="37" l="1"/>
  <c r="D107" i="37"/>
  <c r="E108" i="37"/>
  <c r="C108" i="37" l="1"/>
  <c r="D108" i="37"/>
  <c r="E109" i="37"/>
  <c r="C109" i="37" l="1"/>
  <c r="E110" i="37"/>
  <c r="D109" i="37"/>
  <c r="C110" i="37" l="1"/>
  <c r="D110" i="37"/>
  <c r="E111" i="37"/>
  <c r="C111" i="37" l="1"/>
  <c r="E112" i="37"/>
  <c r="D111" i="37"/>
  <c r="C112" i="37" l="1"/>
  <c r="E113" i="37"/>
  <c r="D112" i="37"/>
  <c r="C113" i="37" l="1"/>
  <c r="E114" i="37"/>
  <c r="D113" i="37"/>
  <c r="E115" i="37" l="1"/>
  <c r="C115" i="37" s="1"/>
  <c r="D114" i="37"/>
  <c r="C114" i="37"/>
  <c r="E116" i="37" l="1"/>
  <c r="C116" i="37" s="1"/>
  <c r="D115" i="37"/>
  <c r="E117" i="37" l="1"/>
  <c r="C117" i="37" s="1"/>
  <c r="D116" i="37"/>
  <c r="E118" i="37" l="1"/>
  <c r="D117" i="37"/>
  <c r="E119" i="37" l="1"/>
  <c r="C119" i="37" s="1"/>
  <c r="D118" i="37"/>
  <c r="C118" i="37"/>
  <c r="D119" i="37" l="1"/>
  <c r="E120" i="37"/>
  <c r="C120" i="37" l="1"/>
  <c r="D120" i="37"/>
  <c r="E121" i="37"/>
  <c r="C121" i="37" l="1"/>
  <c r="E122" i="37"/>
  <c r="C122" i="37" s="1"/>
  <c r="D121" i="37"/>
  <c r="E123" i="37" l="1"/>
  <c r="C123" i="37" s="1"/>
  <c r="D122" i="37"/>
  <c r="E124" i="37" l="1"/>
  <c r="C124" i="37" s="1"/>
  <c r="D123" i="37"/>
  <c r="E125" i="37" l="1"/>
  <c r="C125" i="37" s="1"/>
  <c r="D124" i="37"/>
  <c r="D125" i="37" l="1"/>
  <c r="E126" i="37"/>
  <c r="C126" i="37" l="1"/>
  <c r="E127" i="37"/>
  <c r="D126" i="37"/>
  <c r="C127" i="37" l="1"/>
  <c r="D127" i="37"/>
  <c r="E128" i="37"/>
  <c r="C128" i="37" s="1"/>
  <c r="D128" i="37" l="1"/>
  <c r="E129" i="37"/>
  <c r="C129" i="37" l="1"/>
  <c r="E130" i="37"/>
  <c r="D129" i="37"/>
  <c r="C130" i="37" l="1"/>
  <c r="D130" i="37"/>
  <c r="E131" i="37"/>
  <c r="C131" i="37" l="1"/>
  <c r="D131" i="37"/>
  <c r="E132" i="37"/>
  <c r="D132" i="37" l="1"/>
  <c r="E133" i="37"/>
  <c r="C132" i="37"/>
  <c r="D133" i="37" l="1"/>
  <c r="E134" i="37"/>
  <c r="C134" i="37" s="1"/>
  <c r="C133" i="37"/>
  <c r="E135" i="37" l="1"/>
  <c r="C135" i="37" s="1"/>
  <c r="D134" i="37"/>
  <c r="E136" i="37" l="1"/>
  <c r="D135" i="37"/>
  <c r="E137" i="37" l="1"/>
  <c r="D136" i="37"/>
  <c r="C136" i="37"/>
  <c r="C137" i="37" l="1"/>
  <c r="D137" i="37"/>
  <c r="E138" i="37"/>
  <c r="C138" i="37" l="1"/>
  <c r="D138" i="37"/>
  <c r="E139" i="37"/>
  <c r="E140" i="37" l="1"/>
  <c r="C140" i="37" s="1"/>
  <c r="D139" i="37"/>
  <c r="C139" i="37"/>
  <c r="E141" i="37" l="1"/>
  <c r="C141" i="37" s="1"/>
  <c r="D140" i="37"/>
  <c r="E142" i="37" l="1"/>
  <c r="C142" i="37" s="1"/>
  <c r="D141" i="37"/>
  <c r="E143" i="37" l="1"/>
  <c r="C143" i="37" s="1"/>
  <c r="D142" i="37"/>
  <c r="D143" i="37" l="1"/>
  <c r="E144" i="37"/>
  <c r="C144" i="37" s="1"/>
  <c r="E145" i="37" l="1"/>
  <c r="C145" i="37" s="1"/>
  <c r="D144" i="37"/>
  <c r="E146" i="37" l="1"/>
  <c r="C146" i="37" s="1"/>
  <c r="D145" i="37"/>
  <c r="E147" i="37" l="1"/>
  <c r="C147" i="37" s="1"/>
  <c r="D146" i="37"/>
  <c r="E148" i="37" l="1"/>
  <c r="C148" i="37" s="1"/>
  <c r="D147" i="37"/>
  <c r="E149" i="37" l="1"/>
  <c r="C149" i="37" s="1"/>
  <c r="D148" i="37"/>
  <c r="E150" i="37" l="1"/>
  <c r="C150" i="37" s="1"/>
  <c r="D149" i="37"/>
  <c r="E151" i="37" l="1"/>
  <c r="C151" i="37" s="1"/>
  <c r="D150" i="37"/>
  <c r="D151" i="37" l="1"/>
  <c r="E152" i="37"/>
  <c r="C152" i="37" l="1"/>
  <c r="E153" i="37"/>
  <c r="D152" i="37"/>
  <c r="C153" i="37" l="1"/>
  <c r="E154" i="37"/>
  <c r="D153" i="37"/>
  <c r="C154" i="37" l="1"/>
  <c r="E155" i="37"/>
  <c r="C155" i="37" s="1"/>
  <c r="D154" i="37"/>
  <c r="D155" i="37" l="1"/>
  <c r="E156" i="37"/>
  <c r="C156" i="37" l="1"/>
  <c r="E157" i="37"/>
  <c r="D156" i="37"/>
  <c r="C157" i="37" l="1"/>
  <c r="D157" i="37"/>
  <c r="E158" i="37"/>
  <c r="C158" i="37" s="1"/>
  <c r="E159" i="37" l="1"/>
  <c r="D158" i="37"/>
  <c r="C159" i="37" l="1"/>
  <c r="E160" i="37"/>
  <c r="D159" i="37"/>
  <c r="C160" i="37" l="1"/>
  <c r="D160" i="37"/>
  <c r="E161" i="37"/>
  <c r="C161" i="37" l="1"/>
  <c r="D161" i="37"/>
  <c r="E162" i="37"/>
  <c r="E163" i="37" l="1"/>
  <c r="D162" i="37"/>
  <c r="C162" i="37"/>
  <c r="C163" i="37" l="1"/>
  <c r="D163" i="37"/>
  <c r="E164" i="37"/>
  <c r="C164" i="37" s="1"/>
  <c r="D164" i="37" l="1"/>
  <c r="E165" i="37"/>
  <c r="C165" i="37" s="1"/>
  <c r="E166" i="37" l="1"/>
  <c r="C166" i="37" s="1"/>
  <c r="D165" i="37"/>
  <c r="D166" i="37" l="1"/>
  <c r="E167" i="37"/>
  <c r="C167" i="37" s="1"/>
  <c r="E168" i="37" l="1"/>
  <c r="C168" i="37" s="1"/>
  <c r="D167" i="37"/>
  <c r="D168" i="37" l="1"/>
  <c r="E169" i="37"/>
  <c r="C169" i="37" l="1"/>
  <c r="D169" i="37"/>
  <c r="E170" i="37"/>
  <c r="C170" i="37" s="1"/>
  <c r="E171" i="37" l="1"/>
  <c r="D170" i="37"/>
  <c r="C171" i="37" l="1"/>
  <c r="D171" i="37"/>
  <c r="E172" i="37"/>
  <c r="C172" i="37" l="1"/>
  <c r="D172" i="37"/>
  <c r="E173" i="37"/>
  <c r="C173" i="37" l="1"/>
  <c r="E174" i="37"/>
  <c r="D173" i="37"/>
  <c r="C174" i="37" l="1"/>
  <c r="E175" i="37"/>
  <c r="D174" i="37"/>
  <c r="C175" i="37" l="1"/>
  <c r="D175" i="37"/>
  <c r="E176" i="37"/>
  <c r="C176" i="37" l="1"/>
  <c r="D176" i="37"/>
  <c r="E177" i="37"/>
  <c r="C177" i="37" l="1"/>
  <c r="D177" i="37"/>
  <c r="E178" i="37"/>
  <c r="C178" i="37" s="1"/>
  <c r="E179" i="37" l="1"/>
  <c r="C179" i="37" s="1"/>
  <c r="D178" i="37"/>
  <c r="D179" i="37" l="1"/>
  <c r="E180" i="37"/>
  <c r="C180" i="37" l="1"/>
  <c r="D180" i="37"/>
  <c r="E181" i="37"/>
  <c r="C181" i="37" l="1"/>
  <c r="E182" i="37"/>
  <c r="D181" i="37"/>
  <c r="C182" i="37" l="1"/>
  <c r="D182" i="37"/>
  <c r="E183" i="37"/>
  <c r="C183" i="37" l="1"/>
  <c r="D183" i="37"/>
  <c r="E184" i="37"/>
  <c r="C184" i="37" l="1"/>
  <c r="E185" i="37"/>
  <c r="D184" i="37"/>
  <c r="C185" i="37" l="1"/>
  <c r="E186" i="37"/>
  <c r="C186" i="37" s="1"/>
  <c r="D185" i="37"/>
  <c r="E187" i="37" l="1"/>
  <c r="D186" i="37"/>
  <c r="C187" i="37" l="1"/>
  <c r="E188" i="37"/>
  <c r="D187" i="37"/>
  <c r="C188" i="37" l="1"/>
  <c r="D188" i="37"/>
  <c r="E189" i="37"/>
  <c r="C189" i="37" l="1"/>
  <c r="E190" i="37"/>
  <c r="D189" i="37"/>
  <c r="C190" i="37" l="1"/>
  <c r="D190" i="37"/>
  <c r="E191" i="37"/>
  <c r="C191" i="37" l="1"/>
  <c r="D191" i="37"/>
  <c r="E192" i="37"/>
  <c r="C192" i="37" l="1"/>
  <c r="E193" i="37"/>
  <c r="D192" i="37"/>
  <c r="C193" i="37" l="1"/>
  <c r="D193" i="37"/>
  <c r="E194" i="37"/>
  <c r="C194" i="37" l="1"/>
  <c r="D194" i="37"/>
  <c r="E195" i="37"/>
  <c r="C195" i="37" s="1"/>
  <c r="E196" i="37" l="1"/>
  <c r="C196" i="37" s="1"/>
  <c r="D195" i="37"/>
  <c r="E197" i="37" l="1"/>
  <c r="C197" i="37" s="1"/>
  <c r="D196" i="37"/>
  <c r="E198" i="37" l="1"/>
  <c r="D197" i="37"/>
  <c r="C198" i="37" l="1"/>
  <c r="D198" i="37"/>
  <c r="E199" i="37"/>
  <c r="C199" i="37" s="1"/>
  <c r="D199" i="37" l="1"/>
  <c r="E200" i="37"/>
  <c r="D200" i="37" l="1"/>
  <c r="E201" i="37"/>
  <c r="C200" i="37"/>
  <c r="C201" i="37" l="1"/>
  <c r="E202" i="37"/>
  <c r="D201" i="37"/>
  <c r="C202" i="37" l="1"/>
  <c r="D202" i="37"/>
  <c r="E203" i="37"/>
  <c r="C203" i="37" s="1"/>
  <c r="D203" i="37" l="1"/>
  <c r="E204" i="37"/>
  <c r="C204" i="37" l="1"/>
  <c r="D204" i="37"/>
  <c r="E205" i="37"/>
  <c r="C205" i="37" s="1"/>
  <c r="D205" i="37" l="1"/>
  <c r="E206" i="37"/>
  <c r="C206" i="37" l="1"/>
  <c r="D206" i="37"/>
  <c r="E207" i="37"/>
  <c r="C207" i="37" s="1"/>
  <c r="E208" i="37" l="1"/>
  <c r="C208" i="37" s="1"/>
  <c r="D207" i="37"/>
  <c r="D208" i="37" l="1"/>
  <c r="E209" i="37"/>
  <c r="C209" i="37" s="1"/>
  <c r="E210" i="37" l="1"/>
  <c r="D209" i="37"/>
  <c r="C210" i="37" l="1"/>
  <c r="D210" i="37"/>
  <c r="E211" i="37"/>
  <c r="C211" i="37" l="1"/>
  <c r="E212" i="37"/>
  <c r="C212" i="37" s="1"/>
  <c r="D211" i="37"/>
  <c r="D212" i="37" l="1"/>
  <c r="E213" i="37"/>
  <c r="C213" i="37" l="1"/>
  <c r="D213" i="37"/>
  <c r="E214" i="37"/>
  <c r="C214" i="37" l="1"/>
  <c r="D214" i="37"/>
  <c r="E215" i="37"/>
  <c r="C215" i="37" s="1"/>
  <c r="D215" i="37" l="1"/>
  <c r="E216" i="37"/>
  <c r="C216" i="37" l="1"/>
  <c r="D216" i="37"/>
  <c r="E217" i="37"/>
  <c r="C217" i="37" s="1"/>
  <c r="E218" i="37" l="1"/>
  <c r="C218" i="37" s="1"/>
  <c r="D217" i="37"/>
  <c r="D218" i="37" l="1"/>
  <c r="E219" i="37"/>
  <c r="C219" i="37" s="1"/>
  <c r="E220" i="37" l="1"/>
  <c r="C220" i="37" s="1"/>
  <c r="D219" i="37"/>
  <c r="E221" i="37" l="1"/>
  <c r="D220" i="37"/>
  <c r="C221" i="37" l="1"/>
  <c r="E222" i="37"/>
  <c r="C222" i="37" s="1"/>
  <c r="D221" i="37"/>
  <c r="E223" i="37" l="1"/>
  <c r="C223" i="37" s="1"/>
  <c r="D222" i="37"/>
  <c r="E224" i="37" l="1"/>
  <c r="C224" i="37" s="1"/>
  <c r="D223" i="37"/>
  <c r="E225" i="37" l="1"/>
  <c r="D224" i="37"/>
  <c r="C225" i="37" l="1"/>
  <c r="E226" i="37"/>
  <c r="D225" i="37"/>
  <c r="C226" i="37" l="1"/>
  <c r="D226" i="37"/>
  <c r="E227" i="37"/>
  <c r="C227" i="37" s="1"/>
  <c r="E228" i="37" l="1"/>
  <c r="D227" i="37"/>
  <c r="C228" i="37" l="1"/>
  <c r="E229" i="37"/>
  <c r="C229" i="37" s="1"/>
  <c r="D228" i="37"/>
  <c r="E230" i="37" l="1"/>
  <c r="D229" i="37"/>
  <c r="C230" i="37" l="1"/>
  <c r="E231" i="37"/>
  <c r="C231" i="37" s="1"/>
  <c r="D230" i="37"/>
  <c r="E232" i="37" l="1"/>
  <c r="C232" i="37" s="1"/>
  <c r="D231" i="37"/>
  <c r="D232" i="37" l="1"/>
  <c r="E233" i="37"/>
  <c r="C233" i="37" s="1"/>
  <c r="E234" i="37" l="1"/>
  <c r="C234" i="37" s="1"/>
  <c r="D233" i="37"/>
  <c r="E235" i="37" l="1"/>
  <c r="C235" i="37" s="1"/>
  <c r="D234" i="37"/>
  <c r="D235" i="37" l="1"/>
  <c r="E236" i="37"/>
  <c r="C236" i="37" s="1"/>
  <c r="D236" i="37" l="1"/>
  <c r="E237" i="37"/>
  <c r="C237" i="37" l="1"/>
  <c r="E238" i="37"/>
  <c r="C238" i="37" s="1"/>
  <c r="D237" i="37"/>
  <c r="E239" i="37" l="1"/>
  <c r="C239" i="37" s="1"/>
  <c r="D238" i="37"/>
  <c r="D239" i="37" l="1"/>
  <c r="E240" i="37"/>
  <c r="C240" i="37" l="1"/>
  <c r="D240" i="37"/>
  <c r="E241" i="37"/>
  <c r="C241" i="37" l="1"/>
  <c r="E242" i="37"/>
  <c r="C242" i="37" s="1"/>
  <c r="D241" i="37"/>
  <c r="E243" i="37" l="1"/>
  <c r="C243" i="37" s="1"/>
  <c r="D242" i="37"/>
  <c r="E244" i="37" l="1"/>
  <c r="C244" i="37" s="1"/>
  <c r="D243" i="37"/>
  <c r="D244" i="37" l="1"/>
  <c r="E245" i="37"/>
  <c r="C245" i="37" s="1"/>
  <c r="E246" i="37" l="1"/>
  <c r="D245" i="37"/>
  <c r="C246" i="37" l="1"/>
  <c r="D246" i="37"/>
  <c r="E247" i="37"/>
  <c r="C247" i="37" l="1"/>
  <c r="E248" i="37"/>
  <c r="C248" i="37" s="1"/>
  <c r="D247" i="37"/>
  <c r="E249" i="37" l="1"/>
  <c r="C249" i="37" s="1"/>
  <c r="D248" i="37"/>
  <c r="D249" i="37" l="1"/>
  <c r="E250" i="37"/>
  <c r="C250" i="37" l="1"/>
  <c r="E251" i="37"/>
  <c r="C251" i="37" s="1"/>
  <c r="D250" i="37"/>
  <c r="D251" i="37" l="1"/>
  <c r="E252" i="37"/>
  <c r="C252" i="37" s="1"/>
  <c r="E253" i="37" l="1"/>
  <c r="C253" i="37" s="1"/>
  <c r="D252" i="37"/>
  <c r="E254" i="37" l="1"/>
  <c r="C254" i="37" s="1"/>
  <c r="D253" i="37"/>
  <c r="E255" i="37" l="1"/>
  <c r="C255" i="37" s="1"/>
  <c r="D254" i="37"/>
  <c r="E256" i="37" l="1"/>
  <c r="C256" i="37" s="1"/>
  <c r="D255" i="37"/>
  <c r="E257" i="37" l="1"/>
  <c r="D256" i="37"/>
  <c r="C257" i="37" l="1"/>
  <c r="E258" i="37"/>
  <c r="C258" i="37" s="1"/>
  <c r="D257" i="37"/>
  <c r="D258" i="37" l="1"/>
  <c r="E259" i="37"/>
  <c r="C259" i="37" s="1"/>
  <c r="E260" i="37" l="1"/>
  <c r="D259" i="37"/>
  <c r="C260" i="37" l="1"/>
  <c r="D260" i="37"/>
  <c r="E261" i="37"/>
  <c r="C261" i="37" s="1"/>
  <c r="D261" i="37" l="1"/>
  <c r="E262" i="37"/>
  <c r="C262" i="37" l="1"/>
  <c r="E263" i="37"/>
  <c r="C263" i="37" s="1"/>
  <c r="D262" i="37"/>
  <c r="D263" i="37" l="1"/>
  <c r="E264" i="37"/>
  <c r="C264" i="37" s="1"/>
  <c r="E265" i="37" l="1"/>
  <c r="D264" i="37"/>
  <c r="C265" i="37" l="1"/>
  <c r="D265" i="37"/>
  <c r="E266" i="37"/>
  <c r="C266" i="37" l="1"/>
  <c r="D266" i="37"/>
  <c r="E267" i="37"/>
  <c r="D267" i="37" l="1"/>
  <c r="E268" i="37"/>
  <c r="C268" i="37" s="1"/>
  <c r="C267" i="37"/>
  <c r="D268" i="37" l="1"/>
  <c r="E269" i="37"/>
  <c r="C269" i="37" l="1"/>
  <c r="D269" i="37"/>
  <c r="E270" i="37"/>
  <c r="C270" i="37" s="1"/>
  <c r="D270" i="37" l="1"/>
  <c r="E271" i="37"/>
  <c r="C271" i="37" l="1"/>
  <c r="E272" i="37"/>
  <c r="D271" i="37"/>
  <c r="C272" i="37" l="1"/>
  <c r="D272" i="37"/>
  <c r="E273" i="37"/>
  <c r="C273" i="37" s="1"/>
  <c r="D273" i="37" l="1"/>
  <c r="E274" i="37"/>
  <c r="C274" i="37" l="1"/>
  <c r="D274" i="37"/>
  <c r="E275" i="37"/>
  <c r="C275" i="37" l="1"/>
  <c r="E276" i="37"/>
  <c r="D275" i="37"/>
  <c r="C276" i="37" l="1"/>
  <c r="E277" i="37"/>
  <c r="D276" i="37"/>
  <c r="C277" i="37" l="1"/>
  <c r="E278" i="37"/>
  <c r="C278" i="37" s="1"/>
  <c r="D277" i="37"/>
  <c r="D278" i="37" l="1"/>
  <c r="E279" i="37"/>
  <c r="C279" i="37" l="1"/>
  <c r="E280" i="37"/>
  <c r="D279" i="37"/>
  <c r="C280" i="37" l="1"/>
  <c r="D280" i="37"/>
  <c r="E281" i="37"/>
  <c r="C281" i="37" s="1"/>
  <c r="D281" i="37" l="1"/>
  <c r="E282" i="37"/>
  <c r="C282" i="37" l="1"/>
  <c r="D282" i="37"/>
  <c r="E283" i="37"/>
  <c r="C283" i="37" l="1"/>
  <c r="D283" i="37"/>
  <c r="E284" i="37"/>
  <c r="C284" i="37" l="1"/>
  <c r="D284" i="37"/>
  <c r="E285" i="37"/>
  <c r="E286" i="37" l="1"/>
  <c r="C286" i="37" s="1"/>
  <c r="D285" i="37"/>
  <c r="C285" i="37"/>
  <c r="D286" i="37" l="1"/>
  <c r="E287" i="37"/>
  <c r="C287" i="37" s="1"/>
  <c r="E288" i="37" l="1"/>
  <c r="D287" i="37"/>
  <c r="C288" i="37" l="1"/>
  <c r="D288" i="37"/>
  <c r="E289" i="37"/>
  <c r="C289" i="37" s="1"/>
  <c r="E290" i="37" l="1"/>
  <c r="D289" i="37"/>
  <c r="C290" i="37" l="1"/>
  <c r="E291" i="37"/>
  <c r="C291" i="37" s="1"/>
  <c r="D290" i="37"/>
  <c r="E292" i="37" l="1"/>
  <c r="D291" i="37"/>
  <c r="C292" i="37" l="1"/>
  <c r="E293" i="37"/>
  <c r="D292" i="37"/>
  <c r="C293" i="37" l="1"/>
  <c r="E294" i="37"/>
  <c r="C294" i="37" s="1"/>
  <c r="D293" i="37"/>
  <c r="D294" i="37" l="1"/>
  <c r="E295" i="37"/>
  <c r="C295" i="37" l="1"/>
  <c r="E296" i="37"/>
  <c r="C296" i="37" s="1"/>
  <c r="D295" i="37"/>
  <c r="E297" i="37" l="1"/>
  <c r="C297" i="37" s="1"/>
  <c r="D296" i="37"/>
  <c r="E298" i="37" l="1"/>
  <c r="D297" i="37"/>
  <c r="C298" i="37" l="1"/>
  <c r="D298" i="37"/>
  <c r="E299" i="37"/>
  <c r="C299" i="37" s="1"/>
  <c r="E300" i="37" l="1"/>
  <c r="C300" i="37" s="1"/>
  <c r="D299" i="37"/>
  <c r="D300" i="37" l="1"/>
  <c r="E301" i="37"/>
  <c r="C301" i="37" s="1"/>
  <c r="D301" i="37" l="1"/>
  <c r="E302" i="37"/>
  <c r="C302" i="37" l="1"/>
  <c r="E303" i="37"/>
  <c r="D302" i="37"/>
  <c r="C303" i="37" l="1"/>
  <c r="D303" i="37"/>
  <c r="E304" i="37"/>
  <c r="C304" i="37" l="1"/>
  <c r="E305" i="37"/>
  <c r="D304" i="37"/>
  <c r="C305" i="37" l="1"/>
  <c r="E306" i="37"/>
  <c r="C306" i="37" s="1"/>
  <c r="D305" i="37"/>
  <c r="D306" i="37" l="1"/>
  <c r="E307" i="37"/>
  <c r="C307" i="37" l="1"/>
  <c r="E308" i="37"/>
  <c r="C308" i="37" s="1"/>
  <c r="D307" i="37"/>
  <c r="D308" i="37" l="1"/>
  <c r="E309" i="37"/>
  <c r="C309" i="37" s="1"/>
  <c r="D309" i="37" l="1"/>
  <c r="E310" i="37"/>
  <c r="C310" i="37" s="1"/>
  <c r="D310" i="37" l="1"/>
  <c r="E311" i="37"/>
  <c r="C311" i="37" s="1"/>
  <c r="D311" i="37" l="1"/>
  <c r="E312" i="37"/>
  <c r="C312" i="37" s="1"/>
  <c r="D312" i="37" l="1"/>
  <c r="E313" i="37"/>
  <c r="C313" i="37" s="1"/>
  <c r="E314" i="37" l="1"/>
  <c r="C314" i="37" s="1"/>
  <c r="D313" i="37"/>
  <c r="E315" i="37" l="1"/>
  <c r="C315" i="37" s="1"/>
  <c r="D314" i="37"/>
  <c r="D315" i="37" l="1"/>
  <c r="E316" i="37"/>
  <c r="C316" i="37" s="1"/>
  <c r="E317" i="37" l="1"/>
  <c r="C317" i="37" s="1"/>
  <c r="D316" i="37"/>
  <c r="E318" i="37" l="1"/>
  <c r="C318" i="37" s="1"/>
  <c r="D317" i="37"/>
  <c r="D318" i="37" l="1"/>
  <c r="E319" i="37"/>
  <c r="C319" i="37" s="1"/>
  <c r="D319" i="37" l="1"/>
  <c r="E320" i="37"/>
  <c r="C320" i="37" s="1"/>
  <c r="D320" i="37" l="1"/>
  <c r="E321" i="37"/>
  <c r="C321" i="37" s="1"/>
  <c r="D321" i="37" l="1"/>
  <c r="E322" i="37"/>
  <c r="C322" i="37" s="1"/>
  <c r="D322" i="37" l="1"/>
  <c r="E323" i="37"/>
  <c r="C323" i="37" s="1"/>
  <c r="D323" i="37" l="1"/>
  <c r="E324" i="37"/>
  <c r="C324" i="37" s="1"/>
  <c r="D324" i="37" l="1"/>
  <c r="E325" i="37"/>
  <c r="C325" i="37" s="1"/>
  <c r="E326" i="37" l="1"/>
  <c r="D325" i="37"/>
  <c r="C326" i="37" l="1"/>
  <c r="E327" i="37"/>
  <c r="D326" i="37"/>
  <c r="C327" i="37" l="1"/>
  <c r="E328" i="37"/>
  <c r="C328" i="37" s="1"/>
  <c r="D327" i="37"/>
  <c r="E329" i="37" l="1"/>
  <c r="C329" i="37" s="1"/>
  <c r="D328" i="37"/>
  <c r="D329" i="37" l="1"/>
  <c r="E330" i="37"/>
  <c r="C330" i="37" l="1"/>
  <c r="D330" i="37"/>
  <c r="E331" i="37"/>
  <c r="C331" i="37" l="1"/>
  <c r="D331" i="37"/>
  <c r="E332" i="37"/>
  <c r="C332" i="37" s="1"/>
  <c r="E333" i="37" l="1"/>
  <c r="D332" i="37"/>
  <c r="C333" i="37" l="1"/>
  <c r="D333" i="37"/>
  <c r="E334" i="37"/>
  <c r="C334" i="37" s="1"/>
  <c r="D334" i="37" l="1"/>
  <c r="E335" i="37"/>
  <c r="C335" i="37" s="1"/>
  <c r="D335" i="37" l="1"/>
  <c r="E336" i="37"/>
  <c r="C336" i="37" s="1"/>
  <c r="D336" i="37" l="1"/>
  <c r="E337" i="37"/>
  <c r="C337" i="37" l="1"/>
  <c r="E338" i="37"/>
  <c r="C338" i="37" s="1"/>
  <c r="D337" i="37"/>
  <c r="E339" i="37" l="1"/>
  <c r="C339" i="37" s="1"/>
  <c r="D338" i="37"/>
  <c r="D339" i="37" l="1"/>
  <c r="E340" i="37"/>
  <c r="C340" i="37" s="1"/>
  <c r="D340" i="37" l="1"/>
  <c r="E341" i="37"/>
  <c r="C341" i="37" s="1"/>
  <c r="D341" i="37" l="1"/>
  <c r="E342" i="37"/>
  <c r="C342" i="37" s="1"/>
  <c r="E343" i="37" l="1"/>
  <c r="C343" i="37" s="1"/>
  <c r="D342" i="37"/>
  <c r="D343" i="37" l="1"/>
  <c r="E344" i="37"/>
  <c r="C344" i="37" s="1"/>
  <c r="D344" i="37" l="1"/>
  <c r="E345" i="37"/>
  <c r="C345" i="37" s="1"/>
  <c r="D345" i="37" l="1"/>
  <c r="E346" i="37"/>
  <c r="C346" i="37" s="1"/>
  <c r="D346" i="37" l="1"/>
  <c r="E347" i="37"/>
  <c r="C347" i="37" l="1"/>
  <c r="E348" i="37"/>
  <c r="C348" i="37" s="1"/>
  <c r="D347" i="37"/>
  <c r="D348" i="37" l="1"/>
  <c r="E349" i="37"/>
  <c r="C349" i="37" l="1"/>
  <c r="E350" i="37"/>
  <c r="D349" i="37"/>
  <c r="C350" i="37" l="1"/>
  <c r="E351" i="37"/>
  <c r="C351" i="37" s="1"/>
  <c r="D350" i="37"/>
  <c r="D351" i="37" l="1"/>
  <c r="E352" i="37"/>
  <c r="C352" i="37" s="1"/>
  <c r="E353" i="37" l="1"/>
  <c r="D352" i="37"/>
  <c r="C353" i="37" l="1"/>
  <c r="D353" i="37"/>
  <c r="E354" i="37"/>
  <c r="C354" i="37" s="1"/>
  <c r="D354" i="37" l="1"/>
  <c r="E355" i="37"/>
  <c r="C355" i="37" s="1"/>
  <c r="D355" i="37" l="1"/>
  <c r="E356" i="37"/>
  <c r="C356" i="37" l="1"/>
  <c r="D356" i="37"/>
  <c r="E357" i="37"/>
  <c r="C357" i="37" l="1"/>
  <c r="E358" i="37"/>
  <c r="C358" i="37" s="1"/>
  <c r="D357" i="37"/>
  <c r="D358" i="37" l="1"/>
  <c r="E359" i="37"/>
  <c r="C359" i="37" l="1"/>
  <c r="E360" i="37"/>
  <c r="C360" i="37" s="1"/>
  <c r="D359" i="37"/>
  <c r="D360" i="37" l="1"/>
  <c r="E361" i="37"/>
  <c r="C361" i="37" l="1"/>
  <c r="D361" i="37"/>
  <c r="E362" i="37"/>
  <c r="C362" i="37" s="1"/>
  <c r="D362" i="37" l="1"/>
  <c r="E363" i="37"/>
  <c r="C363" i="37" s="1"/>
  <c r="E364" i="37" l="1"/>
  <c r="D364" i="37" s="1"/>
  <c r="D363" i="37"/>
  <c r="C364" i="3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<sst xmlns="http://schemas.openxmlformats.org/spreadsheetml/2006/main" count="1294" uniqueCount="542">
  <si>
    <t>Lun</t>
  </si>
  <si>
    <t>Mar</t>
  </si>
  <si>
    <t>Jue</t>
  </si>
  <si>
    <t>Vie</t>
  </si>
  <si>
    <t>EneFebMarAbrMayJunJulAgoSepOctNovDic</t>
  </si>
  <si>
    <t>Sep</t>
  </si>
  <si>
    <t>Oct</t>
  </si>
  <si>
    <t>Nov</t>
  </si>
  <si>
    <t>Dic</t>
  </si>
  <si>
    <t>Ene</t>
  </si>
  <si>
    <t>Feb</t>
  </si>
  <si>
    <t>Abr</t>
  </si>
  <si>
    <t>May</t>
  </si>
  <si>
    <t>Jun</t>
  </si>
  <si>
    <t>Apellidos</t>
  </si>
  <si>
    <t>Nombre</t>
  </si>
  <si>
    <t>Navidad</t>
  </si>
  <si>
    <t>Horas</t>
  </si>
  <si>
    <t>M1</t>
  </si>
  <si>
    <t>M2</t>
  </si>
  <si>
    <t>M3</t>
  </si>
  <si>
    <t>Baja laboral</t>
  </si>
  <si>
    <t>Evaluación continua</t>
  </si>
  <si>
    <t>Fecha</t>
  </si>
  <si>
    <t>Actividad</t>
  </si>
  <si>
    <t>Resultados de aprendizaje</t>
  </si>
  <si>
    <t>X</t>
  </si>
  <si>
    <t>Mié</t>
  </si>
  <si>
    <t>Sáb</t>
  </si>
  <si>
    <t>Dom</t>
  </si>
  <si>
    <t>Cód.UD</t>
  </si>
  <si>
    <t>¿Bisiesto?</t>
  </si>
  <si>
    <t>Cód.AN</t>
  </si>
  <si>
    <t>% RA</t>
  </si>
  <si>
    <t>TodosSantos</t>
  </si>
  <si>
    <t>Constitución</t>
  </si>
  <si>
    <t>Con</t>
  </si>
  <si>
    <t>Act</t>
  </si>
  <si>
    <t>Ciclo</t>
  </si>
  <si>
    <t>Módulo</t>
  </si>
  <si>
    <t>Estado</t>
  </si>
  <si>
    <t>Alumnado</t>
  </si>
  <si>
    <t>Variables internas</t>
  </si>
  <si>
    <t>1ª Ev.</t>
  </si>
  <si>
    <t>Cód. UD</t>
  </si>
  <si>
    <t>Cód. RA</t>
  </si>
  <si>
    <t>Pre</t>
  </si>
  <si>
    <t>Lab</t>
  </si>
  <si>
    <t>Cód.AC</t>
  </si>
  <si>
    <t>Presentación del módulo / de la Unidad</t>
  </si>
  <si>
    <t>Actividades</t>
  </si>
  <si>
    <t>Laboratorio</t>
  </si>
  <si>
    <t>Controles</t>
  </si>
  <si>
    <t>Faltas de asistencia</t>
  </si>
  <si>
    <t>Día</t>
  </si>
  <si>
    <t>Faltas</t>
  </si>
  <si>
    <t>Evaluaciones</t>
  </si>
  <si>
    <t>Fecha UD</t>
  </si>
  <si>
    <t>Centro</t>
  </si>
  <si>
    <t>UD13</t>
  </si>
  <si>
    <t>UD14</t>
  </si>
  <si>
    <t>UD15</t>
  </si>
  <si>
    <t>UD16</t>
  </si>
  <si>
    <t>UD17</t>
  </si>
  <si>
    <t>UD18</t>
  </si>
  <si>
    <t>UD19</t>
  </si>
  <si>
    <t>UD20</t>
  </si>
  <si>
    <t>D1</t>
  </si>
  <si>
    <t>D2</t>
  </si>
  <si>
    <t>D3</t>
  </si>
  <si>
    <t>D4</t>
  </si>
  <si>
    <t>Cód.MC</t>
  </si>
  <si>
    <t>Cód.MD</t>
  </si>
  <si>
    <t>Pr.</t>
  </si>
  <si>
    <t>Relevantes</t>
  </si>
  <si>
    <t>Festivos</t>
  </si>
  <si>
    <t>email</t>
  </si>
  <si>
    <t>Móvil</t>
  </si>
  <si>
    <t>Artículo</t>
  </si>
  <si>
    <t>Observación</t>
  </si>
  <si>
    <t>Práctica</t>
  </si>
  <si>
    <t>Proyecto</t>
  </si>
  <si>
    <t>Prueba escrita</t>
  </si>
  <si>
    <t>Prueba mixta</t>
  </si>
  <si>
    <t>Prueba prática</t>
  </si>
  <si>
    <t>Prueba test</t>
  </si>
  <si>
    <t>Registro asistencia</t>
  </si>
  <si>
    <t>Trabajo</t>
  </si>
  <si>
    <t>Fechas</t>
  </si>
  <si>
    <t>Instrumentos de evaluación</t>
  </si>
  <si>
    <t>Art</t>
  </si>
  <si>
    <t>Obs</t>
  </si>
  <si>
    <t>Prá</t>
  </si>
  <si>
    <t>Pro</t>
  </si>
  <si>
    <t>Tra</t>
  </si>
  <si>
    <t>Ac+</t>
  </si>
  <si>
    <t>Pes</t>
  </si>
  <si>
    <t>PMx</t>
  </si>
  <si>
    <t>Ppr</t>
  </si>
  <si>
    <t>Pte</t>
  </si>
  <si>
    <t>Ras</t>
  </si>
  <si>
    <t>Calificaciones</t>
  </si>
  <si>
    <t>Ʃ Faltas:</t>
  </si>
  <si>
    <t>Parámetros</t>
  </si>
  <si>
    <t>Nº letras en "Extrae"</t>
  </si>
  <si>
    <t>Pilares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</si>
  <si>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</si>
  <si>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</si>
  <si>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</si>
  <si>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</si>
  <si>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</si>
  <si>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</si>
  <si>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</si>
  <si>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</si>
  <si>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</si>
  <si>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</si>
  <si>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</si>
  <si>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</si>
  <si>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UD-P</t>
  </si>
  <si>
    <t>Nº</t>
  </si>
  <si>
    <t>(Selecciona alumn@)</t>
  </si>
  <si>
    <t>Nacimiento</t>
  </si>
  <si>
    <t>Edad</t>
  </si>
  <si>
    <t>Impartidas</t>
  </si>
  <si>
    <t>Previstas</t>
  </si>
  <si>
    <t>Restantes</t>
  </si>
  <si>
    <t>Contenidos. Evaluación por UD.</t>
  </si>
  <si>
    <t>Nº Ex.</t>
  </si>
  <si>
    <t>Cód.Pr.</t>
  </si>
  <si>
    <t>Prácticas</t>
  </si>
  <si>
    <t>Ʃ H. Pr.</t>
  </si>
  <si>
    <t>H.Real</t>
  </si>
  <si>
    <t>No Ev.</t>
  </si>
  <si>
    <t>Ampliación</t>
  </si>
  <si>
    <t>Retraso</t>
  </si>
  <si>
    <t>Actitud</t>
  </si>
  <si>
    <t>Desviación</t>
  </si>
  <si>
    <t>Corrección</t>
  </si>
  <si>
    <t>Trabajo personal</t>
  </si>
  <si>
    <t>Contenido mínimo</t>
  </si>
  <si>
    <t>Asoc.
UD.</t>
  </si>
  <si>
    <t>LunMarMiéJueVieSábDom</t>
  </si>
  <si>
    <t>H./día Pr.</t>
  </si>
  <si>
    <t>H./día Im.</t>
  </si>
  <si>
    <t>Ʃ H. Im.</t>
  </si>
  <si>
    <t xml:space="preserve"> </t>
  </si>
  <si>
    <t>Clase
Nº.</t>
  </si>
  <si>
    <t>Perdida Ev. C</t>
  </si>
  <si>
    <t>Resumen</t>
  </si>
  <si>
    <t>Unidades didácticas</t>
  </si>
  <si>
    <t>1ª Rc.</t>
  </si>
  <si>
    <t>2ª Rc.</t>
  </si>
  <si>
    <t>Día,
Mes Año</t>
  </si>
  <si>
    <t>Fecha Pr</t>
  </si>
  <si>
    <t>Mes</t>
  </si>
  <si>
    <t>Unidades didácticas. Contenidos y Ejercicios</t>
  </si>
  <si>
    <t>Ejercicios. Cuaderno diario (Procedimiento)</t>
  </si>
  <si>
    <t>Ejercicios. Evaluación por UD.</t>
  </si>
  <si>
    <t>Prácticas. Informes técnicos (Procedimiento)</t>
  </si>
  <si>
    <t>Participación activa (Actitud)</t>
  </si>
  <si>
    <t>Contenidos (Conocimiento)</t>
  </si>
  <si>
    <t>Ʃ H. /mes</t>
  </si>
  <si>
    <t>% Impartido</t>
  </si>
  <si>
    <t>Aportaciones extraordinarias en clase</t>
  </si>
  <si>
    <t>3ª Rc.</t>
  </si>
  <si>
    <t>Extraordinaria</t>
  </si>
  <si>
    <t>Nº Ej.</t>
  </si>
  <si>
    <t>Nº Pr.</t>
  </si>
  <si>
    <t>Ev. /media</t>
  </si>
  <si>
    <t>Notas / Ev.</t>
  </si>
  <si>
    <t>Ord.</t>
  </si>
  <si>
    <t>ExtraOrd.</t>
  </si>
  <si>
    <t>Fin ExtraOrd.</t>
  </si>
  <si>
    <t>Situación</t>
  </si>
  <si>
    <t>CV5</t>
  </si>
  <si>
    <t>Baja</t>
  </si>
  <si>
    <t>Alta</t>
  </si>
  <si>
    <t>Encaje futuro</t>
  </si>
  <si>
    <t>Activos</t>
  </si>
  <si>
    <t>Listado alumnado</t>
  </si>
  <si>
    <t>1º Tri.</t>
  </si>
  <si>
    <t>2º Tri.</t>
  </si>
  <si>
    <t>3º Tri.</t>
  </si>
  <si>
    <t>2ª trimestre. 2ª Ev. en 1º curso / Ev. Final en 2º curso.</t>
  </si>
  <si>
    <t>3º trimestre. Ev. Final en 1º curso</t>
  </si>
  <si>
    <t>1º trimestre. 1ª Ev. en 1º y 2º curso.</t>
  </si>
  <si>
    <t>/media</t>
  </si>
  <si>
    <t>%</t>
  </si>
  <si>
    <t>Tri.</t>
  </si>
  <si>
    <t>FinalOrd.</t>
  </si>
  <si>
    <t>Anual</t>
  </si>
  <si>
    <t>Día, Mes Año</t>
  </si>
  <si>
    <t>Hora
clase</t>
  </si>
  <si>
    <t>Horas Pr.</t>
  </si>
  <si>
    <t>ΣH. MD</t>
  </si>
  <si>
    <t>ΣH. MC</t>
  </si>
  <si>
    <t>Contingencias</t>
  </si>
  <si>
    <t>NOTA FINAL DE RA</t>
  </si>
  <si>
    <t>9</t>
  </si>
  <si>
    <t>Ev. Final Ordinaria. Calculo ponderado</t>
  </si>
  <si>
    <t>1er Tri.</t>
  </si>
  <si>
    <t>Tri. / Rc.</t>
  </si>
  <si>
    <t>Máx.</t>
  </si>
  <si>
    <t>% Pond.</t>
  </si>
  <si>
    <t>ƩH. /mes</t>
  </si>
  <si>
    <t>ƩH. Total</t>
  </si>
  <si>
    <t>PA 01</t>
  </si>
  <si>
    <t>Fecha Tri.</t>
  </si>
  <si>
    <t>3er Tri.</t>
  </si>
  <si>
    <t>Trimestres</t>
  </si>
  <si>
    <t>3er.</t>
  </si>
  <si>
    <t>1er.</t>
  </si>
  <si>
    <t>2º.</t>
  </si>
  <si>
    <t>H./Ev.</t>
  </si>
  <si>
    <t>1ª Tri.</t>
  </si>
  <si>
    <t>1er Trimestre</t>
  </si>
  <si>
    <t>2º Trimestre</t>
  </si>
  <si>
    <t>3er Trimestre</t>
  </si>
  <si>
    <t>2ª Tri.</t>
  </si>
  <si>
    <t>Trimestres / Evaluaciones</t>
  </si>
  <si>
    <t>S</t>
  </si>
  <si>
    <t>Comentarios</t>
  </si>
  <si>
    <t>EyE FPB102 EE (Electricidad y Electrónica)</t>
  </si>
  <si>
    <t>EyE FPM202 IEA (Instalaciones Eléctricas y Automáticas)</t>
  </si>
  <si>
    <t>EyE FPS301 ME (Mantenimiento Electrónico)</t>
  </si>
  <si>
    <t>EyE FPS302 SEA (Sistemas Electrotécnicos y Automatizados)</t>
  </si>
  <si>
    <t>EyE FPS303 ARI (Automatización y Robótica Industrial)</t>
  </si>
  <si>
    <t>EyE FPS305 EMC (Electromedicina Clínica)</t>
  </si>
  <si>
    <t>IyC FPB104 IC (Informática y Comunicaciones)</t>
  </si>
  <si>
    <t>IyC FPB121 IO (Informática de Oficina)</t>
  </si>
  <si>
    <t>IyC FPM201 SMR (Sistemas Microinformáticos y Redes)</t>
  </si>
  <si>
    <t>IyC FPS301 ASIR (Admón Sistemas Informáticos en Red)</t>
  </si>
  <si>
    <t>IyC FPS302 DAM (Desarrollo Aplicaciones Multiplataforma)</t>
  </si>
  <si>
    <t>IyC FPS303 DAW (Desarrollo Aplicaciones Web)</t>
  </si>
  <si>
    <t>IyM FPS302 MCT (Mecatrónica)</t>
  </si>
  <si>
    <t>EyE FPM203 IT (Instalaciones de Teleco)</t>
  </si>
  <si>
    <t>EyE FPS304 STI (Sistemas de Teleco e Informáticos)</t>
  </si>
  <si>
    <t>Nº letra</t>
  </si>
  <si>
    <t>H. BOA</t>
  </si>
  <si>
    <t>H. /sem.</t>
  </si>
  <si>
    <t>Repite</t>
  </si>
  <si>
    <t>Matrícula</t>
  </si>
  <si>
    <t>IES ¿?</t>
  </si>
  <si>
    <t>Ciclo ¿?</t>
  </si>
  <si>
    <t>Módulo ¿?</t>
  </si>
  <si>
    <t>No mat.</t>
  </si>
  <si>
    <t>Ex.</t>
  </si>
  <si>
    <t>Ej.</t>
  </si>
  <si>
    <t>Tª.</t>
  </si>
  <si>
    <t>Contenidos y Ejercicios</t>
  </si>
  <si>
    <t>Ejercicios</t>
  </si>
  <si>
    <t>Actividad del aula</t>
  </si>
  <si>
    <t>Fecha inicio</t>
  </si>
  <si>
    <t>D.Cl.</t>
  </si>
  <si>
    <t>H.Cl.</t>
  </si>
  <si>
    <t>D0</t>
  </si>
  <si>
    <t>UD.</t>
  </si>
  <si>
    <t>RA04 --</t>
  </si>
  <si>
    <t>RA05 --</t>
  </si>
  <si>
    <t>RA06 --</t>
  </si>
  <si>
    <t>Nº. Ev.</t>
  </si>
  <si>
    <t>ap1 --</t>
  </si>
  <si>
    <t>ap2 --</t>
  </si>
  <si>
    <t>nom1 --</t>
  </si>
  <si>
    <t>nom2 --</t>
  </si>
  <si>
    <t>ap3 --</t>
  </si>
  <si>
    <t>nom3 --</t>
  </si>
  <si>
    <t>ap4 --</t>
  </si>
  <si>
    <t>nom4 --</t>
  </si>
  <si>
    <t>Info</t>
  </si>
  <si>
    <t>Seguimiento de asistencia. Firmas</t>
  </si>
  <si>
    <t>Seguimento Unidades didácticas. Contenidos (Conocimiento) y Ejercicios. Cuaderno diario (Procedimiento)</t>
  </si>
  <si>
    <t>Seguimiento de Prácticas. Informes técnicos (Procedimiento)</t>
  </si>
  <si>
    <t>Seguimiento Diario</t>
  </si>
  <si>
    <t>% Tri.</t>
  </si>
  <si>
    <t>Nº Tri.</t>
  </si>
  <si>
    <t>H.BOA</t>
  </si>
  <si>
    <t>Conocimiento</t>
  </si>
  <si>
    <t>Procedimiento</t>
  </si>
  <si>
    <t>Contenidos</t>
  </si>
  <si>
    <t>Participación</t>
  </si>
  <si>
    <t>% P.Ev.</t>
  </si>
  <si>
    <t>Fecha fin</t>
  </si>
  <si>
    <t>Ev.</t>
  </si>
  <si>
    <t>Rec.</t>
  </si>
  <si>
    <t>Criterios de calificación</t>
  </si>
  <si>
    <t>Clase Nº.</t>
  </si>
  <si>
    <t>N.Clase</t>
  </si>
  <si>
    <t>H.</t>
  </si>
  <si>
    <t>RAxx. Descripción</t>
  </si>
  <si>
    <t>UDxx. Descripción</t>
  </si>
  <si>
    <t>ANxx.Alumnado</t>
  </si>
  <si>
    <t>Si/No</t>
  </si>
  <si>
    <t>Días</t>
  </si>
  <si>
    <t>Fechas 3ª. Tri.</t>
  </si>
  <si>
    <t>Fechas 2ª. Tri.</t>
  </si>
  <si>
    <t>Fechas 1ª. Tri.</t>
  </si>
  <si>
    <t>Fechas Ord. y Ext.</t>
  </si>
  <si>
    <t>Inicio 1ª. Tri.</t>
  </si>
  <si>
    <t>Inicio 2ª Tri.</t>
  </si>
  <si>
    <t>Inicio 3ª Tri.</t>
  </si>
  <si>
    <t>Fin 1ª Tri.</t>
  </si>
  <si>
    <t>Fin 2ª Tri.</t>
  </si>
  <si>
    <t>Fin 3ª Tri.</t>
  </si>
  <si>
    <t>ap5----</t>
  </si>
  <si>
    <t>nom5-----</t>
  </si>
  <si>
    <t>H.Sem.</t>
  </si>
  <si>
    <t>Crit. Calif.</t>
  </si>
  <si>
    <t>% CdC</t>
  </si>
  <si>
    <t>Nº. Tri.</t>
  </si>
  <si>
    <t>Simulada</t>
  </si>
  <si>
    <t>Nombre y apellidos</t>
  </si>
  <si>
    <t>Cód.AN.</t>
  </si>
  <si>
    <t>% Avance</t>
  </si>
  <si>
    <t>%CdC</t>
  </si>
  <si>
    <t>De hoy</t>
  </si>
  <si>
    <t>Relación entre RA y Unidades didácticas</t>
  </si>
  <si>
    <t>Relación entre RA y Prácticas</t>
  </si>
  <si>
    <t>Evaluación</t>
  </si>
  <si>
    <t>% Final</t>
  </si>
  <si>
    <t>Nota Final</t>
  </si>
  <si>
    <t>Gráfico notas por Tri.</t>
  </si>
  <si>
    <t>Gráfico faltas por Tri.</t>
  </si>
  <si>
    <t>Faltas/media</t>
  </si>
  <si>
    <t>Media final</t>
  </si>
  <si>
    <t>AN04. nom4 -- ap4 --</t>
  </si>
  <si>
    <t>Evalución individual</t>
  </si>
  <si>
    <t>Evaluación global</t>
  </si>
  <si>
    <t>N.Práct.</t>
  </si>
  <si>
    <t>Cod. Pr.</t>
  </si>
  <si>
    <t>Cód.UD.</t>
  </si>
  <si>
    <t>Cód.RA</t>
  </si>
  <si>
    <t>Prv.</t>
  </si>
  <si>
    <t>Imp.</t>
  </si>
  <si>
    <t>Horas
Imp.</t>
  </si>
  <si>
    <t>Horas
Prv.</t>
  </si>
  <si>
    <t>IES Ándalan</t>
  </si>
  <si>
    <t>https://educa.aragon.es/calendario-escolar</t>
  </si>
  <si>
    <t>Inicio clases</t>
  </si>
  <si>
    <t>FPS-sti-1-0552 Sistemas informáticos y redes locales</t>
  </si>
  <si>
    <t>FPS-sti-2-0555 Redes telemáticas</t>
  </si>
  <si>
    <t>FPS-sti-2-0556 Sistemas de radiocomunicaciones</t>
  </si>
  <si>
    <t>FPS-sti-2-0557 Sistemas integrados y hogar digital</t>
  </si>
  <si>
    <t>FPS-sti-1-0713 Sistemas de telefonía fija y móvil</t>
  </si>
  <si>
    <t>FPS-sti-1-0551 Elementos de sistemas de teleco</t>
  </si>
  <si>
    <t>FPS-sti-1-0601 Gestión de proyectos de instalaciones de teleco</t>
  </si>
  <si>
    <t>FPS-sti-1-0525 Configuración de infra. de sistemas de teleco</t>
  </si>
  <si>
    <t>FPS-sti-1-0553 Técnicas y procesos en infra. de teleco</t>
  </si>
  <si>
    <t>Año incio</t>
  </si>
  <si>
    <t>Año fin</t>
  </si>
  <si>
    <t>Fechas 'De hoy' o 'Simulada'</t>
  </si>
  <si>
    <t>N.UD.</t>
  </si>
  <si>
    <t>H.P.Ev</t>
  </si>
  <si>
    <t>% Ev.</t>
  </si>
  <si>
    <t>RA03 --</t>
  </si>
  <si>
    <t>RA02 --</t>
  </si>
  <si>
    <t>RA01 --</t>
  </si>
  <si>
    <t>FPB-ee-1-3013 Instalaciones eléctricas y domóticas</t>
  </si>
  <si>
    <t>FPB-ee-1-3015 Equipos eléctricos y electrónicos</t>
  </si>
  <si>
    <t>FPB-ee-1-a124 Instalaciones de sistemas automáticos y fotovoltaicos</t>
  </si>
  <si>
    <t>FPB-ee-1-a123 Prevención de riesgos laborales</t>
  </si>
  <si>
    <t>FPB-ee-2-3014 Instalaciones de teleco</t>
  </si>
  <si>
    <t>FPB-ee-2-3016 Instalación y mto. de redes para transmisión de datos</t>
  </si>
  <si>
    <t>FPM-it-1-0237 Infra. comunes de teleco en viviendas y edificios</t>
  </si>
  <si>
    <t>FPM-it-2-0238 Instalaciones domóticas</t>
  </si>
  <si>
    <t>FPM-it-1-0359 Electrónica aplicada</t>
  </si>
  <si>
    <t>FPM-it-1-0360 Equipos microinformáticos</t>
  </si>
  <si>
    <t>FPM-it-1-0361 Infra. de redes de datos y sistemas de telefonía</t>
  </si>
  <si>
    <t>FPM-it-1-0362 Instalaciones eléctricas básicas</t>
  </si>
  <si>
    <t>FPM-it-2-0363 Instalaciones de megafonía y sonorización</t>
  </si>
  <si>
    <t>FPM-it-2-0364 Circuito cerrado de televisión y seguridad electrónica</t>
  </si>
  <si>
    <t>FPM-it-2-0365 Instalaciones de radiocomunicaciones</t>
  </si>
  <si>
    <t>ƩN.UD</t>
  </si>
  <si>
    <t>ƩN.Práct.</t>
  </si>
  <si>
    <t>ap6------</t>
  </si>
  <si>
    <t>nom6-----</t>
  </si>
  <si>
    <t>Seguimiento UD., ejercicios, prácticas y actitud</t>
  </si>
  <si>
    <t>Fecha Inicio
Prevista</t>
  </si>
  <si>
    <t>Seguimiento Ev. UD</t>
  </si>
  <si>
    <t>N</t>
  </si>
  <si>
    <t>Año</t>
  </si>
  <si>
    <t>(Selecciona nº de mes)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</si>
  <si>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</si>
  <si>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</si>
  <si>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</si>
  <si>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</si>
  <si>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</si>
  <si>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</si>
  <si>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</si>
  <si>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</si>
  <si>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</si>
  <si>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</si>
  <si>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</si>
  <si>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</si>
  <si>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Mes3</t>
  </si>
  <si>
    <t>Jul</t>
  </si>
  <si>
    <t>Ago</t>
  </si>
  <si>
    <t>Sab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</si>
  <si>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</si>
  <si>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</si>
  <si>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</si>
  <si>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</si>
  <si>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</si>
  <si>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</si>
  <si>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</si>
  <si>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</si>
  <si>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D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</si>
  <si>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</si>
  <si>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</si>
  <si>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</si>
  <si>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</si>
  <si>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</si>
  <si>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</si>
  <si>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</si>
  <si>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</si>
  <si>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</si>
  <si>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</si>
  <si>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</si>
  <si>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</si>
  <si>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</si>
  <si>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</si>
  <si>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</si>
  <si>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</si>
  <si>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</si>
  <si>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</si>
  <si>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</si>
  <si>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</si>
  <si>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</si>
  <si>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</si>
  <si>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</si>
  <si>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</si>
  <si>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</si>
  <si>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</si>
  <si>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</si>
  <si>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</si>
  <si>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</si>
  <si>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</si>
  <si>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</si>
  <si>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</si>
  <si>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</si>
  <si>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</si>
  <si>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</si>
  <si>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</si>
  <si>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</si>
  <si>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</si>
  <si>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</si>
  <si>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</si>
  <si>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</si>
  <si>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</si>
  <si>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</si>
  <si>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</si>
  <si>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</si>
  <si>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</si>
  <si>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</si>
  <si>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</si>
  <si>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</si>
  <si>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</si>
  <si>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</si>
  <si>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Concluye y responde a las preguntas</t>
  </si>
  <si>
    <t>Argumenta y defiende sus conclusiones</t>
  </si>
  <si>
    <t>Presenta soluciones e innovaciones</t>
  </si>
  <si>
    <t xml:space="preserve">Utiliza mapas u organigramas conceptuales y mentales </t>
  </si>
  <si>
    <t>Se percibe un dominio y experiencia en la materia</t>
  </si>
  <si>
    <t>Se ajusta a la extensión documental y tiempo previsto</t>
  </si>
  <si>
    <t>Sigue un índice ordenado y relaciona su contenido</t>
  </si>
  <si>
    <t>Se expresa en forma clara y entendible</t>
  </si>
  <si>
    <t>Logra y mantiene la atención del lector o publico</t>
  </si>
  <si>
    <t>Redacta y/o explica claramente aportando ejemplos</t>
  </si>
  <si>
    <t>Elenco de criterios</t>
  </si>
  <si>
    <t>nº</t>
  </si>
  <si>
    <r>
      <rPr>
        <b/>
        <sz val="14"/>
        <rFont val="Arial Narrow"/>
        <family val="2"/>
      </rPr>
      <t>Tr</t>
    </r>
    <r>
      <rPr>
        <sz val="14"/>
        <rFont val="Arial Narrow"/>
        <family val="2"/>
      </rPr>
      <t xml:space="preserve">as la exposición de cada </t>
    </r>
    <r>
      <rPr>
        <b/>
        <sz val="14"/>
        <rFont val="Arial Narrow"/>
        <family val="2"/>
      </rPr>
      <t>Ponente</t>
    </r>
    <r>
      <rPr>
        <sz val="14"/>
        <rFont val="Arial Narrow"/>
        <family val="2"/>
      </rPr>
      <t xml:space="preserve">, tomando como referencia los </t>
    </r>
    <r>
      <rPr>
        <b/>
        <sz val="14"/>
        <rFont val="Arial Narrow"/>
        <family val="2"/>
      </rPr>
      <t>Niveles de desempeño</t>
    </r>
    <r>
      <rPr>
        <sz val="14"/>
        <rFont val="Arial Narrow"/>
        <family val="2"/>
      </rPr>
      <t xml:space="preserve">, indica mediante una nota numérica de 1 a 4 tu Evaluación en la columna correspondiente a su nombre. 
También el </t>
    </r>
    <r>
      <rPr>
        <b/>
        <sz val="14"/>
        <rFont val="Arial Narrow"/>
        <family val="2"/>
      </rPr>
      <t>Ponente</t>
    </r>
    <r>
      <rPr>
        <sz val="14"/>
        <rFont val="Arial Narrow"/>
        <family val="2"/>
      </rPr>
      <t xml:space="preserve"> tras su exposición realiza su </t>
    </r>
    <r>
      <rPr>
        <b/>
        <sz val="14"/>
        <rFont val="Arial Narrow"/>
        <family val="2"/>
      </rPr>
      <t>Autoevaluación.</t>
    </r>
    <r>
      <rPr>
        <sz val="14"/>
        <rFont val="Arial Narrow"/>
        <family val="2"/>
      </rPr>
      <t xml:space="preserve">
Más información: es.wikipedia.org/wiki/Escala_Likert</t>
    </r>
  </si>
  <si>
    <t>Instrucciones</t>
  </si>
  <si>
    <r>
      <rPr>
        <b/>
        <sz val="14"/>
        <rFont val="Arial Narrow"/>
        <family val="2"/>
      </rPr>
      <t>Excelente</t>
    </r>
    <r>
      <rPr>
        <sz val="14"/>
        <rFont val="Arial Narrow"/>
        <family val="2"/>
      </rPr>
      <t>. Cumple, con detalle, todos los criterios</t>
    </r>
  </si>
  <si>
    <r>
      <rPr>
        <b/>
        <sz val="14"/>
        <rFont val="Arial Narrow"/>
        <family val="2"/>
      </rPr>
      <t>Bueno</t>
    </r>
    <r>
      <rPr>
        <sz val="14"/>
        <rFont val="Arial Narrow"/>
        <family val="2"/>
      </rPr>
      <t>. Cumple, sin profundizar, todos los criterios</t>
    </r>
  </si>
  <si>
    <r>
      <rPr>
        <b/>
        <sz val="14"/>
        <rFont val="Arial Narrow"/>
        <family val="2"/>
      </rPr>
      <t>Suficiente</t>
    </r>
    <r>
      <rPr>
        <sz val="14"/>
        <rFont val="Arial Narrow"/>
        <family val="2"/>
      </rPr>
      <t>. Cumple con algún criterio</t>
    </r>
  </si>
  <si>
    <r>
      <rPr>
        <b/>
        <sz val="14"/>
        <rFont val="Arial Narrow"/>
        <family val="2"/>
      </rPr>
      <t>Mejorable</t>
    </r>
    <r>
      <rPr>
        <sz val="14"/>
        <rFont val="Arial Narrow"/>
        <family val="2"/>
      </rPr>
      <t>. No cumple con ningun criterio</t>
    </r>
  </si>
  <si>
    <t>Datos del alumnado</t>
  </si>
  <si>
    <t>Niveles de desempeño</t>
  </si>
  <si>
    <t>Columnas ocultas -&gt;</t>
  </si>
  <si>
    <t>Evaluación mediante Escala Likert</t>
  </si>
  <si>
    <t>D. Trabajo</t>
  </si>
  <si>
    <t>Selector</t>
  </si>
  <si>
    <t>FCT+Pry. ExtraOrd</t>
  </si>
  <si>
    <t>Formación profesional</t>
  </si>
  <si>
    <t>Sem.</t>
  </si>
  <si>
    <t>Presentación</t>
  </si>
  <si>
    <t>Inicio FinalOrd.</t>
  </si>
  <si>
    <t>Cincomarzada</t>
  </si>
  <si>
    <t>S.Valero</t>
  </si>
  <si>
    <t>*Ini. ERASMUS</t>
  </si>
  <si>
    <t>Rafa Sanz</t>
  </si>
  <si>
    <t>1ºGx Prácticas</t>
  </si>
  <si>
    <t>S.Santa</t>
  </si>
  <si>
    <t>S.Jorge</t>
  </si>
  <si>
    <t>2ºGS-Ev.FCT-PRY</t>
  </si>
  <si>
    <t>1ºGx-Exam.1ªEv.</t>
  </si>
  <si>
    <t>1ºGx-Boletín 1ªEv.</t>
  </si>
  <si>
    <t>1ºGx-Junta 1ªEv.</t>
  </si>
  <si>
    <t>2ºGx-Junta 1ªEv.</t>
  </si>
  <si>
    <t>2ºGx-Boletín 1ªEv.</t>
  </si>
  <si>
    <t>2ºGS-Boletines FCT</t>
  </si>
  <si>
    <t>2ºGS-S.Pry. ExOrd</t>
  </si>
  <si>
    <t>2ºGx-InicioFE</t>
  </si>
  <si>
    <t>2ºGx-Junta 2ªEv.</t>
  </si>
  <si>
    <t>2ºGx-Boletín 2ªEv.</t>
  </si>
  <si>
    <t>1ºGx-Ev.Predictiva</t>
  </si>
  <si>
    <t xml:space="preserve">xºGx- Rn.Familias </t>
  </si>
  <si>
    <t>2ºGx-ActoDespedida</t>
  </si>
  <si>
    <t>xºGx-Junta 3ªEv.</t>
  </si>
  <si>
    <t>xºGx-Boletín 3ªEv.</t>
  </si>
  <si>
    <t>2ºGx-Reclama+1d</t>
  </si>
  <si>
    <t>xºGx-Reclama+1d</t>
  </si>
  <si>
    <t>1ºGx-Junta 2ªEv.</t>
  </si>
  <si>
    <t>1ºGx-Boletín 2ªEv.</t>
  </si>
  <si>
    <t>2ºGx-Ini.FCT</t>
  </si>
  <si>
    <t>2ºGx-Junta OªEv.</t>
  </si>
  <si>
    <t>FALTAN FECHAS</t>
  </si>
  <si>
    <t>aasds</t>
  </si>
  <si>
    <t>pw</t>
  </si>
  <si>
    <t>ysbu</t>
  </si>
  <si>
    <t xml:space="preserve">sdfdfasdfdsa </t>
  </si>
  <si>
    <t>DSDSSDASDA</t>
  </si>
  <si>
    <t xml:space="preserve">jkljkl </t>
  </si>
  <si>
    <t>Planificación. Unidades didácticas y prácticas</t>
  </si>
  <si>
    <t>1ºCurso = 3Tri., 2ºCurso = 2Tri.</t>
  </si>
  <si>
    <t>Seguimiento. Unidades didácticas. Contingencias</t>
  </si>
  <si>
    <t>Datos. Salida</t>
  </si>
  <si>
    <t>Datos. Entrada</t>
  </si>
  <si>
    <t>UD</t>
  </si>
  <si>
    <t>Práctica/UD.</t>
  </si>
  <si>
    <t>Fecha Prev.</t>
  </si>
  <si>
    <t>Horas Prev.</t>
  </si>
  <si>
    <t>Unidades didácticas. Contenidos (Conocimiento)</t>
  </si>
  <si>
    <t>Ponderación por trimestres</t>
  </si>
  <si>
    <t>Horario semanal</t>
  </si>
  <si>
    <t>Criterios</t>
  </si>
  <si>
    <t>Profesorado</t>
  </si>
  <si>
    <t>Módulo. Centro. Profesorado</t>
  </si>
  <si>
    <t>[Selector]</t>
  </si>
  <si>
    <t>FPS-sti-1-0554 Sistemas de producción audiovisual</t>
  </si>
  <si>
    <t>FPS-sti-2-0558 Proyecto intermodular GS</t>
  </si>
  <si>
    <t>FPM-it-2-1713 Proyecto intermodular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</si>
</sst>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"/>
    <numFmt numFmtId="166" formatCode="0.0"/>
    <numFmt numFmtId="167" formatCode="mmmm"/>
    <numFmt numFmtId="168" formatCode="mmm"/>
    <numFmt numFmtId="169" formatCode="mmm\ \'yy"/>
    <numFmt numFmtId="170" formatCode="0.0%"/>
    <numFmt numFmtId="171" formatCode="dd/mm"/>
    <numFmt numFmtId="172" formatCode="d"/>
  </numFmts>
  <fonts count="5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Calibri"/>
      <family val="2"/>
      <charset val="1"/>
    </font>
    <font>
      <sz val="11"/>
      <color indexed="8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4"/>
      <color theme="4"/>
      <name val="Calibri"/>
      <family val="2"/>
      <scheme val="minor"/>
    </font>
    <font>
      <b/>
      <sz val="17"/>
      <color theme="4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color theme="1" tint="0.24994659260841701"/>
      <name val="Cambria"/>
      <family val="2"/>
      <scheme val="major"/>
    </font>
    <font>
      <b/>
      <sz val="20"/>
      <color theme="4"/>
      <name val="Cambria"/>
      <family val="2"/>
      <scheme val="maj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name val="Arial Narrow"/>
      <family val="2"/>
    </font>
    <font>
      <sz val="14"/>
      <name val="Arial Narrow"/>
      <family val="2"/>
    </font>
    <font>
      <b/>
      <sz val="20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20"/>
      <color rgb="FF000000"/>
      <name val="Arial Narrow"/>
      <family val="2"/>
    </font>
    <font>
      <b/>
      <sz val="16"/>
      <name val="Arial Narrow"/>
      <family val="2"/>
    </font>
    <font>
      <sz val="10"/>
      <name val="Arial Narrow"/>
      <family val="2"/>
    </font>
    <font>
      <b/>
      <sz val="20"/>
      <name val="Arial Narrow"/>
      <family val="2"/>
    </font>
    <font>
      <sz val="16"/>
      <name val="Arial Narrow"/>
      <family val="2"/>
    </font>
    <font>
      <b/>
      <sz val="12"/>
      <color indexed="55"/>
      <name val="Arial Narrow"/>
      <family val="2"/>
    </font>
    <font>
      <sz val="20"/>
      <name val="Arial Narrow"/>
      <family val="2"/>
    </font>
    <font>
      <sz val="12"/>
      <color theme="0" tint="-0.499984740745262"/>
      <name val="Arial Narrow"/>
      <family val="2"/>
    </font>
    <font>
      <sz val="16"/>
      <color rgb="FF000000"/>
      <name val="Arial Narrow"/>
      <family val="2"/>
    </font>
    <font>
      <sz val="9"/>
      <name val="Arial Narrow"/>
      <family val="2"/>
    </font>
    <font>
      <b/>
      <sz val="18"/>
      <name val="Arial Narrow"/>
      <family val="2"/>
    </font>
    <font>
      <sz val="12"/>
      <color rgb="FF000000"/>
      <name val="Calibri"/>
      <family val="2"/>
      <charset val="1"/>
    </font>
    <font>
      <b/>
      <sz val="12"/>
      <color theme="1"/>
      <name val="Arial Narrow"/>
      <family val="2"/>
    </font>
    <font>
      <sz val="18"/>
      <name val="Arial Narrow"/>
      <family val="2"/>
    </font>
    <font>
      <b/>
      <sz val="12"/>
      <color rgb="FF000000"/>
      <name val="Calibri"/>
      <family val="2"/>
      <charset val="1"/>
    </font>
    <font>
      <b/>
      <sz val="12"/>
      <color theme="7" tint="0.59999389629810485"/>
      <name val="Arial Narrow"/>
      <family val="2"/>
    </font>
    <font>
      <b/>
      <sz val="12"/>
      <color theme="5" tint="0.59999389629810485"/>
      <name val="Arial Narrow"/>
      <family val="2"/>
    </font>
    <font>
      <b/>
      <sz val="12"/>
      <color theme="9" tint="0.59999389629810485"/>
      <name val="Arial Narrow"/>
      <family val="2"/>
    </font>
    <font>
      <sz val="12"/>
      <color theme="0" tint="-0.249977111117893"/>
      <name val="Arial Narrow"/>
      <family val="2"/>
    </font>
    <font>
      <b/>
      <sz val="36"/>
      <name val="Arial Narrow"/>
      <family val="2"/>
    </font>
    <font>
      <sz val="12"/>
      <color theme="1"/>
      <name val="Arial Narrow"/>
      <family val="2"/>
    </font>
    <font>
      <sz val="24"/>
      <name val="Arial Narrow"/>
      <family val="2"/>
    </font>
    <font>
      <b/>
      <sz val="24"/>
      <name val="Arial Narrow"/>
      <family val="2"/>
    </font>
    <font>
      <i/>
      <sz val="12"/>
      <name val="Arial Narrow"/>
      <family val="2"/>
    </font>
    <font>
      <sz val="12"/>
      <color rgb="FFFF000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3">
    <xf numFmtId="164" fontId="0" fillId="0" borderId="0"/>
    <xf numFmtId="164" fontId="8" fillId="0" borderId="0"/>
    <xf numFmtId="164" fontId="8" fillId="0" borderId="0"/>
    <xf numFmtId="164" fontId="7" fillId="0" borderId="0"/>
    <xf numFmtId="9" fontId="7" fillId="0" borderId="0" applyFont="0" applyFill="0" applyBorder="0" applyAlignment="0" applyProtection="0"/>
    <xf numFmtId="164" fontId="5" fillId="0" borderId="0"/>
    <xf numFmtId="164" fontId="9" fillId="0" borderId="0"/>
    <xf numFmtId="164" fontId="10" fillId="0" borderId="0" applyNumberFormat="0" applyFill="0" applyBorder="0" applyProtection="0">
      <alignment textRotation="90"/>
    </xf>
    <xf numFmtId="164" fontId="10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2" fillId="0" borderId="0" applyNumberFormat="0" applyFill="0" applyBorder="0" applyAlignment="0" applyProtection="0"/>
    <xf numFmtId="164" fontId="13" fillId="0" borderId="14" applyNumberFormat="0" applyFill="0" applyAlignment="0" applyProtection="0"/>
    <xf numFmtId="164" fontId="14" fillId="0" borderId="0"/>
    <xf numFmtId="164" fontId="15" fillId="0" borderId="15" applyNumberFormat="0" applyFill="0" applyProtection="0">
      <alignment horizontal="left" vertical="center" indent="1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" fillId="0" borderId="0"/>
    <xf numFmtId="164" fontId="3" fillId="0" borderId="0"/>
    <xf numFmtId="164" fontId="2" fillId="0" borderId="0"/>
    <xf numFmtId="164" fontId="2" fillId="0" borderId="0"/>
    <xf numFmtId="9" fontId="18" fillId="0" borderId="0" applyFont="0" applyFill="0" applyBorder="0" applyAlignment="0" applyProtection="0"/>
    <xf numFmtId="164" fontId="18" fillId="0" borderId="0"/>
    <xf numFmtId="164" fontId="8" fillId="0" borderId="0"/>
    <xf numFmtId="164" fontId="5" fillId="0" borderId="0"/>
    <xf numFmtId="164" fontId="9" fillId="0" borderId="0"/>
    <xf numFmtId="164" fontId="10" fillId="0" borderId="0" applyNumberFormat="0" applyFill="0" applyBorder="0" applyProtection="0">
      <alignment textRotation="90"/>
    </xf>
    <xf numFmtId="164" fontId="10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2" fillId="0" borderId="0" applyNumberFormat="0" applyFill="0" applyBorder="0" applyAlignment="0" applyProtection="0"/>
    <xf numFmtId="164" fontId="13" fillId="0" borderId="14" applyNumberFormat="0" applyFill="0" applyAlignment="0" applyProtection="0"/>
    <xf numFmtId="164" fontId="14" fillId="0" borderId="0"/>
    <xf numFmtId="164" fontId="15" fillId="0" borderId="15" applyNumberFormat="0" applyFill="0" applyProtection="0">
      <alignment horizontal="left" vertical="center" indent="1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9" fillId="0" borderId="0" applyNumberFormat="0" applyFill="0" applyBorder="0" applyAlignment="0" applyProtection="0"/>
    <xf numFmtId="0" fontId="1" fillId="0" borderId="0"/>
    <xf numFmtId="164" fontId="19" fillId="0" borderId="0" applyNumberFormat="0" applyFill="0" applyBorder="0" applyAlignment="0" applyProtection="0"/>
    <xf numFmtId="0" fontId="1" fillId="0" borderId="0"/>
    <xf numFmtId="0" fontId="18" fillId="0" borderId="0"/>
  </cellStyleXfs>
  <cellXfs count="1220">
    <xf numFmtId="164" fontId="0" fillId="0" borderId="0" xfId="0"/>
    <xf numFmtId="49" fontId="23" fillId="0" borderId="0" xfId="0" applyNumberFormat="1" applyFont="1"/>
    <xf numFmtId="9" fontId="27" fillId="0" borderId="12" xfId="0" applyNumberFormat="1" applyFont="1" applyBorder="1" applyAlignment="1">
      <alignment horizontal="center"/>
    </xf>
    <xf numFmtId="9" fontId="27" fillId="0" borderId="16" xfId="0" applyNumberFormat="1" applyFont="1" applyBorder="1" applyAlignment="1">
      <alignment horizontal="center"/>
    </xf>
    <xf numFmtId="14" fontId="24" fillId="0" borderId="12" xfId="0" applyNumberFormat="1" applyFont="1" applyBorder="1" applyAlignment="1">
      <alignment horizontal="center"/>
    </xf>
    <xf numFmtId="14" fontId="24" fillId="0" borderId="16" xfId="0" applyNumberFormat="1" applyFont="1" applyBorder="1" applyAlignment="1">
      <alignment horizontal="center"/>
    </xf>
    <xf numFmtId="49" fontId="24" fillId="0" borderId="1" xfId="0" applyNumberFormat="1" applyFont="1" applyBorder="1"/>
    <xf numFmtId="49" fontId="24" fillId="0" borderId="0" xfId="0" applyNumberFormat="1" applyFont="1"/>
    <xf numFmtId="49" fontId="26" fillId="0" borderId="0" xfId="3" applyNumberFormat="1" applyFont="1" applyAlignment="1">
      <alignment horizontal="right" vertical="center"/>
    </xf>
    <xf numFmtId="49" fontId="29" fillId="0" borderId="1" xfId="0" applyNumberFormat="1" applyFont="1" applyBorder="1"/>
    <xf numFmtId="49" fontId="26" fillId="0" borderId="1" xfId="5" applyNumberFormat="1" applyFont="1" applyBorder="1" applyAlignment="1">
      <alignment horizontal="center"/>
    </xf>
    <xf numFmtId="49" fontId="26" fillId="0" borderId="1" xfId="3" applyNumberFormat="1" applyFont="1" applyBorder="1" applyAlignment="1">
      <alignment horizontal="center"/>
    </xf>
    <xf numFmtId="49" fontId="25" fillId="0" borderId="1" xfId="0" applyNumberFormat="1" applyFont="1" applyBorder="1"/>
    <xf numFmtId="49" fontId="27" fillId="0" borderId="0" xfId="0" applyNumberFormat="1" applyFont="1"/>
    <xf numFmtId="49" fontId="24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49" fontId="29" fillId="0" borderId="0" xfId="0" applyNumberFormat="1" applyFont="1"/>
    <xf numFmtId="49" fontId="25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center"/>
    </xf>
    <xf numFmtId="49" fontId="26" fillId="0" borderId="0" xfId="0" applyNumberFormat="1" applyFont="1"/>
    <xf numFmtId="49" fontId="25" fillId="0" borderId="1" xfId="0" applyNumberFormat="1" applyFont="1" applyBorder="1" applyAlignment="1">
      <alignment horizontal="center" wrapText="1"/>
    </xf>
    <xf numFmtId="49" fontId="26" fillId="2" borderId="1" xfId="5" applyNumberFormat="1" applyFont="1" applyFill="1" applyBorder="1" applyAlignment="1">
      <alignment horizontal="center" wrapText="1"/>
    </xf>
    <xf numFmtId="49" fontId="25" fillId="0" borderId="0" xfId="0" applyNumberFormat="1" applyFont="1" applyAlignment="1">
      <alignment horizontal="center"/>
    </xf>
    <xf numFmtId="49" fontId="25" fillId="0" borderId="0" xfId="0" applyNumberFormat="1" applyFont="1"/>
    <xf numFmtId="49" fontId="26" fillId="0" borderId="7" xfId="3" applyNumberFormat="1" applyFont="1" applyBorder="1"/>
    <xf numFmtId="49" fontId="26" fillId="0" borderId="0" xfId="3" applyNumberFormat="1" applyFont="1"/>
    <xf numFmtId="49" fontId="26" fillId="0" borderId="6" xfId="3" applyNumberFormat="1" applyFont="1" applyBorder="1"/>
    <xf numFmtId="49" fontId="27" fillId="0" borderId="0" xfId="3" applyNumberFormat="1" applyFont="1" applyAlignment="1">
      <alignment horizontal="center"/>
    </xf>
    <xf numFmtId="49" fontId="27" fillId="0" borderId="7" xfId="3" applyNumberFormat="1" applyFont="1" applyBorder="1" applyAlignment="1" applyProtection="1">
      <alignment horizontal="center"/>
      <protection locked="0"/>
    </xf>
    <xf numFmtId="49" fontId="27" fillId="0" borderId="0" xfId="3" applyNumberFormat="1" applyFont="1" applyAlignment="1" applyProtection="1">
      <alignment horizontal="center"/>
      <protection locked="0"/>
    </xf>
    <xf numFmtId="49" fontId="27" fillId="0" borderId="7" xfId="3" applyNumberFormat="1" applyFont="1" applyBorder="1"/>
    <xf numFmtId="49" fontId="26" fillId="0" borderId="1" xfId="3" applyNumberFormat="1" applyFont="1" applyBorder="1"/>
    <xf numFmtId="49" fontId="27" fillId="0" borderId="0" xfId="3" applyNumberFormat="1" applyFont="1"/>
    <xf numFmtId="49" fontId="27" fillId="2" borderId="0" xfId="3" applyNumberFormat="1" applyFont="1" applyFill="1" applyAlignment="1">
      <alignment horizontal="center" vertical="center"/>
    </xf>
    <xf numFmtId="49" fontId="26" fillId="3" borderId="0" xfId="3" applyNumberFormat="1" applyFont="1" applyFill="1" applyAlignment="1">
      <alignment horizontal="center" vertical="center"/>
    </xf>
    <xf numFmtId="49" fontId="26" fillId="3" borderId="1" xfId="3" applyNumberFormat="1" applyFont="1" applyFill="1" applyBorder="1" applyAlignment="1">
      <alignment horizontal="center"/>
    </xf>
    <xf numFmtId="49" fontId="26" fillId="3" borderId="16" xfId="3" applyNumberFormat="1" applyFont="1" applyFill="1" applyBorder="1" applyAlignment="1">
      <alignment horizontal="center" wrapText="1"/>
    </xf>
    <xf numFmtId="49" fontId="26" fillId="11" borderId="1" xfId="3" applyNumberFormat="1" applyFont="1" applyFill="1" applyBorder="1" applyAlignment="1" applyProtection="1">
      <alignment horizontal="center"/>
      <protection locked="0"/>
    </xf>
    <xf numFmtId="49" fontId="26" fillId="10" borderId="1" xfId="3" applyNumberFormat="1" applyFont="1" applyFill="1" applyBorder="1" applyAlignment="1" applyProtection="1">
      <alignment horizontal="center"/>
      <protection locked="0"/>
    </xf>
    <xf numFmtId="49" fontId="26" fillId="13" borderId="1" xfId="3" applyNumberFormat="1" applyFont="1" applyFill="1" applyBorder="1" applyAlignment="1" applyProtection="1">
      <alignment horizontal="center"/>
      <protection locked="0"/>
    </xf>
    <xf numFmtId="49" fontId="26" fillId="8" borderId="5" xfId="0" applyNumberFormat="1" applyFont="1" applyFill="1" applyBorder="1" applyAlignment="1">
      <alignment horizontal="center"/>
    </xf>
    <xf numFmtId="49" fontId="26" fillId="8" borderId="0" xfId="0" applyNumberFormat="1" applyFont="1" applyFill="1" applyAlignment="1">
      <alignment horizontal="center"/>
    </xf>
    <xf numFmtId="49" fontId="26" fillId="8" borderId="7" xfId="0" applyNumberFormat="1" applyFont="1" applyFill="1" applyBorder="1" applyAlignment="1">
      <alignment horizontal="center"/>
    </xf>
    <xf numFmtId="49" fontId="26" fillId="8" borderId="6" xfId="0" applyNumberFormat="1" applyFont="1" applyFill="1" applyBorder="1" applyAlignment="1">
      <alignment horizontal="center"/>
    </xf>
    <xf numFmtId="49" fontId="26" fillId="8" borderId="1" xfId="0" applyNumberFormat="1" applyFont="1" applyFill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49" fontId="27" fillId="0" borderId="9" xfId="0" applyNumberFormat="1" applyFont="1" applyBorder="1" applyAlignment="1">
      <alignment horizontal="center"/>
    </xf>
    <xf numFmtId="49" fontId="27" fillId="0" borderId="6" xfId="0" applyNumberFormat="1" applyFont="1" applyBorder="1" applyAlignment="1">
      <alignment horizontal="center"/>
    </xf>
    <xf numFmtId="49" fontId="27" fillId="0" borderId="8" xfId="0" applyNumberFormat="1" applyFont="1" applyBorder="1" applyAlignment="1">
      <alignment horizontal="center"/>
    </xf>
    <xf numFmtId="49" fontId="24" fillId="0" borderId="0" xfId="0" applyNumberFormat="1" applyFont="1" applyAlignment="1">
      <alignment horizontal="right"/>
    </xf>
    <xf numFmtId="49" fontId="26" fillId="12" borderId="6" xfId="3" applyNumberFormat="1" applyFont="1" applyFill="1" applyBorder="1" applyAlignment="1" applyProtection="1">
      <alignment horizontal="left" vertical="center"/>
      <protection locked="0"/>
    </xf>
    <xf numFmtId="49" fontId="27" fillId="0" borderId="0" xfId="5" applyNumberFormat="1" applyFont="1" applyAlignment="1">
      <alignment horizontal="right" vertical="top"/>
    </xf>
    <xf numFmtId="49" fontId="28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49" fontId="31" fillId="0" borderId="9" xfId="0" applyNumberFormat="1" applyFont="1" applyBorder="1" applyAlignment="1">
      <alignment horizontal="right" textRotation="90" wrapText="1"/>
    </xf>
    <xf numFmtId="49" fontId="20" fillId="0" borderId="0" xfId="0" applyNumberFormat="1" applyFont="1" applyAlignment="1">
      <alignment horizontal="center" wrapText="1"/>
    </xf>
    <xf numFmtId="49" fontId="29" fillId="0" borderId="1" xfId="0" applyNumberFormat="1" applyFont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left" vertical="top"/>
    </xf>
    <xf numFmtId="49" fontId="20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textRotation="90"/>
    </xf>
    <xf numFmtId="49" fontId="20" fillId="0" borderId="0" xfId="0" applyNumberFormat="1" applyFont="1"/>
    <xf numFmtId="49" fontId="31" fillId="0" borderId="0" xfId="0" applyNumberFormat="1" applyFont="1" applyAlignment="1">
      <alignment vertical="center"/>
    </xf>
    <xf numFmtId="49" fontId="26" fillId="0" borderId="0" xfId="0" applyNumberFormat="1" applyFont="1" applyAlignment="1">
      <alignment horizontal="center" vertical="center" textRotation="90"/>
    </xf>
    <xf numFmtId="49" fontId="26" fillId="11" borderId="0" xfId="3" applyNumberFormat="1" applyFont="1" applyFill="1" applyAlignment="1" applyProtection="1">
      <alignment horizontal="center" vertical="center"/>
      <protection locked="0"/>
    </xf>
    <xf numFmtId="49" fontId="26" fillId="10" borderId="0" xfId="3" applyNumberFormat="1" applyFont="1" applyFill="1" applyAlignment="1" applyProtection="1">
      <alignment horizontal="center" vertical="center"/>
      <protection locked="0"/>
    </xf>
    <xf numFmtId="49" fontId="26" fillId="13" borderId="0" xfId="3" applyNumberFormat="1" applyFont="1" applyFill="1" applyAlignment="1" applyProtection="1">
      <alignment horizontal="center" vertical="center"/>
      <protection locked="0"/>
    </xf>
    <xf numFmtId="49" fontId="27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6" fillId="0" borderId="0" xfId="0" applyNumberFormat="1" applyFont="1" applyAlignment="1">
      <alignment horizontal="right" vertical="center"/>
    </xf>
    <xf numFmtId="49" fontId="27" fillId="0" borderId="1" xfId="0" applyNumberFormat="1" applyFont="1" applyBorder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49" fontId="27" fillId="0" borderId="0" xfId="1" applyNumberFormat="1" applyFont="1" applyAlignment="1">
      <alignment horizontal="right"/>
    </xf>
    <xf numFmtId="49" fontId="20" fillId="0" borderId="20" xfId="0" applyNumberFormat="1" applyFont="1" applyBorder="1" applyAlignment="1">
      <alignment horizontal="center"/>
    </xf>
    <xf numFmtId="49" fontId="20" fillId="0" borderId="20" xfId="0" applyNumberFormat="1" applyFont="1" applyBorder="1" applyAlignment="1">
      <alignment horizontal="left"/>
    </xf>
    <xf numFmtId="49" fontId="31" fillId="0" borderId="29" xfId="0" applyNumberFormat="1" applyFont="1" applyBorder="1" applyAlignment="1">
      <alignment horizontal="center" vertical="center"/>
    </xf>
    <xf numFmtId="49" fontId="31" fillId="0" borderId="45" xfId="0" applyNumberFormat="1" applyFont="1" applyBorder="1" applyAlignment="1">
      <alignment horizontal="center" vertical="center"/>
    </xf>
    <xf numFmtId="49" fontId="27" fillId="0" borderId="30" xfId="0" applyNumberFormat="1" applyFont="1" applyBorder="1" applyAlignment="1">
      <alignment horizontal="center"/>
    </xf>
    <xf numFmtId="49" fontId="27" fillId="0" borderId="1" xfId="3" applyNumberFormat="1" applyFont="1" applyBorder="1"/>
    <xf numFmtId="49" fontId="32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center" vertical="center" wrapText="1"/>
    </xf>
    <xf numFmtId="49" fontId="29" fillId="0" borderId="5" xfId="0" applyNumberFormat="1" applyFont="1" applyBorder="1" applyAlignment="1">
      <alignment horizontal="center"/>
    </xf>
    <xf numFmtId="49" fontId="29" fillId="0" borderId="3" xfId="0" applyNumberFormat="1" applyFont="1" applyBorder="1" applyAlignment="1">
      <alignment horizontal="center"/>
    </xf>
    <xf numFmtId="49" fontId="29" fillId="0" borderId="31" xfId="0" applyNumberFormat="1" applyFont="1" applyBorder="1" applyAlignment="1">
      <alignment horizontal="center"/>
    </xf>
    <xf numFmtId="49" fontId="29" fillId="0" borderId="7" xfId="0" applyNumberFormat="1" applyFont="1" applyBorder="1" applyAlignment="1">
      <alignment horizontal="center"/>
    </xf>
    <xf numFmtId="49" fontId="29" fillId="0" borderId="9" xfId="0" applyNumberFormat="1" applyFont="1" applyBorder="1" applyAlignment="1">
      <alignment horizontal="center"/>
    </xf>
    <xf numFmtId="49" fontId="29" fillId="0" borderId="6" xfId="0" applyNumberFormat="1" applyFont="1" applyBorder="1" applyAlignment="1">
      <alignment horizontal="center"/>
    </xf>
    <xf numFmtId="49" fontId="29" fillId="0" borderId="8" xfId="0" applyNumberFormat="1" applyFont="1" applyBorder="1" applyAlignment="1">
      <alignment horizontal="center"/>
    </xf>
    <xf numFmtId="14" fontId="27" fillId="0" borderId="0" xfId="0" applyNumberFormat="1" applyFont="1" applyAlignment="1">
      <alignment horizontal="center"/>
    </xf>
    <xf numFmtId="14" fontId="27" fillId="0" borderId="0" xfId="3" applyNumberFormat="1" applyFont="1" applyAlignment="1">
      <alignment horizontal="center"/>
    </xf>
    <xf numFmtId="49" fontId="26" fillId="0" borderId="0" xfId="0" applyNumberFormat="1" applyFont="1" applyAlignment="1">
      <alignment horizontal="left"/>
    </xf>
    <xf numFmtId="49" fontId="27" fillId="0" borderId="0" xfId="6" applyNumberFormat="1" applyFont="1"/>
    <xf numFmtId="49" fontId="34" fillId="0" borderId="0" xfId="0" applyNumberFormat="1" applyFont="1"/>
    <xf numFmtId="49" fontId="27" fillId="0" borderId="0" xfId="6" applyNumberFormat="1" applyFont="1" applyAlignment="1">
      <alignment horizontal="center"/>
    </xf>
    <xf numFmtId="49" fontId="34" fillId="0" borderId="0" xfId="0" applyNumberFormat="1" applyFont="1" applyAlignment="1">
      <alignment horizontal="center"/>
    </xf>
    <xf numFmtId="49" fontId="26" fillId="0" borderId="0" xfId="6" applyNumberFormat="1" applyFont="1" applyAlignment="1">
      <alignment horizontal="center"/>
    </xf>
    <xf numFmtId="49" fontId="24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9" fillId="0" borderId="0" xfId="0" applyNumberFormat="1" applyFont="1" applyAlignment="1">
      <alignment vertical="center"/>
    </xf>
    <xf numFmtId="49" fontId="35" fillId="0" borderId="0" xfId="0" applyNumberFormat="1" applyFont="1" applyAlignment="1">
      <alignment horizontal="center" vertical="center"/>
    </xf>
    <xf numFmtId="49" fontId="35" fillId="0" borderId="0" xfId="20" applyNumberFormat="1" applyFont="1" applyFill="1" applyBorder="1" applyAlignment="1">
      <alignment horizontal="center" vertical="center"/>
    </xf>
    <xf numFmtId="49" fontId="27" fillId="0" borderId="0" xfId="2" applyNumberFormat="1" applyFont="1" applyAlignment="1">
      <alignment horizontal="center"/>
    </xf>
    <xf numFmtId="49" fontId="26" fillId="0" borderId="1" xfId="2" applyNumberFormat="1" applyFont="1" applyBorder="1"/>
    <xf numFmtId="49" fontId="27" fillId="0" borderId="12" xfId="2" applyNumberFormat="1" applyFont="1" applyBorder="1" applyAlignment="1">
      <alignment horizontal="center"/>
    </xf>
    <xf numFmtId="49" fontId="27" fillId="0" borderId="16" xfId="2" applyNumberFormat="1" applyFont="1" applyBorder="1" applyAlignment="1">
      <alignment horizontal="center"/>
    </xf>
    <xf numFmtId="49" fontId="27" fillId="0" borderId="0" xfId="2" applyNumberFormat="1" applyFont="1"/>
    <xf numFmtId="0" fontId="20" fillId="0" borderId="0" xfId="0" applyNumberFormat="1" applyFont="1"/>
    <xf numFmtId="0" fontId="29" fillId="0" borderId="51" xfId="3" applyNumberFormat="1" applyFont="1" applyBorder="1" applyAlignment="1" applyProtection="1">
      <alignment horizontal="center" vertical="center"/>
      <protection locked="0"/>
    </xf>
    <xf numFmtId="0" fontId="26" fillId="0" borderId="0" xfId="0" applyNumberFormat="1" applyFont="1" applyAlignment="1">
      <alignment horizontal="center"/>
    </xf>
    <xf numFmtId="0" fontId="29" fillId="0" borderId="0" xfId="0" applyNumberFormat="1" applyFont="1"/>
    <xf numFmtId="0" fontId="29" fillId="0" borderId="0" xfId="0" applyNumberFormat="1" applyFont="1" applyAlignment="1">
      <alignment horizontal="center"/>
    </xf>
    <xf numFmtId="0" fontId="29" fillId="0" borderId="52" xfId="3" applyNumberFormat="1" applyFont="1" applyBorder="1" applyAlignment="1" applyProtection="1">
      <alignment horizontal="center" vertical="center"/>
      <protection locked="0"/>
    </xf>
    <xf numFmtId="0" fontId="29" fillId="0" borderId="53" xfId="3" applyNumberFormat="1" applyFont="1" applyBorder="1" applyAlignment="1" applyProtection="1">
      <alignment horizontal="center" vertical="center"/>
      <protection locked="0"/>
    </xf>
    <xf numFmtId="0" fontId="29" fillId="0" borderId="48" xfId="3" applyNumberFormat="1" applyFont="1" applyBorder="1" applyAlignment="1" applyProtection="1">
      <alignment horizontal="center" vertical="center"/>
      <protection locked="0"/>
    </xf>
    <xf numFmtId="0" fontId="29" fillId="0" borderId="49" xfId="3" applyNumberFormat="1" applyFont="1" applyBorder="1" applyAlignment="1" applyProtection="1">
      <alignment horizontal="center" vertical="center"/>
      <protection locked="0"/>
    </xf>
    <xf numFmtId="0" fontId="29" fillId="0" borderId="50" xfId="3" applyNumberFormat="1" applyFont="1" applyBorder="1" applyAlignment="1" applyProtection="1">
      <alignment horizontal="center" vertical="center"/>
      <protection locked="0"/>
    </xf>
    <xf numFmtId="0" fontId="29" fillId="0" borderId="0" xfId="0" applyNumberFormat="1" applyFont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9" fillId="0" borderId="28" xfId="3" applyNumberFormat="1" applyFont="1" applyBorder="1" applyAlignment="1" applyProtection="1">
      <alignment horizontal="center" vertical="center"/>
      <protection locked="0"/>
    </xf>
    <xf numFmtId="0" fontId="29" fillId="0" borderId="10" xfId="3" applyNumberFormat="1" applyFont="1" applyBorder="1" applyAlignment="1" applyProtection="1">
      <alignment horizontal="center" vertical="center"/>
      <protection locked="0"/>
    </xf>
    <xf numFmtId="0" fontId="29" fillId="0" borderId="27" xfId="3" applyNumberFormat="1" applyFont="1" applyBorder="1" applyAlignment="1" applyProtection="1">
      <alignment horizontal="center" vertical="center"/>
      <protection locked="0"/>
    </xf>
    <xf numFmtId="0" fontId="29" fillId="0" borderId="11" xfId="3" applyNumberFormat="1" applyFont="1" applyBorder="1" applyAlignment="1" applyProtection="1">
      <alignment horizontal="center" vertical="center"/>
      <protection locked="0"/>
    </xf>
    <xf numFmtId="0" fontId="29" fillId="0" borderId="54" xfId="3" applyNumberFormat="1" applyFont="1" applyBorder="1" applyAlignment="1" applyProtection="1">
      <alignment horizontal="center" vertical="center"/>
      <protection locked="0"/>
    </xf>
    <xf numFmtId="49" fontId="36" fillId="0" borderId="0" xfId="0" applyNumberFormat="1" applyFont="1"/>
    <xf numFmtId="49" fontId="28" fillId="0" borderId="0" xfId="0" applyNumberFormat="1" applyFont="1"/>
    <xf numFmtId="49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1" fontId="27" fillId="0" borderId="1" xfId="0" applyNumberFormat="1" applyFont="1" applyBorder="1" applyAlignment="1">
      <alignment horizontal="center"/>
    </xf>
    <xf numFmtId="1" fontId="29" fillId="0" borderId="10" xfId="3" applyNumberFormat="1" applyFont="1" applyBorder="1" applyAlignment="1" applyProtection="1">
      <alignment horizontal="center" vertical="center"/>
      <protection locked="0"/>
    </xf>
    <xf numFmtId="0" fontId="27" fillId="0" borderId="7" xfId="0" applyNumberFormat="1" applyFont="1" applyBorder="1" applyAlignment="1">
      <alignment horizontal="center"/>
    </xf>
    <xf numFmtId="0" fontId="27" fillId="0" borderId="0" xfId="0" applyNumberFormat="1" applyFont="1" applyAlignment="1">
      <alignment horizontal="center"/>
    </xf>
    <xf numFmtId="0" fontId="27" fillId="0" borderId="9" xfId="0" applyNumberFormat="1" applyFont="1" applyBorder="1" applyAlignment="1">
      <alignment horizontal="center"/>
    </xf>
    <xf numFmtId="0" fontId="27" fillId="0" borderId="6" xfId="0" applyNumberFormat="1" applyFont="1" applyBorder="1" applyAlignment="1">
      <alignment horizontal="center"/>
    </xf>
    <xf numFmtId="0" fontId="27" fillId="0" borderId="1" xfId="0" applyNumberFormat="1" applyFont="1" applyBorder="1" applyAlignment="1">
      <alignment horizontal="center"/>
    </xf>
    <xf numFmtId="0" fontId="27" fillId="0" borderId="8" xfId="0" applyNumberFormat="1" applyFont="1" applyBorder="1" applyAlignment="1">
      <alignment horizontal="center"/>
    </xf>
    <xf numFmtId="0" fontId="27" fillId="0" borderId="5" xfId="0" applyNumberFormat="1" applyFont="1" applyBorder="1" applyAlignment="1">
      <alignment horizontal="center"/>
    </xf>
    <xf numFmtId="0" fontId="27" fillId="0" borderId="3" xfId="0" applyNumberFormat="1" applyFont="1" applyBorder="1" applyAlignment="1">
      <alignment horizontal="center"/>
    </xf>
    <xf numFmtId="0" fontId="27" fillId="0" borderId="31" xfId="0" applyNumberFormat="1" applyFont="1" applyBorder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49" fontId="26" fillId="10" borderId="0" xfId="3" applyNumberFormat="1" applyFont="1" applyFill="1" applyAlignment="1" applyProtection="1">
      <alignment horizontal="left" vertical="center"/>
      <protection locked="0"/>
    </xf>
    <xf numFmtId="49" fontId="26" fillId="13" borderId="0" xfId="3" applyNumberFormat="1" applyFont="1" applyFill="1" applyAlignment="1" applyProtection="1">
      <alignment horizontal="left" vertical="center"/>
      <protection locked="0"/>
    </xf>
    <xf numFmtId="49" fontId="26" fillId="11" borderId="0" xfId="3" applyNumberFormat="1" applyFont="1" applyFill="1" applyAlignment="1" applyProtection="1">
      <alignment horizontal="left" vertical="center"/>
      <protection locked="0"/>
    </xf>
    <xf numFmtId="9" fontId="27" fillId="0" borderId="9" xfId="0" applyNumberFormat="1" applyFont="1" applyBorder="1" applyAlignment="1">
      <alignment horizontal="center" vertical="center"/>
    </xf>
    <xf numFmtId="9" fontId="27" fillId="0" borderId="8" xfId="0" applyNumberFormat="1" applyFont="1" applyBorder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9" fontId="27" fillId="0" borderId="6" xfId="0" applyNumberFormat="1" applyFont="1" applyBorder="1" applyAlignment="1">
      <alignment horizontal="center" vertical="center"/>
    </xf>
    <xf numFmtId="1" fontId="37" fillId="0" borderId="0" xfId="0" applyNumberFormat="1" applyFont="1" applyAlignment="1">
      <alignment horizontal="center"/>
    </xf>
    <xf numFmtId="0" fontId="27" fillId="0" borderId="7" xfId="3" applyNumberFormat="1" applyFont="1" applyBorder="1" applyAlignment="1" applyProtection="1">
      <alignment horizontal="center"/>
      <protection locked="0"/>
    </xf>
    <xf numFmtId="0" fontId="26" fillId="3" borderId="0" xfId="3" applyNumberFormat="1" applyFont="1" applyFill="1" applyAlignment="1" applyProtection="1">
      <alignment horizontal="center"/>
      <protection locked="0"/>
    </xf>
    <xf numFmtId="0" fontId="27" fillId="0" borderId="0" xfId="3" applyNumberFormat="1" applyFont="1" applyAlignment="1" applyProtection="1">
      <alignment horizontal="center"/>
      <protection locked="0"/>
    </xf>
    <xf numFmtId="0" fontId="27" fillId="3" borderId="12" xfId="3" applyNumberFormat="1" applyFont="1" applyFill="1" applyBorder="1" applyAlignment="1">
      <alignment horizontal="center"/>
    </xf>
    <xf numFmtId="0" fontId="27" fillId="3" borderId="12" xfId="3" applyNumberFormat="1" applyFont="1" applyFill="1" applyBorder="1" applyAlignment="1" applyProtection="1">
      <alignment horizontal="center"/>
      <protection locked="0"/>
    </xf>
    <xf numFmtId="0" fontId="27" fillId="0" borderId="6" xfId="3" applyNumberFormat="1" applyFont="1" applyBorder="1" applyAlignment="1" applyProtection="1">
      <alignment horizontal="center"/>
      <protection locked="0"/>
    </xf>
    <xf numFmtId="0" fontId="26" fillId="3" borderId="1" xfId="3" applyNumberFormat="1" applyFont="1" applyFill="1" applyBorder="1" applyAlignment="1" applyProtection="1">
      <alignment horizontal="center"/>
      <protection locked="0"/>
    </xf>
    <xf numFmtId="0" fontId="27" fillId="0" borderId="1" xfId="3" applyNumberFormat="1" applyFont="1" applyBorder="1" applyAlignment="1" applyProtection="1">
      <alignment horizontal="center"/>
      <protection locked="0"/>
    </xf>
    <xf numFmtId="0" fontId="27" fillId="3" borderId="16" xfId="3" applyNumberFormat="1" applyFont="1" applyFill="1" applyBorder="1" applyAlignment="1" applyProtection="1">
      <alignment horizontal="center"/>
      <protection locked="0"/>
    </xf>
    <xf numFmtId="0" fontId="27" fillId="3" borderId="16" xfId="3" applyNumberFormat="1" applyFont="1" applyFill="1" applyBorder="1" applyAlignment="1">
      <alignment horizontal="center"/>
    </xf>
    <xf numFmtId="0" fontId="27" fillId="2" borderId="0" xfId="3" applyNumberFormat="1" applyFont="1" applyFill="1" applyAlignment="1">
      <alignment horizontal="center"/>
    </xf>
    <xf numFmtId="0" fontId="26" fillId="3" borderId="0" xfId="3" applyNumberFormat="1" applyFont="1" applyFill="1" applyAlignment="1">
      <alignment horizontal="center"/>
    </xf>
    <xf numFmtId="0" fontId="27" fillId="3" borderId="0" xfId="3" applyNumberFormat="1" applyFont="1" applyFill="1" applyAlignment="1">
      <alignment horizontal="center"/>
    </xf>
    <xf numFmtId="49" fontId="20" fillId="0" borderId="20" xfId="0" applyNumberFormat="1" applyFont="1" applyBorder="1" applyAlignment="1">
      <alignment vertical="center"/>
    </xf>
    <xf numFmtId="166" fontId="21" fillId="0" borderId="33" xfId="0" applyNumberFormat="1" applyFont="1" applyBorder="1" applyAlignment="1">
      <alignment horizontal="center" vertical="center"/>
    </xf>
    <xf numFmtId="9" fontId="27" fillId="0" borderId="26" xfId="0" applyNumberFormat="1" applyFont="1" applyBorder="1" applyAlignment="1">
      <alignment horizontal="center"/>
    </xf>
    <xf numFmtId="9" fontId="27" fillId="0" borderId="5" xfId="0" applyNumberFormat="1" applyFont="1" applyBorder="1" applyAlignment="1">
      <alignment horizontal="center"/>
    </xf>
    <xf numFmtId="9" fontId="27" fillId="0" borderId="31" xfId="0" applyNumberFormat="1" applyFont="1" applyBorder="1" applyAlignment="1">
      <alignment horizontal="center"/>
    </xf>
    <xf numFmtId="9" fontId="27" fillId="0" borderId="7" xfId="0" applyNumberFormat="1" applyFont="1" applyBorder="1" applyAlignment="1">
      <alignment horizontal="center"/>
    </xf>
    <xf numFmtId="9" fontId="27" fillId="0" borderId="9" xfId="0" applyNumberFormat="1" applyFont="1" applyBorder="1" applyAlignment="1">
      <alignment horizontal="center"/>
    </xf>
    <xf numFmtId="9" fontId="27" fillId="0" borderId="6" xfId="0" applyNumberFormat="1" applyFont="1" applyBorder="1" applyAlignment="1">
      <alignment horizontal="center"/>
    </xf>
    <xf numFmtId="9" fontId="27" fillId="0" borderId="8" xfId="0" applyNumberFormat="1" applyFont="1" applyBorder="1" applyAlignment="1">
      <alignment horizontal="center"/>
    </xf>
    <xf numFmtId="49" fontId="26" fillId="11" borderId="0" xfId="3" applyNumberFormat="1" applyFont="1" applyFill="1" applyAlignment="1" applyProtection="1">
      <alignment horizontal="center"/>
      <protection locked="0"/>
    </xf>
    <xf numFmtId="49" fontId="26" fillId="10" borderId="0" xfId="3" applyNumberFormat="1" applyFont="1" applyFill="1" applyAlignment="1" applyProtection="1">
      <alignment horizontal="center"/>
      <protection locked="0"/>
    </xf>
    <xf numFmtId="49" fontId="26" fillId="13" borderId="0" xfId="3" applyNumberFormat="1" applyFont="1" applyFill="1" applyAlignment="1" applyProtection="1">
      <alignment horizontal="center"/>
      <protection locked="0"/>
    </xf>
    <xf numFmtId="49" fontId="26" fillId="0" borderId="7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30" xfId="0" applyNumberFormat="1" applyFont="1" applyBorder="1" applyAlignment="1">
      <alignment horizontal="center" vertical="center"/>
    </xf>
    <xf numFmtId="49" fontId="26" fillId="0" borderId="61" xfId="0" applyNumberFormat="1" applyFont="1" applyBorder="1" applyAlignment="1">
      <alignment horizontal="center" vertical="center"/>
    </xf>
    <xf numFmtId="49" fontId="26" fillId="0" borderId="8" xfId="0" applyNumberFormat="1" applyFont="1" applyBorder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 textRotation="90" wrapText="1"/>
    </xf>
    <xf numFmtId="49" fontId="20" fillId="0" borderId="0" xfId="0" applyNumberFormat="1" applyFont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166" fontId="27" fillId="0" borderId="9" xfId="0" applyNumberFormat="1" applyFont="1" applyBorder="1" applyAlignment="1">
      <alignment horizontal="center" vertical="center"/>
    </xf>
    <xf numFmtId="166" fontId="27" fillId="0" borderId="8" xfId="0" applyNumberFormat="1" applyFont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26" fillId="0" borderId="8" xfId="2" applyNumberFormat="1" applyFont="1" applyBorder="1" applyAlignment="1">
      <alignment horizontal="center" vertical="center"/>
    </xf>
    <xf numFmtId="166" fontId="27" fillId="0" borderId="34" xfId="0" applyNumberFormat="1" applyFont="1" applyBorder="1" applyAlignment="1">
      <alignment horizontal="center" vertical="center"/>
    </xf>
    <xf numFmtId="166" fontId="27" fillId="0" borderId="35" xfId="0" applyNumberFormat="1" applyFont="1" applyBorder="1" applyAlignment="1">
      <alignment horizontal="center" vertical="center"/>
    </xf>
    <xf numFmtId="166" fontId="27" fillId="0" borderId="36" xfId="0" applyNumberFormat="1" applyFont="1" applyBorder="1" applyAlignment="1">
      <alignment horizontal="center" vertical="center"/>
    </xf>
    <xf numFmtId="166" fontId="27" fillId="0" borderId="37" xfId="0" applyNumberFormat="1" applyFont="1" applyBorder="1" applyAlignment="1">
      <alignment horizontal="center" vertical="center"/>
    </xf>
    <xf numFmtId="166" fontId="27" fillId="0" borderId="33" xfId="0" applyNumberFormat="1" applyFont="1" applyBorder="1" applyAlignment="1">
      <alignment horizontal="center" vertical="center"/>
    </xf>
    <xf numFmtId="166" fontId="27" fillId="0" borderId="38" xfId="0" applyNumberFormat="1" applyFont="1" applyBorder="1" applyAlignment="1">
      <alignment horizontal="center" vertical="center"/>
    </xf>
    <xf numFmtId="166" fontId="27" fillId="0" borderId="39" xfId="0" applyNumberFormat="1" applyFont="1" applyBorder="1" applyAlignment="1">
      <alignment horizontal="center" vertical="center"/>
    </xf>
    <xf numFmtId="166" fontId="27" fillId="0" borderId="40" xfId="0" applyNumberFormat="1" applyFont="1" applyBorder="1" applyAlignment="1">
      <alignment horizontal="center" vertical="center"/>
    </xf>
    <xf numFmtId="166" fontId="27" fillId="0" borderId="41" xfId="0" applyNumberFormat="1" applyFont="1" applyBorder="1" applyAlignment="1">
      <alignment horizontal="center" vertical="center"/>
    </xf>
    <xf numFmtId="49" fontId="31" fillId="15" borderId="0" xfId="0" applyNumberFormat="1" applyFont="1" applyFill="1" applyAlignment="1">
      <alignment horizontal="left"/>
    </xf>
    <xf numFmtId="0" fontId="26" fillId="15" borderId="0" xfId="3" applyNumberFormat="1" applyFont="1" applyFill="1" applyAlignment="1">
      <alignment horizontal="center"/>
    </xf>
    <xf numFmtId="49" fontId="26" fillId="15" borderId="0" xfId="3" applyNumberFormat="1" applyFont="1" applyFill="1" applyAlignment="1">
      <alignment horizontal="center"/>
    </xf>
    <xf numFmtId="49" fontId="26" fillId="15" borderId="1" xfId="3" applyNumberFormat="1" applyFont="1" applyFill="1" applyBorder="1" applyAlignment="1">
      <alignment horizontal="center"/>
    </xf>
    <xf numFmtId="49" fontId="20" fillId="15" borderId="0" xfId="0" applyNumberFormat="1" applyFont="1" applyFill="1" applyAlignment="1">
      <alignment horizontal="center" vertical="center" wrapText="1"/>
    </xf>
    <xf numFmtId="49" fontId="27" fillId="15" borderId="0" xfId="0" applyNumberFormat="1" applyFont="1" applyFill="1" applyAlignment="1">
      <alignment vertical="center"/>
    </xf>
    <xf numFmtId="49" fontId="31" fillId="17" borderId="0" xfId="0" applyNumberFormat="1" applyFont="1" applyFill="1" applyAlignment="1">
      <alignment vertical="center"/>
    </xf>
    <xf numFmtId="49" fontId="21" fillId="17" borderId="0" xfId="0" applyNumberFormat="1" applyFont="1" applyFill="1" applyAlignment="1">
      <alignment horizontal="left"/>
    </xf>
    <xf numFmtId="14" fontId="27" fillId="17" borderId="0" xfId="0" applyNumberFormat="1" applyFont="1" applyFill="1" applyAlignment="1">
      <alignment horizontal="left"/>
    </xf>
    <xf numFmtId="49" fontId="31" fillId="16" borderId="0" xfId="0" applyNumberFormat="1" applyFont="1" applyFill="1" applyAlignment="1">
      <alignment horizontal="left"/>
    </xf>
    <xf numFmtId="49" fontId="31" fillId="14" borderId="0" xfId="0" applyNumberFormat="1" applyFont="1" applyFill="1" applyAlignment="1">
      <alignment horizontal="left"/>
    </xf>
    <xf numFmtId="49" fontId="29" fillId="14" borderId="0" xfId="0" applyNumberFormat="1" applyFont="1" applyFill="1" applyAlignment="1">
      <alignment horizontal="center"/>
    </xf>
    <xf numFmtId="49" fontId="26" fillId="14" borderId="0" xfId="3" applyNumberFormat="1" applyFont="1" applyFill="1" applyAlignment="1">
      <alignment horizontal="center"/>
    </xf>
    <xf numFmtId="49" fontId="26" fillId="14" borderId="1" xfId="3" applyNumberFormat="1" applyFont="1" applyFill="1" applyBorder="1" applyAlignment="1">
      <alignment horizontal="center"/>
    </xf>
    <xf numFmtId="49" fontId="31" fillId="18" borderId="0" xfId="0" applyNumberFormat="1" applyFont="1" applyFill="1" applyAlignment="1">
      <alignment horizontal="left"/>
    </xf>
    <xf numFmtId="49" fontId="29" fillId="18" borderId="0" xfId="0" applyNumberFormat="1" applyFont="1" applyFill="1" applyAlignment="1">
      <alignment horizontal="center"/>
    </xf>
    <xf numFmtId="49" fontId="27" fillId="18" borderId="0" xfId="0" applyNumberFormat="1" applyFont="1" applyFill="1" applyAlignment="1">
      <alignment vertical="center"/>
    </xf>
    <xf numFmtId="49" fontId="25" fillId="15" borderId="0" xfId="0" applyNumberFormat="1" applyFont="1" applyFill="1" applyAlignment="1">
      <alignment horizontal="center"/>
    </xf>
    <xf numFmtId="49" fontId="26" fillId="0" borderId="0" xfId="3" applyNumberFormat="1" applyFont="1" applyAlignment="1">
      <alignment horizontal="center"/>
    </xf>
    <xf numFmtId="49" fontId="25" fillId="15" borderId="1" xfId="0" applyNumberFormat="1" applyFont="1" applyFill="1" applyBorder="1" applyAlignment="1">
      <alignment horizontal="center"/>
    </xf>
    <xf numFmtId="9" fontId="35" fillId="0" borderId="0" xfId="20" applyFont="1" applyFill="1" applyBorder="1" applyAlignment="1">
      <alignment horizontal="center" vertical="center"/>
    </xf>
    <xf numFmtId="0" fontId="26" fillId="0" borderId="0" xfId="0" applyNumberFormat="1" applyFont="1" applyAlignment="1">
      <alignment horizontal="left" vertical="top"/>
    </xf>
    <xf numFmtId="49" fontId="26" fillId="12" borderId="0" xfId="3" applyNumberFormat="1" applyFont="1" applyFill="1" applyAlignment="1" applyProtection="1">
      <alignment horizontal="center" vertical="center"/>
      <protection locked="0"/>
    </xf>
    <xf numFmtId="49" fontId="26" fillId="10" borderId="1" xfId="3" applyNumberFormat="1" applyFont="1" applyFill="1" applyBorder="1" applyAlignment="1" applyProtection="1">
      <alignment horizontal="left"/>
      <protection locked="0"/>
    </xf>
    <xf numFmtId="49" fontId="25" fillId="18" borderId="1" xfId="0" applyNumberFormat="1" applyFont="1" applyFill="1" applyBorder="1" applyAlignment="1">
      <alignment horizontal="left"/>
    </xf>
    <xf numFmtId="166" fontId="31" fillId="2" borderId="33" xfId="0" applyNumberFormat="1" applyFont="1" applyFill="1" applyBorder="1" applyAlignment="1">
      <alignment horizontal="center" vertical="center"/>
    </xf>
    <xf numFmtId="166" fontId="21" fillId="0" borderId="34" xfId="0" applyNumberFormat="1" applyFont="1" applyBorder="1" applyAlignment="1">
      <alignment horizontal="center" vertical="center"/>
    </xf>
    <xf numFmtId="166" fontId="21" fillId="0" borderId="35" xfId="0" applyNumberFormat="1" applyFont="1" applyBorder="1" applyAlignment="1">
      <alignment horizontal="center" vertical="center"/>
    </xf>
    <xf numFmtId="166" fontId="21" fillId="0" borderId="36" xfId="0" applyNumberFormat="1" applyFont="1" applyBorder="1" applyAlignment="1">
      <alignment horizontal="center" vertical="center"/>
    </xf>
    <xf numFmtId="166" fontId="21" fillId="0" borderId="37" xfId="0" applyNumberFormat="1" applyFont="1" applyBorder="1" applyAlignment="1">
      <alignment horizontal="center" vertical="center"/>
    </xf>
    <xf numFmtId="166" fontId="21" fillId="0" borderId="38" xfId="0" applyNumberFormat="1" applyFont="1" applyBorder="1" applyAlignment="1">
      <alignment horizontal="center" vertical="center"/>
    </xf>
    <xf numFmtId="166" fontId="31" fillId="2" borderId="37" xfId="0" applyNumberFormat="1" applyFont="1" applyFill="1" applyBorder="1" applyAlignment="1">
      <alignment horizontal="center" vertical="center"/>
    </xf>
    <xf numFmtId="166" fontId="31" fillId="2" borderId="38" xfId="0" applyNumberFormat="1" applyFont="1" applyFill="1" applyBorder="1" applyAlignment="1">
      <alignment horizontal="center" vertical="center"/>
    </xf>
    <xf numFmtId="0" fontId="26" fillId="18" borderId="0" xfId="0" applyNumberFormat="1" applyFont="1" applyFill="1" applyAlignment="1">
      <alignment horizontal="center" vertical="center"/>
    </xf>
    <xf numFmtId="0" fontId="26" fillId="18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left"/>
    </xf>
    <xf numFmtId="9" fontId="27" fillId="0" borderId="7" xfId="2" applyNumberFormat="1" applyFont="1" applyBorder="1" applyAlignment="1">
      <alignment horizontal="center" vertical="center"/>
    </xf>
    <xf numFmtId="9" fontId="27" fillId="0" borderId="0" xfId="2" applyNumberFormat="1" applyFont="1" applyAlignment="1">
      <alignment horizontal="center" vertical="center"/>
    </xf>
    <xf numFmtId="9" fontId="27" fillId="0" borderId="7" xfId="0" applyNumberFormat="1" applyFont="1" applyBorder="1" applyAlignment="1">
      <alignment horizontal="center" vertical="center"/>
    </xf>
    <xf numFmtId="9" fontId="27" fillId="0" borderId="6" xfId="2" applyNumberFormat="1" applyFont="1" applyBorder="1" applyAlignment="1">
      <alignment horizontal="center" vertical="center"/>
    </xf>
    <xf numFmtId="9" fontId="27" fillId="0" borderId="1" xfId="2" applyNumberFormat="1" applyFont="1" applyBorder="1" applyAlignment="1">
      <alignment horizontal="center" vertical="center"/>
    </xf>
    <xf numFmtId="49" fontId="26" fillId="0" borderId="0" xfId="2" applyNumberFormat="1" applyFont="1" applyAlignment="1">
      <alignment horizontal="right" vertical="center"/>
    </xf>
    <xf numFmtId="0" fontId="29" fillId="0" borderId="63" xfId="3" applyNumberFormat="1" applyFont="1" applyBorder="1" applyAlignment="1" applyProtection="1">
      <alignment horizontal="center" vertical="center"/>
      <protection locked="0"/>
    </xf>
    <xf numFmtId="0" fontId="29" fillId="0" borderId="64" xfId="3" applyNumberFormat="1" applyFont="1" applyBorder="1" applyAlignment="1" applyProtection="1">
      <alignment horizontal="center" vertical="center"/>
      <protection locked="0"/>
    </xf>
    <xf numFmtId="9" fontId="26" fillId="0" borderId="42" xfId="0" applyNumberFormat="1" applyFont="1" applyBorder="1" applyAlignment="1">
      <alignment horizontal="center" vertical="center"/>
    </xf>
    <xf numFmtId="9" fontId="26" fillId="0" borderId="43" xfId="0" applyNumberFormat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26" fillId="0" borderId="44" xfId="0" applyNumberFormat="1" applyFont="1" applyBorder="1" applyAlignment="1">
      <alignment horizontal="center" vertical="center"/>
    </xf>
    <xf numFmtId="49" fontId="25" fillId="15" borderId="1" xfId="0" applyNumberFormat="1" applyFont="1" applyFill="1" applyBorder="1" applyAlignment="1">
      <alignment horizontal="left" wrapText="1"/>
    </xf>
    <xf numFmtId="49" fontId="26" fillId="14" borderId="1" xfId="0" applyNumberFormat="1" applyFont="1" applyFill="1" applyBorder="1" applyAlignment="1">
      <alignment horizontal="left" wrapText="1"/>
    </xf>
    <xf numFmtId="49" fontId="26" fillId="11" borderId="0" xfId="3" applyNumberFormat="1" applyFont="1" applyFill="1" applyAlignment="1" applyProtection="1">
      <alignment horizontal="left"/>
      <protection locked="0"/>
    </xf>
    <xf numFmtId="49" fontId="24" fillId="11" borderId="0" xfId="0" applyNumberFormat="1" applyFont="1" applyFill="1"/>
    <xf numFmtId="49" fontId="26" fillId="10" borderId="0" xfId="3" applyNumberFormat="1" applyFont="1" applyFill="1" applyAlignment="1" applyProtection="1">
      <alignment horizontal="left"/>
      <protection locked="0"/>
    </xf>
    <xf numFmtId="49" fontId="24" fillId="10" borderId="0" xfId="0" applyNumberFormat="1" applyFont="1" applyFill="1"/>
    <xf numFmtId="49" fontId="26" fillId="13" borderId="0" xfId="3" applyNumberFormat="1" applyFont="1" applyFill="1" applyAlignment="1" applyProtection="1">
      <alignment horizontal="left"/>
      <protection locked="0"/>
    </xf>
    <xf numFmtId="0" fontId="24" fillId="0" borderId="0" xfId="0" applyNumberFormat="1" applyFont="1" applyAlignment="1">
      <alignment horizontal="center"/>
    </xf>
    <xf numFmtId="49" fontId="26" fillId="0" borderId="1" xfId="2" applyNumberFormat="1" applyFont="1" applyBorder="1" applyAlignment="1">
      <alignment horizontal="left"/>
    </xf>
    <xf numFmtId="0" fontId="23" fillId="0" borderId="0" xfId="0" applyNumberFormat="1" applyFont="1"/>
    <xf numFmtId="0" fontId="27" fillId="0" borderId="0" xfId="3" applyNumberFormat="1" applyFont="1" applyAlignment="1">
      <alignment horizontal="center"/>
    </xf>
    <xf numFmtId="0" fontId="25" fillId="0" borderId="0" xfId="0" applyNumberFormat="1" applyFont="1" applyAlignment="1">
      <alignment horizontal="right"/>
    </xf>
    <xf numFmtId="49" fontId="27" fillId="0" borderId="0" xfId="0" applyNumberFormat="1" applyFont="1" applyAlignment="1">
      <alignment horizontal="right"/>
    </xf>
    <xf numFmtId="49" fontId="25" fillId="0" borderId="1" xfId="0" applyNumberFormat="1" applyFont="1" applyBorder="1" applyAlignment="1">
      <alignment horizontal="center"/>
    </xf>
    <xf numFmtId="49" fontId="26" fillId="2" borderId="6" xfId="5" applyNumberFormat="1" applyFont="1" applyFill="1" applyBorder="1" applyAlignment="1">
      <alignment horizontal="center" vertical="top"/>
    </xf>
    <xf numFmtId="49" fontId="27" fillId="11" borderId="1" xfId="3" applyNumberFormat="1" applyFont="1" applyFill="1" applyBorder="1" applyProtection="1">
      <protection locked="0"/>
    </xf>
    <xf numFmtId="49" fontId="27" fillId="11" borderId="1" xfId="3" applyNumberFormat="1" applyFont="1" applyFill="1" applyBorder="1" applyAlignment="1" applyProtection="1">
      <alignment shrinkToFit="1"/>
      <protection locked="0"/>
    </xf>
    <xf numFmtId="49" fontId="27" fillId="10" borderId="1" xfId="3" applyNumberFormat="1" applyFont="1" applyFill="1" applyBorder="1" applyAlignment="1" applyProtection="1">
      <alignment vertical="center" shrinkToFit="1"/>
      <protection locked="0"/>
    </xf>
    <xf numFmtId="49" fontId="27" fillId="13" borderId="1" xfId="3" applyNumberFormat="1" applyFont="1" applyFill="1" applyBorder="1" applyAlignment="1" applyProtection="1">
      <alignment vertical="center" shrinkToFit="1"/>
      <protection locked="0"/>
    </xf>
    <xf numFmtId="49" fontId="27" fillId="11" borderId="1" xfId="3" applyNumberFormat="1" applyFont="1" applyFill="1" applyBorder="1" applyAlignment="1" applyProtection="1">
      <alignment vertical="center" shrinkToFit="1"/>
      <protection locked="0"/>
    </xf>
    <xf numFmtId="49" fontId="25" fillId="0" borderId="56" xfId="0" applyNumberFormat="1" applyFont="1" applyBorder="1" applyAlignment="1">
      <alignment horizontal="center" vertical="center"/>
    </xf>
    <xf numFmtId="49" fontId="26" fillId="0" borderId="0" xfId="6" applyNumberFormat="1" applyFont="1" applyAlignment="1">
      <alignment horizontal="left" vertical="top"/>
    </xf>
    <xf numFmtId="0" fontId="21" fillId="0" borderId="0" xfId="0" applyNumberFormat="1" applyFont="1" applyAlignment="1">
      <alignment horizontal="center" textRotation="90" wrapText="1"/>
    </xf>
    <xf numFmtId="49" fontId="38" fillId="0" borderId="0" xfId="0" applyNumberFormat="1" applyFont="1"/>
    <xf numFmtId="49" fontId="27" fillId="11" borderId="0" xfId="3" applyNumberFormat="1" applyFont="1" applyFill="1" applyProtection="1">
      <protection locked="0"/>
    </xf>
    <xf numFmtId="49" fontId="27" fillId="11" borderId="0" xfId="3" applyNumberFormat="1" applyFont="1" applyFill="1" applyAlignment="1" applyProtection="1">
      <alignment shrinkToFit="1"/>
      <protection locked="0"/>
    </xf>
    <xf numFmtId="49" fontId="27" fillId="10" borderId="0" xfId="3" applyNumberFormat="1" applyFont="1" applyFill="1" applyAlignment="1" applyProtection="1">
      <alignment shrinkToFit="1"/>
      <protection locked="0"/>
    </xf>
    <xf numFmtId="49" fontId="27" fillId="13" borderId="0" xfId="3" applyNumberFormat="1" applyFont="1" applyFill="1" applyAlignment="1" applyProtection="1">
      <alignment shrinkToFit="1"/>
      <protection locked="0"/>
    </xf>
    <xf numFmtId="49" fontId="24" fillId="13" borderId="0" xfId="0" applyNumberFormat="1" applyFont="1" applyFill="1"/>
    <xf numFmtId="49" fontId="24" fillId="0" borderId="7" xfId="0" applyNumberFormat="1" applyFont="1" applyBorder="1"/>
    <xf numFmtId="49" fontId="27" fillId="10" borderId="0" xfId="3" applyNumberFormat="1" applyFont="1" applyFill="1" applyAlignment="1" applyProtection="1">
      <alignment vertical="center" shrinkToFit="1"/>
      <protection locked="0"/>
    </xf>
    <xf numFmtId="49" fontId="27" fillId="13" borderId="0" xfId="3" applyNumberFormat="1" applyFont="1" applyFill="1" applyAlignment="1" applyProtection="1">
      <alignment vertical="center" shrinkToFit="1"/>
      <protection locked="0"/>
    </xf>
    <xf numFmtId="49" fontId="34" fillId="0" borderId="0" xfId="3" applyNumberFormat="1" applyFont="1"/>
    <xf numFmtId="0" fontId="27" fillId="0" borderId="0" xfId="0" applyNumberFormat="1" applyFont="1"/>
    <xf numFmtId="49" fontId="27" fillId="12" borderId="1" xfId="3" applyNumberFormat="1" applyFont="1" applyFill="1" applyBorder="1" applyAlignment="1" applyProtection="1">
      <alignment horizontal="left" vertical="center"/>
      <protection locked="0"/>
    </xf>
    <xf numFmtId="49" fontId="20" fillId="11" borderId="0" xfId="3" applyNumberFormat="1" applyFont="1" applyFill="1" applyAlignment="1" applyProtection="1">
      <alignment horizontal="center" vertical="center"/>
      <protection locked="0"/>
    </xf>
    <xf numFmtId="49" fontId="20" fillId="10" borderId="0" xfId="3" applyNumberFormat="1" applyFont="1" applyFill="1" applyAlignment="1" applyProtection="1">
      <alignment horizontal="center" vertical="center"/>
      <protection locked="0"/>
    </xf>
    <xf numFmtId="49" fontId="26" fillId="18" borderId="0" xfId="0" applyNumberFormat="1" applyFont="1" applyFill="1" applyAlignment="1">
      <alignment horizontal="left"/>
    </xf>
    <xf numFmtId="49" fontId="26" fillId="18" borderId="0" xfId="0" applyNumberFormat="1" applyFont="1" applyFill="1" applyAlignment="1">
      <alignment horizontal="center" vertical="center"/>
    </xf>
    <xf numFmtId="49" fontId="26" fillId="0" borderId="0" xfId="5" applyNumberFormat="1" applyFont="1" applyAlignment="1">
      <alignment horizontal="center" textRotation="90"/>
    </xf>
    <xf numFmtId="49" fontId="26" fillId="18" borderId="1" xfId="0" applyNumberFormat="1" applyFont="1" applyFill="1" applyBorder="1" applyAlignment="1">
      <alignment horizontal="center" vertical="center"/>
    </xf>
    <xf numFmtId="49" fontId="26" fillId="0" borderId="0" xfId="5" applyNumberFormat="1" applyFont="1" applyAlignment="1">
      <alignment textRotation="90"/>
    </xf>
    <xf numFmtId="49" fontId="26" fillId="0" borderId="0" xfId="0" applyNumberFormat="1" applyFont="1" applyAlignment="1">
      <alignment horizontal="left" vertical="center"/>
    </xf>
    <xf numFmtId="0" fontId="27" fillId="0" borderId="13" xfId="0" applyNumberFormat="1" applyFont="1" applyBorder="1" applyAlignment="1">
      <alignment horizontal="center" vertical="center"/>
    </xf>
    <xf numFmtId="0" fontId="35" fillId="0" borderId="0" xfId="20" applyNumberFormat="1" applyFont="1" applyFill="1" applyBorder="1" applyAlignment="1">
      <alignment horizontal="center" vertical="center"/>
    </xf>
    <xf numFmtId="0" fontId="35" fillId="0" borderId="0" xfId="0" applyNumberFormat="1" applyFont="1" applyAlignment="1">
      <alignment horizontal="center" vertical="center"/>
    </xf>
    <xf numFmtId="49" fontId="20" fillId="13" borderId="21" xfId="3" applyNumberFormat="1" applyFont="1" applyFill="1" applyBorder="1" applyAlignment="1" applyProtection="1">
      <alignment horizontal="center" vertical="center"/>
      <protection locked="0"/>
    </xf>
    <xf numFmtId="49" fontId="31" fillId="15" borderId="20" xfId="0" applyNumberFormat="1" applyFont="1" applyFill="1" applyBorder="1"/>
    <xf numFmtId="49" fontId="26" fillId="15" borderId="20" xfId="3" applyNumberFormat="1" applyFont="1" applyFill="1" applyBorder="1" applyAlignment="1">
      <alignment horizontal="right" vertical="center"/>
    </xf>
    <xf numFmtId="49" fontId="27" fillId="15" borderId="20" xfId="3" applyNumberFormat="1" applyFont="1" applyFill="1" applyBorder="1"/>
    <xf numFmtId="49" fontId="31" fillId="14" borderId="20" xfId="0" applyNumberFormat="1" applyFont="1" applyFill="1" applyBorder="1"/>
    <xf numFmtId="49" fontId="38" fillId="14" borderId="20" xfId="0" applyNumberFormat="1" applyFont="1" applyFill="1" applyBorder="1"/>
    <xf numFmtId="49" fontId="26" fillId="0" borderId="20" xfId="0" applyNumberFormat="1" applyFont="1" applyBorder="1" applyAlignment="1">
      <alignment horizontal="left"/>
    </xf>
    <xf numFmtId="49" fontId="26" fillId="0" borderId="20" xfId="2" applyNumberFormat="1" applyFont="1" applyBorder="1" applyAlignment="1">
      <alignment horizontal="left"/>
    </xf>
    <xf numFmtId="49" fontId="26" fillId="0" borderId="20" xfId="0" applyNumberFormat="1" applyFont="1" applyBorder="1" applyAlignment="1">
      <alignment horizontal="center"/>
    </xf>
    <xf numFmtId="49" fontId="26" fillId="0" borderId="20" xfId="0" applyNumberFormat="1" applyFont="1" applyBorder="1"/>
    <xf numFmtId="0" fontId="29" fillId="0" borderId="20" xfId="0" applyNumberFormat="1" applyFont="1" applyBorder="1" applyAlignment="1">
      <alignment horizontal="center" vertical="center"/>
    </xf>
    <xf numFmtId="49" fontId="26" fillId="11" borderId="20" xfId="3" applyNumberFormat="1" applyFont="1" applyFill="1" applyBorder="1" applyAlignment="1" applyProtection="1">
      <alignment horizontal="center"/>
      <protection locked="0"/>
    </xf>
    <xf numFmtId="49" fontId="26" fillId="10" borderId="20" xfId="3" applyNumberFormat="1" applyFont="1" applyFill="1" applyBorder="1" applyAlignment="1" applyProtection="1">
      <alignment horizontal="center"/>
      <protection locked="0"/>
    </xf>
    <xf numFmtId="49" fontId="26" fillId="13" borderId="20" xfId="3" applyNumberFormat="1" applyFont="1" applyFill="1" applyBorder="1" applyAlignment="1" applyProtection="1">
      <alignment horizontal="center"/>
      <protection locked="0"/>
    </xf>
    <xf numFmtId="49" fontId="26" fillId="6" borderId="20" xfId="0" applyNumberFormat="1" applyFont="1" applyFill="1" applyBorder="1" applyAlignment="1">
      <alignment horizontal="center" wrapText="1"/>
    </xf>
    <xf numFmtId="49" fontId="26" fillId="7" borderId="20" xfId="0" applyNumberFormat="1" applyFont="1" applyFill="1" applyBorder="1" applyAlignment="1">
      <alignment horizontal="center" wrapText="1"/>
    </xf>
    <xf numFmtId="49" fontId="26" fillId="6" borderId="20" xfId="0" applyNumberFormat="1" applyFont="1" applyFill="1" applyBorder="1" applyAlignment="1">
      <alignment horizontal="left"/>
    </xf>
    <xf numFmtId="49" fontId="26" fillId="18" borderId="29" xfId="5" applyNumberFormat="1" applyFont="1" applyFill="1" applyBorder="1" applyAlignment="1">
      <alignment horizontal="left" wrapText="1"/>
    </xf>
    <xf numFmtId="49" fontId="26" fillId="18" borderId="20" xfId="5" applyNumberFormat="1" applyFont="1" applyFill="1" applyBorder="1" applyAlignment="1">
      <alignment horizontal="left" wrapText="1"/>
    </xf>
    <xf numFmtId="49" fontId="26" fillId="18" borderId="22" xfId="5" applyNumberFormat="1" applyFont="1" applyFill="1" applyBorder="1" applyAlignment="1">
      <alignment horizontal="left" wrapText="1"/>
    </xf>
    <xf numFmtId="49" fontId="27" fillId="0" borderId="0" xfId="6" applyNumberFormat="1" applyFont="1" applyAlignment="1">
      <alignment horizontal="left"/>
    </xf>
    <xf numFmtId="49" fontId="27" fillId="0" borderId="0" xfId="6" applyNumberFormat="1" applyFont="1" applyAlignment="1">
      <alignment horizontal="right"/>
    </xf>
    <xf numFmtId="49" fontId="26" fillId="0" borderId="0" xfId="6" applyNumberFormat="1" applyFont="1" applyAlignment="1">
      <alignment horizontal="right" vertical="center"/>
    </xf>
    <xf numFmtId="49" fontId="26" fillId="0" borderId="0" xfId="6" applyNumberFormat="1" applyFont="1" applyAlignment="1">
      <alignment horizontal="right"/>
    </xf>
    <xf numFmtId="49" fontId="26" fillId="0" borderId="0" xfId="0" applyNumberFormat="1" applyFont="1" applyAlignment="1">
      <alignment horizontal="left" vertical="center" wrapText="1" indent="1"/>
    </xf>
    <xf numFmtId="49" fontId="27" fillId="0" borderId="0" xfId="0" applyNumberFormat="1" applyFont="1" applyAlignment="1">
      <alignment horizontal="left" vertical="center" wrapText="1" indent="1"/>
    </xf>
    <xf numFmtId="0" fontId="24" fillId="8" borderId="31" xfId="0" applyNumberFormat="1" applyFont="1" applyFill="1" applyBorder="1" applyAlignment="1">
      <alignment horizontal="center"/>
    </xf>
    <xf numFmtId="0" fontId="24" fillId="8" borderId="9" xfId="0" applyNumberFormat="1" applyFont="1" applyFill="1" applyBorder="1" applyAlignment="1">
      <alignment horizontal="center"/>
    </xf>
    <xf numFmtId="0" fontId="24" fillId="8" borderId="8" xfId="0" applyNumberFormat="1" applyFont="1" applyFill="1" applyBorder="1" applyAlignment="1">
      <alignment horizontal="center"/>
    </xf>
    <xf numFmtId="49" fontId="24" fillId="8" borderId="0" xfId="0" applyNumberFormat="1" applyFont="1" applyFill="1" applyAlignment="1">
      <alignment horizontal="center"/>
    </xf>
    <xf numFmtId="49" fontId="24" fillId="8" borderId="1" xfId="0" applyNumberFormat="1" applyFont="1" applyFill="1" applyBorder="1" applyAlignment="1">
      <alignment horizontal="center"/>
    </xf>
    <xf numFmtId="49" fontId="27" fillId="8" borderId="0" xfId="3" applyNumberFormat="1" applyFont="1" applyFill="1"/>
    <xf numFmtId="1" fontId="27" fillId="8" borderId="26" xfId="3" applyNumberFormat="1" applyFont="1" applyFill="1" applyBorder="1" applyAlignment="1" applyProtection="1">
      <alignment horizontal="center"/>
      <protection locked="0"/>
    </xf>
    <xf numFmtId="1" fontId="27" fillId="8" borderId="12" xfId="3" applyNumberFormat="1" applyFont="1" applyFill="1" applyBorder="1" applyAlignment="1" applyProtection="1">
      <alignment horizontal="center"/>
      <protection locked="0"/>
    </xf>
    <xf numFmtId="49" fontId="27" fillId="8" borderId="1" xfId="3" applyNumberFormat="1" applyFont="1" applyFill="1" applyBorder="1"/>
    <xf numFmtId="1" fontId="27" fillId="8" borderId="16" xfId="3" applyNumberFormat="1" applyFont="1" applyFill="1" applyBorder="1" applyAlignment="1" applyProtection="1">
      <alignment horizontal="center"/>
      <protection locked="0"/>
    </xf>
    <xf numFmtId="9" fontId="27" fillId="8" borderId="0" xfId="1" applyNumberFormat="1" applyFont="1" applyFill="1" applyAlignment="1">
      <alignment horizontal="center"/>
    </xf>
    <xf numFmtId="1" fontId="27" fillId="8" borderId="0" xfId="0" applyNumberFormat="1" applyFont="1" applyFill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/>
    </xf>
    <xf numFmtId="49" fontId="27" fillId="8" borderId="7" xfId="2" applyNumberFormat="1" applyFont="1" applyFill="1" applyBorder="1" applyAlignment="1" applyProtection="1">
      <alignment horizontal="center"/>
      <protection locked="0"/>
    </xf>
    <xf numFmtId="49" fontId="27" fillId="8" borderId="6" xfId="2" applyNumberFormat="1" applyFont="1" applyFill="1" applyBorder="1" applyAlignment="1" applyProtection="1">
      <alignment horizontal="center"/>
      <protection locked="0"/>
    </xf>
    <xf numFmtId="166" fontId="21" fillId="8" borderId="37" xfId="0" applyNumberFormat="1" applyFont="1" applyFill="1" applyBorder="1" applyAlignment="1">
      <alignment horizontal="center" vertical="center"/>
    </xf>
    <xf numFmtId="166" fontId="21" fillId="8" borderId="33" xfId="0" applyNumberFormat="1" applyFont="1" applyFill="1" applyBorder="1" applyAlignment="1">
      <alignment horizontal="center" vertical="center"/>
    </xf>
    <xf numFmtId="166" fontId="21" fillId="8" borderId="38" xfId="0" applyNumberFormat="1" applyFont="1" applyFill="1" applyBorder="1" applyAlignment="1">
      <alignment horizontal="center" vertical="center"/>
    </xf>
    <xf numFmtId="166" fontId="31" fillId="8" borderId="39" xfId="0" applyNumberFormat="1" applyFont="1" applyFill="1" applyBorder="1" applyAlignment="1">
      <alignment horizontal="center" vertical="center"/>
    </xf>
    <xf numFmtId="166" fontId="31" fillId="8" borderId="40" xfId="0" applyNumberFormat="1" applyFont="1" applyFill="1" applyBorder="1" applyAlignment="1">
      <alignment horizontal="center" vertical="center"/>
    </xf>
    <xf numFmtId="166" fontId="31" fillId="8" borderId="41" xfId="0" applyNumberFormat="1" applyFont="1" applyFill="1" applyBorder="1" applyAlignment="1">
      <alignment horizontal="center" vertical="center"/>
    </xf>
    <xf numFmtId="0" fontId="27" fillId="8" borderId="58" xfId="0" applyNumberFormat="1" applyFont="1" applyFill="1" applyBorder="1" applyAlignment="1">
      <alignment horizontal="center" vertical="center"/>
    </xf>
    <xf numFmtId="0" fontId="27" fillId="8" borderId="59" xfId="0" applyNumberFormat="1" applyFont="1" applyFill="1" applyBorder="1" applyAlignment="1">
      <alignment horizontal="center" vertical="center"/>
    </xf>
    <xf numFmtId="0" fontId="27" fillId="8" borderId="60" xfId="0" applyNumberFormat="1" applyFont="1" applyFill="1" applyBorder="1" applyAlignment="1">
      <alignment horizontal="center" vertical="center"/>
    </xf>
    <xf numFmtId="0" fontId="27" fillId="8" borderId="0" xfId="0" applyNumberFormat="1" applyFont="1" applyFill="1" applyAlignment="1">
      <alignment horizontal="center" vertical="center"/>
    </xf>
    <xf numFmtId="0" fontId="27" fillId="8" borderId="7" xfId="0" applyNumberFormat="1" applyFont="1" applyFill="1" applyBorder="1" applyAlignment="1">
      <alignment horizontal="center" vertical="center"/>
    </xf>
    <xf numFmtId="0" fontId="27" fillId="8" borderId="9" xfId="0" applyNumberFormat="1" applyFont="1" applyFill="1" applyBorder="1" applyAlignment="1">
      <alignment horizontal="center" vertical="center"/>
    </xf>
    <xf numFmtId="0" fontId="27" fillId="8" borderId="1" xfId="0" applyNumberFormat="1" applyFont="1" applyFill="1" applyBorder="1" applyAlignment="1">
      <alignment horizontal="center" vertical="center"/>
    </xf>
    <xf numFmtId="0" fontId="27" fillId="8" borderId="6" xfId="0" applyNumberFormat="1" applyFont="1" applyFill="1" applyBorder="1" applyAlignment="1">
      <alignment horizontal="center" vertical="center"/>
    </xf>
    <xf numFmtId="0" fontId="27" fillId="8" borderId="8" xfId="0" applyNumberFormat="1" applyFont="1" applyFill="1" applyBorder="1" applyAlignment="1">
      <alignment horizontal="center" vertical="center"/>
    </xf>
    <xf numFmtId="1" fontId="27" fillId="8" borderId="7" xfId="0" applyNumberFormat="1" applyFont="1" applyFill="1" applyBorder="1" applyAlignment="1">
      <alignment horizontal="center" vertical="center"/>
    </xf>
    <xf numFmtId="1" fontId="27" fillId="8" borderId="9" xfId="0" applyNumberFormat="1" applyFont="1" applyFill="1" applyBorder="1" applyAlignment="1">
      <alignment horizontal="center" vertical="center"/>
    </xf>
    <xf numFmtId="1" fontId="27" fillId="8" borderId="6" xfId="0" applyNumberFormat="1" applyFont="1" applyFill="1" applyBorder="1" applyAlignment="1">
      <alignment horizontal="center" vertical="center"/>
    </xf>
    <xf numFmtId="1" fontId="27" fillId="8" borderId="8" xfId="0" applyNumberFormat="1" applyFont="1" applyFill="1" applyBorder="1" applyAlignment="1">
      <alignment horizontal="center" vertical="center"/>
    </xf>
    <xf numFmtId="49" fontId="27" fillId="0" borderId="7" xfId="0" applyNumberFormat="1" applyFont="1" applyBorder="1"/>
    <xf numFmtId="49" fontId="26" fillId="10" borderId="4" xfId="3" applyNumberFormat="1" applyFont="1" applyFill="1" applyBorder="1" applyAlignment="1" applyProtection="1">
      <alignment horizontal="left"/>
      <protection locked="0"/>
    </xf>
    <xf numFmtId="49" fontId="26" fillId="0" borderId="29" xfId="0" applyNumberFormat="1" applyFont="1" applyBorder="1" applyAlignment="1">
      <alignment horizontal="left"/>
    </xf>
    <xf numFmtId="0" fontId="27" fillId="0" borderId="19" xfId="2" applyNumberFormat="1" applyFont="1" applyBorder="1" applyAlignment="1">
      <alignment horizontal="center"/>
    </xf>
    <xf numFmtId="49" fontId="26" fillId="11" borderId="4" xfId="3" applyNumberFormat="1" applyFont="1" applyFill="1" applyBorder="1" applyAlignment="1" applyProtection="1">
      <alignment horizontal="left"/>
      <protection locked="0"/>
    </xf>
    <xf numFmtId="49" fontId="26" fillId="13" borderId="4" xfId="3" applyNumberFormat="1" applyFont="1" applyFill="1" applyBorder="1" applyAlignment="1" applyProtection="1">
      <alignment horizontal="left"/>
      <protection locked="0"/>
    </xf>
    <xf numFmtId="49" fontId="26" fillId="0" borderId="0" xfId="6" applyNumberFormat="1" applyFont="1" applyAlignment="1">
      <alignment horizontal="center" vertical="center"/>
    </xf>
    <xf numFmtId="0" fontId="27" fillId="0" borderId="0" xfId="0" applyNumberFormat="1" applyFont="1" applyAlignment="1">
      <alignment horizontal="left"/>
    </xf>
    <xf numFmtId="14" fontId="27" fillId="0" borderId="0" xfId="0" applyNumberFormat="1" applyFont="1"/>
    <xf numFmtId="0" fontId="26" fillId="0" borderId="1" xfId="0" applyNumberFormat="1" applyFont="1" applyBorder="1" applyAlignment="1">
      <alignment horizontal="center" wrapText="1"/>
    </xf>
    <xf numFmtId="0" fontId="26" fillId="11" borderId="1" xfId="3" applyNumberFormat="1" applyFont="1" applyFill="1" applyBorder="1" applyAlignment="1" applyProtection="1">
      <alignment horizontal="center"/>
      <protection locked="0"/>
    </xf>
    <xf numFmtId="0" fontId="26" fillId="10" borderId="1" xfId="3" applyNumberFormat="1" applyFont="1" applyFill="1" applyBorder="1" applyAlignment="1" applyProtection="1">
      <alignment horizontal="center"/>
      <protection locked="0"/>
    </xf>
    <xf numFmtId="0" fontId="26" fillId="13" borderId="1" xfId="3" applyNumberFormat="1" applyFont="1" applyFill="1" applyBorder="1" applyAlignment="1" applyProtection="1">
      <alignment horizontal="center"/>
      <protection locked="0"/>
    </xf>
    <xf numFmtId="0" fontId="26" fillId="2" borderId="0" xfId="0" applyNumberFormat="1" applyFont="1" applyFill="1" applyAlignment="1">
      <alignment horizontal="left"/>
    </xf>
    <xf numFmtId="0" fontId="26" fillId="2" borderId="7" xfId="0" applyNumberFormat="1" applyFont="1" applyFill="1" applyBorder="1" applyAlignment="1">
      <alignment horizontal="left"/>
    </xf>
    <xf numFmtId="0" fontId="26" fillId="7" borderId="1" xfId="0" applyNumberFormat="1" applyFont="1" applyFill="1" applyBorder="1" applyAlignment="1">
      <alignment horizontal="right"/>
    </xf>
    <xf numFmtId="0" fontId="26" fillId="7" borderId="6" xfId="0" applyNumberFormat="1" applyFont="1" applyFill="1" applyBorder="1" applyAlignment="1">
      <alignment horizontal="right"/>
    </xf>
    <xf numFmtId="0" fontId="26" fillId="0" borderId="4" xfId="0" applyNumberFormat="1" applyFont="1" applyBorder="1" applyAlignment="1">
      <alignment horizontal="center"/>
    </xf>
    <xf numFmtId="0" fontId="26" fillId="0" borderId="33" xfId="0" applyNumberFormat="1" applyFont="1" applyBorder="1" applyAlignment="1">
      <alignment horizontal="center"/>
    </xf>
    <xf numFmtId="0" fontId="28" fillId="0" borderId="0" xfId="0" applyNumberFormat="1" applyFont="1" applyAlignment="1">
      <alignment horizontal="left"/>
    </xf>
    <xf numFmtId="0" fontId="26" fillId="7" borderId="20" xfId="0" applyNumberFormat="1" applyFont="1" applyFill="1" applyBorder="1" applyAlignment="1">
      <alignment horizontal="left" wrapText="1"/>
    </xf>
    <xf numFmtId="0" fontId="26" fillId="0" borderId="0" xfId="3" applyNumberFormat="1" applyFont="1" applyAlignment="1" applyProtection="1">
      <alignment horizontal="center"/>
      <protection locked="0"/>
    </xf>
    <xf numFmtId="9" fontId="27" fillId="0" borderId="0" xfId="0" applyNumberFormat="1" applyFont="1" applyAlignment="1">
      <alignment horizontal="center"/>
    </xf>
    <xf numFmtId="0" fontId="24" fillId="0" borderId="0" xfId="0" applyNumberFormat="1" applyFont="1"/>
    <xf numFmtId="0" fontId="27" fillId="0" borderId="0" xfId="6" applyNumberFormat="1" applyFont="1" applyAlignment="1">
      <alignment horizontal="center" vertical="center"/>
    </xf>
    <xf numFmtId="0" fontId="26" fillId="0" borderId="0" xfId="6" applyNumberFormat="1" applyFont="1" applyAlignment="1">
      <alignment horizontal="right" vertical="center"/>
    </xf>
    <xf numFmtId="0" fontId="27" fillId="0" borderId="0" xfId="6" applyNumberFormat="1" applyFont="1" applyAlignment="1">
      <alignment horizontal="left" vertical="center"/>
    </xf>
    <xf numFmtId="0" fontId="26" fillId="0" borderId="0" xfId="6" applyNumberFormat="1" applyFont="1" applyAlignment="1">
      <alignment horizontal="center" vertical="center"/>
    </xf>
    <xf numFmtId="0" fontId="27" fillId="0" borderId="1" xfId="6" applyNumberFormat="1" applyFont="1" applyBorder="1" applyAlignment="1">
      <alignment horizontal="left" vertical="center"/>
    </xf>
    <xf numFmtId="0" fontId="26" fillId="0" borderId="1" xfId="6" applyNumberFormat="1" applyFont="1" applyBorder="1" applyAlignment="1">
      <alignment horizontal="center" vertical="center"/>
    </xf>
    <xf numFmtId="0" fontId="27" fillId="0" borderId="1" xfId="6" applyNumberFormat="1" applyFont="1" applyBorder="1" applyAlignment="1">
      <alignment horizontal="center" vertical="center"/>
    </xf>
    <xf numFmtId="0" fontId="26" fillId="6" borderId="3" xfId="6" applyNumberFormat="1" applyFont="1" applyFill="1" applyBorder="1" applyAlignment="1">
      <alignment horizontal="center" vertical="center"/>
    </xf>
    <xf numFmtId="49" fontId="27" fillId="8" borderId="1" xfId="2" applyNumberFormat="1" applyFont="1" applyFill="1" applyBorder="1" applyAlignment="1" applyProtection="1">
      <alignment horizontal="center"/>
      <protection locked="0"/>
    </xf>
    <xf numFmtId="0" fontId="25" fillId="0" borderId="1" xfId="0" applyNumberFormat="1" applyFont="1" applyBorder="1" applyAlignment="1">
      <alignment horizontal="center"/>
    </xf>
    <xf numFmtId="0" fontId="26" fillId="10" borderId="0" xfId="3" applyNumberFormat="1" applyFont="1" applyFill="1" applyAlignment="1" applyProtection="1">
      <alignment horizontal="center" vertical="center"/>
      <protection locked="0"/>
    </xf>
    <xf numFmtId="0" fontId="26" fillId="11" borderId="0" xfId="3" applyNumberFormat="1" applyFont="1" applyFill="1" applyAlignment="1" applyProtection="1">
      <alignment horizontal="center" vertical="center"/>
      <protection locked="0"/>
    </xf>
    <xf numFmtId="0" fontId="25" fillId="18" borderId="0" xfId="0" applyNumberFormat="1" applyFont="1" applyFill="1" applyAlignment="1">
      <alignment horizontal="center" vertical="center"/>
    </xf>
    <xf numFmtId="14" fontId="24" fillId="0" borderId="0" xfId="0" applyNumberFormat="1" applyFont="1" applyAlignment="1">
      <alignment horizontal="left" vertical="center"/>
    </xf>
    <xf numFmtId="0" fontId="24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left" vertical="center"/>
    </xf>
    <xf numFmtId="0" fontId="25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left" vertical="center"/>
    </xf>
    <xf numFmtId="0" fontId="25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right" vertical="center"/>
    </xf>
    <xf numFmtId="0" fontId="25" fillId="18" borderId="1" xfId="0" applyNumberFormat="1" applyFont="1" applyFill="1" applyBorder="1" applyAlignment="1">
      <alignment horizontal="center" vertical="center"/>
    </xf>
    <xf numFmtId="49" fontId="31" fillId="0" borderId="0" xfId="0" applyNumberFormat="1" applyFont="1"/>
    <xf numFmtId="0" fontId="26" fillId="0" borderId="0" xfId="3" applyNumberFormat="1" applyFont="1" applyAlignment="1" applyProtection="1">
      <alignment horizontal="left"/>
      <protection locked="0"/>
    </xf>
    <xf numFmtId="0" fontId="27" fillId="0" borderId="0" xfId="6" applyNumberFormat="1" applyFont="1" applyAlignment="1">
      <alignment horizontal="center"/>
    </xf>
    <xf numFmtId="0" fontId="27" fillId="0" borderId="0" xfId="6" applyNumberFormat="1" applyFont="1" applyAlignment="1">
      <alignment horizontal="right"/>
    </xf>
    <xf numFmtId="0" fontId="27" fillId="0" borderId="0" xfId="6" applyNumberFormat="1" applyFont="1" applyAlignment="1">
      <alignment horizontal="left"/>
    </xf>
    <xf numFmtId="49" fontId="26" fillId="12" borderId="4" xfId="3" applyNumberFormat="1" applyFont="1" applyFill="1" applyBorder="1" applyAlignment="1" applyProtection="1">
      <alignment horizontal="left"/>
      <protection locked="0"/>
    </xf>
    <xf numFmtId="9" fontId="26" fillId="0" borderId="29" xfId="2" applyNumberFormat="1" applyFont="1" applyBorder="1" applyAlignment="1">
      <alignment horizontal="left"/>
    </xf>
    <xf numFmtId="9" fontId="26" fillId="0" borderId="7" xfId="0" applyNumberFormat="1" applyFont="1" applyBorder="1" applyAlignment="1">
      <alignment horizontal="center" vertical="center" wrapText="1"/>
    </xf>
    <xf numFmtId="9" fontId="26" fillId="0" borderId="6" xfId="0" applyNumberFormat="1" applyFont="1" applyBorder="1" applyAlignment="1">
      <alignment horizontal="center" vertical="center" wrapText="1"/>
    </xf>
    <xf numFmtId="1" fontId="26" fillId="0" borderId="7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27" fillId="0" borderId="13" xfId="2" applyNumberFormat="1" applyFont="1" applyBorder="1" applyAlignment="1">
      <alignment horizontal="center" vertical="center"/>
    </xf>
    <xf numFmtId="0" fontId="27" fillId="0" borderId="46" xfId="2" applyNumberFormat="1" applyFont="1" applyBorder="1" applyAlignment="1">
      <alignment horizontal="center" vertical="center"/>
    </xf>
    <xf numFmtId="9" fontId="27" fillId="0" borderId="0" xfId="1" applyNumberFormat="1" applyFont="1" applyAlignment="1">
      <alignment horizontal="center"/>
    </xf>
    <xf numFmtId="0" fontId="21" fillId="0" borderId="9" xfId="0" applyNumberFormat="1" applyFont="1" applyBorder="1" applyAlignment="1">
      <alignment horizontal="center" textRotation="90" wrapText="1"/>
    </xf>
    <xf numFmtId="49" fontId="26" fillId="0" borderId="0" xfId="0" applyNumberFormat="1" applyFont="1" applyAlignment="1">
      <alignment horizontal="center" vertical="center"/>
    </xf>
    <xf numFmtId="0" fontId="27" fillId="0" borderId="0" xfId="0" applyNumberFormat="1" applyFont="1" applyAlignment="1">
      <alignment horizontal="right"/>
    </xf>
    <xf numFmtId="0" fontId="27" fillId="0" borderId="71" xfId="6" applyNumberFormat="1" applyFont="1" applyBorder="1" applyAlignment="1">
      <alignment horizontal="center" vertical="center" wrapText="1"/>
    </xf>
    <xf numFmtId="0" fontId="27" fillId="0" borderId="71" xfId="6" applyNumberFormat="1" applyFont="1" applyBorder="1" applyAlignment="1">
      <alignment horizontal="right" vertical="center" wrapText="1"/>
    </xf>
    <xf numFmtId="0" fontId="27" fillId="0" borderId="71" xfId="6" applyNumberFormat="1" applyFont="1" applyBorder="1" applyAlignment="1">
      <alignment horizontal="left" vertical="center" wrapText="1"/>
    </xf>
    <xf numFmtId="49" fontId="27" fillId="0" borderId="71" xfId="6" applyNumberFormat="1" applyFont="1" applyBorder="1" applyAlignment="1">
      <alignment horizontal="center" vertical="center" wrapText="1"/>
    </xf>
    <xf numFmtId="49" fontId="27" fillId="0" borderId="71" xfId="6" applyNumberFormat="1" applyFont="1" applyBorder="1" applyAlignment="1">
      <alignment horizontal="right" vertical="center" wrapText="1"/>
    </xf>
    <xf numFmtId="0" fontId="27" fillId="19" borderId="72" xfId="6" applyNumberFormat="1" applyFont="1" applyFill="1" applyBorder="1" applyAlignment="1">
      <alignment horizontal="center" vertical="center" wrapText="1"/>
    </xf>
    <xf numFmtId="0" fontId="27" fillId="0" borderId="73" xfId="6" applyNumberFormat="1" applyFont="1" applyBorder="1" applyAlignment="1">
      <alignment horizontal="center" vertical="center" wrapText="1"/>
    </xf>
    <xf numFmtId="0" fontId="27" fillId="19" borderId="72" xfId="6" applyNumberFormat="1" applyFont="1" applyFill="1" applyBorder="1" applyAlignment="1">
      <alignment horizontal="right" vertical="center" wrapText="1"/>
    </xf>
    <xf numFmtId="0" fontId="27" fillId="0" borderId="73" xfId="6" applyNumberFormat="1" applyFont="1" applyBorder="1" applyAlignment="1">
      <alignment horizontal="right" vertical="center" wrapText="1"/>
    </xf>
    <xf numFmtId="0" fontId="27" fillId="19" borderId="72" xfId="6" applyNumberFormat="1" applyFont="1" applyFill="1" applyBorder="1" applyAlignment="1">
      <alignment horizontal="left" vertical="center" wrapText="1"/>
    </xf>
    <xf numFmtId="0" fontId="27" fillId="0" borderId="73" xfId="6" applyNumberFormat="1" applyFont="1" applyBorder="1" applyAlignment="1">
      <alignment horizontal="left" vertical="center" wrapText="1"/>
    </xf>
    <xf numFmtId="0" fontId="27" fillId="0" borderId="73" xfId="6" applyNumberFormat="1" applyFont="1" applyBorder="1" applyAlignment="1">
      <alignment horizontal="left"/>
    </xf>
    <xf numFmtId="49" fontId="27" fillId="0" borderId="72" xfId="6" applyNumberFormat="1" applyFont="1" applyBorder="1" applyAlignment="1">
      <alignment horizontal="center" vertical="center" wrapText="1"/>
    </xf>
    <xf numFmtId="49" fontId="27" fillId="0" borderId="73" xfId="6" applyNumberFormat="1" applyFont="1" applyBorder="1" applyAlignment="1">
      <alignment horizontal="center" vertical="center" wrapText="1"/>
    </xf>
    <xf numFmtId="49" fontId="27" fillId="0" borderId="72" xfId="6" applyNumberFormat="1" applyFont="1" applyBorder="1" applyAlignment="1">
      <alignment horizontal="right" vertical="center" wrapText="1"/>
    </xf>
    <xf numFmtId="49" fontId="27" fillId="0" borderId="73" xfId="6" applyNumberFormat="1" applyFont="1" applyBorder="1" applyAlignment="1">
      <alignment horizontal="right" vertical="center" wrapText="1"/>
    </xf>
    <xf numFmtId="0" fontId="27" fillId="0" borderId="72" xfId="6" applyNumberFormat="1" applyFont="1" applyBorder="1" applyAlignment="1">
      <alignment horizontal="left" vertical="center" wrapText="1"/>
    </xf>
    <xf numFmtId="0" fontId="27" fillId="0" borderId="72" xfId="6" applyNumberFormat="1" applyFont="1" applyBorder="1" applyAlignment="1">
      <alignment horizontal="center" vertical="center" wrapText="1"/>
    </xf>
    <xf numFmtId="0" fontId="27" fillId="0" borderId="72" xfId="6" applyNumberFormat="1" applyFont="1" applyBorder="1" applyAlignment="1">
      <alignment horizontal="right" vertical="center" wrapText="1"/>
    </xf>
    <xf numFmtId="0" fontId="27" fillId="0" borderId="74" xfId="6" applyNumberFormat="1" applyFont="1" applyBorder="1" applyAlignment="1">
      <alignment horizontal="left" vertical="center" wrapText="1"/>
    </xf>
    <xf numFmtId="0" fontId="27" fillId="0" borderId="74" xfId="6" applyNumberFormat="1" applyFont="1" applyBorder="1" applyAlignment="1">
      <alignment horizontal="left"/>
    </xf>
    <xf numFmtId="49" fontId="26" fillId="0" borderId="0" xfId="0" applyNumberFormat="1" applyFont="1" applyAlignment="1">
      <alignment horizontal="right"/>
    </xf>
    <xf numFmtId="49" fontId="27" fillId="4" borderId="0" xfId="0" applyNumberFormat="1" applyFont="1" applyFill="1" applyAlignment="1">
      <alignment horizontal="left" vertical="center" wrapText="1"/>
    </xf>
    <xf numFmtId="49" fontId="27" fillId="4" borderId="20" xfId="0" applyNumberFormat="1" applyFont="1" applyFill="1" applyBorder="1" applyAlignment="1">
      <alignment horizontal="left" vertical="center" wrapText="1"/>
    </xf>
    <xf numFmtId="49" fontId="27" fillId="4" borderId="21" xfId="0" applyNumberFormat="1" applyFont="1" applyFill="1" applyBorder="1" applyAlignment="1">
      <alignment horizontal="left" vertical="center" wrapText="1"/>
    </xf>
    <xf numFmtId="49" fontId="27" fillId="4" borderId="18" xfId="0" applyNumberFormat="1" applyFont="1" applyFill="1" applyBorder="1" applyAlignment="1">
      <alignment horizontal="left" vertical="center" wrapText="1"/>
    </xf>
    <xf numFmtId="49" fontId="33" fillId="0" borderId="0" xfId="0" applyNumberFormat="1" applyFont="1" applyAlignment="1">
      <alignment horizontal="left"/>
    </xf>
    <xf numFmtId="49" fontId="33" fillId="0" borderId="1" xfId="0" applyNumberFormat="1" applyFont="1" applyBorder="1" applyAlignment="1">
      <alignment horizontal="left"/>
    </xf>
    <xf numFmtId="49" fontId="36" fillId="0" borderId="1" xfId="0" applyNumberFormat="1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left" vertical="center"/>
    </xf>
    <xf numFmtId="49" fontId="36" fillId="0" borderId="1" xfId="0" applyNumberFormat="1" applyFont="1" applyBorder="1" applyAlignment="1">
      <alignment horizontal="center"/>
    </xf>
    <xf numFmtId="49" fontId="36" fillId="0" borderId="1" xfId="0" applyNumberFormat="1" applyFont="1" applyBorder="1"/>
    <xf numFmtId="49" fontId="33" fillId="0" borderId="1" xfId="0" applyNumberFormat="1" applyFont="1" applyBorder="1" applyAlignment="1">
      <alignment horizontal="center"/>
    </xf>
    <xf numFmtId="14" fontId="25" fillId="0" borderId="0" xfId="0" applyNumberFormat="1" applyFont="1" applyAlignment="1">
      <alignment horizontal="right"/>
    </xf>
    <xf numFmtId="49" fontId="33" fillId="0" borderId="20" xfId="3" applyNumberFormat="1" applyFont="1" applyBorder="1" applyAlignment="1">
      <alignment horizontal="right" vertical="center"/>
    </xf>
    <xf numFmtId="49" fontId="33" fillId="0" borderId="20" xfId="3" applyNumberFormat="1" applyFont="1" applyBorder="1" applyAlignment="1">
      <alignment horizontal="left"/>
    </xf>
    <xf numFmtId="49" fontId="33" fillId="0" borderId="0" xfId="3" applyNumberFormat="1" applyFont="1" applyAlignment="1">
      <alignment horizontal="left"/>
    </xf>
    <xf numFmtId="49" fontId="33" fillId="0" borderId="0" xfId="3" applyNumberFormat="1" applyFont="1" applyAlignment="1">
      <alignment horizontal="left" vertical="center"/>
    </xf>
    <xf numFmtId="49" fontId="33" fillId="0" borderId="20" xfId="3" applyNumberFormat="1" applyFont="1" applyBorder="1" applyAlignment="1">
      <alignment horizontal="right"/>
    </xf>
    <xf numFmtId="49" fontId="26" fillId="0" borderId="20" xfId="3" applyNumberFormat="1" applyFont="1" applyBorder="1" applyAlignment="1">
      <alignment horizontal="right"/>
    </xf>
    <xf numFmtId="49" fontId="26" fillId="0" borderId="4" xfId="0" applyNumberFormat="1" applyFont="1" applyBorder="1" applyAlignment="1">
      <alignment horizontal="right"/>
    </xf>
    <xf numFmtId="9" fontId="26" fillId="0" borderId="40" xfId="2" applyNumberFormat="1" applyFont="1" applyBorder="1" applyAlignment="1">
      <alignment horizontal="left"/>
    </xf>
    <xf numFmtId="9" fontId="26" fillId="0" borderId="16" xfId="0" applyNumberFormat="1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center" vertical="center"/>
    </xf>
    <xf numFmtId="49" fontId="27" fillId="18" borderId="0" xfId="0" applyNumberFormat="1" applyFont="1" applyFill="1" applyAlignment="1">
      <alignment horizontal="center" vertical="center"/>
    </xf>
    <xf numFmtId="49" fontId="27" fillId="18" borderId="7" xfId="0" applyNumberFormat="1" applyFont="1" applyFill="1" applyBorder="1" applyAlignment="1">
      <alignment horizontal="center" vertical="center"/>
    </xf>
    <xf numFmtId="49" fontId="27" fillId="18" borderId="9" xfId="0" applyNumberFormat="1" applyFont="1" applyFill="1" applyBorder="1" applyAlignment="1">
      <alignment horizontal="center" vertical="center"/>
    </xf>
    <xf numFmtId="49" fontId="29" fillId="18" borderId="0" xfId="6" applyNumberFormat="1" applyFont="1" applyFill="1" applyAlignment="1">
      <alignment horizontal="left"/>
    </xf>
    <xf numFmtId="49" fontId="26" fillId="18" borderId="0" xfId="0" applyNumberFormat="1" applyFont="1" applyFill="1" applyAlignment="1">
      <alignment horizontal="center"/>
    </xf>
    <xf numFmtId="49" fontId="33" fillId="18" borderId="0" xfId="0" applyNumberFormat="1" applyFont="1" applyFill="1" applyAlignment="1">
      <alignment horizontal="left"/>
    </xf>
    <xf numFmtId="49" fontId="27" fillId="20" borderId="0" xfId="0" applyNumberFormat="1" applyFont="1" applyFill="1" applyAlignment="1">
      <alignment horizontal="center" vertical="center" textRotation="90" wrapText="1"/>
    </xf>
    <xf numFmtId="49" fontId="22" fillId="0" borderId="0" xfId="0" applyNumberFormat="1" applyFont="1" applyAlignment="1">
      <alignment horizontal="left"/>
    </xf>
    <xf numFmtId="49" fontId="30" fillId="0" borderId="0" xfId="0" applyNumberFormat="1" applyFont="1"/>
    <xf numFmtId="49" fontId="30" fillId="0" borderId="20" xfId="0" applyNumberFormat="1" applyFont="1" applyBorder="1"/>
    <xf numFmtId="49" fontId="22" fillId="0" borderId="20" xfId="0" applyNumberFormat="1" applyFont="1" applyBorder="1" applyAlignment="1">
      <alignment horizontal="left"/>
    </xf>
    <xf numFmtId="49" fontId="30" fillId="0" borderId="20" xfId="0" applyNumberFormat="1" applyFont="1" applyBorder="1" applyAlignment="1">
      <alignment horizontal="right"/>
    </xf>
    <xf numFmtId="14" fontId="25" fillId="0" borderId="20" xfId="0" applyNumberFormat="1" applyFont="1" applyBorder="1" applyAlignment="1">
      <alignment horizontal="right"/>
    </xf>
    <xf numFmtId="49" fontId="24" fillId="0" borderId="20" xfId="0" applyNumberFormat="1" applyFont="1" applyBorder="1"/>
    <xf numFmtId="0" fontId="26" fillId="0" borderId="20" xfId="0" applyNumberFormat="1" applyFont="1" applyBorder="1" applyAlignment="1">
      <alignment horizontal="right"/>
    </xf>
    <xf numFmtId="49" fontId="23" fillId="0" borderId="20" xfId="0" applyNumberFormat="1" applyFont="1" applyBorder="1"/>
    <xf numFmtId="49" fontId="24" fillId="0" borderId="20" xfId="0" applyNumberFormat="1" applyFont="1" applyBorder="1" applyAlignment="1">
      <alignment horizontal="center"/>
    </xf>
    <xf numFmtId="49" fontId="24" fillId="0" borderId="20" xfId="0" applyNumberFormat="1" applyFont="1" applyBorder="1" applyAlignment="1">
      <alignment horizontal="left"/>
    </xf>
    <xf numFmtId="49" fontId="33" fillId="0" borderId="20" xfId="0" applyNumberFormat="1" applyFont="1" applyBorder="1" applyAlignment="1">
      <alignment horizontal="center"/>
    </xf>
    <xf numFmtId="49" fontId="26" fillId="0" borderId="0" xfId="0" applyNumberFormat="1" applyFont="1" applyAlignment="1">
      <alignment horizontal="center" wrapText="1"/>
    </xf>
    <xf numFmtId="49" fontId="33" fillId="0" borderId="20" xfId="0" applyNumberFormat="1" applyFont="1" applyBorder="1" applyAlignment="1">
      <alignment horizontal="left"/>
    </xf>
    <xf numFmtId="49" fontId="27" fillId="0" borderId="20" xfId="6" applyNumberFormat="1" applyFont="1" applyBorder="1"/>
    <xf numFmtId="0" fontId="33" fillId="0" borderId="20" xfId="0" applyNumberFormat="1" applyFont="1" applyBorder="1" applyAlignment="1">
      <alignment horizontal="left"/>
    </xf>
    <xf numFmtId="49" fontId="36" fillId="0" borderId="20" xfId="0" applyNumberFormat="1" applyFont="1" applyBorder="1" applyAlignment="1">
      <alignment horizontal="center"/>
    </xf>
    <xf numFmtId="49" fontId="36" fillId="0" borderId="20" xfId="0" applyNumberFormat="1" applyFont="1" applyBorder="1"/>
    <xf numFmtId="49" fontId="29" fillId="0" borderId="20" xfId="0" applyNumberFormat="1" applyFont="1" applyBorder="1"/>
    <xf numFmtId="49" fontId="26" fillId="5" borderId="20" xfId="0" applyNumberFormat="1" applyFont="1" applyFill="1" applyBorder="1" applyAlignment="1">
      <alignment horizontal="center"/>
    </xf>
    <xf numFmtId="49" fontId="27" fillId="0" borderId="20" xfId="0" applyNumberFormat="1" applyFont="1" applyBorder="1" applyAlignment="1">
      <alignment horizontal="left"/>
    </xf>
    <xf numFmtId="49" fontId="27" fillId="11" borderId="1" xfId="0" applyNumberFormat="1" applyFont="1" applyFill="1" applyBorder="1"/>
    <xf numFmtId="49" fontId="27" fillId="8" borderId="24" xfId="0" applyNumberFormat="1" applyFont="1" applyFill="1" applyBorder="1" applyAlignment="1">
      <alignment horizontal="left"/>
    </xf>
    <xf numFmtId="49" fontId="27" fillId="8" borderId="25" xfId="0" applyNumberFormat="1" applyFont="1" applyFill="1" applyBorder="1" applyAlignment="1">
      <alignment horizontal="left"/>
    </xf>
    <xf numFmtId="49" fontId="27" fillId="8" borderId="0" xfId="0" applyNumberFormat="1" applyFont="1" applyFill="1" applyAlignment="1">
      <alignment horizontal="left"/>
    </xf>
    <xf numFmtId="49" fontId="27" fillId="8" borderId="18" xfId="0" applyNumberFormat="1" applyFont="1" applyFill="1" applyBorder="1" applyAlignment="1">
      <alignment horizontal="left"/>
    </xf>
    <xf numFmtId="49" fontId="27" fillId="0" borderId="20" xfId="0" applyNumberFormat="1" applyFont="1" applyBorder="1" applyAlignment="1">
      <alignment horizontal="right"/>
    </xf>
    <xf numFmtId="49" fontId="27" fillId="0" borderId="20" xfId="0" applyNumberFormat="1" applyFont="1" applyBorder="1" applyAlignment="1">
      <alignment horizontal="center"/>
    </xf>
    <xf numFmtId="49" fontId="36" fillId="0" borderId="0" xfId="0" applyNumberFormat="1" applyFont="1" applyAlignment="1">
      <alignment horizontal="center"/>
    </xf>
    <xf numFmtId="0" fontId="36" fillId="0" borderId="20" xfId="0" applyNumberFormat="1" applyFont="1" applyBorder="1"/>
    <xf numFmtId="0" fontId="36" fillId="0" borderId="20" xfId="0" applyNumberFormat="1" applyFont="1" applyBorder="1" applyAlignment="1">
      <alignment horizontal="center"/>
    </xf>
    <xf numFmtId="14" fontId="25" fillId="0" borderId="20" xfId="0" applyNumberFormat="1" applyFont="1" applyBorder="1"/>
    <xf numFmtId="0" fontId="33" fillId="0" borderId="0" xfId="0" applyNumberFormat="1" applyFont="1" applyAlignment="1">
      <alignment horizontal="left"/>
    </xf>
    <xf numFmtId="0" fontId="36" fillId="0" borderId="0" xfId="0" applyNumberFormat="1" applyFont="1"/>
    <xf numFmtId="49" fontId="33" fillId="0" borderId="0" xfId="0" applyNumberFormat="1" applyFont="1" applyAlignment="1">
      <alignment horizontal="center"/>
    </xf>
    <xf numFmtId="0" fontId="36" fillId="0" borderId="0" xfId="0" applyNumberFormat="1" applyFont="1" applyAlignment="1">
      <alignment horizontal="center"/>
    </xf>
    <xf numFmtId="14" fontId="25" fillId="0" borderId="0" xfId="0" applyNumberFormat="1" applyFont="1"/>
    <xf numFmtId="49" fontId="27" fillId="0" borderId="20" xfId="0" applyNumberFormat="1" applyFont="1" applyBorder="1"/>
    <xf numFmtId="0" fontId="27" fillId="0" borderId="20" xfId="0" applyNumberFormat="1" applyFont="1" applyBorder="1"/>
    <xf numFmtId="0" fontId="27" fillId="0" borderId="20" xfId="0" applyNumberFormat="1" applyFont="1" applyBorder="1" applyAlignment="1">
      <alignment horizontal="center"/>
    </xf>
    <xf numFmtId="49" fontId="26" fillId="21" borderId="20" xfId="0" applyNumberFormat="1" applyFont="1" applyFill="1" applyBorder="1" applyAlignment="1">
      <alignment horizontal="left"/>
    </xf>
    <xf numFmtId="49" fontId="33" fillId="0" borderId="20" xfId="0" applyNumberFormat="1" applyFont="1" applyBorder="1"/>
    <xf numFmtId="49" fontId="23" fillId="0" borderId="20" xfId="0" applyNumberFormat="1" applyFont="1" applyBorder="1" applyAlignment="1">
      <alignment horizontal="left"/>
    </xf>
    <xf numFmtId="14" fontId="27" fillId="8" borderId="0" xfId="2" applyNumberFormat="1" applyFont="1" applyFill="1" applyAlignment="1" applyProtection="1">
      <alignment horizontal="center"/>
      <protection locked="0"/>
    </xf>
    <xf numFmtId="14" fontId="27" fillId="8" borderId="1" xfId="2" applyNumberFormat="1" applyFont="1" applyFill="1" applyBorder="1" applyAlignment="1" applyProtection="1">
      <alignment horizontal="center"/>
      <protection locked="0"/>
    </xf>
    <xf numFmtId="0" fontId="26" fillId="0" borderId="0" xfId="0" applyNumberFormat="1" applyFont="1"/>
    <xf numFmtId="0" fontId="26" fillId="6" borderId="20" xfId="0" applyNumberFormat="1" applyFont="1" applyFill="1" applyBorder="1" applyAlignment="1">
      <alignment horizontal="left" wrapText="1"/>
    </xf>
    <xf numFmtId="49" fontId="20" fillId="0" borderId="65" xfId="0" applyNumberFormat="1" applyFont="1" applyBorder="1" applyAlignment="1">
      <alignment horizontal="center" vertical="center" wrapText="1"/>
    </xf>
    <xf numFmtId="49" fontId="29" fillId="0" borderId="0" xfId="0" applyNumberFormat="1" applyFont="1" applyAlignment="1">
      <alignment horizontal="left" vertical="center"/>
    </xf>
    <xf numFmtId="0" fontId="29" fillId="0" borderId="0" xfId="0" applyNumberFormat="1" applyFont="1" applyAlignment="1">
      <alignment horizontal="left" vertical="center"/>
    </xf>
    <xf numFmtId="1" fontId="26" fillId="2" borderId="16" xfId="0" applyNumberFormat="1" applyFont="1" applyFill="1" applyBorder="1" applyAlignment="1">
      <alignment horizontal="left" vertical="center"/>
    </xf>
    <xf numFmtId="0" fontId="26" fillId="2" borderId="16" xfId="0" applyNumberFormat="1" applyFont="1" applyFill="1" applyBorder="1" applyAlignment="1">
      <alignment horizontal="left" vertical="center"/>
    </xf>
    <xf numFmtId="0" fontId="27" fillId="0" borderId="0" xfId="0" applyNumberFormat="1" applyFont="1" applyAlignment="1">
      <alignment vertical="center"/>
    </xf>
    <xf numFmtId="9" fontId="26" fillId="0" borderId="57" xfId="0" applyNumberFormat="1" applyFont="1" applyBorder="1" applyAlignment="1">
      <alignment horizontal="center" vertical="center"/>
    </xf>
    <xf numFmtId="49" fontId="29" fillId="0" borderId="1" xfId="5" applyNumberFormat="1" applyFont="1" applyBorder="1" applyAlignment="1">
      <alignment horizontal="left" vertical="center"/>
    </xf>
    <xf numFmtId="0" fontId="29" fillId="0" borderId="1" xfId="5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0" fontId="26" fillId="7" borderId="33" xfId="0" applyNumberFormat="1" applyFont="1" applyFill="1" applyBorder="1" applyAlignment="1">
      <alignment horizontal="right" vertical="center"/>
    </xf>
    <xf numFmtId="0" fontId="29" fillId="0" borderId="2" xfId="3" applyNumberFormat="1" applyFont="1" applyBorder="1" applyAlignment="1" applyProtection="1">
      <alignment vertical="center"/>
      <protection locked="0"/>
    </xf>
    <xf numFmtId="14" fontId="29" fillId="0" borderId="0" xfId="0" applyNumberFormat="1" applyFont="1" applyAlignment="1">
      <alignment horizontal="center" vertical="center"/>
    </xf>
    <xf numFmtId="49" fontId="29" fillId="0" borderId="2" xfId="3" applyNumberFormat="1" applyFont="1" applyBorder="1" applyAlignment="1" applyProtection="1">
      <alignment vertical="center"/>
      <protection locked="0"/>
    </xf>
    <xf numFmtId="49" fontId="29" fillId="0" borderId="27" xfId="3" applyNumberFormat="1" applyFont="1" applyBorder="1" applyAlignment="1" applyProtection="1">
      <alignment vertical="center"/>
      <protection locked="0"/>
    </xf>
    <xf numFmtId="0" fontId="29" fillId="0" borderId="33" xfId="0" applyNumberFormat="1" applyFont="1" applyBorder="1" applyAlignment="1">
      <alignment horizontal="center" vertical="center"/>
    </xf>
    <xf numFmtId="0" fontId="28" fillId="0" borderId="33" xfId="0" applyNumberFormat="1" applyFont="1" applyBorder="1" applyAlignment="1">
      <alignment horizontal="center" vertical="center"/>
    </xf>
    <xf numFmtId="1" fontId="29" fillId="0" borderId="33" xfId="0" applyNumberFormat="1" applyFont="1" applyBorder="1" applyAlignment="1">
      <alignment horizontal="center" vertical="center"/>
    </xf>
    <xf numFmtId="0" fontId="29" fillId="0" borderId="55" xfId="3" applyNumberFormat="1" applyFont="1" applyBorder="1" applyAlignment="1" applyProtection="1">
      <alignment vertical="center"/>
      <protection locked="0"/>
    </xf>
    <xf numFmtId="14" fontId="29" fillId="0" borderId="1" xfId="0" applyNumberFormat="1" applyFont="1" applyBorder="1" applyAlignment="1">
      <alignment horizontal="center" vertical="center"/>
    </xf>
    <xf numFmtId="49" fontId="29" fillId="0" borderId="55" xfId="3" applyNumberFormat="1" applyFont="1" applyBorder="1" applyAlignment="1" applyProtection="1">
      <alignment vertical="center"/>
      <protection locked="0"/>
    </xf>
    <xf numFmtId="49" fontId="29" fillId="0" borderId="50" xfId="3" applyNumberFormat="1" applyFont="1" applyBorder="1" applyAlignment="1" applyProtection="1">
      <alignment vertical="center"/>
      <protection locked="0"/>
    </xf>
    <xf numFmtId="0" fontId="29" fillId="0" borderId="0" xfId="0" applyNumberFormat="1" applyFont="1" applyAlignment="1">
      <alignment vertical="center"/>
    </xf>
    <xf numFmtId="14" fontId="20" fillId="0" borderId="0" xfId="0" applyNumberFormat="1" applyFont="1" applyAlignment="1">
      <alignment horizontal="center" vertical="center" wrapText="1"/>
    </xf>
    <xf numFmtId="1" fontId="29" fillId="0" borderId="0" xfId="0" applyNumberFormat="1" applyFont="1" applyAlignment="1">
      <alignment vertical="center"/>
    </xf>
    <xf numFmtId="49" fontId="20" fillId="0" borderId="56" xfId="0" applyNumberFormat="1" applyFont="1" applyBorder="1" applyAlignment="1">
      <alignment horizontal="center" vertical="center" wrapText="1"/>
    </xf>
    <xf numFmtId="0" fontId="26" fillId="2" borderId="33" xfId="0" applyNumberFormat="1" applyFont="1" applyFill="1" applyBorder="1" applyAlignment="1">
      <alignment horizontal="left" vertical="center"/>
    </xf>
    <xf numFmtId="49" fontId="29" fillId="0" borderId="1" xfId="0" applyNumberFormat="1" applyFont="1" applyBorder="1" applyAlignment="1">
      <alignment vertical="center"/>
    </xf>
    <xf numFmtId="0" fontId="29" fillId="0" borderId="1" xfId="0" applyNumberFormat="1" applyFont="1" applyBorder="1" applyAlignment="1">
      <alignment vertical="center"/>
    </xf>
    <xf numFmtId="14" fontId="20" fillId="0" borderId="1" xfId="0" applyNumberFormat="1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0" fontId="29" fillId="0" borderId="10" xfId="3" applyNumberFormat="1" applyFont="1" applyBorder="1" applyAlignment="1" applyProtection="1">
      <alignment vertical="center"/>
      <protection locked="0"/>
    </xf>
    <xf numFmtId="49" fontId="29" fillId="0" borderId="10" xfId="3" applyNumberFormat="1" applyFont="1" applyBorder="1" applyAlignment="1" applyProtection="1">
      <alignment vertical="center"/>
      <protection locked="0"/>
    </xf>
    <xf numFmtId="49" fontId="29" fillId="0" borderId="47" xfId="3" applyNumberFormat="1" applyFont="1" applyBorder="1" applyAlignment="1" applyProtection="1">
      <alignment vertical="center"/>
      <protection locked="0"/>
    </xf>
    <xf numFmtId="49" fontId="26" fillId="17" borderId="0" xfId="0" applyNumberFormat="1" applyFont="1" applyFill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19" xfId="0" applyNumberFormat="1" applyFont="1" applyBorder="1" applyAlignment="1">
      <alignment horizontal="center" vertical="center"/>
    </xf>
    <xf numFmtId="1" fontId="31" fillId="0" borderId="62" xfId="0" applyNumberFormat="1" applyFont="1" applyBorder="1" applyAlignment="1">
      <alignment horizontal="center" vertical="center"/>
    </xf>
    <xf numFmtId="49" fontId="26" fillId="11" borderId="6" xfId="3" applyNumberFormat="1" applyFont="1" applyFill="1" applyBorder="1" applyAlignment="1" applyProtection="1">
      <alignment horizontal="center"/>
      <protection locked="0"/>
    </xf>
    <xf numFmtId="49" fontId="26" fillId="10" borderId="6" xfId="3" applyNumberFormat="1" applyFont="1" applyFill="1" applyBorder="1" applyAlignment="1" applyProtection="1">
      <alignment horizontal="center"/>
      <protection locked="0"/>
    </xf>
    <xf numFmtId="49" fontId="26" fillId="13" borderId="6" xfId="3" applyNumberFormat="1" applyFont="1" applyFill="1" applyBorder="1" applyAlignment="1" applyProtection="1">
      <alignment horizontal="center"/>
      <protection locked="0"/>
    </xf>
    <xf numFmtId="9" fontId="26" fillId="0" borderId="7" xfId="2" applyNumberFormat="1" applyFont="1" applyBorder="1" applyAlignment="1">
      <alignment horizontal="center" vertical="center"/>
    </xf>
    <xf numFmtId="9" fontId="26" fillId="0" borderId="0" xfId="2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6" fillId="0" borderId="7" xfId="0" applyNumberFormat="1" applyFont="1" applyBorder="1" applyAlignment="1">
      <alignment horizontal="center" vertical="center"/>
    </xf>
    <xf numFmtId="0" fontId="27" fillId="0" borderId="4" xfId="2" applyNumberFormat="1" applyFont="1" applyBorder="1" applyAlignment="1">
      <alignment horizontal="center" vertical="center"/>
    </xf>
    <xf numFmtId="49" fontId="26" fillId="0" borderId="0" xfId="3" applyNumberFormat="1" applyFont="1" applyAlignment="1">
      <alignment horizontal="left" vertical="center"/>
    </xf>
    <xf numFmtId="0" fontId="27" fillId="0" borderId="0" xfId="0" applyNumberFormat="1" applyFont="1" applyAlignment="1">
      <alignment horizontal="center" vertical="center"/>
    </xf>
    <xf numFmtId="0" fontId="29" fillId="0" borderId="2" xfId="3" applyNumberFormat="1" applyFont="1" applyBorder="1" applyAlignment="1" applyProtection="1">
      <alignment horizontal="center" vertical="center"/>
      <protection locked="0"/>
    </xf>
    <xf numFmtId="0" fontId="29" fillId="0" borderId="55" xfId="3" applyNumberFormat="1" applyFont="1" applyBorder="1" applyAlignment="1" applyProtection="1">
      <alignment horizontal="center" vertical="center"/>
      <protection locked="0"/>
    </xf>
    <xf numFmtId="0" fontId="27" fillId="0" borderId="20" xfId="0" applyNumberFormat="1" applyFont="1" applyBorder="1" applyAlignment="1">
      <alignment horizontal="center" vertical="center"/>
    </xf>
    <xf numFmtId="9" fontId="26" fillId="11" borderId="0" xfId="3" applyNumberFormat="1" applyFont="1" applyFill="1" applyAlignment="1" applyProtection="1">
      <alignment horizontal="center" vertical="center"/>
      <protection locked="0"/>
    </xf>
    <xf numFmtId="9" fontId="26" fillId="10" borderId="0" xfId="3" applyNumberFormat="1" applyFont="1" applyFill="1" applyAlignment="1" applyProtection="1">
      <alignment horizontal="center" vertical="center"/>
      <protection locked="0"/>
    </xf>
    <xf numFmtId="9" fontId="26" fillId="15" borderId="0" xfId="1" applyNumberFormat="1" applyFont="1" applyFill="1" applyAlignment="1">
      <alignment horizontal="center" vertical="center"/>
    </xf>
    <xf numFmtId="9" fontId="26" fillId="14" borderId="0" xfId="1" applyNumberFormat="1" applyFont="1" applyFill="1" applyAlignment="1">
      <alignment horizontal="center" vertical="center"/>
    </xf>
    <xf numFmtId="49" fontId="31" fillId="0" borderId="29" xfId="0" applyNumberFormat="1" applyFont="1" applyBorder="1" applyAlignment="1">
      <alignment vertical="center"/>
    </xf>
    <xf numFmtId="49" fontId="31" fillId="0" borderId="45" xfId="0" applyNumberFormat="1" applyFont="1" applyBorder="1" applyAlignment="1">
      <alignment vertical="center"/>
    </xf>
    <xf numFmtId="49" fontId="25" fillId="0" borderId="0" xfId="0" applyNumberFormat="1" applyFont="1" applyAlignment="1">
      <alignment horizontal="left"/>
    </xf>
    <xf numFmtId="49" fontId="26" fillId="0" borderId="4" xfId="0" applyNumberFormat="1" applyFont="1" applyBorder="1" applyAlignment="1">
      <alignment horizontal="center" vertical="center"/>
    </xf>
    <xf numFmtId="0" fontId="25" fillId="15" borderId="0" xfId="0" applyNumberFormat="1" applyFont="1" applyFill="1" applyAlignment="1">
      <alignment horizontal="center"/>
    </xf>
    <xf numFmtId="0" fontId="25" fillId="15" borderId="1" xfId="0" applyNumberFormat="1" applyFont="1" applyFill="1" applyBorder="1" applyAlignment="1">
      <alignment horizontal="center"/>
    </xf>
    <xf numFmtId="0" fontId="25" fillId="14" borderId="0" xfId="0" applyNumberFormat="1" applyFont="1" applyFill="1" applyAlignment="1">
      <alignment horizontal="center"/>
    </xf>
    <xf numFmtId="0" fontId="25" fillId="14" borderId="1" xfId="0" applyNumberFormat="1" applyFont="1" applyFill="1" applyBorder="1" applyAlignment="1">
      <alignment horizontal="center"/>
    </xf>
    <xf numFmtId="14" fontId="27" fillId="0" borderId="7" xfId="6" applyNumberFormat="1" applyFont="1" applyBorder="1" applyAlignment="1">
      <alignment horizontal="center" vertical="center"/>
    </xf>
    <xf numFmtId="14" fontId="27" fillId="0" borderId="6" xfId="6" applyNumberFormat="1" applyFont="1" applyBorder="1" applyAlignment="1">
      <alignment horizontal="center" vertical="center"/>
    </xf>
    <xf numFmtId="49" fontId="27" fillId="0" borderId="7" xfId="6" applyNumberFormat="1" applyFont="1" applyBorder="1" applyAlignment="1">
      <alignment horizontal="center" vertical="center"/>
    </xf>
    <xf numFmtId="49" fontId="27" fillId="0" borderId="6" xfId="6" applyNumberFormat="1" applyFont="1" applyBorder="1" applyAlignment="1">
      <alignment horizontal="center" vertical="center"/>
    </xf>
    <xf numFmtId="0" fontId="27" fillId="0" borderId="7" xfId="6" applyNumberFormat="1" applyFont="1" applyBorder="1" applyAlignment="1">
      <alignment horizontal="center" vertical="center"/>
    </xf>
    <xf numFmtId="0" fontId="27" fillId="0" borderId="6" xfId="6" applyNumberFormat="1" applyFont="1" applyBorder="1" applyAlignment="1">
      <alignment horizontal="center" vertical="center"/>
    </xf>
    <xf numFmtId="0" fontId="27" fillId="0" borderId="7" xfId="6" applyNumberFormat="1" applyFont="1" applyBorder="1" applyAlignment="1">
      <alignment horizontal="left" vertical="center"/>
    </xf>
    <xf numFmtId="0" fontId="27" fillId="0" borderId="6" xfId="6" applyNumberFormat="1" applyFont="1" applyBorder="1" applyAlignment="1">
      <alignment horizontal="left" vertical="center"/>
    </xf>
    <xf numFmtId="0" fontId="26" fillId="2" borderId="26" xfId="0" applyNumberFormat="1" applyFont="1" applyFill="1" applyBorder="1" applyAlignment="1">
      <alignment horizontal="left"/>
    </xf>
    <xf numFmtId="0" fontId="26" fillId="7" borderId="16" xfId="0" applyNumberFormat="1" applyFont="1" applyFill="1" applyBorder="1" applyAlignment="1">
      <alignment horizontal="right"/>
    </xf>
    <xf numFmtId="0" fontId="27" fillId="6" borderId="0" xfId="6" applyNumberFormat="1" applyFont="1" applyFill="1" applyAlignment="1">
      <alignment horizontal="left" vertical="center"/>
    </xf>
    <xf numFmtId="0" fontId="24" fillId="0" borderId="7" xfId="0" applyNumberFormat="1" applyFont="1" applyBorder="1" applyAlignment="1">
      <alignment horizontal="center" vertical="center"/>
    </xf>
    <xf numFmtId="0" fontId="24" fillId="0" borderId="6" xfId="0" applyNumberFormat="1" applyFont="1" applyBorder="1" applyAlignment="1">
      <alignment horizontal="center" vertical="center"/>
    </xf>
    <xf numFmtId="0" fontId="24" fillId="0" borderId="5" xfId="0" applyNumberFormat="1" applyFont="1" applyBorder="1" applyAlignment="1">
      <alignment horizontal="center" vertical="center"/>
    </xf>
    <xf numFmtId="0" fontId="24" fillId="8" borderId="31" xfId="0" applyNumberFormat="1" applyFont="1" applyFill="1" applyBorder="1"/>
    <xf numFmtId="0" fontId="24" fillId="8" borderId="9" xfId="0" applyNumberFormat="1" applyFont="1" applyFill="1" applyBorder="1"/>
    <xf numFmtId="0" fontId="24" fillId="8" borderId="8" xfId="0" applyNumberFormat="1" applyFont="1" applyFill="1" applyBorder="1"/>
    <xf numFmtId="49" fontId="26" fillId="0" borderId="20" xfId="3" applyNumberFormat="1" applyFont="1" applyBorder="1" applyAlignment="1">
      <alignment horizontal="right" vertical="center"/>
    </xf>
    <xf numFmtId="0" fontId="26" fillId="0" borderId="0" xfId="0" applyNumberFormat="1" applyFont="1" applyAlignment="1">
      <alignment horizontal="right"/>
    </xf>
    <xf numFmtId="0" fontId="25" fillId="0" borderId="26" xfId="0" applyNumberFormat="1" applyFont="1" applyBorder="1" applyAlignment="1">
      <alignment horizontal="left"/>
    </xf>
    <xf numFmtId="0" fontId="25" fillId="0" borderId="16" xfId="0" applyNumberFormat="1" applyFont="1" applyBorder="1" applyAlignment="1">
      <alignment horizontal="right"/>
    </xf>
    <xf numFmtId="0" fontId="25" fillId="0" borderId="33" xfId="0" applyNumberFormat="1" applyFont="1" applyBorder="1" applyAlignment="1">
      <alignment horizontal="center"/>
    </xf>
    <xf numFmtId="0" fontId="25" fillId="0" borderId="16" xfId="0" applyNumberFormat="1" applyFont="1" applyBorder="1" applyAlignment="1">
      <alignment horizontal="center"/>
    </xf>
    <xf numFmtId="0" fontId="26" fillId="21" borderId="20" xfId="0" applyNumberFormat="1" applyFont="1" applyFill="1" applyBorder="1" applyAlignment="1">
      <alignment horizontal="left"/>
    </xf>
    <xf numFmtId="0" fontId="26" fillId="0" borderId="20" xfId="0" applyNumberFormat="1" applyFont="1" applyBorder="1" applyAlignment="1">
      <alignment horizontal="left" wrapText="1"/>
    </xf>
    <xf numFmtId="0" fontId="27" fillId="0" borderId="0" xfId="0" applyNumberFormat="1" applyFont="1" applyAlignment="1">
      <alignment horizontal="left" vertical="center"/>
    </xf>
    <xf numFmtId="0" fontId="27" fillId="0" borderId="1" xfId="5" applyNumberFormat="1" applyFont="1" applyBorder="1" applyAlignment="1">
      <alignment horizontal="left" vertical="center"/>
    </xf>
    <xf numFmtId="0" fontId="29" fillId="0" borderId="1" xfId="0" applyNumberFormat="1" applyFont="1" applyBorder="1" applyAlignment="1">
      <alignment horizontal="left" vertical="center"/>
    </xf>
    <xf numFmtId="0" fontId="39" fillId="0" borderId="1" xfId="0" applyNumberFormat="1" applyFont="1" applyBorder="1" applyAlignment="1">
      <alignment horizontal="left" vertical="center" wrapText="1"/>
    </xf>
    <xf numFmtId="0" fontId="26" fillId="0" borderId="20" xfId="0" applyNumberFormat="1" applyFont="1" applyBorder="1" applyAlignment="1">
      <alignment horizontal="center"/>
    </xf>
    <xf numFmtId="0" fontId="28" fillId="0" borderId="0" xfId="0" applyNumberFormat="1" applyFont="1" applyAlignment="1">
      <alignment horizontal="center"/>
    </xf>
    <xf numFmtId="0" fontId="28" fillId="0" borderId="0" xfId="0" applyNumberFormat="1" applyFont="1"/>
    <xf numFmtId="0" fontId="26" fillId="0" borderId="0" xfId="0" applyNumberFormat="1" applyFont="1" applyAlignment="1">
      <alignment horizontal="left"/>
    </xf>
    <xf numFmtId="0" fontId="26" fillId="0" borderId="1" xfId="0" applyNumberFormat="1" applyFont="1" applyBorder="1" applyAlignment="1">
      <alignment horizontal="center"/>
    </xf>
    <xf numFmtId="0" fontId="27" fillId="0" borderId="13" xfId="3" applyNumberFormat="1" applyFont="1" applyBorder="1" applyAlignment="1" applyProtection="1">
      <alignment horizontal="left"/>
      <protection locked="0"/>
    </xf>
    <xf numFmtId="49" fontId="34" fillId="0" borderId="0" xfId="0" applyNumberFormat="1" applyFont="1" applyAlignment="1">
      <alignment horizontal="center" vertical="center"/>
    </xf>
    <xf numFmtId="0" fontId="22" fillId="0" borderId="20" xfId="0" applyNumberFormat="1" applyFont="1" applyBorder="1" applyAlignment="1">
      <alignment horizontal="left"/>
    </xf>
    <xf numFmtId="0" fontId="30" fillId="0" borderId="20" xfId="0" applyNumberFormat="1" applyFont="1" applyBorder="1" applyAlignment="1">
      <alignment horizontal="right"/>
    </xf>
    <xf numFmtId="0" fontId="30" fillId="0" borderId="20" xfId="0" applyNumberFormat="1" applyFont="1" applyBorder="1"/>
    <xf numFmtId="0" fontId="22" fillId="0" borderId="20" xfId="0" applyNumberFormat="1" applyFont="1" applyBorder="1" applyAlignment="1">
      <alignment horizontal="center"/>
    </xf>
    <xf numFmtId="0" fontId="30" fillId="0" borderId="20" xfId="0" applyNumberFormat="1" applyFont="1" applyBorder="1" applyAlignment="1">
      <alignment horizontal="center"/>
    </xf>
    <xf numFmtId="0" fontId="30" fillId="0" borderId="0" xfId="0" applyNumberFormat="1" applyFont="1"/>
    <xf numFmtId="0" fontId="25" fillId="0" borderId="13" xfId="0" applyNumberFormat="1" applyFont="1" applyBorder="1"/>
    <xf numFmtId="0" fontId="25" fillId="0" borderId="13" xfId="0" applyNumberFormat="1" applyFont="1" applyBorder="1" applyAlignment="1">
      <alignment horizontal="center"/>
    </xf>
    <xf numFmtId="0" fontId="25" fillId="0" borderId="1" xfId="0" applyNumberFormat="1" applyFont="1" applyBorder="1"/>
    <xf numFmtId="0" fontId="26" fillId="0" borderId="1" xfId="3" applyNumberFormat="1" applyFont="1" applyBorder="1" applyAlignment="1">
      <alignment horizontal="center"/>
    </xf>
    <xf numFmtId="0" fontId="26" fillId="0" borderId="1" xfId="3" applyNumberFormat="1" applyFont="1" applyBorder="1"/>
    <xf numFmtId="0" fontId="25" fillId="0" borderId="0" xfId="0" applyNumberFormat="1" applyFont="1"/>
    <xf numFmtId="0" fontId="25" fillId="0" borderId="0" xfId="0" applyNumberFormat="1" applyFont="1" applyAlignment="1">
      <alignment horizontal="center"/>
    </xf>
    <xf numFmtId="0" fontId="27" fillId="13" borderId="0" xfId="0" applyNumberFormat="1" applyFont="1" applyFill="1"/>
    <xf numFmtId="0" fontId="24" fillId="0" borderId="0" xfId="0" applyNumberFormat="1" applyFont="1" applyAlignment="1">
      <alignment vertical="center"/>
    </xf>
    <xf numFmtId="0" fontId="24" fillId="0" borderId="0" xfId="0" applyNumberFormat="1" applyFont="1" applyAlignment="1">
      <alignment horizontal="center" vertical="top"/>
    </xf>
    <xf numFmtId="0" fontId="24" fillId="0" borderId="0" xfId="0" applyNumberFormat="1" applyFont="1" applyAlignment="1">
      <alignment horizontal="left" vertical="top"/>
    </xf>
    <xf numFmtId="0" fontId="27" fillId="0" borderId="0" xfId="3" applyNumberFormat="1" applyFont="1"/>
    <xf numFmtId="0" fontId="27" fillId="0" borderId="0" xfId="5" applyNumberFormat="1" applyFont="1" applyAlignment="1">
      <alignment horizontal="left"/>
    </xf>
    <xf numFmtId="0" fontId="27" fillId="0" borderId="0" xfId="3" applyNumberFormat="1" applyFont="1" applyAlignment="1">
      <alignment horizontal="left"/>
    </xf>
    <xf numFmtId="0" fontId="26" fillId="13" borderId="0" xfId="0" applyNumberFormat="1" applyFont="1" applyFill="1" applyAlignment="1">
      <alignment horizontal="right"/>
    </xf>
    <xf numFmtId="0" fontId="24" fillId="0" borderId="20" xfId="0" applyNumberFormat="1" applyFont="1" applyBorder="1"/>
    <xf numFmtId="0" fontId="24" fillId="0" borderId="20" xfId="0" applyNumberFormat="1" applyFont="1" applyBorder="1" applyAlignment="1">
      <alignment horizontal="center"/>
    </xf>
    <xf numFmtId="0" fontId="23" fillId="0" borderId="0" xfId="0" applyNumberFormat="1" applyFont="1" applyAlignment="1">
      <alignment horizontal="center"/>
    </xf>
    <xf numFmtId="0" fontId="23" fillId="0" borderId="20" xfId="0" applyNumberFormat="1" applyFont="1" applyBorder="1"/>
    <xf numFmtId="0" fontId="23" fillId="0" borderId="20" xfId="0" applyNumberFormat="1" applyFont="1" applyBorder="1" applyAlignment="1">
      <alignment horizontal="left"/>
    </xf>
    <xf numFmtId="0" fontId="26" fillId="0" borderId="20" xfId="2" applyNumberFormat="1" applyFont="1" applyBorder="1"/>
    <xf numFmtId="0" fontId="26" fillId="0" borderId="20" xfId="2" applyNumberFormat="1" applyFont="1" applyBorder="1" applyAlignment="1">
      <alignment horizontal="left"/>
    </xf>
    <xf numFmtId="0" fontId="27" fillId="8" borderId="0" xfId="0" applyNumberFormat="1" applyFont="1" applyFill="1" applyAlignment="1" applyProtection="1">
      <alignment vertical="center" wrapText="1"/>
      <protection locked="0"/>
    </xf>
    <xf numFmtId="0" fontId="27" fillId="8" borderId="66" xfId="2" applyNumberFormat="1" applyFont="1" applyFill="1" applyBorder="1" applyAlignment="1" applyProtection="1">
      <alignment horizontal="left"/>
      <protection locked="0"/>
    </xf>
    <xf numFmtId="0" fontId="27" fillId="8" borderId="9" xfId="2" applyNumberFormat="1" applyFont="1" applyFill="1" applyBorder="1" applyAlignment="1" applyProtection="1">
      <alignment horizontal="left"/>
      <protection locked="0"/>
    </xf>
    <xf numFmtId="0" fontId="27" fillId="8" borderId="1" xfId="0" applyNumberFormat="1" applyFont="1" applyFill="1" applyBorder="1" applyAlignment="1" applyProtection="1">
      <alignment vertical="center" wrapText="1"/>
      <protection locked="0"/>
    </xf>
    <xf numFmtId="0" fontId="27" fillId="8" borderId="8" xfId="2" applyNumberFormat="1" applyFont="1" applyFill="1" applyBorder="1" applyAlignment="1" applyProtection="1">
      <alignment horizontal="left"/>
      <protection locked="0"/>
    </xf>
    <xf numFmtId="0" fontId="27" fillId="8" borderId="0" xfId="2" applyNumberFormat="1" applyFont="1" applyFill="1" applyAlignment="1" applyProtection="1">
      <alignment horizontal="left"/>
      <protection locked="0"/>
    </xf>
    <xf numFmtId="0" fontId="27" fillId="8" borderId="1" xfId="2" applyNumberFormat="1" applyFont="1" applyFill="1" applyBorder="1" applyAlignment="1" applyProtection="1">
      <alignment horizontal="left"/>
      <protection locked="0"/>
    </xf>
    <xf numFmtId="0" fontId="24" fillId="0" borderId="20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7" fillId="8" borderId="30" xfId="2" applyNumberFormat="1" applyFont="1" applyFill="1" applyBorder="1" applyAlignment="1" applyProtection="1">
      <alignment horizontal="center"/>
      <protection locked="0"/>
    </xf>
    <xf numFmtId="0" fontId="27" fillId="8" borderId="7" xfId="2" applyNumberFormat="1" applyFont="1" applyFill="1" applyBorder="1" applyAlignment="1" applyProtection="1">
      <alignment horizontal="center"/>
      <protection locked="0"/>
    </xf>
    <xf numFmtId="0" fontId="27" fillId="8" borderId="6" xfId="2" applyNumberFormat="1" applyFont="1" applyFill="1" applyBorder="1" applyAlignment="1" applyProtection="1">
      <alignment horizontal="center"/>
      <protection locked="0"/>
    </xf>
    <xf numFmtId="0" fontId="27" fillId="0" borderId="67" xfId="2" applyNumberFormat="1" applyFont="1" applyBorder="1" applyAlignment="1">
      <alignment horizontal="center"/>
    </xf>
    <xf numFmtId="0" fontId="27" fillId="0" borderId="12" xfId="2" applyNumberFormat="1" applyFont="1" applyBorder="1" applyAlignment="1">
      <alignment horizontal="center"/>
    </xf>
    <xf numFmtId="0" fontId="27" fillId="0" borderId="16" xfId="2" applyNumberFormat="1" applyFont="1" applyBorder="1" applyAlignment="1">
      <alignment horizontal="center"/>
    </xf>
    <xf numFmtId="0" fontId="25" fillId="0" borderId="20" xfId="0" applyNumberFormat="1" applyFont="1" applyBorder="1"/>
    <xf numFmtId="0" fontId="23" fillId="8" borderId="7" xfId="0" applyNumberFormat="1" applyFont="1" applyFill="1" applyBorder="1" applyAlignment="1">
      <alignment horizontal="left"/>
    </xf>
    <xf numFmtId="0" fontId="27" fillId="8" borderId="6" xfId="2" applyNumberFormat="1" applyFont="1" applyFill="1" applyBorder="1" applyAlignment="1">
      <alignment horizontal="left"/>
    </xf>
    <xf numFmtId="0" fontId="27" fillId="8" borderId="7" xfId="2" applyNumberFormat="1" applyFont="1" applyFill="1" applyBorder="1" applyAlignment="1">
      <alignment horizontal="left"/>
    </xf>
    <xf numFmtId="0" fontId="26" fillId="0" borderId="0" xfId="0" applyNumberFormat="1" applyFont="1" applyAlignment="1">
      <alignment horizontal="left" vertical="center"/>
    </xf>
    <xf numFmtId="1" fontId="25" fillId="0" borderId="0" xfId="0" applyNumberFormat="1" applyFont="1" applyAlignment="1">
      <alignment horizontal="center" vertical="center"/>
    </xf>
    <xf numFmtId="164" fontId="41" fillId="0" borderId="0" xfId="0" applyFont="1" applyAlignment="1">
      <alignment horizontal="center" vertical="center"/>
    </xf>
    <xf numFmtId="49" fontId="25" fillId="0" borderId="1" xfId="0" applyNumberFormat="1" applyFont="1" applyBorder="1" applyAlignment="1">
      <alignment horizontal="left" vertical="center"/>
    </xf>
    <xf numFmtId="0" fontId="42" fillId="0" borderId="1" xfId="2" applyNumberFormat="1" applyFont="1" applyBorder="1" applyAlignment="1">
      <alignment horizontal="left" vertical="center"/>
    </xf>
    <xf numFmtId="164" fontId="41" fillId="0" borderId="0" xfId="0" applyFont="1"/>
    <xf numFmtId="0" fontId="25" fillId="0" borderId="13" xfId="0" applyNumberFormat="1" applyFont="1" applyBorder="1" applyAlignment="1">
      <alignment horizontal="center" vertical="center"/>
    </xf>
    <xf numFmtId="14" fontId="25" fillId="0" borderId="13" xfId="0" applyNumberFormat="1" applyFont="1" applyBorder="1" applyAlignment="1">
      <alignment horizontal="center" vertical="center" wrapText="1"/>
    </xf>
    <xf numFmtId="169" fontId="25" fillId="0" borderId="13" xfId="0" applyNumberFormat="1" applyFont="1" applyBorder="1" applyAlignment="1">
      <alignment horizontal="center" vertical="center" wrapText="1"/>
    </xf>
    <xf numFmtId="14" fontId="25" fillId="0" borderId="77" xfId="0" applyNumberFormat="1" applyFont="1" applyBorder="1" applyAlignment="1">
      <alignment horizontal="center" vertical="center" wrapText="1"/>
    </xf>
    <xf numFmtId="49" fontId="27" fillId="0" borderId="68" xfId="2" applyNumberFormat="1" applyFont="1" applyBorder="1" applyAlignment="1">
      <alignment horizontal="center" vertical="center"/>
    </xf>
    <xf numFmtId="49" fontId="27" fillId="0" borderId="67" xfId="2" applyNumberFormat="1" applyFont="1" applyBorder="1" applyAlignment="1">
      <alignment horizontal="center" vertical="center"/>
    </xf>
    <xf numFmtId="49" fontId="27" fillId="0" borderId="69" xfId="2" applyNumberFormat="1" applyFont="1" applyBorder="1" applyAlignment="1">
      <alignment horizontal="center" vertical="center"/>
    </xf>
    <xf numFmtId="49" fontId="27" fillId="0" borderId="26" xfId="2" applyNumberFormat="1" applyFont="1" applyBorder="1" applyAlignment="1">
      <alignment horizontal="center" vertical="center"/>
    </xf>
    <xf numFmtId="49" fontId="27" fillId="0" borderId="39" xfId="2" applyNumberFormat="1" applyFont="1" applyBorder="1" applyAlignment="1">
      <alignment horizontal="center" vertical="center"/>
    </xf>
    <xf numFmtId="49" fontId="27" fillId="0" borderId="40" xfId="2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9" fontId="43" fillId="0" borderId="0" xfId="0" applyNumberFormat="1" applyFont="1"/>
    <xf numFmtId="49" fontId="25" fillId="0" borderId="0" xfId="0" applyNumberFormat="1" applyFont="1" applyAlignment="1">
      <alignment horizontal="left" vertical="center"/>
    </xf>
    <xf numFmtId="0" fontId="42" fillId="0" borderId="0" xfId="2" applyNumberFormat="1" applyFont="1" applyAlignment="1">
      <alignment horizontal="left" vertical="center"/>
    </xf>
    <xf numFmtId="49" fontId="27" fillId="0" borderId="33" xfId="2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right" textRotation="90" wrapText="1"/>
    </xf>
    <xf numFmtId="0" fontId="26" fillId="0" borderId="7" xfId="0" applyNumberFormat="1" applyFont="1" applyBorder="1" applyAlignment="1">
      <alignment horizontal="center" textRotation="90" wrapText="1"/>
    </xf>
    <xf numFmtId="0" fontId="26" fillId="0" borderId="0" xfId="0" applyNumberFormat="1" applyFont="1" applyAlignment="1">
      <alignment horizontal="center" textRotation="90" wrapText="1"/>
    </xf>
    <xf numFmtId="0" fontId="26" fillId="0" borderId="9" xfId="0" applyNumberFormat="1" applyFont="1" applyBorder="1" applyAlignment="1">
      <alignment horizontal="center" textRotation="90" wrapText="1"/>
    </xf>
    <xf numFmtId="164" fontId="44" fillId="0" borderId="0" xfId="0" applyFont="1"/>
    <xf numFmtId="0" fontId="26" fillId="0" borderId="0" xfId="0" applyNumberFormat="1" applyFont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27" fillId="0" borderId="75" xfId="2" applyNumberFormat="1" applyFont="1" applyBorder="1" applyAlignment="1">
      <alignment horizontal="center" vertical="center"/>
    </xf>
    <xf numFmtId="164" fontId="24" fillId="0" borderId="0" xfId="0" applyFont="1"/>
    <xf numFmtId="0" fontId="26" fillId="0" borderId="33" xfId="0" applyNumberFormat="1" applyFont="1" applyBorder="1" applyAlignment="1">
      <alignment horizontal="center" vertical="center"/>
    </xf>
    <xf numFmtId="49" fontId="27" fillId="0" borderId="34" xfId="2" applyNumberFormat="1" applyFont="1" applyBorder="1" applyAlignment="1">
      <alignment horizontal="center" vertical="center"/>
    </xf>
    <xf numFmtId="49" fontId="27" fillId="0" borderId="35" xfId="2" applyNumberFormat="1" applyFont="1" applyBorder="1" applyAlignment="1">
      <alignment horizontal="center" vertical="center"/>
    </xf>
    <xf numFmtId="49" fontId="27" fillId="0" borderId="36" xfId="2" applyNumberFormat="1" applyFont="1" applyBorder="1" applyAlignment="1">
      <alignment horizontal="center" vertical="center"/>
    </xf>
    <xf numFmtId="49" fontId="27" fillId="0" borderId="78" xfId="2" applyNumberFormat="1" applyFont="1" applyBorder="1" applyAlignment="1">
      <alignment horizontal="center" vertical="center"/>
    </xf>
    <xf numFmtId="49" fontId="27" fillId="0" borderId="12" xfId="2" applyNumberFormat="1" applyFont="1" applyBorder="1" applyAlignment="1">
      <alignment horizontal="center" vertical="center"/>
    </xf>
    <xf numFmtId="49" fontId="27" fillId="0" borderId="79" xfId="2" applyNumberFormat="1" applyFont="1" applyBorder="1" applyAlignment="1">
      <alignment horizontal="center" vertical="center"/>
    </xf>
    <xf numFmtId="0" fontId="27" fillId="0" borderId="12" xfId="2" applyNumberFormat="1" applyFont="1" applyBorder="1" applyAlignment="1">
      <alignment horizontal="center" vertical="center"/>
    </xf>
    <xf numFmtId="49" fontId="27" fillId="0" borderId="70" xfId="2" applyNumberFormat="1" applyFont="1" applyBorder="1" applyAlignment="1">
      <alignment horizontal="center" vertical="center"/>
    </xf>
    <xf numFmtId="49" fontId="27" fillId="0" borderId="41" xfId="2" applyNumberFormat="1" applyFont="1" applyBorder="1" applyAlignment="1">
      <alignment horizontal="center" vertical="center"/>
    </xf>
    <xf numFmtId="164" fontId="41" fillId="0" borderId="0" xfId="0" applyFont="1" applyAlignment="1">
      <alignment horizontal="left" vertical="center"/>
    </xf>
    <xf numFmtId="49" fontId="43" fillId="0" borderId="20" xfId="0" applyNumberFormat="1" applyFont="1" applyBorder="1" applyAlignment="1">
      <alignment horizontal="center" vertical="center"/>
    </xf>
    <xf numFmtId="49" fontId="43" fillId="0" borderId="20" xfId="0" applyNumberFormat="1" applyFont="1" applyBorder="1" applyAlignment="1">
      <alignment horizontal="center"/>
    </xf>
    <xf numFmtId="0" fontId="26" fillId="0" borderId="1" xfId="0" applyNumberFormat="1" applyFont="1" applyBorder="1" applyAlignment="1">
      <alignment horizontal="center" vertical="center"/>
    </xf>
    <xf numFmtId="49" fontId="27" fillId="0" borderId="61" xfId="2" applyNumberFormat="1" applyFont="1" applyBorder="1" applyAlignment="1">
      <alignment horizontal="center" vertical="center"/>
    </xf>
    <xf numFmtId="0" fontId="27" fillId="0" borderId="26" xfId="2" applyNumberFormat="1" applyFont="1" applyBorder="1" applyAlignment="1">
      <alignment horizontal="center" vertical="center"/>
    </xf>
    <xf numFmtId="0" fontId="26" fillId="0" borderId="76" xfId="0" applyNumberFormat="1" applyFont="1" applyBorder="1" applyAlignment="1">
      <alignment horizontal="left" vertical="center" wrapText="1"/>
    </xf>
    <xf numFmtId="0" fontId="26" fillId="0" borderId="77" xfId="0" applyNumberFormat="1" applyFont="1" applyBorder="1" applyAlignment="1">
      <alignment horizontal="left" vertical="center" wrapText="1"/>
    </xf>
    <xf numFmtId="0" fontId="26" fillId="0" borderId="76" xfId="0" applyNumberFormat="1" applyFont="1" applyBorder="1" applyAlignment="1">
      <alignment horizontal="right" vertical="center" wrapText="1"/>
    </xf>
    <xf numFmtId="0" fontId="27" fillId="0" borderId="33" xfId="2" applyNumberFormat="1" applyFont="1" applyBorder="1" applyAlignment="1">
      <alignment horizontal="left" vertical="top" wrapText="1"/>
    </xf>
    <xf numFmtId="0" fontId="26" fillId="0" borderId="33" xfId="0" applyNumberFormat="1" applyFont="1" applyBorder="1" applyAlignment="1">
      <alignment horizontal="left" vertical="center" wrapText="1"/>
    </xf>
    <xf numFmtId="0" fontId="33" fillId="0" borderId="1" xfId="0" applyNumberFormat="1" applyFont="1" applyBorder="1" applyAlignment="1">
      <alignment horizontal="left"/>
    </xf>
    <xf numFmtId="0" fontId="36" fillId="0" borderId="1" xfId="0" applyNumberFormat="1" applyFont="1" applyBorder="1" applyAlignment="1">
      <alignment horizontal="center" vertical="center"/>
    </xf>
    <xf numFmtId="0" fontId="36" fillId="0" borderId="1" xfId="0" applyNumberFormat="1" applyFont="1" applyBorder="1" applyAlignment="1">
      <alignment horizontal="left" vertical="center"/>
    </xf>
    <xf numFmtId="0" fontId="36" fillId="0" borderId="1" xfId="0" applyNumberFormat="1" applyFont="1" applyBorder="1" applyAlignment="1">
      <alignment horizontal="center"/>
    </xf>
    <xf numFmtId="0" fontId="36" fillId="0" borderId="1" xfId="0" applyNumberFormat="1" applyFont="1" applyBorder="1"/>
    <xf numFmtId="0" fontId="33" fillId="0" borderId="1" xfId="0" applyNumberFormat="1" applyFont="1" applyBorder="1" applyAlignment="1">
      <alignment horizontal="center"/>
    </xf>
    <xf numFmtId="14" fontId="36" fillId="0" borderId="1" xfId="0" applyNumberFormat="1" applyFont="1" applyBorder="1" applyAlignment="1">
      <alignment horizontal="right" wrapText="1"/>
    </xf>
    <xf numFmtId="49" fontId="27" fillId="0" borderId="0" xfId="6" applyNumberFormat="1" applyFont="1" applyAlignment="1">
      <alignment horizontal="center" vertical="center"/>
    </xf>
    <xf numFmtId="0" fontId="45" fillId="11" borderId="0" xfId="3" applyNumberFormat="1" applyFont="1" applyFill="1" applyAlignment="1" applyProtection="1">
      <alignment horizontal="center" vertical="center"/>
      <protection locked="0"/>
    </xf>
    <xf numFmtId="49" fontId="27" fillId="0" borderId="0" xfId="6" applyNumberFormat="1" applyFont="1" applyAlignment="1">
      <alignment vertical="center"/>
    </xf>
    <xf numFmtId="165" fontId="26" fillId="5" borderId="0" xfId="0" applyNumberFormat="1" applyFont="1" applyFill="1" applyAlignment="1">
      <alignment horizontal="center" vertical="center" wrapText="1"/>
    </xf>
    <xf numFmtId="165" fontId="26" fillId="4" borderId="0" xfId="0" applyNumberFormat="1" applyFont="1" applyFill="1" applyAlignment="1">
      <alignment horizontal="center" vertical="center" wrapText="1"/>
    </xf>
    <xf numFmtId="0" fontId="46" fillId="10" borderId="0" xfId="3" applyNumberFormat="1" applyFont="1" applyFill="1" applyAlignment="1" applyProtection="1">
      <alignment horizontal="center" vertical="center"/>
      <protection locked="0"/>
    </xf>
    <xf numFmtId="49" fontId="26" fillId="0" borderId="0" xfId="6" applyNumberFormat="1" applyFont="1" applyAlignment="1">
      <alignment horizontal="left" vertical="center" wrapText="1" indent="1"/>
    </xf>
    <xf numFmtId="0" fontId="47" fillId="13" borderId="0" xfId="3" applyNumberFormat="1" applyFont="1" applyFill="1" applyAlignment="1" applyProtection="1">
      <alignment horizontal="center" vertical="center"/>
      <protection locked="0"/>
    </xf>
    <xf numFmtId="0" fontId="26" fillId="13" borderId="0" xfId="3" applyNumberFormat="1" applyFont="1" applyFill="1" applyAlignment="1" applyProtection="1">
      <alignment horizontal="center" vertical="center"/>
      <protection locked="0"/>
    </xf>
    <xf numFmtId="49" fontId="26" fillId="0" borderId="0" xfId="0" applyNumberFormat="1" applyFont="1" applyAlignment="1">
      <alignment horizontal="right" vertical="center" wrapText="1" indent="1"/>
    </xf>
    <xf numFmtId="49" fontId="36" fillId="0" borderId="20" xfId="6" applyNumberFormat="1" applyFont="1" applyBorder="1"/>
    <xf numFmtId="49" fontId="36" fillId="0" borderId="0" xfId="6" applyNumberFormat="1" applyFont="1"/>
    <xf numFmtId="0" fontId="33" fillId="0" borderId="20" xfId="0" applyNumberFormat="1" applyFont="1" applyBorder="1" applyAlignment="1">
      <alignment horizontal="left" vertical="center"/>
    </xf>
    <xf numFmtId="0" fontId="27" fillId="11" borderId="0" xfId="3" applyNumberFormat="1" applyFont="1" applyFill="1" applyAlignment="1" applyProtection="1">
      <alignment horizontal="center" vertical="center"/>
      <protection locked="0"/>
    </xf>
    <xf numFmtId="0" fontId="27" fillId="10" borderId="0" xfId="3" applyNumberFormat="1" applyFont="1" applyFill="1" applyAlignment="1" applyProtection="1">
      <alignment horizontal="center" vertical="center"/>
      <protection locked="0"/>
    </xf>
    <xf numFmtId="0" fontId="27" fillId="0" borderId="0" xfId="6" applyNumberFormat="1" applyFont="1" applyAlignment="1">
      <alignment vertical="center"/>
    </xf>
    <xf numFmtId="0" fontId="27" fillId="13" borderId="0" xfId="3" applyNumberFormat="1" applyFont="1" applyFill="1" applyAlignment="1" applyProtection="1">
      <alignment horizontal="center" vertical="center"/>
      <protection locked="0"/>
    </xf>
    <xf numFmtId="0" fontId="27" fillId="0" borderId="20" xfId="6" applyNumberFormat="1" applyFont="1" applyBorder="1" applyAlignment="1">
      <alignment vertical="center"/>
    </xf>
    <xf numFmtId="49" fontId="33" fillId="0" borderId="20" xfId="0" applyNumberFormat="1" applyFont="1" applyBorder="1" applyAlignment="1">
      <alignment horizontal="left" vertical="center"/>
    </xf>
    <xf numFmtId="49" fontId="27" fillId="0" borderId="37" xfId="2" applyNumberFormat="1" applyFont="1" applyBorder="1" applyAlignment="1">
      <alignment horizontal="center" vertical="center"/>
    </xf>
    <xf numFmtId="49" fontId="27" fillId="0" borderId="38" xfId="2" applyNumberFormat="1" applyFont="1" applyBorder="1" applyAlignment="1">
      <alignment horizontal="center" vertical="center"/>
    </xf>
    <xf numFmtId="0" fontId="41" fillId="0" borderId="0" xfId="0" applyNumberFormat="1" applyFont="1"/>
    <xf numFmtId="49" fontId="25" fillId="18" borderId="1" xfId="0" applyNumberFormat="1" applyFont="1" applyFill="1" applyBorder="1" applyAlignment="1">
      <alignment horizontal="left" wrapText="1"/>
    </xf>
    <xf numFmtId="14" fontId="24" fillId="0" borderId="13" xfId="0" applyNumberFormat="1" applyFont="1" applyBorder="1" applyAlignment="1">
      <alignment horizontal="center" vertical="center" wrapText="1"/>
    </xf>
    <xf numFmtId="0" fontId="27" fillId="0" borderId="77" xfId="0" applyNumberFormat="1" applyFont="1" applyBorder="1" applyAlignment="1">
      <alignment horizontal="left" vertical="center" wrapText="1"/>
    </xf>
    <xf numFmtId="0" fontId="27" fillId="0" borderId="76" xfId="0" applyNumberFormat="1" applyFont="1" applyBorder="1" applyAlignment="1">
      <alignment horizontal="right" vertical="center" wrapText="1"/>
    </xf>
    <xf numFmtId="0" fontId="27" fillId="0" borderId="33" xfId="0" applyNumberFormat="1" applyFont="1" applyBorder="1" applyAlignment="1">
      <alignment horizontal="left" vertical="center" wrapText="1"/>
    </xf>
    <xf numFmtId="9" fontId="27" fillId="11" borderId="0" xfId="3" applyNumberFormat="1" applyFont="1" applyFill="1" applyAlignment="1" applyProtection="1">
      <alignment horizontal="center" vertical="center"/>
      <protection locked="0"/>
    </xf>
    <xf numFmtId="9" fontId="27" fillId="10" borderId="0" xfId="3" applyNumberFormat="1" applyFont="1" applyFill="1" applyAlignment="1" applyProtection="1">
      <alignment horizontal="center" vertical="center"/>
      <protection locked="0"/>
    </xf>
    <xf numFmtId="1" fontId="27" fillId="0" borderId="6" xfId="0" applyNumberFormat="1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 vertical="center"/>
    </xf>
    <xf numFmtId="0" fontId="27" fillId="8" borderId="3" xfId="3" applyNumberFormat="1" applyFont="1" applyFill="1" applyBorder="1" applyAlignment="1">
      <alignment vertical="center" wrapText="1"/>
    </xf>
    <xf numFmtId="0" fontId="27" fillId="8" borderId="3" xfId="3" applyNumberFormat="1" applyFont="1" applyFill="1" applyBorder="1" applyAlignment="1" applyProtection="1">
      <alignment vertical="center" wrapText="1"/>
      <protection locked="0"/>
    </xf>
    <xf numFmtId="0" fontId="27" fillId="8" borderId="0" xfId="3" applyNumberFormat="1" applyFont="1" applyFill="1" applyAlignment="1" applyProtection="1">
      <alignment vertical="center" wrapText="1"/>
      <protection locked="0"/>
    </xf>
    <xf numFmtId="0" fontId="27" fillId="8" borderId="1" xfId="3" applyNumberFormat="1" applyFont="1" applyFill="1" applyBorder="1" applyAlignment="1" applyProtection="1">
      <alignment vertical="center" wrapText="1"/>
      <protection locked="0"/>
    </xf>
    <xf numFmtId="49" fontId="25" fillId="15" borderId="1" xfId="0" applyNumberFormat="1" applyFont="1" applyFill="1" applyBorder="1" applyAlignment="1">
      <alignment horizontal="left"/>
    </xf>
    <xf numFmtId="0" fontId="27" fillId="9" borderId="0" xfId="3" applyNumberFormat="1" applyFont="1" applyFill="1" applyAlignment="1" applyProtection="1">
      <alignment vertical="center" shrinkToFit="1"/>
      <protection locked="0"/>
    </xf>
    <xf numFmtId="14" fontId="27" fillId="11" borderId="0" xfId="3" applyNumberFormat="1" applyFont="1" applyFill="1" applyAlignment="1" applyProtection="1">
      <alignment horizontal="center" vertical="center"/>
      <protection locked="0"/>
    </xf>
    <xf numFmtId="0" fontId="24" fillId="13" borderId="1" xfId="0" applyNumberFormat="1" applyFont="1" applyFill="1" applyBorder="1" applyAlignment="1">
      <alignment horizontal="center" vertical="center"/>
    </xf>
    <xf numFmtId="14" fontId="27" fillId="10" borderId="0" xfId="3" applyNumberFormat="1" applyFont="1" applyFill="1" applyAlignment="1" applyProtection="1">
      <alignment horizontal="center" vertical="center"/>
      <protection locked="0"/>
    </xf>
    <xf numFmtId="14" fontId="24" fillId="13" borderId="1" xfId="0" applyNumberFormat="1" applyFont="1" applyFill="1" applyBorder="1" applyAlignment="1">
      <alignment horizontal="center" vertical="center"/>
    </xf>
    <xf numFmtId="9" fontId="27" fillId="8" borderId="0" xfId="1" applyNumberFormat="1" applyFont="1" applyFill="1" applyAlignment="1">
      <alignment horizontal="center" vertical="center"/>
    </xf>
    <xf numFmtId="9" fontId="27" fillId="8" borderId="1" xfId="1" applyNumberFormat="1" applyFont="1" applyFill="1" applyBorder="1" applyAlignment="1">
      <alignment horizontal="center" vertical="center"/>
    </xf>
    <xf numFmtId="0" fontId="26" fillId="0" borderId="0" xfId="3" applyNumberFormat="1" applyFont="1" applyAlignment="1" applyProtection="1">
      <alignment horizontal="right" vertical="center"/>
      <protection locked="0"/>
    </xf>
    <xf numFmtId="49" fontId="26" fillId="0" borderId="1" xfId="5" applyNumberFormat="1" applyFont="1" applyBorder="1" applyAlignment="1">
      <alignment horizontal="center" vertical="center"/>
    </xf>
    <xf numFmtId="1" fontId="27" fillId="8" borderId="1" xfId="0" quotePrefix="1" applyNumberFormat="1" applyFont="1" applyFill="1" applyBorder="1" applyAlignment="1">
      <alignment horizontal="center" vertical="center"/>
    </xf>
    <xf numFmtId="9" fontId="24" fillId="13" borderId="1" xfId="0" applyNumberFormat="1" applyFont="1" applyFill="1" applyBorder="1" applyAlignment="1">
      <alignment horizontal="center" vertical="center"/>
    </xf>
    <xf numFmtId="1" fontId="27" fillId="10" borderId="0" xfId="0" applyNumberFormat="1" applyFont="1" applyFill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/>
    </xf>
    <xf numFmtId="1" fontId="26" fillId="0" borderId="0" xfId="3" applyNumberFormat="1" applyFont="1" applyAlignment="1">
      <alignment horizontal="center" vertical="center"/>
    </xf>
    <xf numFmtId="49" fontId="27" fillId="15" borderId="0" xfId="1" applyNumberFormat="1" applyFont="1" applyFill="1" applyAlignment="1">
      <alignment horizontal="left" vertical="center"/>
    </xf>
    <xf numFmtId="49" fontId="27" fillId="14" borderId="0" xfId="1" applyNumberFormat="1" applyFont="1" applyFill="1" applyAlignment="1">
      <alignment horizontal="left" vertical="center"/>
    </xf>
    <xf numFmtId="49" fontId="27" fillId="17" borderId="1" xfId="1" applyNumberFormat="1" applyFont="1" applyFill="1" applyBorder="1" applyAlignment="1">
      <alignment horizontal="left" vertical="center"/>
    </xf>
    <xf numFmtId="9" fontId="26" fillId="23" borderId="0" xfId="3" applyNumberFormat="1" applyFont="1" applyFill="1" applyAlignment="1">
      <alignment horizontal="center"/>
    </xf>
    <xf numFmtId="9" fontId="26" fillId="23" borderId="0" xfId="3" applyNumberFormat="1" applyFont="1" applyFill="1" applyAlignment="1">
      <alignment horizontal="center" vertical="center"/>
    </xf>
    <xf numFmtId="1" fontId="27" fillId="11" borderId="0" xfId="3" applyNumberFormat="1" applyFont="1" applyFill="1" applyAlignment="1">
      <alignment horizontal="center" vertical="center"/>
    </xf>
    <xf numFmtId="1" fontId="26" fillId="0" borderId="6" xfId="0" applyNumberFormat="1" applyFont="1" applyBorder="1" applyAlignment="1">
      <alignment horizontal="center"/>
    </xf>
    <xf numFmtId="1" fontId="26" fillId="0" borderId="16" xfId="0" applyNumberFormat="1" applyFont="1" applyBorder="1" applyAlignment="1">
      <alignment horizontal="center"/>
    </xf>
    <xf numFmtId="0" fontId="43" fillId="0" borderId="20" xfId="0" applyNumberFormat="1" applyFont="1" applyBorder="1" applyAlignment="1">
      <alignment horizontal="center"/>
    </xf>
    <xf numFmtId="0" fontId="41" fillId="0" borderId="0" xfId="0" applyNumberFormat="1" applyFont="1" applyAlignment="1">
      <alignment horizontal="center" vertical="center"/>
    </xf>
    <xf numFmtId="0" fontId="25" fillId="0" borderId="13" xfId="0" applyNumberFormat="1" applyFont="1" applyBorder="1" applyAlignment="1">
      <alignment horizontal="center" vertical="center" wrapText="1"/>
    </xf>
    <xf numFmtId="49" fontId="30" fillId="0" borderId="20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7" fillId="0" borderId="1" xfId="0" applyNumberFormat="1" applyFont="1" applyBorder="1"/>
    <xf numFmtId="1" fontId="24" fillId="0" borderId="0" xfId="0" applyNumberFormat="1" applyFont="1" applyAlignment="1">
      <alignment horizontal="center"/>
    </xf>
    <xf numFmtId="1" fontId="26" fillId="0" borderId="1" xfId="0" applyNumberFormat="1" applyFont="1" applyBorder="1" applyAlignment="1">
      <alignment horizontal="center" vertical="center"/>
    </xf>
    <xf numFmtId="9" fontId="27" fillId="0" borderId="1" xfId="1" applyNumberFormat="1" applyFont="1" applyBorder="1" applyAlignment="1">
      <alignment horizontal="center" vertical="center"/>
    </xf>
    <xf numFmtId="49" fontId="27" fillId="0" borderId="26" xfId="0" applyNumberFormat="1" applyFont="1" applyBorder="1"/>
    <xf numFmtId="49" fontId="27" fillId="8" borderId="67" xfId="3" applyNumberFormat="1" applyFont="1" applyFill="1" applyBorder="1" applyAlignment="1" applyProtection="1">
      <alignment horizontal="center" vertical="center"/>
      <protection locked="0"/>
    </xf>
    <xf numFmtId="0" fontId="27" fillId="8" borderId="12" xfId="2" applyNumberFormat="1" applyFont="1" applyFill="1" applyBorder="1" applyAlignment="1">
      <alignment horizontal="center"/>
    </xf>
    <xf numFmtId="49" fontId="27" fillId="8" borderId="12" xfId="2" applyNumberFormat="1" applyFont="1" applyFill="1" applyBorder="1" applyAlignment="1">
      <alignment horizontal="center"/>
    </xf>
    <xf numFmtId="49" fontId="27" fillId="8" borderId="16" xfId="2" applyNumberFormat="1" applyFont="1" applyFill="1" applyBorder="1" applyAlignment="1">
      <alignment horizontal="center"/>
    </xf>
    <xf numFmtId="0" fontId="27" fillId="0" borderId="0" xfId="0" applyNumberFormat="1" applyFont="1" applyAlignment="1" applyProtection="1">
      <alignment horizontal="center" vertical="center" wrapText="1"/>
      <protection locked="0"/>
    </xf>
    <xf numFmtId="0" fontId="27" fillId="0" borderId="1" xfId="0" applyNumberFormat="1" applyFont="1" applyBorder="1" applyAlignment="1" applyProtection="1">
      <alignment horizontal="center" vertical="center" wrapText="1"/>
      <protection locked="0"/>
    </xf>
    <xf numFmtId="1" fontId="27" fillId="0" borderId="0" xfId="3" applyNumberFormat="1" applyFont="1" applyAlignment="1">
      <alignment horizontal="center" vertical="center"/>
    </xf>
    <xf numFmtId="0" fontId="27" fillId="0" borderId="8" xfId="0" applyNumberFormat="1" applyFont="1" applyBorder="1" applyAlignment="1" applyProtection="1">
      <alignment horizontal="center" vertical="center" wrapText="1"/>
      <protection locked="0"/>
    </xf>
    <xf numFmtId="49" fontId="26" fillId="0" borderId="12" xfId="2" applyNumberFormat="1" applyFont="1" applyBorder="1" applyAlignment="1">
      <alignment horizontal="center"/>
    </xf>
    <xf numFmtId="49" fontId="26" fillId="0" borderId="16" xfId="2" applyNumberFormat="1" applyFont="1" applyBorder="1" applyAlignment="1">
      <alignment horizontal="center"/>
    </xf>
    <xf numFmtId="0" fontId="26" fillId="0" borderId="8" xfId="6" applyNumberFormat="1" applyFont="1" applyBorder="1" applyAlignment="1">
      <alignment horizontal="center" vertical="center"/>
    </xf>
    <xf numFmtId="49" fontId="25" fillId="15" borderId="1" xfId="0" applyNumberFormat="1" applyFont="1" applyFill="1" applyBorder="1" applyAlignment="1">
      <alignment horizontal="center" wrapText="1"/>
    </xf>
    <xf numFmtId="49" fontId="29" fillId="15" borderId="0" xfId="0" applyNumberFormat="1" applyFont="1" applyFill="1" applyAlignment="1">
      <alignment horizontal="center"/>
    </xf>
    <xf numFmtId="0" fontId="26" fillId="15" borderId="1" xfId="6" applyNumberFormat="1" applyFont="1" applyFill="1" applyBorder="1" applyAlignment="1">
      <alignment horizontal="center"/>
    </xf>
    <xf numFmtId="0" fontId="27" fillId="0" borderId="0" xfId="3" applyNumberFormat="1" applyFont="1" applyAlignment="1" applyProtection="1">
      <alignment vertical="center" shrinkToFit="1"/>
      <protection locked="0"/>
    </xf>
    <xf numFmtId="49" fontId="26" fillId="0" borderId="20" xfId="0" applyNumberFormat="1" applyFont="1" applyBorder="1" applyAlignment="1">
      <alignment horizontal="right" vertical="center"/>
    </xf>
    <xf numFmtId="49" fontId="48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 vertical="center"/>
    </xf>
    <xf numFmtId="166" fontId="27" fillId="3" borderId="0" xfId="0" applyNumberFormat="1" applyFont="1" applyFill="1" applyAlignment="1">
      <alignment horizontal="center" vertical="center"/>
    </xf>
    <xf numFmtId="1" fontId="27" fillId="3" borderId="0" xfId="0" applyNumberFormat="1" applyFont="1" applyFill="1" applyAlignment="1">
      <alignment horizontal="center"/>
    </xf>
    <xf numFmtId="49" fontId="26" fillId="18" borderId="20" xfId="0" applyNumberFormat="1" applyFont="1" applyFill="1" applyBorder="1" applyAlignment="1">
      <alignment horizontal="center" vertical="center"/>
    </xf>
    <xf numFmtId="49" fontId="26" fillId="18" borderId="20" xfId="0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center" wrapText="1"/>
    </xf>
    <xf numFmtId="1" fontId="26" fillId="0" borderId="0" xfId="0" applyNumberFormat="1" applyFont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 wrapText="1"/>
    </xf>
    <xf numFmtId="0" fontId="24" fillId="0" borderId="33" xfId="0" applyNumberFormat="1" applyFont="1" applyBorder="1"/>
    <xf numFmtId="0" fontId="24" fillId="0" borderId="33" xfId="0" applyNumberFormat="1" applyFont="1" applyBorder="1" applyAlignment="1">
      <alignment horizontal="center"/>
    </xf>
    <xf numFmtId="9" fontId="26" fillId="17" borderId="0" xfId="1" applyNumberFormat="1" applyFont="1" applyFill="1" applyAlignment="1">
      <alignment horizontal="center" vertical="center"/>
    </xf>
    <xf numFmtId="0" fontId="27" fillId="17" borderId="0" xfId="1" applyNumberFormat="1" applyFont="1" applyFill="1" applyAlignment="1">
      <alignment horizontal="left" vertical="center"/>
    </xf>
    <xf numFmtId="0" fontId="25" fillId="13" borderId="0" xfId="0" applyNumberFormat="1" applyFont="1" applyFill="1" applyAlignment="1">
      <alignment horizontal="center" vertical="center"/>
    </xf>
    <xf numFmtId="9" fontId="25" fillId="13" borderId="0" xfId="0" applyNumberFormat="1" applyFont="1" applyFill="1" applyAlignment="1">
      <alignment horizontal="center" vertical="center"/>
    </xf>
    <xf numFmtId="49" fontId="26" fillId="14" borderId="1" xfId="0" applyNumberFormat="1" applyFont="1" applyFill="1" applyBorder="1" applyAlignment="1">
      <alignment horizontal="center" wrapText="1"/>
    </xf>
    <xf numFmtId="49" fontId="25" fillId="18" borderId="1" xfId="0" applyNumberFormat="1" applyFont="1" applyFill="1" applyBorder="1" applyAlignment="1">
      <alignment horizontal="center" wrapText="1"/>
    </xf>
    <xf numFmtId="49" fontId="26" fillId="0" borderId="6" xfId="5" applyNumberFormat="1" applyFont="1" applyBorder="1" applyAlignment="1">
      <alignment horizontal="center" wrapText="1"/>
    </xf>
    <xf numFmtId="49" fontId="26" fillId="0" borderId="1" xfId="5" applyNumberFormat="1" applyFont="1" applyBorder="1" applyAlignment="1">
      <alignment horizontal="center" wrapText="1"/>
    </xf>
    <xf numFmtId="49" fontId="26" fillId="0" borderId="8" xfId="5" applyNumberFormat="1" applyFont="1" applyBorder="1" applyAlignment="1">
      <alignment horizontal="center" wrapText="1"/>
    </xf>
    <xf numFmtId="49" fontId="25" fillId="18" borderId="20" xfId="0" applyNumberFormat="1" applyFont="1" applyFill="1" applyBorder="1" applyAlignment="1">
      <alignment horizontal="center"/>
    </xf>
    <xf numFmtId="0" fontId="26" fillId="11" borderId="0" xfId="3" applyNumberFormat="1" applyFont="1" applyFill="1" applyAlignment="1" applyProtection="1">
      <alignment horizontal="right" vertical="center"/>
      <protection locked="0"/>
    </xf>
    <xf numFmtId="0" fontId="26" fillId="10" borderId="0" xfId="3" applyNumberFormat="1" applyFont="1" applyFill="1" applyAlignment="1" applyProtection="1">
      <alignment horizontal="right" vertical="center"/>
      <protection locked="0"/>
    </xf>
    <xf numFmtId="0" fontId="25" fillId="13" borderId="0" xfId="0" applyNumberFormat="1" applyFont="1" applyFill="1" applyAlignment="1">
      <alignment horizontal="right" vertical="center"/>
    </xf>
    <xf numFmtId="9" fontId="27" fillId="0" borderId="0" xfId="3" applyNumberFormat="1" applyFont="1" applyAlignment="1" applyProtection="1">
      <alignment horizontal="left" vertical="center"/>
      <protection locked="0"/>
    </xf>
    <xf numFmtId="14" fontId="27" fillId="0" borderId="0" xfId="3" applyNumberFormat="1" applyFont="1" applyAlignment="1" applyProtection="1">
      <alignment horizontal="left" vertical="center"/>
      <protection locked="0"/>
    </xf>
    <xf numFmtId="9" fontId="26" fillId="10" borderId="0" xfId="3" applyNumberFormat="1" applyFont="1" applyFill="1" applyAlignment="1" applyProtection="1">
      <alignment horizontal="left" vertical="center"/>
      <protection locked="0"/>
    </xf>
    <xf numFmtId="9" fontId="25" fillId="13" borderId="0" xfId="0" applyNumberFormat="1" applyFont="1" applyFill="1" applyAlignment="1">
      <alignment horizontal="left" vertical="center"/>
    </xf>
    <xf numFmtId="9" fontId="25" fillId="0" borderId="0" xfId="0" applyNumberFormat="1" applyFont="1" applyAlignment="1">
      <alignment horizontal="left" vertical="center"/>
    </xf>
    <xf numFmtId="0" fontId="27" fillId="15" borderId="0" xfId="1" applyNumberFormat="1" applyFont="1" applyFill="1" applyAlignment="1">
      <alignment horizontal="right" vertical="center"/>
    </xf>
    <xf numFmtId="0" fontId="27" fillId="14" borderId="0" xfId="1" applyNumberFormat="1" applyFont="1" applyFill="1" applyAlignment="1">
      <alignment horizontal="right" vertical="center"/>
    </xf>
    <xf numFmtId="0" fontId="27" fillId="17" borderId="0" xfId="1" applyNumberFormat="1" applyFont="1" applyFill="1" applyAlignment="1">
      <alignment horizontal="right" vertical="center"/>
    </xf>
    <xf numFmtId="9" fontId="26" fillId="10" borderId="0" xfId="3" applyNumberFormat="1" applyFont="1" applyFill="1" applyAlignment="1" applyProtection="1">
      <alignment horizontal="right" vertical="center"/>
      <protection locked="0"/>
    </xf>
    <xf numFmtId="9" fontId="25" fillId="13" borderId="0" xfId="0" applyNumberFormat="1" applyFont="1" applyFill="1" applyAlignment="1">
      <alignment horizontal="right" vertical="center"/>
    </xf>
    <xf numFmtId="170" fontId="26" fillId="15" borderId="0" xfId="1" applyNumberFormat="1" applyFont="1" applyFill="1" applyAlignment="1">
      <alignment horizontal="center" vertical="center"/>
    </xf>
    <xf numFmtId="170" fontId="26" fillId="14" borderId="0" xfId="1" applyNumberFormat="1" applyFont="1" applyFill="1" applyAlignment="1">
      <alignment horizontal="center" vertical="center"/>
    </xf>
    <xf numFmtId="170" fontId="26" fillId="17" borderId="0" xfId="1" applyNumberFormat="1" applyFont="1" applyFill="1" applyAlignment="1">
      <alignment horizontal="center" vertical="center"/>
    </xf>
    <xf numFmtId="170" fontId="24" fillId="0" borderId="0" xfId="0" applyNumberFormat="1" applyFont="1"/>
    <xf numFmtId="170" fontId="26" fillId="10" borderId="0" xfId="3" applyNumberFormat="1" applyFont="1" applyFill="1" applyAlignment="1" applyProtection="1">
      <alignment horizontal="center" vertical="center"/>
      <protection locked="0"/>
    </xf>
    <xf numFmtId="170" fontId="25" fillId="13" borderId="0" xfId="0" applyNumberFormat="1" applyFont="1" applyFill="1" applyAlignment="1">
      <alignment horizontal="center" vertical="center"/>
    </xf>
    <xf numFmtId="49" fontId="24" fillId="22" borderId="0" xfId="0" applyNumberFormat="1" applyFont="1" applyFill="1"/>
    <xf numFmtId="49" fontId="26" fillId="0" borderId="1" xfId="0" applyNumberFormat="1" applyFont="1" applyBorder="1" applyAlignment="1">
      <alignment horizontal="center" vertical="center"/>
    </xf>
    <xf numFmtId="49" fontId="25" fillId="22" borderId="1" xfId="0" applyNumberFormat="1" applyFont="1" applyFill="1" applyBorder="1" applyAlignment="1">
      <alignment horizontal="center"/>
    </xf>
    <xf numFmtId="49" fontId="26" fillId="5" borderId="20" xfId="0" applyNumberFormat="1" applyFont="1" applyFill="1" applyBorder="1" applyAlignment="1">
      <alignment horizontal="left"/>
    </xf>
    <xf numFmtId="2" fontId="26" fillId="0" borderId="57" xfId="0" applyNumberFormat="1" applyFont="1" applyBorder="1" applyAlignment="1">
      <alignment horizontal="center" vertical="center"/>
    </xf>
    <xf numFmtId="49" fontId="26" fillId="0" borderId="56" xfId="0" applyNumberFormat="1" applyFont="1" applyBorder="1" applyAlignment="1">
      <alignment horizontal="center" vertical="center"/>
    </xf>
    <xf numFmtId="0" fontId="31" fillId="0" borderId="0" xfId="10" applyNumberFormat="1" applyFont="1" applyAlignment="1">
      <alignment horizontal="right" vertical="center"/>
    </xf>
    <xf numFmtId="164" fontId="41" fillId="0" borderId="0" xfId="0" applyFont="1" applyAlignment="1">
      <alignment horizontal="center"/>
    </xf>
    <xf numFmtId="0" fontId="27" fillId="0" borderId="75" xfId="2" applyNumberFormat="1" applyFont="1" applyBorder="1" applyAlignment="1">
      <alignment horizontal="center"/>
    </xf>
    <xf numFmtId="0" fontId="27" fillId="0" borderId="13" xfId="2" applyNumberFormat="1" applyFont="1" applyBorder="1" applyAlignment="1">
      <alignment horizontal="center"/>
    </xf>
    <xf numFmtId="0" fontId="27" fillId="0" borderId="46" xfId="2" applyNumberFormat="1" applyFont="1" applyBorder="1" applyAlignment="1">
      <alignment horizontal="center"/>
    </xf>
    <xf numFmtId="0" fontId="27" fillId="0" borderId="33" xfId="3" applyNumberFormat="1" applyFont="1" applyBorder="1" applyAlignment="1">
      <alignment horizontal="center"/>
    </xf>
    <xf numFmtId="49" fontId="25" fillId="15" borderId="13" xfId="0" applyNumberFormat="1" applyFont="1" applyFill="1" applyBorder="1" applyAlignment="1">
      <alignment horizontal="center" vertical="center"/>
    </xf>
    <xf numFmtId="49" fontId="27" fillId="0" borderId="13" xfId="3" applyNumberFormat="1" applyFont="1" applyBorder="1" applyAlignment="1">
      <alignment horizontal="center" vertical="center"/>
    </xf>
    <xf numFmtId="49" fontId="27" fillId="0" borderId="4" xfId="3" applyNumberFormat="1" applyFont="1" applyBorder="1" applyAlignment="1" applyProtection="1">
      <alignment horizontal="center" vertical="center"/>
      <protection locked="0"/>
    </xf>
    <xf numFmtId="49" fontId="27" fillId="0" borderId="13" xfId="3" applyNumberFormat="1" applyFont="1" applyBorder="1" applyAlignment="1" applyProtection="1">
      <alignment horizontal="center" vertical="center"/>
      <protection locked="0"/>
    </xf>
    <xf numFmtId="0" fontId="27" fillId="0" borderId="4" xfId="3" applyNumberFormat="1" applyFont="1" applyBorder="1" applyAlignment="1">
      <alignment vertical="center"/>
    </xf>
    <xf numFmtId="49" fontId="24" fillId="0" borderId="13" xfId="0" applyNumberFormat="1" applyFont="1" applyBorder="1" applyAlignment="1">
      <alignment vertical="center"/>
    </xf>
    <xf numFmtId="49" fontId="27" fillId="0" borderId="1" xfId="3" applyNumberFormat="1" applyFont="1" applyBorder="1" applyAlignment="1">
      <alignment horizontal="center" vertical="center"/>
    </xf>
    <xf numFmtId="49" fontId="27" fillId="0" borderId="6" xfId="3" applyNumberFormat="1" applyFont="1" applyBorder="1" applyAlignment="1" applyProtection="1">
      <alignment horizontal="center" vertical="center"/>
      <protection locked="0"/>
    </xf>
    <xf numFmtId="49" fontId="27" fillId="0" borderId="1" xfId="3" applyNumberFormat="1" applyFont="1" applyBorder="1" applyAlignment="1" applyProtection="1">
      <alignment horizontal="center" vertical="center"/>
      <protection locked="0"/>
    </xf>
    <xf numFmtId="49" fontId="27" fillId="0" borderId="6" xfId="3" applyNumberFormat="1" applyFont="1" applyBorder="1" applyAlignment="1">
      <alignment vertical="center"/>
    </xf>
    <xf numFmtId="49" fontId="24" fillId="0" borderId="1" xfId="0" applyNumberFormat="1" applyFont="1" applyBorder="1" applyAlignment="1">
      <alignment vertical="center"/>
    </xf>
    <xf numFmtId="49" fontId="25" fillId="15" borderId="1" xfId="0" applyNumberFormat="1" applyFont="1" applyFill="1" applyBorder="1" applyAlignment="1">
      <alignment horizontal="center" vertical="center"/>
    </xf>
    <xf numFmtId="49" fontId="27" fillId="0" borderId="4" xfId="3" applyNumberFormat="1" applyFont="1" applyBorder="1" applyAlignment="1">
      <alignment vertical="center"/>
    </xf>
    <xf numFmtId="0" fontId="50" fillId="0" borderId="0" xfId="39" applyFont="1"/>
    <xf numFmtId="49" fontId="33" fillId="0" borderId="20" xfId="3" applyNumberFormat="1" applyFont="1" applyBorder="1" applyAlignment="1">
      <alignment horizontal="left" vertical="center"/>
    </xf>
    <xf numFmtId="0" fontId="25" fillId="0" borderId="0" xfId="0" quotePrefix="1" applyNumberFormat="1" applyFont="1" applyAlignment="1">
      <alignment horizontal="right"/>
    </xf>
    <xf numFmtId="14" fontId="27" fillId="0" borderId="0" xfId="3" applyNumberFormat="1" applyFont="1" applyAlignment="1">
      <alignment horizontal="center" vertical="center"/>
    </xf>
    <xf numFmtId="14" fontId="24" fillId="8" borderId="0" xfId="0" applyNumberFormat="1" applyFont="1" applyFill="1" applyAlignment="1">
      <alignment horizontal="center"/>
    </xf>
    <xf numFmtId="49" fontId="27" fillId="8" borderId="0" xfId="0" applyNumberFormat="1" applyFont="1" applyFill="1" applyAlignment="1">
      <alignment horizontal="center"/>
    </xf>
    <xf numFmtId="0" fontId="25" fillId="0" borderId="42" xfId="0" applyNumberFormat="1" applyFont="1" applyBorder="1" applyAlignment="1">
      <alignment horizontal="right" vertical="center"/>
    </xf>
    <xf numFmtId="14" fontId="27" fillId="0" borderId="44" xfId="3" applyNumberFormat="1" applyFont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right" vertical="center"/>
    </xf>
    <xf numFmtId="9" fontId="27" fillId="0" borderId="5" xfId="6" applyNumberFormat="1" applyFont="1" applyBorder="1" applyAlignment="1">
      <alignment horizontal="center" vertical="center"/>
    </xf>
    <xf numFmtId="9" fontId="27" fillId="0" borderId="6" xfId="6" applyNumberFormat="1" applyFont="1" applyBorder="1" applyAlignment="1">
      <alignment horizontal="center" vertical="center"/>
    </xf>
    <xf numFmtId="9" fontId="27" fillId="0" borderId="7" xfId="6" applyNumberFormat="1" applyFont="1" applyBorder="1" applyAlignment="1">
      <alignment horizontal="center" vertical="center"/>
    </xf>
    <xf numFmtId="9" fontId="35" fillId="0" borderId="30" xfId="20" applyFont="1" applyFill="1" applyBorder="1" applyAlignment="1">
      <alignment horizontal="center" vertical="center"/>
    </xf>
    <xf numFmtId="9" fontId="35" fillId="0" borderId="7" xfId="20" applyFont="1" applyFill="1" applyBorder="1" applyAlignment="1">
      <alignment horizontal="center" vertical="center"/>
    </xf>
    <xf numFmtId="9" fontId="35" fillId="0" borderId="6" xfId="20" applyFont="1" applyFill="1" applyBorder="1" applyAlignment="1">
      <alignment horizontal="center" vertical="center"/>
    </xf>
    <xf numFmtId="9" fontId="24" fillId="7" borderId="67" xfId="0" applyNumberFormat="1" applyFont="1" applyFill="1" applyBorder="1" applyAlignment="1">
      <alignment horizontal="center" vertical="center"/>
    </xf>
    <xf numFmtId="9" fontId="24" fillId="7" borderId="12" xfId="0" applyNumberFormat="1" applyFont="1" applyFill="1" applyBorder="1" applyAlignment="1">
      <alignment horizontal="center" vertical="center"/>
    </xf>
    <xf numFmtId="9" fontId="24" fillId="7" borderId="16" xfId="0" applyNumberFormat="1" applyFont="1" applyFill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37" fillId="0" borderId="0" xfId="0" applyNumberFormat="1" applyFont="1" applyAlignment="1">
      <alignment horizontal="right"/>
    </xf>
    <xf numFmtId="49" fontId="26" fillId="0" borderId="16" xfId="2" applyNumberFormat="1" applyFont="1" applyBorder="1" applyAlignment="1">
      <alignment horizontal="center" vertical="center"/>
    </xf>
    <xf numFmtId="49" fontId="27" fillId="0" borderId="6" xfId="2" applyNumberFormat="1" applyFont="1" applyBorder="1" applyAlignment="1">
      <alignment horizontal="center" vertical="center"/>
    </xf>
    <xf numFmtId="0" fontId="26" fillId="0" borderId="7" xfId="0" applyNumberFormat="1" applyFont="1" applyBorder="1" applyAlignment="1">
      <alignment horizontal="left" vertical="center" wrapText="1"/>
    </xf>
    <xf numFmtId="0" fontId="26" fillId="0" borderId="16" xfId="0" applyNumberFormat="1" applyFont="1" applyBorder="1" applyAlignment="1">
      <alignment horizontal="left"/>
    </xf>
    <xf numFmtId="0" fontId="26" fillId="0" borderId="16" xfId="0" applyNumberFormat="1" applyFont="1" applyBorder="1" applyAlignment="1">
      <alignment horizontal="left" vertical="center" wrapText="1"/>
    </xf>
    <xf numFmtId="49" fontId="26" fillId="0" borderId="6" xfId="2" applyNumberFormat="1" applyFont="1" applyBorder="1" applyAlignment="1">
      <alignment horizontal="center" vertical="center"/>
    </xf>
    <xf numFmtId="0" fontId="26" fillId="0" borderId="6" xfId="0" applyNumberFormat="1" applyFont="1" applyBorder="1" applyAlignment="1">
      <alignment horizontal="left" vertical="center" wrapText="1"/>
    </xf>
    <xf numFmtId="1" fontId="26" fillId="0" borderId="80" xfId="0" applyNumberFormat="1" applyFont="1" applyBorder="1" applyAlignment="1">
      <alignment horizontal="center" vertical="center"/>
    </xf>
    <xf numFmtId="1" fontId="27" fillId="0" borderId="80" xfId="0" applyNumberFormat="1" applyFont="1" applyBorder="1" applyAlignment="1">
      <alignment horizontal="center" vertical="center"/>
    </xf>
    <xf numFmtId="1" fontId="26" fillId="0" borderId="82" xfId="0" applyNumberFormat="1" applyFont="1" applyBorder="1" applyAlignment="1">
      <alignment horizontal="center" vertical="center"/>
    </xf>
    <xf numFmtId="1" fontId="27" fillId="0" borderId="82" xfId="0" applyNumberFormat="1" applyFont="1" applyBorder="1" applyAlignment="1">
      <alignment horizontal="center" vertical="center"/>
    </xf>
    <xf numFmtId="49" fontId="27" fillId="0" borderId="81" xfId="2" applyNumberFormat="1" applyFont="1" applyBorder="1"/>
    <xf numFmtId="14" fontId="26" fillId="0" borderId="20" xfId="3" applyNumberFormat="1" applyFont="1" applyBorder="1" applyAlignment="1">
      <alignment horizontal="right"/>
    </xf>
    <xf numFmtId="9" fontId="26" fillId="0" borderId="6" xfId="0" applyNumberFormat="1" applyFont="1" applyBorder="1" applyAlignment="1">
      <alignment horizontal="center" vertical="center"/>
    </xf>
    <xf numFmtId="9" fontId="26" fillId="0" borderId="82" xfId="0" applyNumberFormat="1" applyFont="1" applyBorder="1" applyAlignment="1">
      <alignment horizontal="center" vertical="center"/>
    </xf>
    <xf numFmtId="49" fontId="26" fillId="0" borderId="33" xfId="3" applyNumberFormat="1" applyFont="1" applyBorder="1" applyAlignment="1" applyProtection="1">
      <alignment horizontal="left"/>
      <protection locked="0"/>
    </xf>
    <xf numFmtId="49" fontId="26" fillId="0" borderId="33" xfId="3" applyNumberFormat="1" applyFont="1" applyBorder="1" applyAlignment="1" applyProtection="1">
      <alignment horizontal="center"/>
      <protection locked="0"/>
    </xf>
    <xf numFmtId="49" fontId="26" fillId="0" borderId="46" xfId="3" applyNumberFormat="1" applyFont="1" applyBorder="1" applyAlignment="1" applyProtection="1">
      <alignment horizontal="left"/>
      <protection locked="0"/>
    </xf>
    <xf numFmtId="49" fontId="27" fillId="0" borderId="81" xfId="2" applyNumberFormat="1" applyFont="1" applyBorder="1" applyAlignment="1">
      <alignment horizontal="center"/>
    </xf>
    <xf numFmtId="49" fontId="26" fillId="0" borderId="83" xfId="0" applyNumberFormat="1" applyFont="1" applyBorder="1" applyAlignment="1">
      <alignment horizontal="center"/>
    </xf>
    <xf numFmtId="49" fontId="26" fillId="11" borderId="81" xfId="3" applyNumberFormat="1" applyFont="1" applyFill="1" applyBorder="1" applyAlignment="1" applyProtection="1">
      <alignment horizontal="left"/>
      <protection locked="0"/>
    </xf>
    <xf numFmtId="49" fontId="26" fillId="0" borderId="84" xfId="3" applyNumberFormat="1" applyFont="1" applyBorder="1" applyAlignment="1" applyProtection="1">
      <alignment horizontal="center"/>
      <protection locked="0"/>
    </xf>
    <xf numFmtId="49" fontId="26" fillId="10" borderId="81" xfId="3" applyNumberFormat="1" applyFont="1" applyFill="1" applyBorder="1" applyAlignment="1" applyProtection="1">
      <alignment horizontal="left"/>
      <protection locked="0"/>
    </xf>
    <xf numFmtId="49" fontId="26" fillId="13" borderId="81" xfId="3" applyNumberFormat="1" applyFont="1" applyFill="1" applyBorder="1" applyAlignment="1" applyProtection="1">
      <alignment horizontal="left"/>
      <protection locked="0"/>
    </xf>
    <xf numFmtId="0" fontId="26" fillId="0" borderId="85" xfId="0" applyNumberFormat="1" applyFont="1" applyBorder="1" applyAlignment="1">
      <alignment horizontal="left" vertical="center" wrapText="1"/>
    </xf>
    <xf numFmtId="49" fontId="27" fillId="0" borderId="86" xfId="2" applyNumberFormat="1" applyFont="1" applyBorder="1" applyAlignment="1">
      <alignment horizontal="center" vertical="center"/>
    </xf>
    <xf numFmtId="1" fontId="26" fillId="0" borderId="87" xfId="0" applyNumberFormat="1" applyFont="1" applyBorder="1" applyAlignment="1">
      <alignment horizontal="center" vertical="center"/>
    </xf>
    <xf numFmtId="1" fontId="26" fillId="0" borderId="85" xfId="0" applyNumberFormat="1" applyFont="1" applyBorder="1" applyAlignment="1">
      <alignment horizontal="center" vertical="center"/>
    </xf>
    <xf numFmtId="1" fontId="26" fillId="0" borderId="86" xfId="0" applyNumberFormat="1" applyFont="1" applyBorder="1" applyAlignment="1">
      <alignment horizontal="center" vertical="center"/>
    </xf>
    <xf numFmtId="49" fontId="26" fillId="0" borderId="89" xfId="2" applyNumberFormat="1" applyFont="1" applyBorder="1" applyAlignment="1">
      <alignment horizontal="center" vertical="center"/>
    </xf>
    <xf numFmtId="0" fontId="26" fillId="0" borderId="90" xfId="0" applyNumberFormat="1" applyFont="1" applyBorder="1" applyAlignment="1">
      <alignment horizontal="left" vertical="center" wrapText="1"/>
    </xf>
    <xf numFmtId="49" fontId="27" fillId="0" borderId="88" xfId="2" applyNumberFormat="1" applyFont="1" applyBorder="1" applyAlignment="1">
      <alignment horizontal="center" vertical="center"/>
    </xf>
    <xf numFmtId="1" fontId="26" fillId="0" borderId="91" xfId="0" applyNumberFormat="1" applyFont="1" applyBorder="1" applyAlignment="1">
      <alignment horizontal="center" vertical="center"/>
    </xf>
    <xf numFmtId="1" fontId="26" fillId="0" borderId="90" xfId="0" applyNumberFormat="1" applyFont="1" applyBorder="1" applyAlignment="1">
      <alignment horizontal="center" vertical="center"/>
    </xf>
    <xf numFmtId="1" fontId="26" fillId="0" borderId="88" xfId="0" applyNumberFormat="1" applyFont="1" applyBorder="1" applyAlignment="1">
      <alignment horizontal="center" vertical="center"/>
    </xf>
    <xf numFmtId="49" fontId="26" fillId="0" borderId="92" xfId="2" applyNumberFormat="1" applyFont="1" applyBorder="1" applyAlignment="1">
      <alignment horizontal="center" vertical="center"/>
    </xf>
    <xf numFmtId="1" fontId="26" fillId="0" borderId="93" xfId="0" applyNumberFormat="1" applyFont="1" applyBorder="1" applyAlignment="1">
      <alignment horizontal="center" vertical="center"/>
    </xf>
    <xf numFmtId="49" fontId="27" fillId="0" borderId="85" xfId="2" applyNumberFormat="1" applyFont="1" applyBorder="1" applyAlignment="1">
      <alignment horizontal="center" vertical="center"/>
    </xf>
    <xf numFmtId="49" fontId="26" fillId="0" borderId="95" xfId="2" applyNumberFormat="1" applyFont="1" applyBorder="1" applyAlignment="1">
      <alignment horizontal="center" vertical="center"/>
    </xf>
    <xf numFmtId="0" fontId="26" fillId="0" borderId="95" xfId="0" applyNumberFormat="1" applyFont="1" applyBorder="1" applyAlignment="1">
      <alignment horizontal="left" vertical="center" wrapText="1"/>
    </xf>
    <xf numFmtId="49" fontId="27" fillId="0" borderId="95" xfId="2" applyNumberFormat="1" applyFont="1" applyBorder="1" applyAlignment="1">
      <alignment horizontal="center" vertical="center"/>
    </xf>
    <xf numFmtId="1" fontId="26" fillId="0" borderId="96" xfId="0" applyNumberFormat="1" applyFont="1" applyBorder="1" applyAlignment="1">
      <alignment horizontal="center" vertical="center"/>
    </xf>
    <xf numFmtId="1" fontId="26" fillId="0" borderId="95" xfId="0" applyNumberFormat="1" applyFont="1" applyBorder="1" applyAlignment="1">
      <alignment horizontal="center" vertical="center"/>
    </xf>
    <xf numFmtId="1" fontId="26" fillId="0" borderId="94" xfId="0" applyNumberFormat="1" applyFont="1" applyBorder="1" applyAlignment="1">
      <alignment horizontal="center" vertical="center"/>
    </xf>
    <xf numFmtId="49" fontId="26" fillId="0" borderId="85" xfId="2" applyNumberFormat="1" applyFont="1" applyBorder="1" applyAlignment="1">
      <alignment horizontal="center" vertical="center"/>
    </xf>
    <xf numFmtId="49" fontId="26" fillId="0" borderId="90" xfId="2" applyNumberFormat="1" applyFont="1" applyBorder="1" applyAlignment="1">
      <alignment horizontal="center" vertical="center"/>
    </xf>
    <xf numFmtId="49" fontId="27" fillId="0" borderId="90" xfId="2" applyNumberFormat="1" applyFont="1" applyBorder="1" applyAlignment="1">
      <alignment horizontal="center" vertical="center"/>
    </xf>
    <xf numFmtId="1" fontId="26" fillId="0" borderId="97" xfId="0" applyNumberFormat="1" applyFont="1" applyBorder="1" applyAlignment="1">
      <alignment horizontal="center" vertical="center"/>
    </xf>
    <xf numFmtId="1" fontId="27" fillId="0" borderId="94" xfId="0" applyNumberFormat="1" applyFont="1" applyBorder="1" applyAlignment="1">
      <alignment horizontal="center" vertical="center"/>
    </xf>
    <xf numFmtId="1" fontId="27" fillId="0" borderId="96" xfId="0" applyNumberFormat="1" applyFont="1" applyBorder="1" applyAlignment="1">
      <alignment horizontal="center" vertical="center"/>
    </xf>
    <xf numFmtId="1" fontId="27" fillId="0" borderId="86" xfId="0" applyNumberFormat="1" applyFont="1" applyBorder="1" applyAlignment="1">
      <alignment horizontal="center" vertical="center"/>
    </xf>
    <xf numFmtId="1" fontId="27" fillId="0" borderId="93" xfId="0" applyNumberFormat="1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49" fontId="26" fillId="0" borderId="98" xfId="2" applyNumberFormat="1" applyFont="1" applyBorder="1" applyAlignment="1">
      <alignment horizontal="center" vertical="center"/>
    </xf>
    <xf numFmtId="0" fontId="26" fillId="0" borderId="98" xfId="0" applyNumberFormat="1" applyFont="1" applyBorder="1" applyAlignment="1">
      <alignment horizontal="left" vertical="center" wrapText="1"/>
    </xf>
    <xf numFmtId="49" fontId="27" fillId="0" borderId="99" xfId="2" applyNumberFormat="1" applyFont="1" applyBorder="1" applyAlignment="1">
      <alignment horizontal="center" vertical="center"/>
    </xf>
    <xf numFmtId="1" fontId="26" fillId="0" borderId="55" xfId="0" applyNumberFormat="1" applyFont="1" applyBorder="1" applyAlignment="1">
      <alignment horizontal="center" vertical="center"/>
    </xf>
    <xf numFmtId="49" fontId="26" fillId="0" borderId="99" xfId="2" applyNumberFormat="1" applyFont="1" applyBorder="1" applyAlignment="1">
      <alignment horizontal="center" vertical="center"/>
    </xf>
    <xf numFmtId="0" fontId="26" fillId="0" borderId="99" xfId="0" applyNumberFormat="1" applyFont="1" applyBorder="1" applyAlignment="1">
      <alignment horizontal="left" vertical="center" wrapText="1"/>
    </xf>
    <xf numFmtId="1" fontId="27" fillId="0" borderId="10" xfId="0" applyNumberFormat="1" applyFont="1" applyBorder="1" applyAlignment="1">
      <alignment horizontal="center" vertical="center"/>
    </xf>
    <xf numFmtId="1" fontId="27" fillId="0" borderId="55" xfId="0" applyNumberFormat="1" applyFont="1" applyBorder="1" applyAlignment="1">
      <alignment horizontal="center" vertical="center"/>
    </xf>
    <xf numFmtId="171" fontId="26" fillId="0" borderId="101" xfId="3" applyNumberFormat="1" applyFont="1" applyBorder="1" applyAlignment="1" applyProtection="1">
      <alignment horizontal="center"/>
      <protection locked="0"/>
    </xf>
    <xf numFmtId="0" fontId="26" fillId="0" borderId="100" xfId="3" applyNumberFormat="1" applyFont="1" applyBorder="1" applyAlignment="1" applyProtection="1">
      <alignment horizontal="center"/>
      <protection locked="0"/>
    </xf>
    <xf numFmtId="14" fontId="24" fillId="0" borderId="12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49" fontId="26" fillId="11" borderId="2" xfId="3" applyNumberFormat="1" applyFont="1" applyFill="1" applyBorder="1" applyAlignment="1" applyProtection="1">
      <alignment horizontal="center" vertical="center"/>
      <protection locked="0"/>
    </xf>
    <xf numFmtId="49" fontId="26" fillId="10" borderId="2" xfId="3" applyNumberFormat="1" applyFont="1" applyFill="1" applyBorder="1" applyAlignment="1" applyProtection="1">
      <alignment horizontal="center" vertical="center"/>
      <protection locked="0"/>
    </xf>
    <xf numFmtId="49" fontId="26" fillId="13" borderId="2" xfId="3" applyNumberFormat="1" applyFont="1" applyFill="1" applyBorder="1" applyAlignment="1" applyProtection="1">
      <alignment horizontal="center" vertical="center"/>
      <protection locked="0"/>
    </xf>
    <xf numFmtId="0" fontId="19" fillId="0" borderId="0" xfId="40" applyNumberFormat="1" applyAlignment="1">
      <alignment horizontal="right" vertical="center"/>
    </xf>
    <xf numFmtId="0" fontId="27" fillId="9" borderId="0" xfId="3" applyNumberFormat="1" applyFont="1" applyFill="1" applyAlignment="1" applyProtection="1">
      <alignment horizontal="center" vertical="center" shrinkToFit="1"/>
      <protection locked="0"/>
    </xf>
    <xf numFmtId="0" fontId="24" fillId="0" borderId="1" xfId="0" applyNumberFormat="1" applyFont="1" applyBorder="1"/>
    <xf numFmtId="0" fontId="45" fillId="0" borderId="0" xfId="3" applyNumberFormat="1" applyFont="1" applyAlignment="1" applyProtection="1">
      <alignment horizontal="center" vertical="center"/>
      <protection locked="0"/>
    </xf>
    <xf numFmtId="49" fontId="31" fillId="19" borderId="0" xfId="0" applyNumberFormat="1" applyFont="1" applyFill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165" fontId="31" fillId="5" borderId="0" xfId="0" applyNumberFormat="1" applyFont="1" applyFill="1" applyAlignment="1">
      <alignment horizontal="center" vertical="center" wrapText="1"/>
    </xf>
    <xf numFmtId="165" fontId="31" fillId="4" borderId="0" xfId="0" applyNumberFormat="1" applyFont="1" applyFill="1" applyAlignment="1">
      <alignment horizontal="center" vertical="center" wrapText="1"/>
    </xf>
    <xf numFmtId="0" fontId="31" fillId="11" borderId="0" xfId="3" applyNumberFormat="1" applyFont="1" applyFill="1" applyAlignment="1" applyProtection="1">
      <alignment horizontal="center" vertical="center"/>
      <protection locked="0"/>
    </xf>
    <xf numFmtId="0" fontId="31" fillId="10" borderId="0" xfId="3" applyNumberFormat="1" applyFont="1" applyFill="1" applyAlignment="1" applyProtection="1">
      <alignment horizontal="center" vertical="center"/>
      <protection locked="0"/>
    </xf>
    <xf numFmtId="0" fontId="31" fillId="13" borderId="0" xfId="3" applyNumberFormat="1" applyFont="1" applyFill="1" applyAlignment="1" applyProtection="1">
      <alignment horizontal="center" vertical="center"/>
      <protection locked="0"/>
    </xf>
    <xf numFmtId="0" fontId="34" fillId="0" borderId="0" xfId="0" applyNumberFormat="1" applyFont="1"/>
    <xf numFmtId="0" fontId="34" fillId="0" borderId="0" xfId="6" applyNumberFormat="1" applyFont="1" applyAlignment="1">
      <alignment horizontal="left"/>
    </xf>
    <xf numFmtId="49" fontId="34" fillId="0" borderId="0" xfId="6" applyNumberFormat="1" applyFont="1"/>
    <xf numFmtId="0" fontId="34" fillId="0" borderId="0" xfId="6" applyNumberFormat="1" applyFont="1" applyAlignment="1">
      <alignment vertical="center"/>
    </xf>
    <xf numFmtId="0" fontId="34" fillId="0" borderId="6" xfId="6" applyNumberFormat="1" applyFont="1" applyBorder="1" applyAlignment="1">
      <alignment horizontal="left"/>
    </xf>
    <xf numFmtId="49" fontId="34" fillId="0" borderId="0" xfId="6" applyNumberFormat="1" applyFont="1" applyAlignment="1">
      <alignment horizontal="center" vertical="center"/>
    </xf>
    <xf numFmtId="49" fontId="31" fillId="0" borderId="0" xfId="6" applyNumberFormat="1" applyFont="1" applyAlignment="1">
      <alignment horizontal="center" vertical="center"/>
    </xf>
    <xf numFmtId="0" fontId="34" fillId="0" borderId="0" xfId="0" applyNumberFormat="1" applyFont="1" applyAlignment="1">
      <alignment vertical="center"/>
    </xf>
    <xf numFmtId="0" fontId="34" fillId="0" borderId="0" xfId="6" applyNumberFormat="1" applyFont="1" applyAlignment="1">
      <alignment horizontal="left" vertical="center"/>
    </xf>
    <xf numFmtId="0" fontId="34" fillId="0" borderId="0" xfId="6" applyNumberFormat="1" applyFont="1" applyAlignment="1">
      <alignment horizontal="right"/>
    </xf>
    <xf numFmtId="49" fontId="34" fillId="0" borderId="0" xfId="6" applyNumberFormat="1" applyFont="1" applyAlignment="1">
      <alignment horizontal="center"/>
    </xf>
    <xf numFmtId="49" fontId="51" fillId="0" borderId="0" xfId="0" applyNumberFormat="1" applyFont="1" applyAlignment="1">
      <alignment horizontal="left"/>
    </xf>
    <xf numFmtId="0" fontId="52" fillId="0" borderId="0" xfId="6" applyNumberFormat="1" applyFont="1" applyAlignment="1">
      <alignment horizontal="left"/>
    </xf>
    <xf numFmtId="49" fontId="51" fillId="0" borderId="0" xfId="6" applyNumberFormat="1" applyFont="1" applyAlignment="1">
      <alignment horizontal="left"/>
    </xf>
    <xf numFmtId="49" fontId="52" fillId="0" borderId="0" xfId="6" applyNumberFormat="1" applyFont="1" applyAlignment="1">
      <alignment horizontal="left"/>
    </xf>
    <xf numFmtId="0" fontId="51" fillId="0" borderId="0" xfId="0" applyNumberFormat="1" applyFont="1" applyAlignment="1">
      <alignment horizontal="left"/>
    </xf>
    <xf numFmtId="0" fontId="51" fillId="0" borderId="0" xfId="6" applyNumberFormat="1" applyFont="1" applyAlignment="1">
      <alignment horizontal="left"/>
    </xf>
    <xf numFmtId="0" fontId="31" fillId="0" borderId="0" xfId="1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 wrapText="1"/>
    </xf>
    <xf numFmtId="49" fontId="26" fillId="0" borderId="0" xfId="5" applyNumberFormat="1" applyFont="1" applyAlignment="1">
      <alignment horizontal="center" vertical="center" wrapText="1"/>
    </xf>
    <xf numFmtId="49" fontId="26" fillId="0" borderId="0" xfId="5" applyNumberFormat="1" applyFont="1" applyAlignment="1">
      <alignment horizontal="center" vertical="center"/>
    </xf>
    <xf numFmtId="49" fontId="26" fillId="0" borderId="0" xfId="3" applyNumberFormat="1" applyFont="1" applyAlignment="1">
      <alignment horizontal="center" vertical="center"/>
    </xf>
    <xf numFmtId="0" fontId="27" fillId="0" borderId="0" xfId="6" applyNumberFormat="1" applyFont="1" applyAlignment="1">
      <alignment horizontal="right" vertical="center"/>
    </xf>
    <xf numFmtId="0" fontId="31" fillId="0" borderId="6" xfId="3" applyNumberFormat="1" applyFont="1" applyBorder="1" applyAlignment="1" applyProtection="1">
      <alignment horizontal="left" vertical="center"/>
      <protection locked="0"/>
    </xf>
    <xf numFmtId="172" fontId="31" fillId="0" borderId="6" xfId="6" applyNumberFormat="1" applyFont="1" applyBorder="1" applyAlignment="1">
      <alignment horizontal="left" vertical="center"/>
    </xf>
    <xf numFmtId="0" fontId="33" fillId="0" borderId="20" xfId="0" applyNumberFormat="1" applyFont="1" applyBorder="1" applyAlignment="1">
      <alignment horizontal="center" vertical="center"/>
    </xf>
    <xf numFmtId="0" fontId="26" fillId="0" borderId="0" xfId="6" applyNumberFormat="1" applyFont="1" applyAlignment="1">
      <alignment horizontal="left"/>
    </xf>
    <xf numFmtId="0" fontId="27" fillId="0" borderId="6" xfId="3" applyNumberFormat="1" applyFont="1" applyBorder="1" applyAlignment="1" applyProtection="1">
      <alignment horizontal="center" vertical="center"/>
      <protection locked="0"/>
    </xf>
    <xf numFmtId="172" fontId="27" fillId="0" borderId="6" xfId="6" applyNumberFormat="1" applyFont="1" applyBorder="1" applyAlignment="1">
      <alignment horizontal="center" vertical="center"/>
    </xf>
    <xf numFmtId="0" fontId="21" fillId="0" borderId="0" xfId="41" applyFont="1"/>
    <xf numFmtId="0" fontId="21" fillId="0" borderId="0" xfId="41" applyFont="1" applyAlignment="1">
      <alignment horizontal="center"/>
    </xf>
    <xf numFmtId="0" fontId="21" fillId="0" borderId="102" xfId="42" applyFont="1" applyBorder="1" applyAlignment="1">
      <alignment horizontal="center" vertical="center"/>
    </xf>
    <xf numFmtId="0" fontId="21" fillId="0" borderId="103" xfId="42" applyFont="1" applyBorder="1" applyAlignment="1">
      <alignment horizontal="center" vertical="center"/>
    </xf>
    <xf numFmtId="0" fontId="21" fillId="0" borderId="104" xfId="42" applyFont="1" applyBorder="1" applyAlignment="1">
      <alignment horizontal="center" vertical="center"/>
    </xf>
    <xf numFmtId="0" fontId="21" fillId="0" borderId="105" xfId="42" applyFont="1" applyBorder="1" applyAlignment="1">
      <alignment horizontal="center" vertical="center"/>
    </xf>
    <xf numFmtId="0" fontId="21" fillId="0" borderId="106" xfId="41" applyFont="1" applyBorder="1" applyAlignment="1">
      <alignment horizontal="left" vertical="center"/>
    </xf>
    <xf numFmtId="0" fontId="21" fillId="0" borderId="106" xfId="41" applyFont="1" applyBorder="1" applyAlignment="1">
      <alignment horizontal="center" vertical="center"/>
    </xf>
    <xf numFmtId="170" fontId="20" fillId="0" borderId="105" xfId="42" applyNumberFormat="1" applyFont="1" applyBorder="1" applyAlignment="1">
      <alignment horizontal="center" vertical="center"/>
    </xf>
    <xf numFmtId="166" fontId="20" fillId="0" borderId="106" xfId="42" applyNumberFormat="1" applyFont="1" applyBorder="1" applyAlignment="1">
      <alignment horizontal="center" vertical="center"/>
    </xf>
    <xf numFmtId="0" fontId="21" fillId="0" borderId="107" xfId="42" applyFont="1" applyBorder="1" applyAlignment="1">
      <alignment horizontal="center" vertical="center"/>
    </xf>
    <xf numFmtId="0" fontId="21" fillId="0" borderId="108" xfId="42" applyFont="1" applyBorder="1" applyAlignment="1">
      <alignment horizontal="center" vertical="center"/>
    </xf>
    <xf numFmtId="0" fontId="21" fillId="0" borderId="109" xfId="42" applyFont="1" applyBorder="1" applyAlignment="1">
      <alignment horizontal="center" vertical="center"/>
    </xf>
    <xf numFmtId="0" fontId="21" fillId="0" borderId="110" xfId="42" applyFont="1" applyBorder="1" applyAlignment="1">
      <alignment horizontal="center" vertical="center"/>
    </xf>
    <xf numFmtId="0" fontId="21" fillId="0" borderId="111" xfId="41" applyFont="1" applyBorder="1" applyAlignment="1">
      <alignment horizontal="right" vertical="center"/>
    </xf>
    <xf numFmtId="0" fontId="21" fillId="0" borderId="111" xfId="41" applyFont="1" applyBorder="1" applyAlignment="1">
      <alignment horizontal="left" vertical="center"/>
    </xf>
    <xf numFmtId="0" fontId="21" fillId="0" borderId="111" xfId="41" applyFont="1" applyBorder="1" applyAlignment="1">
      <alignment horizontal="center" vertical="center"/>
    </xf>
    <xf numFmtId="170" fontId="20" fillId="0" borderId="110" xfId="42" applyNumberFormat="1" applyFont="1" applyBorder="1" applyAlignment="1">
      <alignment horizontal="center" vertical="center"/>
    </xf>
    <xf numFmtId="166" fontId="20" fillId="0" borderId="111" xfId="42" applyNumberFormat="1" applyFont="1" applyBorder="1" applyAlignment="1">
      <alignment horizontal="center" vertical="center"/>
    </xf>
    <xf numFmtId="0" fontId="21" fillId="0" borderId="106" xfId="41" applyFont="1" applyBorder="1" applyAlignment="1">
      <alignment horizontal="right" vertical="center"/>
    </xf>
    <xf numFmtId="166" fontId="20" fillId="5" borderId="8" xfId="42" applyNumberFormat="1" applyFont="1" applyFill="1" applyBorder="1" applyAlignment="1">
      <alignment horizontal="center" vertical="center"/>
    </xf>
    <xf numFmtId="166" fontId="20" fillId="5" borderId="112" xfId="42" applyNumberFormat="1" applyFont="1" applyFill="1" applyBorder="1" applyAlignment="1">
      <alignment horizontal="center" vertical="center"/>
    </xf>
    <xf numFmtId="166" fontId="20" fillId="5" borderId="113" xfId="42" applyNumberFormat="1" applyFont="1" applyFill="1" applyBorder="1" applyAlignment="1">
      <alignment horizontal="center" vertical="center"/>
    </xf>
    <xf numFmtId="166" fontId="20" fillId="5" borderId="114" xfId="42" applyNumberFormat="1" applyFont="1" applyFill="1" applyBorder="1" applyAlignment="1">
      <alignment horizontal="center" vertical="center"/>
    </xf>
    <xf numFmtId="0" fontId="20" fillId="0" borderId="1" xfId="42" applyFont="1" applyBorder="1" applyAlignment="1">
      <alignment horizontal="left"/>
    </xf>
    <xf numFmtId="0" fontId="20" fillId="0" borderId="1" xfId="42" applyFont="1" applyBorder="1" applyAlignment="1">
      <alignment horizontal="center"/>
    </xf>
    <xf numFmtId="0" fontId="20" fillId="0" borderId="1" xfId="41" applyFont="1" applyBorder="1" applyAlignment="1">
      <alignment horizontal="center"/>
    </xf>
    <xf numFmtId="0" fontId="20" fillId="0" borderId="0" xfId="42" applyFont="1"/>
    <xf numFmtId="0" fontId="20" fillId="0" borderId="0" xfId="42" applyFont="1" applyAlignment="1">
      <alignment horizontal="right" textRotation="90"/>
    </xf>
    <xf numFmtId="0" fontId="21" fillId="0" borderId="0" xfId="42" applyFont="1" applyAlignment="1">
      <alignment horizontal="left" vertical="top" wrapText="1"/>
    </xf>
    <xf numFmtId="0" fontId="20" fillId="0" borderId="0" xfId="42" applyFont="1" applyAlignment="1">
      <alignment horizontal="center"/>
    </xf>
    <xf numFmtId="0" fontId="21" fillId="0" borderId="0" xfId="42" applyFont="1"/>
    <xf numFmtId="170" fontId="20" fillId="0" borderId="0" xfId="42" applyNumberFormat="1" applyFont="1" applyAlignment="1">
      <alignment horizontal="center" vertical="center"/>
    </xf>
    <xf numFmtId="0" fontId="20" fillId="0" borderId="0" xfId="42" applyFont="1" applyAlignment="1">
      <alignment horizontal="left"/>
    </xf>
    <xf numFmtId="1" fontId="20" fillId="0" borderId="106" xfId="42" applyNumberFormat="1" applyFont="1" applyBorder="1" applyAlignment="1">
      <alignment horizontal="center" vertical="center"/>
    </xf>
    <xf numFmtId="0" fontId="20" fillId="0" borderId="111" xfId="41" applyFont="1" applyBorder="1" applyAlignment="1">
      <alignment horizontal="left" vertical="center"/>
    </xf>
    <xf numFmtId="0" fontId="21" fillId="0" borderId="115" xfId="41" applyFont="1" applyBorder="1" applyAlignment="1">
      <alignment horizontal="left" vertical="center"/>
    </xf>
    <xf numFmtId="0" fontId="21" fillId="0" borderId="115" xfId="41" applyFont="1" applyBorder="1" applyAlignment="1">
      <alignment horizontal="center" vertical="center"/>
    </xf>
    <xf numFmtId="170" fontId="20" fillId="0" borderId="116" xfId="42" applyNumberFormat="1" applyFont="1" applyBorder="1" applyAlignment="1">
      <alignment horizontal="center" vertical="center"/>
    </xf>
    <xf numFmtId="1" fontId="20" fillId="0" borderId="115" xfId="42" applyNumberFormat="1" applyFont="1" applyBorder="1" applyAlignment="1">
      <alignment horizontal="center" vertical="center"/>
    </xf>
    <xf numFmtId="0" fontId="21" fillId="0" borderId="1" xfId="42" applyFont="1" applyBorder="1"/>
    <xf numFmtId="0" fontId="21" fillId="0" borderId="117" xfId="41" applyFont="1" applyBorder="1" applyAlignment="1">
      <alignment horizontal="left" vertical="center"/>
    </xf>
    <xf numFmtId="0" fontId="21" fillId="0" borderId="117" xfId="41" applyFont="1" applyBorder="1" applyAlignment="1">
      <alignment horizontal="center" vertical="center"/>
    </xf>
    <xf numFmtId="170" fontId="20" fillId="0" borderId="118" xfId="42" applyNumberFormat="1" applyFont="1" applyBorder="1" applyAlignment="1">
      <alignment horizontal="center" vertical="center"/>
    </xf>
    <xf numFmtId="1" fontId="20" fillId="0" borderId="117" xfId="42" applyNumberFormat="1" applyFont="1" applyBorder="1" applyAlignment="1">
      <alignment horizontal="center" vertical="center"/>
    </xf>
    <xf numFmtId="0" fontId="29" fillId="0" borderId="0" xfId="42" applyFont="1"/>
    <xf numFmtId="0" fontId="29" fillId="0" borderId="0" xfId="42" applyFont="1" applyAlignment="1">
      <alignment horizontal="center"/>
    </xf>
    <xf numFmtId="0" fontId="28" fillId="0" borderId="0" xfId="42" applyFont="1" applyAlignment="1">
      <alignment horizontal="left"/>
    </xf>
    <xf numFmtId="0" fontId="27" fillId="0" borderId="0" xfId="42" applyFont="1"/>
    <xf numFmtId="0" fontId="26" fillId="0" borderId="0" xfId="42" applyFont="1" applyAlignment="1">
      <alignment horizontal="left"/>
    </xf>
    <xf numFmtId="0" fontId="53" fillId="0" borderId="0" xfId="42" applyFont="1" applyAlignment="1">
      <alignment horizontal="right"/>
    </xf>
    <xf numFmtId="0" fontId="27" fillId="0" borderId="0" xfId="42" applyFont="1" applyAlignment="1">
      <alignment horizontal="left"/>
    </xf>
    <xf numFmtId="0" fontId="33" fillId="0" borderId="0" xfId="42" applyFont="1" applyAlignment="1">
      <alignment horizontal="left"/>
    </xf>
    <xf numFmtId="0" fontId="21" fillId="0" borderId="1" xfId="41" applyFont="1" applyBorder="1" applyAlignment="1">
      <alignment horizontal="right" vertical="center"/>
    </xf>
    <xf numFmtId="49" fontId="27" fillId="12" borderId="0" xfId="3" applyNumberFormat="1" applyFont="1" applyFill="1" applyAlignment="1" applyProtection="1">
      <alignment horizontal="left" vertical="center"/>
      <protection locked="0"/>
    </xf>
    <xf numFmtId="49" fontId="26" fillId="12" borderId="0" xfId="3" applyNumberFormat="1" applyFont="1" applyFill="1" applyAlignment="1" applyProtection="1">
      <alignment horizontal="center"/>
      <protection locked="0"/>
    </xf>
    <xf numFmtId="0" fontId="40" fillId="0" borderId="0" xfId="0" applyNumberFormat="1" applyFont="1" applyAlignment="1">
      <alignment horizontal="center"/>
    </xf>
    <xf numFmtId="49" fontId="26" fillId="0" borderId="0" xfId="2" applyNumberFormat="1" applyFont="1" applyAlignment="1">
      <alignment horizontal="center"/>
    </xf>
    <xf numFmtId="49" fontId="27" fillId="8" borderId="3" xfId="3" applyNumberFormat="1" applyFont="1" applyFill="1" applyBorder="1"/>
    <xf numFmtId="0" fontId="32" fillId="0" borderId="0" xfId="10" applyNumberFormat="1" applyFont="1" applyAlignment="1">
      <alignment horizontal="center" vertical="center"/>
    </xf>
    <xf numFmtId="14" fontId="27" fillId="11" borderId="0" xfId="3" applyNumberFormat="1" applyFont="1" applyFill="1" applyAlignment="1">
      <alignment horizontal="center" vertical="center"/>
    </xf>
    <xf numFmtId="49" fontId="54" fillId="8" borderId="18" xfId="0" applyNumberFormat="1" applyFont="1" applyFill="1" applyBorder="1" applyAlignment="1">
      <alignment horizontal="left"/>
    </xf>
    <xf numFmtId="49" fontId="54" fillId="8" borderId="0" xfId="0" applyNumberFormat="1" applyFont="1" applyFill="1" applyAlignment="1">
      <alignment horizontal="left"/>
    </xf>
    <xf numFmtId="49" fontId="27" fillId="8" borderId="0" xfId="0" applyNumberFormat="1" applyFont="1" applyFill="1" applyBorder="1" applyAlignment="1">
      <alignment horizontal="left"/>
    </xf>
    <xf numFmtId="49" fontId="27" fillId="22" borderId="0" xfId="0" applyNumberFormat="1" applyFont="1" applyFill="1" applyAlignment="1">
      <alignment horizontal="left"/>
    </xf>
    <xf numFmtId="49" fontId="54" fillId="8" borderId="25" xfId="0" applyNumberFormat="1" applyFont="1" applyFill="1" applyBorder="1" applyAlignment="1">
      <alignment horizontal="left"/>
    </xf>
    <xf numFmtId="49" fontId="27" fillId="19" borderId="0" xfId="0" applyNumberFormat="1" applyFont="1" applyFill="1" applyAlignment="1">
      <alignment horizontal="center"/>
    </xf>
    <xf numFmtId="49" fontId="27" fillId="19" borderId="0" xfId="0" applyNumberFormat="1" applyFont="1" applyFill="1" applyAlignment="1">
      <alignment horizontal="right"/>
    </xf>
    <xf numFmtId="0" fontId="33" fillId="0" borderId="0" xfId="0" applyNumberFormat="1" applyFont="1" applyBorder="1" applyAlignment="1">
      <alignment horizontal="left"/>
    </xf>
    <xf numFmtId="49" fontId="31" fillId="0" borderId="0" xfId="0" applyNumberFormat="1" applyFont="1" applyBorder="1"/>
    <xf numFmtId="49" fontId="24" fillId="0" borderId="0" xfId="0" applyNumberFormat="1" applyFont="1" applyBorder="1"/>
    <xf numFmtId="49" fontId="24" fillId="0" borderId="0" xfId="0" applyNumberFormat="1" applyFont="1" applyBorder="1" applyAlignment="1">
      <alignment horizontal="left"/>
    </xf>
    <xf numFmtId="49" fontId="23" fillId="0" borderId="0" xfId="0" applyNumberFormat="1" applyFont="1" applyBorder="1"/>
    <xf numFmtId="0" fontId="24" fillId="0" borderId="0" xfId="0" applyNumberFormat="1" applyFont="1" applyBorder="1"/>
    <xf numFmtId="49" fontId="34" fillId="0" borderId="0" xfId="0" applyNumberFormat="1" applyFont="1" applyAlignment="1">
      <alignment horizontal="left" vertical="top"/>
    </xf>
    <xf numFmtId="49" fontId="33" fillId="0" borderId="0" xfId="0" applyNumberFormat="1" applyFont="1" applyAlignment="1">
      <alignment horizontal="left" vertical="top"/>
    </xf>
    <xf numFmtId="49" fontId="27" fillId="0" borderId="0" xfId="2" applyNumberFormat="1" applyFont="1" applyAlignment="1">
      <alignment vertical="top"/>
    </xf>
    <xf numFmtId="49" fontId="27" fillId="0" borderId="0" xfId="2" applyNumberFormat="1" applyFont="1" applyAlignment="1">
      <alignment horizontal="center" vertical="top"/>
    </xf>
    <xf numFmtId="49" fontId="29" fillId="0" borderId="0" xfId="0" applyNumberFormat="1" applyFont="1" applyAlignment="1">
      <alignment vertical="top"/>
    </xf>
    <xf numFmtId="9" fontId="27" fillId="0" borderId="0" xfId="1" applyNumberFormat="1" applyFont="1" applyAlignment="1">
      <alignment horizontal="center" vertical="top"/>
    </xf>
    <xf numFmtId="49" fontId="25" fillId="0" borderId="0" xfId="0" applyNumberFormat="1" applyFont="1" applyAlignment="1">
      <alignment horizontal="left"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>
      <alignment horizontal="center" vertical="top"/>
    </xf>
    <xf numFmtId="0" fontId="28" fillId="0" borderId="0" xfId="42" applyFont="1" applyAlignment="1">
      <alignment horizontal="left" vertical="top"/>
    </xf>
    <xf numFmtId="0" fontId="29" fillId="0" borderId="0" xfId="42" applyFont="1" applyAlignment="1">
      <alignment vertical="top"/>
    </xf>
    <xf numFmtId="49" fontId="26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center" vertical="top"/>
    </xf>
    <xf numFmtId="49" fontId="26" fillId="0" borderId="0" xfId="0" applyNumberFormat="1" applyFont="1" applyAlignment="1">
      <alignment horizontal="center" vertical="top"/>
    </xf>
    <xf numFmtId="49" fontId="26" fillId="15" borderId="0" xfId="1" applyNumberFormat="1" applyFont="1" applyFill="1" applyAlignment="1">
      <alignment horizontal="right" vertical="center"/>
    </xf>
    <xf numFmtId="49" fontId="26" fillId="16" borderId="0" xfId="1" applyNumberFormat="1" applyFont="1" applyFill="1" applyAlignment="1">
      <alignment horizontal="right" vertical="center"/>
    </xf>
    <xf numFmtId="49" fontId="26" fillId="14" borderId="0" xfId="1" applyNumberFormat="1" applyFont="1" applyFill="1" applyAlignment="1">
      <alignment horizontal="right" vertical="center"/>
    </xf>
    <xf numFmtId="49" fontId="26" fillId="17" borderId="1" xfId="1" applyNumberFormat="1" applyFont="1" applyFill="1" applyBorder="1" applyAlignment="1">
      <alignment horizontal="right" vertical="center"/>
    </xf>
    <xf numFmtId="49" fontId="24" fillId="0" borderId="1" xfId="0" applyNumberFormat="1" applyFont="1" applyFill="1" applyBorder="1"/>
    <xf numFmtId="49" fontId="23" fillId="0" borderId="0" xfId="0" applyNumberFormat="1" applyFont="1" applyFill="1" applyBorder="1"/>
    <xf numFmtId="49" fontId="25" fillId="0" borderId="1" xfId="0" applyNumberFormat="1" applyFont="1" applyFill="1" applyBorder="1"/>
    <xf numFmtId="1" fontId="24" fillId="13" borderId="0" xfId="0" applyNumberFormat="1" applyFont="1" applyFill="1" applyBorder="1" applyAlignment="1">
      <alignment horizontal="center" vertical="center"/>
    </xf>
    <xf numFmtId="0" fontId="26" fillId="0" borderId="0" xfId="0" applyNumberFormat="1" applyFont="1" applyBorder="1" applyAlignment="1">
      <alignment horizontal="left"/>
    </xf>
    <xf numFmtId="49" fontId="26" fillId="0" borderId="0" xfId="3" applyNumberFormat="1" applyFont="1" applyBorder="1" applyAlignment="1">
      <alignment horizontal="right" vertical="center"/>
    </xf>
    <xf numFmtId="49" fontId="26" fillId="0" borderId="0" xfId="3" applyNumberFormat="1" applyFont="1" applyBorder="1" applyAlignment="1">
      <alignment horizontal="left" vertical="center"/>
    </xf>
    <xf numFmtId="14" fontId="26" fillId="0" borderId="0" xfId="3" applyNumberFormat="1" applyFont="1" applyBorder="1" applyAlignment="1">
      <alignment horizontal="right"/>
    </xf>
    <xf numFmtId="0" fontId="31" fillId="15" borderId="20" xfId="0" applyNumberFormat="1" applyFont="1" applyFill="1" applyBorder="1"/>
    <xf numFmtId="49" fontId="24" fillId="0" borderId="0" xfId="0" applyNumberFormat="1" applyFont="1" applyFill="1" applyBorder="1"/>
    <xf numFmtId="49" fontId="27" fillId="0" borderId="0" xfId="0" applyNumberFormat="1" applyFont="1" applyFill="1"/>
    <xf numFmtId="49" fontId="26" fillId="0" borderId="0" xfId="3" applyNumberFormat="1" applyFont="1" applyFill="1" applyAlignment="1" applyProtection="1">
      <alignment horizontal="center"/>
      <protection locked="0"/>
    </xf>
    <xf numFmtId="164" fontId="0" fillId="0" borderId="0" xfId="0" applyFill="1"/>
    <xf numFmtId="49" fontId="29" fillId="0" borderId="0" xfId="0" applyNumberFormat="1" applyFont="1" applyFill="1"/>
    <xf numFmtId="49" fontId="26" fillId="5" borderId="20" xfId="0" applyNumberFormat="1" applyFont="1" applyFill="1" applyBorder="1" applyAlignment="1">
      <alignment horizontal="right"/>
    </xf>
    <xf numFmtId="168" fontId="40" fillId="0" borderId="0" xfId="0" applyNumberFormat="1" applyFont="1" applyAlignment="1">
      <alignment horizontal="right"/>
    </xf>
    <xf numFmtId="165" fontId="26" fillId="5" borderId="23" xfId="0" applyNumberFormat="1" applyFont="1" applyFill="1" applyBorder="1" applyAlignment="1">
      <alignment horizontal="right" wrapText="1"/>
    </xf>
    <xf numFmtId="165" fontId="26" fillId="5" borderId="17" xfId="0" applyNumberFormat="1" applyFont="1" applyFill="1" applyBorder="1" applyAlignment="1">
      <alignment horizontal="right" wrapText="1"/>
    </xf>
    <xf numFmtId="165" fontId="26" fillId="4" borderId="17" xfId="0" applyNumberFormat="1" applyFont="1" applyFill="1" applyBorder="1" applyAlignment="1">
      <alignment horizontal="right" wrapText="1"/>
    </xf>
    <xf numFmtId="165" fontId="26" fillId="4" borderId="19" xfId="0" applyNumberFormat="1" applyFont="1" applyFill="1" applyBorder="1" applyAlignment="1">
      <alignment horizontal="right" wrapText="1"/>
    </xf>
    <xf numFmtId="165" fontId="26" fillId="4" borderId="0" xfId="0" applyNumberFormat="1" applyFont="1" applyFill="1" applyAlignment="1">
      <alignment horizontal="right" wrapText="1"/>
    </xf>
    <xf numFmtId="49" fontId="26" fillId="5" borderId="20" xfId="0" applyNumberFormat="1" applyFont="1" applyFill="1" applyBorder="1" applyAlignment="1">
      <alignment horizontal="right" vertical="center"/>
    </xf>
    <xf numFmtId="168" fontId="40" fillId="0" borderId="0" xfId="0" applyNumberFormat="1" applyFont="1" applyAlignment="1">
      <alignment horizontal="right" vertical="center"/>
    </xf>
    <xf numFmtId="165" fontId="26" fillId="5" borderId="23" xfId="0" applyNumberFormat="1" applyFont="1" applyFill="1" applyBorder="1" applyAlignment="1">
      <alignment horizontal="right" vertical="center" wrapText="1"/>
    </xf>
    <xf numFmtId="165" fontId="26" fillId="5" borderId="17" xfId="0" applyNumberFormat="1" applyFont="1" applyFill="1" applyBorder="1" applyAlignment="1">
      <alignment horizontal="right" vertical="center" wrapText="1"/>
    </xf>
    <xf numFmtId="165" fontId="26" fillId="4" borderId="17" xfId="0" applyNumberFormat="1" applyFont="1" applyFill="1" applyBorder="1" applyAlignment="1">
      <alignment horizontal="right" vertical="center" wrapText="1"/>
    </xf>
    <xf numFmtId="165" fontId="26" fillId="4" borderId="19" xfId="0" applyNumberFormat="1" applyFont="1" applyFill="1" applyBorder="1" applyAlignment="1">
      <alignment horizontal="right" vertical="center" wrapText="1"/>
    </xf>
    <xf numFmtId="49" fontId="27" fillId="0" borderId="0" xfId="0" applyNumberFormat="1" applyFont="1" applyAlignment="1">
      <alignment horizontal="right" vertical="center"/>
    </xf>
    <xf numFmtId="49" fontId="26" fillId="10" borderId="6" xfId="3" applyNumberFormat="1" applyFont="1" applyFill="1" applyBorder="1" applyAlignment="1" applyProtection="1">
      <alignment horizontal="right" vertical="center"/>
      <protection locked="0"/>
    </xf>
    <xf numFmtId="49" fontId="26" fillId="13" borderId="6" xfId="3" applyNumberFormat="1" applyFont="1" applyFill="1" applyBorder="1" applyAlignment="1" applyProtection="1">
      <alignment horizontal="right" vertical="center"/>
      <protection locked="0"/>
    </xf>
    <xf numFmtId="165" fontId="26" fillId="4" borderId="0" xfId="0" applyNumberFormat="1" applyFont="1" applyFill="1" applyAlignment="1">
      <alignment horizontal="right" vertical="center" wrapText="1"/>
    </xf>
    <xf numFmtId="0" fontId="26" fillId="0" borderId="20" xfId="0" applyNumberFormat="1" applyFont="1" applyBorder="1" applyAlignment="1">
      <alignment horizontal="right" vertical="center"/>
    </xf>
    <xf numFmtId="49" fontId="27" fillId="11" borderId="1" xfId="3" applyNumberFormat="1" applyFont="1" applyFill="1" applyBorder="1" applyAlignment="1" applyProtection="1">
      <alignment horizontal="right" shrinkToFit="1"/>
      <protection locked="0"/>
    </xf>
    <xf numFmtId="165" fontId="26" fillId="5" borderId="24" xfId="0" applyNumberFormat="1" applyFont="1" applyFill="1" applyBorder="1" applyAlignment="1">
      <alignment horizontal="right" wrapText="1"/>
    </xf>
    <xf numFmtId="165" fontId="26" fillId="5" borderId="0" xfId="0" applyNumberFormat="1" applyFont="1" applyFill="1" applyAlignment="1">
      <alignment horizontal="right" wrapText="1"/>
    </xf>
    <xf numFmtId="165" fontId="26" fillId="4" borderId="20" xfId="0" applyNumberFormat="1" applyFont="1" applyFill="1" applyBorder="1" applyAlignment="1">
      <alignment horizontal="right" wrapText="1"/>
    </xf>
    <xf numFmtId="49" fontId="26" fillId="10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3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1" borderId="6" xfId="3" applyNumberFormat="1" applyFont="1" applyFill="1" applyBorder="1" applyAlignment="1" applyProtection="1">
      <alignment horizontal="left" vertical="center"/>
      <protection locked="0"/>
    </xf>
    <xf numFmtId="49" fontId="26" fillId="12" borderId="6" xfId="3" applyNumberFormat="1" applyFont="1" applyFill="1" applyBorder="1" applyAlignment="1" applyProtection="1">
      <alignment horizontal="right" vertical="center"/>
      <protection locked="0"/>
    </xf>
    <xf numFmtId="49" fontId="27" fillId="11" borderId="1" xfId="0" applyNumberFormat="1" applyFont="1" applyFill="1" applyBorder="1" applyAlignment="1">
      <alignment horizontal="right" vertical="center"/>
    </xf>
    <xf numFmtId="165" fontId="26" fillId="5" borderId="24" xfId="0" applyNumberFormat="1" applyFont="1" applyFill="1" applyBorder="1" applyAlignment="1">
      <alignment horizontal="right" vertical="center" wrapText="1"/>
    </xf>
    <xf numFmtId="165" fontId="26" fillId="5" borderId="0" xfId="0" applyNumberFormat="1" applyFont="1" applyFill="1" applyAlignment="1">
      <alignment horizontal="right" vertical="center" wrapText="1"/>
    </xf>
    <xf numFmtId="165" fontId="26" fillId="4" borderId="20" xfId="0" applyNumberFormat="1" applyFont="1" applyFill="1" applyBorder="1" applyAlignment="1">
      <alignment horizontal="right" vertical="center" wrapText="1"/>
    </xf>
    <xf numFmtId="49" fontId="26" fillId="11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2" borderId="1" xfId="3" applyNumberFormat="1" applyFont="1" applyFill="1" applyBorder="1" applyAlignment="1" applyProtection="1">
      <alignment horizontal="right" vertical="center"/>
      <protection locked="0"/>
    </xf>
    <xf numFmtId="1" fontId="24" fillId="8" borderId="0" xfId="0" applyNumberFormat="1" applyFont="1" applyFill="1" applyAlignment="1">
      <alignment horizontal="left" vertical="center"/>
    </xf>
    <xf numFmtId="49" fontId="26" fillId="11" borderId="0" xfId="3" applyNumberFormat="1" applyFont="1" applyFill="1" applyAlignment="1" applyProtection="1">
      <alignment horizontal="right" vertical="center"/>
      <protection locked="0"/>
    </xf>
    <xf numFmtId="14" fontId="27" fillId="8" borderId="0" xfId="0" applyNumberFormat="1" applyFont="1" applyFill="1" applyAlignment="1">
      <alignment horizontal="center" vertical="center"/>
    </xf>
    <xf numFmtId="49" fontId="26" fillId="10" borderId="0" xfId="3" applyNumberFormat="1" applyFont="1" applyFill="1" applyAlignment="1" applyProtection="1">
      <alignment horizontal="right" vertical="center"/>
      <protection locked="0"/>
    </xf>
    <xf numFmtId="49" fontId="26" fillId="13" borderId="0" xfId="3" applyNumberFormat="1" applyFont="1" applyFill="1" applyAlignment="1" applyProtection="1">
      <alignment horizontal="right" vertical="center"/>
      <protection locked="0"/>
    </xf>
    <xf numFmtId="0" fontId="27" fillId="6" borderId="0" xfId="6" applyNumberFormat="1" applyFont="1" applyFill="1" applyAlignment="1">
      <alignment horizontal="right" vertical="center"/>
    </xf>
    <xf numFmtId="0" fontId="26" fillId="0" borderId="0" xfId="6" applyNumberFormat="1" applyFont="1" applyBorder="1" applyAlignment="1">
      <alignment horizontal="center" vertical="center"/>
    </xf>
    <xf numFmtId="49" fontId="26" fillId="11" borderId="0" xfId="3" applyNumberFormat="1" applyFont="1" applyFill="1" applyBorder="1" applyAlignment="1" applyProtection="1">
      <alignment horizontal="center" vertical="center"/>
      <protection locked="0"/>
    </xf>
    <xf numFmtId="49" fontId="26" fillId="10" borderId="0" xfId="3" applyNumberFormat="1" applyFont="1" applyFill="1" applyBorder="1" applyAlignment="1" applyProtection="1">
      <alignment horizontal="center" vertical="center"/>
      <protection locked="0"/>
    </xf>
    <xf numFmtId="49" fontId="26" fillId="13" borderId="0" xfId="3" applyNumberFormat="1" applyFont="1" applyFill="1" applyBorder="1" applyAlignment="1" applyProtection="1">
      <alignment horizontal="center" vertical="center"/>
      <protection locked="0"/>
    </xf>
    <xf numFmtId="49" fontId="26" fillId="0" borderId="0" xfId="1" applyNumberFormat="1" applyFont="1" applyBorder="1" applyAlignment="1">
      <alignment horizontal="right" vertical="center"/>
    </xf>
    <xf numFmtId="49" fontId="27" fillId="0" borderId="4" xfId="6" applyNumberFormat="1" applyFont="1" applyFill="1" applyBorder="1" applyAlignment="1">
      <alignment horizontal="center" vertical="center"/>
    </xf>
    <xf numFmtId="49" fontId="26" fillId="0" borderId="0" xfId="6" applyNumberFormat="1" applyFont="1" applyBorder="1" applyAlignment="1">
      <alignment horizontal="right" vertical="center"/>
    </xf>
    <xf numFmtId="49" fontId="27" fillId="0" borderId="0" xfId="6" applyNumberFormat="1" applyFont="1" applyBorder="1" applyAlignment="1">
      <alignment horizontal="left" vertical="center"/>
    </xf>
    <xf numFmtId="49" fontId="27" fillId="0" borderId="0" xfId="6" applyNumberFormat="1" applyFont="1" applyBorder="1" applyAlignment="1">
      <alignment horizontal="center" vertical="center"/>
    </xf>
    <xf numFmtId="49" fontId="27" fillId="19" borderId="0" xfId="0" applyNumberFormat="1" applyFont="1" applyFill="1" applyBorder="1" applyAlignment="1">
      <alignment horizontal="center"/>
    </xf>
    <xf numFmtId="49" fontId="27" fillId="0" borderId="0" xfId="0" applyNumberFormat="1" applyFont="1" applyBorder="1"/>
    <xf numFmtId="49" fontId="27" fillId="0" borderId="0" xfId="6" applyNumberFormat="1" applyFont="1" applyBorder="1" applyAlignment="1">
      <alignment vertical="center"/>
    </xf>
    <xf numFmtId="0" fontId="26" fillId="0" borderId="0" xfId="6" applyNumberFormat="1" applyFont="1" applyBorder="1" applyAlignment="1">
      <alignment horizontal="center" vertical="center" wrapText="1"/>
    </xf>
    <xf numFmtId="49" fontId="25" fillId="0" borderId="0" xfId="0" applyNumberFormat="1" applyFont="1" applyBorder="1"/>
    <xf numFmtId="0" fontId="26" fillId="0" borderId="0" xfId="6" applyNumberFormat="1" applyFont="1" applyBorder="1" applyAlignment="1">
      <alignment horizontal="center" wrapText="1"/>
    </xf>
    <xf numFmtId="0" fontId="26" fillId="0" borderId="0" xfId="6" applyNumberFormat="1" applyFont="1" applyBorder="1" applyAlignment="1">
      <alignment wrapText="1"/>
    </xf>
    <xf numFmtId="49" fontId="26" fillId="0" borderId="0" xfId="6" applyNumberFormat="1" applyFont="1" applyBorder="1" applyAlignment="1">
      <alignment horizontal="center" vertical="center" wrapText="1"/>
    </xf>
    <xf numFmtId="0" fontId="26" fillId="0" borderId="0" xfId="6" applyNumberFormat="1" applyFont="1" applyBorder="1"/>
    <xf numFmtId="49" fontId="26" fillId="15" borderId="20" xfId="3" applyNumberFormat="1" applyFont="1" applyFill="1" applyBorder="1" applyAlignment="1">
      <alignment horizontal="left" vertical="center"/>
    </xf>
    <xf numFmtId="1" fontId="24" fillId="10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Border="1"/>
    <xf numFmtId="49" fontId="26" fillId="0" borderId="0" xfId="0" applyNumberFormat="1" applyFont="1" applyBorder="1" applyAlignment="1">
      <alignment horizontal="right" vertical="center"/>
    </xf>
    <xf numFmtId="49" fontId="26" fillId="0" borderId="0" xfId="0" applyNumberFormat="1" applyFont="1" applyBorder="1" applyAlignment="1">
      <alignment horizontal="left" vertical="center"/>
    </xf>
    <xf numFmtId="49" fontId="27" fillId="0" borderId="0" xfId="0" applyNumberFormat="1" applyFont="1" applyBorder="1" applyAlignment="1">
      <alignment vertical="center"/>
    </xf>
    <xf numFmtId="1" fontId="27" fillId="11" borderId="0" xfId="3" applyNumberFormat="1" applyFont="1" applyFill="1" applyBorder="1" applyAlignment="1" applyProtection="1">
      <alignment horizontal="center" vertical="center"/>
      <protection locked="0"/>
    </xf>
    <xf numFmtId="49" fontId="27" fillId="0" borderId="0" xfId="0" applyNumberFormat="1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49" fontId="26" fillId="15" borderId="20" xfId="3" applyNumberFormat="1" applyFont="1" applyFill="1" applyBorder="1" applyAlignment="1">
      <alignment horizontal="left"/>
    </xf>
    <xf numFmtId="49" fontId="27" fillId="24" borderId="0" xfId="3" applyNumberFormat="1" applyFont="1" applyFill="1" applyAlignment="1" applyProtection="1">
      <alignment vertical="center"/>
      <protection locked="0"/>
    </xf>
    <xf numFmtId="49" fontId="27" fillId="24" borderId="0" xfId="3" applyNumberFormat="1" applyFont="1" applyFill="1" applyAlignment="1" applyProtection="1">
      <alignment vertical="center" shrinkToFit="1"/>
      <protection locked="0"/>
    </xf>
    <xf numFmtId="9" fontId="27" fillId="8" borderId="26" xfId="1" applyNumberFormat="1" applyFont="1" applyFill="1" applyBorder="1" applyAlignment="1">
      <alignment horizontal="center"/>
    </xf>
    <xf numFmtId="9" fontId="27" fillId="8" borderId="12" xfId="1" applyNumberFormat="1" applyFont="1" applyFill="1" applyBorder="1" applyAlignment="1">
      <alignment horizontal="center"/>
    </xf>
    <xf numFmtId="9" fontId="27" fillId="8" borderId="16" xfId="1" applyNumberFormat="1" applyFont="1" applyFill="1" applyBorder="1" applyAlignment="1">
      <alignment horizontal="center"/>
    </xf>
    <xf numFmtId="49" fontId="23" fillId="0" borderId="1" xfId="0" applyNumberFormat="1" applyFont="1" applyBorder="1"/>
    <xf numFmtId="49" fontId="25" fillId="0" borderId="1" xfId="0" applyNumberFormat="1" applyFont="1" applyBorder="1" applyAlignment="1">
      <alignment horizontal="right"/>
    </xf>
    <xf numFmtId="49" fontId="26" fillId="0" borderId="0" xfId="3" applyNumberFormat="1" applyFont="1" applyFill="1" applyBorder="1" applyAlignment="1" applyProtection="1">
      <alignment horizontal="center" vertical="center"/>
      <protection locked="0"/>
    </xf>
    <xf numFmtId="49" fontId="26" fillId="0" borderId="0" xfId="3" applyNumberFormat="1" applyFont="1" applyFill="1" applyAlignment="1" applyProtection="1">
      <alignment horizontal="left" vertical="center"/>
      <protection locked="0"/>
    </xf>
    <xf numFmtId="49" fontId="26" fillId="0" borderId="0" xfId="0" applyNumberFormat="1" applyFont="1" applyBorder="1" applyAlignment="1">
      <alignment horizontal="center"/>
    </xf>
    <xf numFmtId="49" fontId="27" fillId="12" borderId="0" xfId="3" applyNumberFormat="1" applyFont="1" applyFill="1" applyBorder="1" applyAlignment="1" applyProtection="1">
      <alignment horizontal="right" vertical="center"/>
      <protection locked="0"/>
    </xf>
    <xf numFmtId="14" fontId="27" fillId="8" borderId="0" xfId="0" applyNumberFormat="1" applyFont="1" applyFill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/>
    </xf>
    <xf numFmtId="1" fontId="27" fillId="11" borderId="5" xfId="3" applyNumberFormat="1" applyFont="1" applyFill="1" applyBorder="1" applyAlignment="1" applyProtection="1">
      <alignment horizontal="center" vertical="center"/>
      <protection locked="0"/>
    </xf>
    <xf numFmtId="1" fontId="24" fillId="10" borderId="7" xfId="0" applyNumberFormat="1" applyFont="1" applyFill="1" applyBorder="1" applyAlignment="1">
      <alignment horizontal="center" vertical="center"/>
    </xf>
    <xf numFmtId="1" fontId="24" fillId="13" borderId="6" xfId="0" applyNumberFormat="1" applyFont="1" applyFill="1" applyBorder="1" applyAlignment="1">
      <alignment horizontal="center" vertical="center"/>
    </xf>
    <xf numFmtId="1" fontId="26" fillId="0" borderId="5" xfId="3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5" fillId="13" borderId="1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14" fontId="26" fillId="0" borderId="0" xfId="3" applyNumberFormat="1" applyFont="1" applyBorder="1" applyAlignment="1">
      <alignment horizontal="right" vertical="center"/>
    </xf>
    <xf numFmtId="164" fontId="41" fillId="0" borderId="0" xfId="0" applyFont="1" applyAlignment="1">
      <alignment vertical="center"/>
    </xf>
    <xf numFmtId="49" fontId="27" fillId="8" borderId="0" xfId="0" applyNumberFormat="1" applyFont="1" applyFill="1" applyAlignment="1">
      <alignment horizontal="left" wrapText="1"/>
    </xf>
    <xf numFmtId="14" fontId="26" fillId="0" borderId="20" xfId="3" applyNumberFormat="1" applyFont="1" applyBorder="1" applyAlignment="1">
      <alignment horizontal="right"/>
    </xf>
    <xf numFmtId="14" fontId="26" fillId="0" borderId="20" xfId="0" applyNumberFormat="1" applyFont="1" applyBorder="1" applyAlignment="1">
      <alignment horizontal="right"/>
    </xf>
    <xf numFmtId="9" fontId="26" fillId="0" borderId="19" xfId="3" applyNumberFormat="1" applyFont="1" applyBorder="1" applyAlignment="1">
      <alignment horizontal="center" vertical="center"/>
    </xf>
    <xf numFmtId="9" fontId="26" fillId="0" borderId="21" xfId="3" applyNumberFormat="1" applyFont="1" applyBorder="1" applyAlignment="1">
      <alignment horizontal="center" vertical="center"/>
    </xf>
    <xf numFmtId="167" fontId="49" fillId="19" borderId="0" xfId="11" applyNumberFormat="1" applyFont="1" applyFill="1" applyBorder="1" applyAlignment="1">
      <alignment horizontal="center" vertical="center"/>
    </xf>
    <xf numFmtId="14" fontId="25" fillId="0" borderId="20" xfId="0" applyNumberFormat="1" applyFont="1" applyBorder="1" applyAlignment="1">
      <alignment horizontal="right"/>
    </xf>
    <xf numFmtId="49" fontId="28" fillId="0" borderId="9" xfId="5" applyNumberFormat="1" applyFont="1" applyBorder="1" applyAlignment="1">
      <alignment horizontal="center" textRotation="90"/>
    </xf>
    <xf numFmtId="49" fontId="28" fillId="0" borderId="22" xfId="5" applyNumberFormat="1" applyFont="1" applyBorder="1" applyAlignment="1">
      <alignment horizontal="center" textRotation="90"/>
    </xf>
    <xf numFmtId="49" fontId="28" fillId="0" borderId="7" xfId="5" applyNumberFormat="1" applyFont="1" applyBorder="1" applyAlignment="1">
      <alignment horizontal="center" textRotation="90"/>
    </xf>
    <xf numFmtId="49" fontId="28" fillId="0" borderId="29" xfId="5" applyNumberFormat="1" applyFont="1" applyBorder="1" applyAlignment="1">
      <alignment horizontal="center" textRotation="90"/>
    </xf>
    <xf numFmtId="49" fontId="28" fillId="0" borderId="0" xfId="5" applyNumberFormat="1" applyFont="1" applyAlignment="1">
      <alignment horizontal="center" textRotation="90"/>
    </xf>
    <xf numFmtId="49" fontId="28" fillId="0" borderId="20" xfId="5" applyNumberFormat="1" applyFont="1" applyBorder="1" applyAlignment="1">
      <alignment horizontal="center" textRotation="90"/>
    </xf>
    <xf numFmtId="14" fontId="26" fillId="0" borderId="0" xfId="3" applyNumberFormat="1" applyFont="1" applyAlignment="1">
      <alignment horizontal="right"/>
    </xf>
    <xf numFmtId="9" fontId="26" fillId="0" borderId="1" xfId="0" applyNumberFormat="1" applyFont="1" applyBorder="1" applyAlignment="1">
      <alignment horizontal="center" vertical="center"/>
    </xf>
    <xf numFmtId="9" fontId="26" fillId="0" borderId="8" xfId="0" applyNumberFormat="1" applyFont="1" applyBorder="1" applyAlignment="1">
      <alignment horizontal="center" vertical="center"/>
    </xf>
    <xf numFmtId="167" fontId="52" fillId="19" borderId="0" xfId="11" applyNumberFormat="1" applyFont="1" applyFill="1" applyBorder="1" applyAlignment="1">
      <alignment horizontal="center" vertical="center"/>
    </xf>
  </cellXfs>
  <cellStyles count="43">
    <cellStyle name="Encabezado 1" xfId="11" builtinId="16"/>
    <cellStyle name="Encabezado 1 2" xfId="9" xr:uid="{00000000-0005-0000-0000-000001000000}"/>
    <cellStyle name="Encabezado 1 2 2" xfId="27" xr:uid="{00000000-0005-0000-0000-000002000000}"/>
    <cellStyle name="Encabezado 1 3" xfId="29" xr:uid="{00000000-0005-0000-0000-000003000000}"/>
    <cellStyle name="Encabezado 4 2" xfId="7" xr:uid="{00000000-0005-0000-0000-000004000000}"/>
    <cellStyle name="Encabezado 4 2 2" xfId="25" xr:uid="{00000000-0005-0000-0000-000005000000}"/>
    <cellStyle name="Hipervínculo" xfId="40" builtinId="8"/>
    <cellStyle name="Hipervínculo 2" xfId="38" xr:uid="{00000000-0005-0000-0000-000007000000}"/>
    <cellStyle name="Normal" xfId="0" builtinId="0"/>
    <cellStyle name="Normal 2" xfId="1" xr:uid="{00000000-0005-0000-0000-000009000000}"/>
    <cellStyle name="Normal 2 2" xfId="22" xr:uid="{00000000-0005-0000-0000-00000A000000}"/>
    <cellStyle name="Normal 2 3" xfId="42" xr:uid="{A5D608AD-2D28-4045-870B-154677C31DC0}"/>
    <cellStyle name="Normal 3" xfId="6" xr:uid="{00000000-0005-0000-0000-00000B000000}"/>
    <cellStyle name="Normal 3 2" xfId="24" xr:uid="{00000000-0005-0000-0000-00000C000000}"/>
    <cellStyle name="Normal 4" xfId="12" xr:uid="{00000000-0005-0000-0000-00000D000000}"/>
    <cellStyle name="Normal 4 2" xfId="30" xr:uid="{00000000-0005-0000-0000-00000E000000}"/>
    <cellStyle name="Normal 5" xfId="16" xr:uid="{00000000-0005-0000-0000-00000F000000}"/>
    <cellStyle name="Normal 5 2" xfId="17" xr:uid="{00000000-0005-0000-0000-000010000000}"/>
    <cellStyle name="Normal 5 2 2" xfId="19" xr:uid="{00000000-0005-0000-0000-000011000000}"/>
    <cellStyle name="Normal 5 2 2 2" xfId="37" xr:uid="{00000000-0005-0000-0000-000012000000}"/>
    <cellStyle name="Normal 5 2 3" xfId="35" xr:uid="{00000000-0005-0000-0000-000013000000}"/>
    <cellStyle name="Normal 5 3" xfId="18" xr:uid="{00000000-0005-0000-0000-000014000000}"/>
    <cellStyle name="Normal 5 3 2" xfId="36" xr:uid="{00000000-0005-0000-0000-000015000000}"/>
    <cellStyle name="Normal 5 4" xfId="34" xr:uid="{00000000-0005-0000-0000-000016000000}"/>
    <cellStyle name="Normal 5 5" xfId="41" xr:uid="{5B4FE505-0A9E-4CCB-A10C-1277156F5964}"/>
    <cellStyle name="Normal 6" xfId="21" xr:uid="{00000000-0005-0000-0000-000017000000}"/>
    <cellStyle name="Normal 7" xfId="39" xr:uid="{2A0E7FE1-7A07-4625-ADDE-CEE1B226B515}"/>
    <cellStyle name="Normal_CuadernoDelProfesor-F_EA_013_01" xfId="2" xr:uid="{00000000-0005-0000-0000-000018000000}"/>
    <cellStyle name="Normal_Instalacionestelecom-Rafa" xfId="3" xr:uid="{00000000-0005-0000-0000-000019000000}"/>
    <cellStyle name="Porcentaje" xfId="20" builtinId="5"/>
    <cellStyle name="Porcentual_Instalacionestelecom-Rafa" xfId="4" xr:uid="{00000000-0005-0000-0000-00001B000000}"/>
    <cellStyle name="Texto explicativo" xfId="5" builtinId="53" customBuiltin="1"/>
    <cellStyle name="Texto explicativo 2" xfId="23" xr:uid="{00000000-0005-0000-0000-00001D000000}"/>
    <cellStyle name="Título 1 2" xfId="14" xr:uid="{00000000-0005-0000-0000-00001E000000}"/>
    <cellStyle name="Título 1 2 2" xfId="32" xr:uid="{00000000-0005-0000-0000-00001F000000}"/>
    <cellStyle name="Título 2 2" xfId="10" xr:uid="{00000000-0005-0000-0000-000020000000}"/>
    <cellStyle name="Título 2 2 2" xfId="28" xr:uid="{00000000-0005-0000-0000-000021000000}"/>
    <cellStyle name="Título 2 3" xfId="13" xr:uid="{00000000-0005-0000-0000-000022000000}"/>
    <cellStyle name="Título 2 3 2" xfId="31" xr:uid="{00000000-0005-0000-0000-000023000000}"/>
    <cellStyle name="Título 3 2" xfId="8" xr:uid="{00000000-0005-0000-0000-000024000000}"/>
    <cellStyle name="Título 3 2 2" xfId="26" xr:uid="{00000000-0005-0000-0000-000025000000}"/>
    <cellStyle name="Título 4" xfId="15" xr:uid="{00000000-0005-0000-0000-000026000000}"/>
    <cellStyle name="Título 4 2" xfId="33" xr:uid="{00000000-0005-0000-0000-000027000000}"/>
  </cellStyles>
  <dxfs count="104"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D9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numFmt numFmtId="0" formatCode="General"/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numFmt numFmtId="0" formatCode="General"/>
      <fill>
        <patternFill>
          <bgColor theme="5" tint="0.3999450666829432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rgb="FFDFDA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969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rgb="FFFFFFD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ont>
        <color rgb="FFC00000"/>
      </font>
    </dxf>
    <dxf>
      <fill>
        <patternFill>
          <bgColor rgb="FF92D050"/>
        </patternFill>
      </fill>
    </dxf>
    <dxf>
      <font>
        <color rgb="FFC00000"/>
      </font>
    </dxf>
    <dxf>
      <fill>
        <patternFill>
          <bgColor rgb="FF92D05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53735"/>
      <rgbColor rgb="00FFFFCC"/>
      <rgbColor rgb="00CCFFFF"/>
      <rgbColor rgb="00660066"/>
      <rgbColor rgb="00D99694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66FF"/>
      <rgbColor rgb="00CC66FF"/>
      <rgbColor rgb="00FFCC99"/>
      <rgbColor rgb="003366FF"/>
      <rgbColor rgb="0066FF66"/>
      <rgbColor rgb="0099CC00"/>
      <rgbColor rgb="00FFCC00"/>
      <rgbColor rgb="00E46C0A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7030A0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A00"/>
      <color rgb="FFDA9694"/>
      <color rgb="FFD99593"/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622703412073489E-2"/>
          <c:y val="2.9471163276606722E-2"/>
          <c:w val="0.84688429571303592"/>
          <c:h val="0.854900670985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EvInd!$I$5:$I$7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C-4902-B7EA-229490BFDDEC}"/>
            </c:ext>
          </c:extLst>
        </c:ser>
        <c:ser>
          <c:idx val="1"/>
          <c:order val="1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EvInd!$J$5:$J$7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C-4902-B7EA-229490BF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526159"/>
        <c:axId val="1266679039"/>
      </c:barChart>
      <c:catAx>
        <c:axId val="12665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679039"/>
        <c:crosses val="autoZero"/>
        <c:auto val="1"/>
        <c:lblAlgn val="ctr"/>
        <c:lblOffset val="100"/>
        <c:noMultiLvlLbl val="0"/>
      </c:catAx>
      <c:valAx>
        <c:axId val="12666790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526159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622703412073489E-2"/>
          <c:y val="2.9471163276606722E-2"/>
          <c:w val="0.84688429571303592"/>
          <c:h val="0.854900670985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EvInd!$M$5:$M$7</c:f>
              <c:numCache>
                <c:formatCode>0</c:formatCode>
                <c:ptCount val="3"/>
                <c:pt idx="0">
                  <c:v>7.8</c:v>
                </c:pt>
                <c:pt idx="1">
                  <c:v>6</c:v>
                </c:pt>
                <c:pt idx="2">
                  <c:v>6.8999999999999995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D-4766-A81A-7B8A03715C89}"/>
            </c:ext>
          </c:extLst>
        </c:ser>
        <c:ser>
          <c:idx val="1"/>
          <c:order val="1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EvInd!$O$5:$O$7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D-4766-A81A-7B8A0371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526159"/>
        <c:axId val="1266679039"/>
      </c:barChart>
      <c:catAx>
        <c:axId val="12665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679039"/>
        <c:crosses val="autoZero"/>
        <c:auto val="1"/>
        <c:lblAlgn val="ctr"/>
        <c:lblOffset val="100"/>
        <c:noMultiLvlLbl val="0"/>
      </c:catAx>
      <c:valAx>
        <c:axId val="12666790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526159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65314</xdr:colOff>
      <xdr:row>10</xdr:row>
      <xdr:rowOff>36287</xdr:rowOff>
    </xdr:from>
    <xdr:to>
      <xdr:col>9</xdr:col>
      <xdr:colOff>674914</xdr:colOff>
      <xdr:row>16</xdr:row>
      <xdr:rowOff>174171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21772</xdr:colOff>
      <xdr:row>10</xdr:row>
      <xdr:rowOff>65316</xdr:rowOff>
    </xdr:from>
    <xdr:to>
      <xdr:col>14</xdr:col>
      <xdr:colOff>609600</xdr:colOff>
      <xdr:row>17</xdr:row>
      <xdr:rowOff>10886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B04265-6B27-42EC-BB47-5FA8236EE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/Google%20Drive%20(rafaelsanzprades@gmail.com)/1%20IES%20Clases/000%20FP%20XLS/2016-17%20Seguimiento%20IRDST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anz/Google%20Drive/41%20ClasesIES/14%20Seguimiento/calendario%20office20x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anz/Google%20Drive/41%20ClasesIES/14%20Seguimiento/Calendario%20Column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/Desktop/inconsistencias%20info-docentec-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Dat"/>
      <sheetName val="G-DatAlu"/>
      <sheetName val="G-DatFec"/>
      <sheetName val="Evaluación"/>
      <sheetName val="Asistencia"/>
      <sheetName val="Alumnes"/>
      <sheetName val="Tutor"/>
      <sheetName val="Diario"/>
      <sheetName val="Calendario"/>
      <sheetName val="Programación"/>
      <sheetName val="Actividades"/>
      <sheetName val="Rubricas"/>
      <sheetName val="ResObjCom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"/>
      <sheetName val="Diario"/>
      <sheetName val="Asistencia"/>
      <sheetName val="Calendario"/>
      <sheetName val="Programación"/>
      <sheetName val="Alumnes"/>
      <sheetName val="Actividades"/>
      <sheetName val="Resumen"/>
      <sheetName val="Resultados"/>
      <sheetName val="Objetivos"/>
      <sheetName val="Competencias"/>
      <sheetName val="Tutor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izador anual"/>
      <sheetName val="Citas"/>
      <sheetName val="Cálc.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 (2)"/>
      <sheetName val="inconsistencias info-docentec-d"/>
    </sheetNames>
    <definedNames>
      <definedName name="AñoInicio"/>
    </defined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printerSettings" Target="../printerSettings/printerSettings10.bin"/><Relationship Id="rId7" Type="http://schemas.openxmlformats.org/officeDocument/2006/relationships/hyperlink" Target="https://educa.aragon.es/calendario-escolar" TargetMode="Externa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7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7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5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2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6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7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rinterSettings" Target="../printerSettings/printerSettings53.bin"/><Relationship Id="rId7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5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6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.bin"/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Relationship Id="rId5" Type="http://schemas.openxmlformats.org/officeDocument/2006/relationships/printerSettings" Target="../printerSettings/printerSettings69.bin"/><Relationship Id="rId4" Type="http://schemas.openxmlformats.org/officeDocument/2006/relationships/printerSettings" Target="../printerSettings/printerSettings6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5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7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7" Type="http://schemas.openxmlformats.org/officeDocument/2006/relationships/printerSettings" Target="../printerSettings/printerSettings85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5" Type="http://schemas.openxmlformats.org/officeDocument/2006/relationships/printerSettings" Target="../printerSettings/printerSettings83.bin"/><Relationship Id="rId4" Type="http://schemas.openxmlformats.org/officeDocument/2006/relationships/printerSettings" Target="../printerSettings/printerSettings8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92.bin"/><Relationship Id="rId2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86.bin"/><Relationship Id="rId6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tabColor theme="8" tint="0.79998168889431442"/>
    <pageSetUpPr autoPageBreaks="0"/>
  </sheetPr>
  <dimension ref="A1:AV147"/>
  <sheetViews>
    <sheetView showGridLines="0" showZeros="0" view="pageBreakPreview" zoomScale="50" zoomScaleNormal="40" zoomScaleSheetLayoutView="50" workbookViewId="0">
      <pane ySplit="2" topLeftCell="A3" activePane="bottomLeft" state="frozen"/>
      <selection pane="bottomLeft" activeCell="R9" sqref="R9"/>
    </sheetView>
  </sheetViews>
  <sheetFormatPr baseColWidth="10" defaultColWidth="11.5546875" defaultRowHeight="14.4" x14ac:dyDescent="0.3"/>
  <cols>
    <col min="1" max="1" width="3.5546875" style="1" customWidth="1"/>
    <col min="2" max="2" width="9.21875" style="1" customWidth="1"/>
    <col min="3" max="3" width="11.5546875" style="1" customWidth="1"/>
    <col min="4" max="4" width="68.44140625" style="1" customWidth="1"/>
    <col min="5" max="5" width="10.44140625" style="1" customWidth="1"/>
    <col min="6" max="6" width="21" style="1" customWidth="1"/>
    <col min="7" max="7" width="21" style="17" customWidth="1"/>
    <col min="8" max="19" width="7" style="1" customWidth="1"/>
    <col min="20" max="20" width="3.5546875" style="1079" customWidth="1"/>
    <col min="47" max="47" width="3.21875" style="1" customWidth="1"/>
    <col min="48" max="16384" width="11.5546875" style="1"/>
  </cols>
  <sheetData>
    <row r="1" spans="1:48" ht="23.55" customHeight="1" thickBot="1" x14ac:dyDescent="0.5">
      <c r="A1" s="489" t="s">
        <v>523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875"/>
      <c r="O1" s="456"/>
      <c r="P1" s="456"/>
      <c r="Q1" s="1204">
        <f ca="1">FechaHoy</f>
        <v>46099</v>
      </c>
      <c r="R1" s="1204"/>
      <c r="S1" s="1204"/>
      <c r="T1" s="1075"/>
      <c r="AU1" s="7"/>
    </row>
    <row r="2" spans="1:48" s="7" customFormat="1" ht="15.6" x14ac:dyDescent="0.3">
      <c r="A2" s="578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107"/>
      <c r="R2" s="1107"/>
      <c r="S2" s="1107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  <c r="AM2" s="672"/>
      <c r="AN2" s="672"/>
      <c r="AO2" s="672"/>
      <c r="AP2" s="672"/>
      <c r="AQ2" s="672"/>
      <c r="AR2" s="672"/>
      <c r="AS2" s="672"/>
      <c r="AT2" s="672"/>
    </row>
    <row r="3" spans="1:48" s="7" customFormat="1" ht="15.6" x14ac:dyDescent="0.3">
      <c r="B3" s="24"/>
      <c r="C3" s="24"/>
      <c r="D3" s="51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AU3" s="1"/>
      <c r="AV3" s="23"/>
    </row>
    <row r="4" spans="1:48" s="7" customFormat="1" ht="21" thickBot="1" x14ac:dyDescent="0.4">
      <c r="B4" s="300" t="s">
        <v>537</v>
      </c>
      <c r="C4" s="300"/>
      <c r="D4" s="301"/>
      <c r="E4" s="8"/>
      <c r="F4" s="1179" t="s">
        <v>535</v>
      </c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AU4" s="1"/>
      <c r="AV4" s="23"/>
    </row>
    <row r="5" spans="1:48" s="7" customFormat="1" ht="15.6" x14ac:dyDescent="0.3">
      <c r="B5" s="24"/>
      <c r="C5" s="24"/>
      <c r="D5" s="5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AU5" s="1"/>
      <c r="AV5" s="23"/>
    </row>
    <row r="6" spans="1:48" s="7" customFormat="1" ht="15.6" x14ac:dyDescent="0.3">
      <c r="B6" s="12" t="s">
        <v>527</v>
      </c>
      <c r="C6" s="12"/>
      <c r="D6" s="1186" t="s">
        <v>538</v>
      </c>
      <c r="E6" s="1077"/>
      <c r="F6" s="12" t="s">
        <v>285</v>
      </c>
      <c r="G6" s="12"/>
      <c r="H6" s="266" t="s">
        <v>308</v>
      </c>
      <c r="J6" s="1102" t="s">
        <v>526</v>
      </c>
      <c r="K6" s="1100"/>
      <c r="L6" s="1100"/>
      <c r="M6" s="1100"/>
      <c r="N6" s="1100"/>
      <c r="O6" s="1100"/>
      <c r="P6" s="1100"/>
      <c r="Q6" s="1100"/>
      <c r="R6" s="1100"/>
      <c r="Z6" s="23"/>
    </row>
    <row r="7" spans="1:48" s="104" customFormat="1" ht="15.6" x14ac:dyDescent="0.3">
      <c r="C7" s="8" t="s">
        <v>39</v>
      </c>
      <c r="D7" s="1180" t="s">
        <v>363</v>
      </c>
      <c r="E7" s="1101"/>
      <c r="F7" s="1096" t="s">
        <v>277</v>
      </c>
      <c r="G7" s="775" t="s">
        <v>279</v>
      </c>
      <c r="H7" s="766">
        <v>0.3</v>
      </c>
      <c r="K7" s="885" t="s">
        <v>275</v>
      </c>
      <c r="L7" s="882">
        <f>_xlfn.XLOOKUP(IModulo,Info!$F$4:$F$50,Info!$H$4:$H$50,3)</f>
        <v>3</v>
      </c>
      <c r="N7" s="1156" t="s">
        <v>281</v>
      </c>
      <c r="O7" s="335">
        <v>0.15</v>
      </c>
      <c r="Q7" s="885" t="s">
        <v>306</v>
      </c>
      <c r="R7" s="799">
        <v>5</v>
      </c>
    </row>
    <row r="8" spans="1:48" s="104" customFormat="1" ht="15.6" x14ac:dyDescent="0.3">
      <c r="C8" s="8" t="s">
        <v>58</v>
      </c>
      <c r="D8" s="1181" t="s">
        <v>336</v>
      </c>
      <c r="E8" s="1078"/>
      <c r="F8" s="1097" t="s">
        <v>278</v>
      </c>
      <c r="G8" s="775" t="s">
        <v>250</v>
      </c>
      <c r="H8" s="766">
        <v>0.3</v>
      </c>
      <c r="K8" s="885" t="s">
        <v>351</v>
      </c>
      <c r="L8" s="883">
        <f>NUD</f>
        <v>2</v>
      </c>
      <c r="N8" s="885" t="s">
        <v>287</v>
      </c>
      <c r="O8" s="789">
        <f>MAX(Flts!H14:H349)</f>
        <v>138</v>
      </c>
      <c r="Q8" s="8" t="s">
        <v>276</v>
      </c>
      <c r="R8" s="882" cm="1">
        <f t="array" ref="R8">_xlfn.XLOOKUP(MID(IModulo,1,14),MID(Info!$F$3:$F$50,1,14),Info!$G$3:$G$50,99)</f>
        <v>128</v>
      </c>
    </row>
    <row r="9" spans="1:48" ht="15.6" customHeight="1" x14ac:dyDescent="0.3">
      <c r="C9" s="8" t="s">
        <v>536</v>
      </c>
      <c r="D9" s="1180" t="s">
        <v>490</v>
      </c>
      <c r="F9" s="1098" t="s">
        <v>278</v>
      </c>
      <c r="G9" s="776" t="s">
        <v>129</v>
      </c>
      <c r="H9" s="766">
        <v>0.4</v>
      </c>
      <c r="K9" s="885" t="s">
        <v>328</v>
      </c>
      <c r="L9" s="799">
        <f>NPract</f>
        <v>3</v>
      </c>
      <c r="M9"/>
      <c r="N9" s="885" t="s">
        <v>352</v>
      </c>
      <c r="O9" s="789">
        <f ca="1">R9*PEv</f>
        <v>20.7</v>
      </c>
      <c r="P9"/>
      <c r="Q9" s="885" t="s">
        <v>131</v>
      </c>
      <c r="R9" s="260">
        <f ca="1">HReal</f>
        <v>138</v>
      </c>
      <c r="S9"/>
      <c r="Y9" s="104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8" s="7" customFormat="1" ht="15.6" customHeight="1" x14ac:dyDescent="0.3">
      <c r="D10" s="18"/>
      <c r="E10" s="1077"/>
      <c r="F10" s="1099" t="s">
        <v>135</v>
      </c>
      <c r="G10" s="777" t="s">
        <v>280</v>
      </c>
      <c r="H10" s="767">
        <v>0</v>
      </c>
      <c r="Q10" s="768" t="str">
        <f ca="1">IF(R10=0,"H.BOA = H.Real","") &amp; IF(R10&gt;0,"H.BOA &lt; H.Real","") &amp; IF(R10&lt;0,"H.BOA &gt; H.Real","")</f>
        <v>H.BOA &lt; H.Real</v>
      </c>
      <c r="R10" s="884">
        <f ca="1">HReal-HBOA</f>
        <v>10</v>
      </c>
      <c r="Y10" s="1"/>
    </row>
    <row r="11" spans="1:48" s="7" customFormat="1" ht="15.6" customHeight="1" x14ac:dyDescent="0.3">
      <c r="E11" s="1077"/>
      <c r="G11" s="768" t="str">
        <f>IF(H11=100%,"¡Ok!. Suma de ponderación 100%","") &amp; IF(H11&gt;100%,"NoOk. Sobra %","") &amp; IF(H11&lt;100%,"NoOk. Falta %","")</f>
        <v>¡Ok!. Suma de ponderación 100%</v>
      </c>
      <c r="H11" s="779">
        <f>SUM(H7:H10)</f>
        <v>1</v>
      </c>
      <c r="Y11" s="104"/>
    </row>
    <row r="12" spans="1:48" s="7" customFormat="1" ht="15.6" customHeight="1" x14ac:dyDescent="0.3">
      <c r="E12" s="1077"/>
      <c r="Y12" s="104"/>
    </row>
    <row r="13" spans="1:48" s="7" customFormat="1" ht="21" thickBot="1" x14ac:dyDescent="0.4">
      <c r="B13" s="300" t="s">
        <v>25</v>
      </c>
      <c r="C13" s="300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AU13" s="1"/>
      <c r="AV13" s="23"/>
    </row>
    <row r="14" spans="1:48" s="7" customFormat="1" ht="15.6" customHeight="1" x14ac:dyDescent="0.3">
      <c r="E14" s="1077"/>
      <c r="Y14" s="104"/>
    </row>
    <row r="15" spans="1:48" s="7" customFormat="1" ht="15.6" customHeight="1" x14ac:dyDescent="0.3">
      <c r="B15" s="825" t="s">
        <v>331</v>
      </c>
      <c r="C15" s="266" t="s">
        <v>203</v>
      </c>
      <c r="D15" s="747" t="s">
        <v>25</v>
      </c>
      <c r="E15" s="747"/>
      <c r="F15" s="747"/>
      <c r="G15" s="747"/>
      <c r="H15" s="747"/>
      <c r="I15" s="747"/>
      <c r="J15" s="747"/>
      <c r="K15" s="747"/>
      <c r="L15" s="747"/>
      <c r="M15" s="747"/>
      <c r="N15" s="747"/>
      <c r="O15" s="747"/>
      <c r="P15" s="747"/>
      <c r="Q15" s="747"/>
      <c r="R15" s="747"/>
      <c r="S15" s="747"/>
      <c r="Y15" s="1"/>
    </row>
    <row r="16" spans="1:48" s="7" customFormat="1" ht="15.6" customHeight="1" x14ac:dyDescent="0.3">
      <c r="B16" s="395" t="str">
        <f>IF(ReAp01&lt;&gt;"","RA01","")</f>
        <v>RA01</v>
      </c>
      <c r="C16" s="1182">
        <v>0.15</v>
      </c>
      <c r="D16" s="756" t="s">
        <v>356</v>
      </c>
      <c r="E16" s="1077"/>
      <c r="G16" s="104"/>
      <c r="Y16" s="104"/>
    </row>
    <row r="17" spans="2:48" s="7" customFormat="1" ht="15.6" customHeight="1" x14ac:dyDescent="0.3">
      <c r="B17" s="395" t="str">
        <f>IF(ReAp02&lt;&gt;"","RA02","")</f>
        <v>RA02</v>
      </c>
      <c r="C17" s="1183">
        <v>0.2</v>
      </c>
      <c r="D17" s="758" t="s">
        <v>355</v>
      </c>
      <c r="E17" s="1077"/>
      <c r="G17" s="104"/>
      <c r="Y17" s="1"/>
    </row>
    <row r="18" spans="2:48" s="7" customFormat="1" ht="15.6" customHeight="1" x14ac:dyDescent="0.3">
      <c r="B18" s="404" t="str">
        <f>IF(ReAp03&lt;&gt;"","RA03","")</f>
        <v>RA03</v>
      </c>
      <c r="C18" s="1184">
        <v>0.2</v>
      </c>
      <c r="D18" s="759" t="s">
        <v>354</v>
      </c>
      <c r="E18" s="6"/>
      <c r="F18" s="6"/>
      <c r="G18" s="118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Y18" s="104"/>
    </row>
    <row r="19" spans="2:48" s="7" customFormat="1" ht="15.6" customHeight="1" x14ac:dyDescent="0.3">
      <c r="B19" s="395" t="str">
        <f>IF(ReAp04&lt;&gt;"","RA04","")</f>
        <v>RA04</v>
      </c>
      <c r="C19" s="1183">
        <v>0.2</v>
      </c>
      <c r="D19" s="757" t="s">
        <v>257</v>
      </c>
      <c r="E19" s="1077"/>
      <c r="H19" s="1077"/>
      <c r="Y19" s="1"/>
    </row>
    <row r="20" spans="2:48" s="7" customFormat="1" ht="15.6" customHeight="1" x14ac:dyDescent="0.3">
      <c r="B20" s="395" t="str">
        <f>IF(ReAp05&lt;&gt;"","RA05","")</f>
        <v>RA05</v>
      </c>
      <c r="C20" s="1183">
        <v>0.1</v>
      </c>
      <c r="D20" s="758" t="s">
        <v>258</v>
      </c>
      <c r="E20" s="1077"/>
      <c r="Y20" s="104"/>
    </row>
    <row r="21" spans="2:48" s="7" customFormat="1" ht="15.6" x14ac:dyDescent="0.3">
      <c r="B21" s="404" t="str">
        <f>IF(ReAp06&lt;&gt;"","RA06","")</f>
        <v>RA06</v>
      </c>
      <c r="C21" s="1184">
        <v>0.15</v>
      </c>
      <c r="D21" s="759" t="s">
        <v>259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Y21" s="1"/>
    </row>
    <row r="22" spans="2:48" s="7" customFormat="1" ht="15.6" x14ac:dyDescent="0.3">
      <c r="B22" s="395" t="str">
        <f>IF(ReAp07&lt;&gt;"","RA07","")</f>
        <v/>
      </c>
      <c r="C22" s="1183"/>
      <c r="D22" s="757"/>
      <c r="E22" s="1077"/>
      <c r="H22" s="1077"/>
      <c r="Y22" s="104"/>
      <c r="Z22" s="23"/>
    </row>
    <row r="23" spans="2:48" s="7" customFormat="1" ht="15.6" x14ac:dyDescent="0.3">
      <c r="B23" s="395" t="str">
        <f>IF(ReAp08&lt;&gt;"","RA08","")</f>
        <v/>
      </c>
      <c r="C23" s="1183"/>
      <c r="D23" s="758"/>
      <c r="E23" s="1077"/>
      <c r="Y23" s="104"/>
    </row>
    <row r="24" spans="2:48" s="7" customFormat="1" ht="15.6" x14ac:dyDescent="0.3">
      <c r="B24" s="404" t="str">
        <f>IF(ReAp09&lt;&gt;"","RA09","")</f>
        <v/>
      </c>
      <c r="C24" s="1184"/>
      <c r="D24" s="75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Y24" s="1"/>
      <c r="Z24" s="23"/>
    </row>
    <row r="25" spans="2:48" s="7" customFormat="1" ht="15.6" x14ac:dyDescent="0.3">
      <c r="B25" s="395" t="str">
        <f>IF(ReAp10&lt;&gt;"","RA10","")</f>
        <v/>
      </c>
      <c r="C25" s="1183"/>
      <c r="D25" s="757"/>
      <c r="E25" s="1077"/>
      <c r="Y25" s="104"/>
      <c r="Z25" s="23"/>
    </row>
    <row r="26" spans="2:48" s="7" customFormat="1" ht="15.6" x14ac:dyDescent="0.3">
      <c r="B26" s="395" t="str">
        <f>IF(ReAp11&lt;&gt;"","RA11","")</f>
        <v/>
      </c>
      <c r="C26" s="1183"/>
      <c r="D26" s="758"/>
      <c r="E26" s="1077"/>
      <c r="Y26" s="1"/>
      <c r="Z26" s="23"/>
    </row>
    <row r="27" spans="2:48" s="7" customFormat="1" ht="15.6" x14ac:dyDescent="0.3">
      <c r="B27" s="404" t="str">
        <f>IF(ReAp12&lt;&gt;"","RA12","")</f>
        <v/>
      </c>
      <c r="C27" s="1184"/>
      <c r="D27" s="75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Y27" s="104"/>
      <c r="Z27" s="23"/>
    </row>
    <row r="28" spans="2:48" s="7" customFormat="1" ht="15.6" x14ac:dyDescent="0.3">
      <c r="C28" s="778">
        <f>SUM(C16:C27)</f>
        <v>1</v>
      </c>
      <c r="D28" s="406" t="str">
        <f>IF($C$28=100%,"¡Ok!. Suma de ponderación 100%","") &amp; IF($C$28&gt;100%,"NoOk. Sobra %","") &amp; IF($C$28&lt;100%,"NoOk. Falta %","")</f>
        <v>¡Ok!. Suma de ponderación 100%</v>
      </c>
      <c r="E28" s="1077"/>
      <c r="H28" s="1077"/>
      <c r="Y28" s="1"/>
      <c r="Z28" s="23"/>
    </row>
    <row r="29" spans="2:48" s="7" customFormat="1" ht="15.6" x14ac:dyDescent="0.3">
      <c r="B29" s="24"/>
      <c r="C29" s="24"/>
      <c r="D29" s="5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AU29" s="1"/>
      <c r="AV29" s="23"/>
    </row>
    <row r="30" spans="2:48" s="7" customFormat="1" ht="21" thickBot="1" x14ac:dyDescent="0.4">
      <c r="B30" s="300" t="s">
        <v>155</v>
      </c>
      <c r="C30" s="300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1077"/>
      <c r="AU30" s="1"/>
      <c r="AV30" s="23"/>
    </row>
    <row r="31" spans="2:48" s="7" customFormat="1" ht="15.6" x14ac:dyDescent="0.3">
      <c r="B31" s="24"/>
      <c r="C31" s="24"/>
      <c r="D31" s="5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077"/>
      <c r="AU31" s="1"/>
      <c r="AV31" s="23"/>
    </row>
    <row r="32" spans="2:48" s="7" customFormat="1" ht="15.6" x14ac:dyDescent="0.3">
      <c r="E32" s="14"/>
      <c r="F32" s="260"/>
      <c r="G32" s="146"/>
      <c r="H32" s="20" t="s">
        <v>316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077"/>
      <c r="AV32" s="23"/>
    </row>
    <row r="33" spans="1:47" s="7" customFormat="1" ht="31.2" x14ac:dyDescent="0.3">
      <c r="B33" s="804" t="s">
        <v>30</v>
      </c>
      <c r="C33" s="804" t="s">
        <v>335</v>
      </c>
      <c r="D33" s="253" t="s">
        <v>149</v>
      </c>
      <c r="E33" s="22" t="s">
        <v>146</v>
      </c>
      <c r="F33" s="22" t="s">
        <v>377</v>
      </c>
      <c r="G33" s="22" t="s">
        <v>152</v>
      </c>
      <c r="H33" s="826" t="str">
        <f>CoRA01</f>
        <v>RA01</v>
      </c>
      <c r="I33" s="827" t="str">
        <f>CoRA02</f>
        <v>RA02</v>
      </c>
      <c r="J33" s="827" t="str">
        <f>CoRA03</f>
        <v>RA03</v>
      </c>
      <c r="K33" s="826" t="str">
        <f>CoRA04</f>
        <v>RA04</v>
      </c>
      <c r="L33" s="827" t="str">
        <f>CoRA05</f>
        <v>RA05</v>
      </c>
      <c r="M33" s="827" t="str">
        <f>CoRA06</f>
        <v>RA06</v>
      </c>
      <c r="N33" s="826" t="str">
        <f>CoRA07</f>
        <v/>
      </c>
      <c r="O33" s="827" t="str">
        <f>CoRA08</f>
        <v/>
      </c>
      <c r="P33" s="827" t="str">
        <f>CoRA09</f>
        <v/>
      </c>
      <c r="Q33" s="826" t="str">
        <f>CoRA10</f>
        <v/>
      </c>
      <c r="R33" s="827" t="str">
        <f>CoRA11</f>
        <v/>
      </c>
      <c r="S33" s="827" t="str">
        <f>CoRA12</f>
        <v/>
      </c>
      <c r="T33" s="1077"/>
      <c r="AU33" s="222"/>
    </row>
    <row r="34" spans="1:47" s="7" customFormat="1" ht="15.6" x14ac:dyDescent="0.3">
      <c r="A34" s="382"/>
      <c r="B34" s="580" t="str">
        <f>IF(UnDi00&lt;&gt;"","UD00","")</f>
        <v>UD00</v>
      </c>
      <c r="C34" s="331">
        <v>1</v>
      </c>
      <c r="D34" s="330" t="s">
        <v>518</v>
      </c>
      <c r="E34" s="134">
        <v>1</v>
      </c>
      <c r="F34" s="4">
        <f>IFERROR(IF(E35&lt;&gt;"",VLOOKUP(B34,Flts!$E$14:$I$349,5,FALSE),""),"")</f>
        <v>45915</v>
      </c>
      <c r="G34" s="595" t="str">
        <f t="shared" ref="G34:G54" si="0">IFERROR(MID(Vdias,(WEEKDAY(F34,2)-1)*3+1,3)&amp;", "&amp;MID(Vmeses,(MONTH(F34)-1)*3+1,3)&amp;" "&amp;YEAR(F34),"")</f>
        <v>Lun, Sep 2025</v>
      </c>
      <c r="H34" s="41"/>
      <c r="I34" s="42"/>
      <c r="J34" s="42"/>
      <c r="K34" s="43"/>
      <c r="L34" s="42"/>
      <c r="M34" s="42"/>
      <c r="N34" s="43"/>
      <c r="O34" s="42"/>
      <c r="P34" s="42"/>
      <c r="Q34" s="43"/>
      <c r="R34" s="42"/>
      <c r="S34" s="42"/>
      <c r="T34" s="1080"/>
    </row>
    <row r="35" spans="1:47" s="7" customFormat="1" ht="15.6" x14ac:dyDescent="0.3">
      <c r="A35" s="382"/>
      <c r="B35" s="580" t="str">
        <f>IF(UnDi01&lt;&gt;"","UD01","")</f>
        <v>UD01</v>
      </c>
      <c r="C35" s="332">
        <v>34</v>
      </c>
      <c r="D35" s="330" t="s">
        <v>519</v>
      </c>
      <c r="E35" s="134">
        <f t="shared" ref="E35:E55" si="1">IFERROR(IF(E34+C34&gt;E34,E34+C34,""),"")</f>
        <v>2</v>
      </c>
      <c r="F35" s="4">
        <f>IFERROR(IF(E36&lt;&gt;"",VLOOKUP(B35,Flts!$E$14:$I$349,5,FALSE),""),"")</f>
        <v>45916</v>
      </c>
      <c r="G35" s="595" t="str">
        <f t="shared" si="0"/>
        <v>Mar, Sep 2025</v>
      </c>
      <c r="H35" s="43" t="s">
        <v>26</v>
      </c>
      <c r="I35" s="42"/>
      <c r="J35" s="42"/>
      <c r="K35" s="43"/>
      <c r="L35" s="42"/>
      <c r="M35" s="42"/>
      <c r="N35" s="43"/>
      <c r="O35" s="42"/>
      <c r="P35" s="42"/>
      <c r="Q35" s="43"/>
      <c r="R35" s="42"/>
      <c r="S35" s="42"/>
      <c r="T35" s="1080"/>
    </row>
    <row r="36" spans="1:47" s="7" customFormat="1" ht="15.6" x14ac:dyDescent="0.3">
      <c r="A36" s="382"/>
      <c r="B36" s="581" t="str">
        <f>IF(UnDi02&lt;&gt;"","UD02","")</f>
        <v>UD02</v>
      </c>
      <c r="C36" s="334">
        <v>44</v>
      </c>
      <c r="D36" s="333" t="s">
        <v>520</v>
      </c>
      <c r="E36" s="135">
        <f t="shared" si="1"/>
        <v>36</v>
      </c>
      <c r="F36" s="5">
        <f>IFERROR(IF(E37&lt;&gt;"",VLOOKUP(B36,Flts!$E$14:$I$349,5,FALSE),""),"")</f>
        <v>45967</v>
      </c>
      <c r="G36" s="596" t="str">
        <f t="shared" si="0"/>
        <v>Jue, Nov 2025</v>
      </c>
      <c r="H36" s="44"/>
      <c r="I36" s="45" t="s">
        <v>26</v>
      </c>
      <c r="J36" s="45" t="s">
        <v>26</v>
      </c>
      <c r="K36" s="44"/>
      <c r="L36" s="45"/>
      <c r="M36" s="45"/>
      <c r="N36" s="44"/>
      <c r="O36" s="45"/>
      <c r="P36" s="45"/>
      <c r="Q36" s="44"/>
      <c r="R36" s="45"/>
      <c r="S36" s="45"/>
      <c r="T36" s="1080"/>
    </row>
    <row r="37" spans="1:47" s="7" customFormat="1" ht="15.6" x14ac:dyDescent="0.3">
      <c r="A37" s="382"/>
      <c r="B37" s="580" t="str">
        <f>IF(UnDi03&lt;&gt;"","UD03","")</f>
        <v/>
      </c>
      <c r="C37" s="332">
        <v>32</v>
      </c>
      <c r="D37" s="330"/>
      <c r="E37" s="134">
        <f t="shared" si="1"/>
        <v>80</v>
      </c>
      <c r="F37" s="4">
        <f>IFERROR(IF(E38&lt;&gt;"",VLOOKUP(B37,Flts!$E$14:$I$349,5,FALSE),""),"")</f>
        <v>46048</v>
      </c>
      <c r="G37" s="595" t="str">
        <f t="shared" si="0"/>
        <v>Lun, Ene 2026</v>
      </c>
      <c r="H37" s="43"/>
      <c r="I37" s="42"/>
      <c r="J37" s="42" t="s">
        <v>26</v>
      </c>
      <c r="K37" s="43"/>
      <c r="L37" s="42"/>
      <c r="M37" s="42"/>
      <c r="N37" s="43"/>
      <c r="O37" s="42"/>
      <c r="P37" s="42"/>
      <c r="Q37" s="43"/>
      <c r="R37" s="42"/>
      <c r="S37" s="42"/>
      <c r="T37" s="1080"/>
    </row>
    <row r="38" spans="1:47" s="7" customFormat="1" ht="15.6" x14ac:dyDescent="0.3">
      <c r="A38" s="382"/>
      <c r="B38" s="580" t="str">
        <f>IF(UnDi04&lt;&gt;"","UD04","")</f>
        <v/>
      </c>
      <c r="C38" s="332">
        <v>54</v>
      </c>
      <c r="D38" s="330"/>
      <c r="E38" s="134">
        <f t="shared" si="1"/>
        <v>112</v>
      </c>
      <c r="F38" s="4">
        <f>IFERROR(IF(E39&lt;&gt;"",VLOOKUP(B38,Flts!$E$14:$I$349,5,FALSE),""),"")</f>
        <v>46048</v>
      </c>
      <c r="G38" s="595" t="str">
        <f t="shared" si="0"/>
        <v>Lun, Ene 2026</v>
      </c>
      <c r="H38" s="43"/>
      <c r="I38" s="42"/>
      <c r="J38" s="42"/>
      <c r="K38" s="43" t="s">
        <v>26</v>
      </c>
      <c r="L38" s="42"/>
      <c r="M38" s="42"/>
      <c r="N38" s="43"/>
      <c r="O38" s="42"/>
      <c r="P38" s="42"/>
      <c r="Q38" s="43"/>
      <c r="R38" s="42"/>
      <c r="S38" s="42"/>
      <c r="T38" s="1080"/>
    </row>
    <row r="39" spans="1:47" s="7" customFormat="1" ht="15.6" x14ac:dyDescent="0.3">
      <c r="A39" s="382"/>
      <c r="B39" s="581" t="str">
        <f>IF(UnDi05&lt;&gt;"","UD05","")</f>
        <v/>
      </c>
      <c r="C39" s="334">
        <v>24</v>
      </c>
      <c r="D39" s="333"/>
      <c r="E39" s="135">
        <f t="shared" si="1"/>
        <v>166</v>
      </c>
      <c r="F39" s="5">
        <f>IFERROR(IF(E40&lt;&gt;"",VLOOKUP(B39,Flts!$E$14:$I$349,5,FALSE),""),"")</f>
        <v>46048</v>
      </c>
      <c r="G39" s="596" t="str">
        <f t="shared" si="0"/>
        <v>Lun, Ene 2026</v>
      </c>
      <c r="H39" s="44"/>
      <c r="I39" s="45"/>
      <c r="J39" s="45"/>
      <c r="K39" s="44"/>
      <c r="L39" s="45" t="s">
        <v>26</v>
      </c>
      <c r="M39" s="45"/>
      <c r="N39" s="44"/>
      <c r="O39" s="45"/>
      <c r="P39" s="45"/>
      <c r="Q39" s="44"/>
      <c r="R39" s="45"/>
      <c r="S39" s="45"/>
      <c r="T39" s="1080"/>
    </row>
    <row r="40" spans="1:47" s="7" customFormat="1" ht="15.6" x14ac:dyDescent="0.3">
      <c r="A40" s="382"/>
      <c r="B40" s="580" t="str">
        <f>IF(UnDi06&lt;&gt;"","UD06","")</f>
        <v/>
      </c>
      <c r="C40" s="332">
        <v>29</v>
      </c>
      <c r="D40" s="330"/>
      <c r="E40" s="134">
        <f t="shared" si="1"/>
        <v>190</v>
      </c>
      <c r="F40" s="4">
        <f>IFERROR(IF(E41&lt;&gt;"",VLOOKUP(B40,Flts!$E$14:$I$349,5,FALSE),""),"")</f>
        <v>46048</v>
      </c>
      <c r="G40" s="595" t="str">
        <f t="shared" si="0"/>
        <v>Lun, Ene 2026</v>
      </c>
      <c r="H40" s="43"/>
      <c r="I40" s="42"/>
      <c r="J40" s="42"/>
      <c r="K40" s="43"/>
      <c r="L40" s="42"/>
      <c r="M40" s="42" t="s">
        <v>26</v>
      </c>
      <c r="N40" s="43"/>
      <c r="O40" s="42"/>
      <c r="P40" s="42"/>
      <c r="Q40" s="43"/>
      <c r="R40" s="42"/>
      <c r="S40" s="42"/>
      <c r="T40" s="1080"/>
    </row>
    <row r="41" spans="1:47" s="7" customFormat="1" ht="15.6" x14ac:dyDescent="0.3">
      <c r="A41" s="382"/>
      <c r="B41" s="580" t="str">
        <f>IF(UnDi07&lt;&gt;"","UD07","")</f>
        <v/>
      </c>
      <c r="C41" s="332"/>
      <c r="D41" s="330"/>
      <c r="E41" s="134">
        <f t="shared" si="1"/>
        <v>219</v>
      </c>
      <c r="F41" s="4" t="str">
        <f>IFERROR(IF(E42&lt;&gt;"",VLOOKUP(B41,Flts!$E$14:$I$349,5,FALSE),""),"")</f>
        <v/>
      </c>
      <c r="G41" s="595" t="str">
        <f t="shared" si="0"/>
        <v/>
      </c>
      <c r="H41" s="43"/>
      <c r="I41" s="42"/>
      <c r="J41" s="42"/>
      <c r="K41" s="43"/>
      <c r="L41" s="42"/>
      <c r="M41" s="42"/>
      <c r="N41" s="43"/>
      <c r="O41" s="42"/>
      <c r="P41" s="42"/>
      <c r="Q41" s="43"/>
      <c r="R41" s="42"/>
      <c r="S41" s="42"/>
      <c r="T41" s="1080"/>
    </row>
    <row r="42" spans="1:47" s="7" customFormat="1" ht="15.6" x14ac:dyDescent="0.3">
      <c r="A42" s="382"/>
      <c r="B42" s="581" t="str">
        <f>IF(UnDi08&lt;&gt;"","UD08","")</f>
        <v/>
      </c>
      <c r="C42" s="334"/>
      <c r="D42" s="333"/>
      <c r="E42" s="135" t="str">
        <f t="shared" si="1"/>
        <v/>
      </c>
      <c r="F42" s="5" t="str">
        <f>IFERROR(IF(E43&lt;&gt;"",VLOOKUP(B42,Flts!$E$14:$I$349,5,FALSE),""),"")</f>
        <v/>
      </c>
      <c r="G42" s="596" t="str">
        <f t="shared" si="0"/>
        <v/>
      </c>
      <c r="H42" s="44"/>
      <c r="I42" s="45"/>
      <c r="J42" s="45"/>
      <c r="K42" s="44"/>
      <c r="L42" s="45"/>
      <c r="M42" s="45"/>
      <c r="N42" s="44"/>
      <c r="O42" s="45"/>
      <c r="P42" s="45"/>
      <c r="Q42" s="44"/>
      <c r="R42" s="45"/>
      <c r="S42" s="45"/>
      <c r="T42" s="1080"/>
    </row>
    <row r="43" spans="1:47" s="7" customFormat="1" ht="15.6" x14ac:dyDescent="0.3">
      <c r="A43" s="382"/>
      <c r="B43" s="580" t="str">
        <f>IF(UnDi09&lt;&gt;"","UD09","")</f>
        <v/>
      </c>
      <c r="C43" s="332"/>
      <c r="D43" s="330"/>
      <c r="E43" s="134" t="str">
        <f t="shared" si="1"/>
        <v/>
      </c>
      <c r="F43" s="4" t="str">
        <f>IFERROR(IF(E44&lt;&gt;"",VLOOKUP(B43,Flts!$E$14:$I$349,5,FALSE),""),"")</f>
        <v/>
      </c>
      <c r="G43" s="595" t="str">
        <f t="shared" si="0"/>
        <v/>
      </c>
      <c r="H43" s="43"/>
      <c r="I43" s="42"/>
      <c r="J43" s="42"/>
      <c r="K43" s="43"/>
      <c r="L43" s="42"/>
      <c r="M43" s="42"/>
      <c r="N43" s="43"/>
      <c r="O43" s="42"/>
      <c r="P43" s="42"/>
      <c r="Q43" s="43"/>
      <c r="R43" s="42"/>
      <c r="S43" s="42"/>
      <c r="T43" s="1080"/>
    </row>
    <row r="44" spans="1:47" s="7" customFormat="1" ht="15.6" x14ac:dyDescent="0.3">
      <c r="A44" s="382"/>
      <c r="B44" s="580" t="str">
        <f>IF(UnDi10&lt;&gt;"","UD10","")</f>
        <v/>
      </c>
      <c r="C44" s="332"/>
      <c r="D44" s="330"/>
      <c r="E44" s="134" t="str">
        <f t="shared" si="1"/>
        <v/>
      </c>
      <c r="F44" s="4" t="str">
        <f>IFERROR(IF(E45&lt;&gt;"",VLOOKUP(B44,Flts!$E$14:$I$349,5,FALSE),""),"")</f>
        <v/>
      </c>
      <c r="G44" s="595" t="str">
        <f t="shared" si="0"/>
        <v/>
      </c>
      <c r="H44" s="43"/>
      <c r="I44" s="42"/>
      <c r="J44" s="42"/>
      <c r="K44" s="43"/>
      <c r="L44" s="42"/>
      <c r="M44" s="42"/>
      <c r="N44" s="43"/>
      <c r="O44" s="42"/>
      <c r="P44" s="42"/>
      <c r="Q44" s="43"/>
      <c r="R44" s="42"/>
      <c r="S44" s="42"/>
      <c r="T44" s="1080"/>
    </row>
    <row r="45" spans="1:47" s="7" customFormat="1" ht="15.6" x14ac:dyDescent="0.3">
      <c r="A45" s="382"/>
      <c r="B45" s="581" t="str">
        <f>IF(UnDi11&lt;&gt;"","UD11","")</f>
        <v/>
      </c>
      <c r="C45" s="334"/>
      <c r="D45" s="333"/>
      <c r="E45" s="135" t="str">
        <f t="shared" si="1"/>
        <v/>
      </c>
      <c r="F45" s="5" t="str">
        <f>IFERROR(IF(E46&lt;&gt;"",VLOOKUP(B45,Flts!$E$14:$I$349,5,FALSE),""),"")</f>
        <v/>
      </c>
      <c r="G45" s="596" t="str">
        <f t="shared" si="0"/>
        <v/>
      </c>
      <c r="H45" s="44"/>
      <c r="I45" s="45"/>
      <c r="J45" s="45"/>
      <c r="K45" s="44"/>
      <c r="L45" s="45"/>
      <c r="M45" s="45"/>
      <c r="N45" s="44"/>
      <c r="O45" s="45"/>
      <c r="P45" s="45"/>
      <c r="Q45" s="44"/>
      <c r="R45" s="45"/>
      <c r="S45" s="45"/>
      <c r="T45" s="1080"/>
    </row>
    <row r="46" spans="1:47" s="7" customFormat="1" ht="15.6" x14ac:dyDescent="0.3">
      <c r="A46" s="382"/>
      <c r="B46" s="580" t="str">
        <f>IF(UnDi12&lt;&gt;"","UD12","")</f>
        <v/>
      </c>
      <c r="C46" s="332"/>
      <c r="D46" s="330"/>
      <c r="E46" s="134" t="str">
        <f t="shared" si="1"/>
        <v/>
      </c>
      <c r="F46" s="4" t="str">
        <f>IFERROR(IF(E47&lt;&gt;"",VLOOKUP(B46,Flts!$E$14:$I$349,5,FALSE),""),"")</f>
        <v/>
      </c>
      <c r="G46" s="595" t="str">
        <f t="shared" si="0"/>
        <v/>
      </c>
      <c r="H46" s="43"/>
      <c r="I46" s="42"/>
      <c r="J46" s="42"/>
      <c r="K46" s="43"/>
      <c r="L46" s="42"/>
      <c r="M46" s="42"/>
      <c r="N46" s="43"/>
      <c r="O46" s="42"/>
      <c r="P46" s="42"/>
      <c r="Q46" s="43"/>
      <c r="R46" s="42"/>
      <c r="S46" s="42"/>
      <c r="T46" s="1080"/>
    </row>
    <row r="47" spans="1:47" s="7" customFormat="1" ht="15.6" x14ac:dyDescent="0.3">
      <c r="A47" s="382"/>
      <c r="B47" s="580" t="str">
        <f>IF(UnDi13&lt;&gt;"","UD13","")</f>
        <v/>
      </c>
      <c r="C47" s="332"/>
      <c r="D47" s="330"/>
      <c r="E47" s="134" t="str">
        <f t="shared" si="1"/>
        <v/>
      </c>
      <c r="F47" s="4" t="str">
        <f>IFERROR(IF(E48&lt;&gt;"",VLOOKUP(B47,Flts!$E$14:$I$349,5,FALSE),""),"")</f>
        <v/>
      </c>
      <c r="G47" s="595" t="str">
        <f t="shared" si="0"/>
        <v/>
      </c>
      <c r="H47" s="43"/>
      <c r="I47" s="42"/>
      <c r="J47" s="42"/>
      <c r="K47" s="43"/>
      <c r="L47" s="42"/>
      <c r="M47" s="42"/>
      <c r="N47" s="43"/>
      <c r="O47" s="42"/>
      <c r="P47" s="42"/>
      <c r="Q47" s="43"/>
      <c r="R47" s="42"/>
      <c r="S47" s="42"/>
      <c r="T47" s="1080"/>
    </row>
    <row r="48" spans="1:47" s="7" customFormat="1" ht="15.6" x14ac:dyDescent="0.3">
      <c r="A48" s="382"/>
      <c r="B48" s="581" t="str">
        <f>IF(UnDi14&lt;&gt;"","UD14","")</f>
        <v/>
      </c>
      <c r="C48" s="334"/>
      <c r="D48" s="333"/>
      <c r="E48" s="135" t="str">
        <f t="shared" si="1"/>
        <v/>
      </c>
      <c r="F48" s="5" t="str">
        <f>IFERROR(IF(E49&lt;&gt;"",VLOOKUP(B48,Flts!$E$14:$I$349,5,FALSE),""),"")</f>
        <v/>
      </c>
      <c r="G48" s="596" t="str">
        <f t="shared" si="0"/>
        <v/>
      </c>
      <c r="H48" s="44"/>
      <c r="I48" s="45"/>
      <c r="J48" s="45"/>
      <c r="K48" s="44"/>
      <c r="L48" s="45"/>
      <c r="M48" s="45"/>
      <c r="N48" s="44"/>
      <c r="O48" s="45"/>
      <c r="P48" s="45"/>
      <c r="Q48" s="44"/>
      <c r="R48" s="45"/>
      <c r="S48" s="45"/>
      <c r="T48" s="1080"/>
    </row>
    <row r="49" spans="1:48" s="7" customFormat="1" ht="15.6" x14ac:dyDescent="0.3">
      <c r="A49" s="382"/>
      <c r="B49" s="580" t="str">
        <f>IF(UnDi15&lt;&gt;"","UD15","")</f>
        <v/>
      </c>
      <c r="C49" s="332"/>
      <c r="D49" s="330"/>
      <c r="E49" s="134" t="str">
        <f t="shared" si="1"/>
        <v/>
      </c>
      <c r="F49" s="4" t="str">
        <f>IFERROR(IF(E50&lt;&gt;"",VLOOKUP(B49,Flts!$E$14:$I$349,5,FALSE),""),"")</f>
        <v/>
      </c>
      <c r="G49" s="595" t="str">
        <f t="shared" si="0"/>
        <v/>
      </c>
      <c r="H49" s="43"/>
      <c r="I49" s="42"/>
      <c r="J49" s="42"/>
      <c r="K49" s="43"/>
      <c r="L49" s="42"/>
      <c r="M49" s="42"/>
      <c r="N49" s="43"/>
      <c r="O49" s="42"/>
      <c r="P49" s="42"/>
      <c r="Q49" s="43"/>
      <c r="R49" s="42"/>
      <c r="S49" s="42"/>
      <c r="T49" s="1080"/>
    </row>
    <row r="50" spans="1:48" s="7" customFormat="1" ht="15.6" x14ac:dyDescent="0.3">
      <c r="A50" s="382"/>
      <c r="B50" s="580" t="str">
        <f>IF(UnDi16&lt;&gt;"","UD16","")</f>
        <v/>
      </c>
      <c r="C50" s="332"/>
      <c r="D50" s="330"/>
      <c r="E50" s="134" t="str">
        <f t="shared" si="1"/>
        <v/>
      </c>
      <c r="F50" s="4" t="str">
        <f>IFERROR(IF(E51&lt;&gt;"",VLOOKUP(B50,Flts!$E$14:$I$349,5,FALSE),""),"")</f>
        <v/>
      </c>
      <c r="G50" s="595" t="str">
        <f t="shared" si="0"/>
        <v/>
      </c>
      <c r="H50" s="43"/>
      <c r="I50" s="42"/>
      <c r="J50" s="42"/>
      <c r="K50" s="43"/>
      <c r="L50" s="42"/>
      <c r="M50" s="42"/>
      <c r="N50" s="43"/>
      <c r="O50" s="42"/>
      <c r="P50" s="42"/>
      <c r="Q50" s="43"/>
      <c r="R50" s="42"/>
      <c r="S50" s="42"/>
      <c r="T50" s="1080"/>
    </row>
    <row r="51" spans="1:48" s="7" customFormat="1" ht="15.6" x14ac:dyDescent="0.3">
      <c r="A51" s="382"/>
      <c r="B51" s="581" t="str">
        <f>IF(UnDi17&lt;&gt;"","UD17","")</f>
        <v/>
      </c>
      <c r="C51" s="334"/>
      <c r="D51" s="333"/>
      <c r="E51" s="135" t="str">
        <f t="shared" si="1"/>
        <v/>
      </c>
      <c r="F51" s="5" t="str">
        <f>IFERROR(IF(E52&lt;&gt;"",VLOOKUP(B51,Flts!$E$14:$I$349,5,FALSE),""),"")</f>
        <v/>
      </c>
      <c r="G51" s="596" t="str">
        <f t="shared" si="0"/>
        <v/>
      </c>
      <c r="H51" s="44"/>
      <c r="I51" s="45"/>
      <c r="J51" s="45"/>
      <c r="K51" s="44"/>
      <c r="L51" s="45"/>
      <c r="M51" s="45"/>
      <c r="N51" s="44"/>
      <c r="O51" s="45"/>
      <c r="P51" s="45"/>
      <c r="Q51" s="44"/>
      <c r="R51" s="45"/>
      <c r="S51" s="45"/>
      <c r="T51" s="1080"/>
    </row>
    <row r="52" spans="1:48" s="7" customFormat="1" ht="15.6" x14ac:dyDescent="0.3">
      <c r="A52" s="382"/>
      <c r="B52" s="580" t="str">
        <f>IF(UnDi18&lt;&gt;"","UD18","")</f>
        <v/>
      </c>
      <c r="C52" s="332"/>
      <c r="D52" s="330"/>
      <c r="E52" s="134" t="str">
        <f t="shared" si="1"/>
        <v/>
      </c>
      <c r="F52" s="4" t="str">
        <f>IFERROR(IF(E53&lt;&gt;"",VLOOKUP(B52,Flts!$E$14:$I$349,5,FALSE),""),"")</f>
        <v/>
      </c>
      <c r="G52" s="595" t="str">
        <f t="shared" si="0"/>
        <v/>
      </c>
      <c r="H52" s="43"/>
      <c r="I52" s="42"/>
      <c r="J52" s="42"/>
      <c r="K52" s="43"/>
      <c r="L52" s="42"/>
      <c r="M52" s="42"/>
      <c r="N52" s="43"/>
      <c r="O52" s="42"/>
      <c r="P52" s="42"/>
      <c r="Q52" s="43"/>
      <c r="R52" s="42"/>
      <c r="S52" s="42"/>
      <c r="T52" s="1080"/>
    </row>
    <row r="53" spans="1:48" s="7" customFormat="1" ht="15.6" x14ac:dyDescent="0.3">
      <c r="A53" s="382"/>
      <c r="B53" s="580" t="str">
        <f>IF(UnDi19&lt;&gt;"","UD19","")</f>
        <v/>
      </c>
      <c r="C53" s="332"/>
      <c r="D53" s="330"/>
      <c r="E53" s="134" t="str">
        <f t="shared" si="1"/>
        <v/>
      </c>
      <c r="F53" s="4" t="str">
        <f>IFERROR(IF(E54&lt;&gt;"",VLOOKUP(B53,Flts!$E$14:$I$349,5,FALSE),""),"")</f>
        <v/>
      </c>
      <c r="G53" s="595" t="str">
        <f t="shared" si="0"/>
        <v/>
      </c>
      <c r="H53" s="43"/>
      <c r="I53" s="42"/>
      <c r="J53" s="42"/>
      <c r="K53" s="43"/>
      <c r="L53" s="42"/>
      <c r="M53" s="42"/>
      <c r="N53" s="43"/>
      <c r="O53" s="42"/>
      <c r="P53" s="42"/>
      <c r="Q53" s="43"/>
      <c r="R53" s="42"/>
      <c r="S53" s="42"/>
      <c r="T53" s="1080"/>
    </row>
    <row r="54" spans="1:48" s="7" customFormat="1" ht="15.6" x14ac:dyDescent="0.3">
      <c r="A54" s="382"/>
      <c r="B54" s="581" t="str">
        <f>IF(UnDi20&lt;&gt;"","UD20","")</f>
        <v/>
      </c>
      <c r="C54" s="334"/>
      <c r="D54" s="333"/>
      <c r="E54" s="135" t="str">
        <f t="shared" si="1"/>
        <v/>
      </c>
      <c r="F54" s="5" t="str">
        <f>IFERROR(IF(E55&lt;&gt;"",VLOOKUP(B54,Flts!$E$14:$I$349,5,FALSE),""),"")</f>
        <v/>
      </c>
      <c r="G54" s="596" t="str">
        <f t="shared" si="0"/>
        <v/>
      </c>
      <c r="H54" s="44"/>
      <c r="I54" s="45"/>
      <c r="J54" s="45"/>
      <c r="K54" s="44"/>
      <c r="L54" s="45"/>
      <c r="M54" s="45"/>
      <c r="N54" s="44"/>
      <c r="O54" s="45"/>
      <c r="P54" s="45"/>
      <c r="Q54" s="44"/>
      <c r="R54" s="45"/>
      <c r="S54" s="45"/>
      <c r="T54" s="1080"/>
    </row>
    <row r="55" spans="1:48" s="7" customFormat="1" ht="15.6" x14ac:dyDescent="0.3">
      <c r="A55" s="382"/>
      <c r="B55" s="581" t="str">
        <f ca="1">MID(D55,1,4)</f>
        <v>NoOk</v>
      </c>
      <c r="C55" s="860">
        <f ca="1">HReal-SUM(C34:C54)</f>
        <v>-80</v>
      </c>
      <c r="D55" s="618" t="str">
        <f ca="1">IF(C55=0,"¡Ok!. Programación ajustada a las horas previstas","") &amp; IF(C55&gt;0,"HCM. Repaso de "&amp;C55&amp;" hora/s","") &amp; IF(C55&lt;0,"NoOk ¡Atención!  Falta/n "&amp;C55&amp;" hora/s","")</f>
        <v>NoOk ¡Atención!  Falta/n -80 hora/s</v>
      </c>
      <c r="E55" s="134" t="str">
        <f t="shared" si="1"/>
        <v/>
      </c>
      <c r="T55" s="1080"/>
    </row>
    <row r="56" spans="1:48" s="7" customFormat="1" ht="15.6" x14ac:dyDescent="0.3">
      <c r="B56" s="799">
        <f>20-COUNTIF(B35:B54,"")</f>
        <v>2</v>
      </c>
      <c r="C56" s="166">
        <f ca="1">HReal</f>
        <v>138</v>
      </c>
      <c r="D56" s="578" t="s">
        <v>372</v>
      </c>
      <c r="E56" s="578" t="s">
        <v>205</v>
      </c>
      <c r="F56" s="406"/>
      <c r="G56" s="13"/>
      <c r="K56" s="382"/>
      <c r="T56" s="1077"/>
      <c r="AV56" s="33"/>
    </row>
    <row r="57" spans="1:48" s="7" customFormat="1" ht="13.5" customHeight="1" x14ac:dyDescent="0.3">
      <c r="D57" s="104"/>
      <c r="F57" s="14"/>
      <c r="G57" s="367"/>
      <c r="T57" s="1077"/>
      <c r="AV57" s="33"/>
    </row>
    <row r="58" spans="1:48" s="276" customFormat="1" ht="21" thickBot="1" x14ac:dyDescent="0.4">
      <c r="B58" s="303" t="s">
        <v>129</v>
      </c>
      <c r="C58" s="303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1076"/>
      <c r="U58" s="1104"/>
      <c r="AU58" s="7"/>
      <c r="AV58" s="285"/>
    </row>
    <row r="59" spans="1:48" s="276" customFormat="1" ht="15" customHeight="1" x14ac:dyDescent="0.35">
      <c r="A59" s="405"/>
      <c r="T59" s="1076"/>
      <c r="U59" s="1077"/>
      <c r="AU59" s="7"/>
      <c r="AV59" s="285"/>
    </row>
    <row r="60" spans="1:48" s="7" customFormat="1" ht="15.6" x14ac:dyDescent="0.3">
      <c r="B60" s="24"/>
      <c r="C60" s="24"/>
      <c r="E60" s="14"/>
      <c r="F60" s="46"/>
      <c r="G60" s="13"/>
      <c r="H60" s="20" t="s">
        <v>317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1077"/>
      <c r="U60" s="1077"/>
    </row>
    <row r="61" spans="1:48" s="7" customFormat="1" ht="31.2" x14ac:dyDescent="0.3">
      <c r="B61" s="824" t="s">
        <v>128</v>
      </c>
      <c r="C61" s="824" t="s">
        <v>335</v>
      </c>
      <c r="D61" s="254" t="s">
        <v>129</v>
      </c>
      <c r="E61" s="22" t="s">
        <v>140</v>
      </c>
      <c r="F61" s="22" t="s">
        <v>377</v>
      </c>
      <c r="G61" s="22" t="s">
        <v>152</v>
      </c>
      <c r="H61" s="827" t="str">
        <f>CoRA01</f>
        <v>RA01</v>
      </c>
      <c r="I61" s="827" t="str">
        <f>CoRA02</f>
        <v>RA02</v>
      </c>
      <c r="J61" s="828" t="str">
        <f>CoRA03</f>
        <v>RA03</v>
      </c>
      <c r="K61" s="827" t="str">
        <f>CoRA04</f>
        <v>RA04</v>
      </c>
      <c r="L61" s="827" t="str">
        <f>CoRA05</f>
        <v>RA05</v>
      </c>
      <c r="M61" s="828" t="str">
        <f>CoRA06</f>
        <v>RA06</v>
      </c>
      <c r="N61" s="827" t="str">
        <f>CoRA07</f>
        <v/>
      </c>
      <c r="O61" s="827" t="str">
        <f>CoRA08</f>
        <v/>
      </c>
      <c r="P61" s="828" t="str">
        <f>CoRA09</f>
        <v/>
      </c>
      <c r="Q61" s="827" t="str">
        <f>CoRA10</f>
        <v/>
      </c>
      <c r="R61" s="827" t="str">
        <f>CoRA11</f>
        <v/>
      </c>
      <c r="S61" s="827" t="str">
        <f>CoRA12</f>
        <v/>
      </c>
      <c r="T61" s="1077"/>
      <c r="U61" s="1077"/>
      <c r="AU61" s="20"/>
      <c r="AV61" s="33"/>
    </row>
    <row r="62" spans="1:48" s="7" customFormat="1" ht="18" customHeight="1" x14ac:dyDescent="0.3">
      <c r="B62" s="582" t="str">
        <f>IF(D62&lt;&gt;"","Pr01","")</f>
        <v>Pr01</v>
      </c>
      <c r="C62" s="325">
        <v>4</v>
      </c>
      <c r="D62" s="598" t="s">
        <v>517</v>
      </c>
      <c r="E62" s="328" t="s">
        <v>106</v>
      </c>
      <c r="F62" s="4">
        <f t="shared" ref="F62:F94" si="2">IFERROR(_xlfn.XLOOKUP($E62,$B$35:$B$54,$F$35:$F$54),"")</f>
        <v>45916</v>
      </c>
      <c r="G62" s="597" t="str">
        <f t="shared" ref="G62:G94" si="3">IFERROR(MID(Vdias,(WEEKDAY(F62,2)-1)*3+1,3)&amp;", "&amp;MID(Vmeses,(MONTH(F62)-1)*3+1,3)&amp;" "&amp;YEAR(F62),"")</f>
        <v>Mar, Sep 2025</v>
      </c>
      <c r="H62" s="137" t="str">
        <f t="shared" ref="H62:S71" si="4">IFERROR(_xlfn.XLOOKUP($E62,$B$34:$B$54,H$34:H$54),"")</f>
        <v>X</v>
      </c>
      <c r="I62" s="138">
        <f t="shared" si="4"/>
        <v>0</v>
      </c>
      <c r="J62" s="139">
        <f t="shared" si="4"/>
        <v>0</v>
      </c>
      <c r="K62" s="138">
        <f t="shared" si="4"/>
        <v>0</v>
      </c>
      <c r="L62" s="138">
        <f t="shared" si="4"/>
        <v>0</v>
      </c>
      <c r="M62" s="139">
        <f t="shared" si="4"/>
        <v>0</v>
      </c>
      <c r="N62" s="138">
        <f t="shared" si="4"/>
        <v>0</v>
      </c>
      <c r="O62" s="138">
        <f t="shared" si="4"/>
        <v>0</v>
      </c>
      <c r="P62" s="139">
        <f t="shared" si="4"/>
        <v>0</v>
      </c>
      <c r="Q62" s="138">
        <f t="shared" si="4"/>
        <v>0</v>
      </c>
      <c r="R62" s="138">
        <f t="shared" si="4"/>
        <v>0</v>
      </c>
      <c r="S62" s="138">
        <f t="shared" si="4"/>
        <v>0</v>
      </c>
      <c r="T62" s="1077"/>
      <c r="AV62" s="33"/>
    </row>
    <row r="63" spans="1:48" s="7" customFormat="1" ht="18" customHeight="1" x14ac:dyDescent="0.3">
      <c r="B63" s="582" t="str">
        <f>IF(D63&lt;&gt;"","Pr02","")</f>
        <v>Pr02</v>
      </c>
      <c r="C63" s="326">
        <v>7</v>
      </c>
      <c r="D63" s="599" t="s">
        <v>521</v>
      </c>
      <c r="E63" s="328" t="s">
        <v>107</v>
      </c>
      <c r="F63" s="4">
        <f t="shared" si="2"/>
        <v>45967</v>
      </c>
      <c r="G63" s="595" t="str">
        <f t="shared" si="3"/>
        <v>Jue, Nov 2025</v>
      </c>
      <c r="H63" s="137">
        <f t="shared" si="4"/>
        <v>0</v>
      </c>
      <c r="I63" s="138" t="str">
        <f t="shared" si="4"/>
        <v>X</v>
      </c>
      <c r="J63" s="139" t="str">
        <f t="shared" si="4"/>
        <v>X</v>
      </c>
      <c r="K63" s="138">
        <f t="shared" si="4"/>
        <v>0</v>
      </c>
      <c r="L63" s="138">
        <f t="shared" si="4"/>
        <v>0</v>
      </c>
      <c r="M63" s="139">
        <f t="shared" si="4"/>
        <v>0</v>
      </c>
      <c r="N63" s="138">
        <f t="shared" si="4"/>
        <v>0</v>
      </c>
      <c r="O63" s="138">
        <f t="shared" si="4"/>
        <v>0</v>
      </c>
      <c r="P63" s="139">
        <f t="shared" si="4"/>
        <v>0</v>
      </c>
      <c r="Q63" s="138">
        <f t="shared" si="4"/>
        <v>0</v>
      </c>
      <c r="R63" s="138">
        <f t="shared" si="4"/>
        <v>0</v>
      </c>
      <c r="S63" s="138">
        <f t="shared" si="4"/>
        <v>0</v>
      </c>
      <c r="T63" s="1077"/>
      <c r="U63" s="104"/>
      <c r="AV63" s="33"/>
    </row>
    <row r="64" spans="1:48" s="7" customFormat="1" ht="18" customHeight="1" x14ac:dyDescent="0.3">
      <c r="B64" s="583" t="str">
        <f>IF(D64&lt;&gt;"","Pr03","")</f>
        <v>Pr03</v>
      </c>
      <c r="C64" s="327">
        <v>4</v>
      </c>
      <c r="D64" s="600" t="s">
        <v>522</v>
      </c>
      <c r="E64" s="329" t="s">
        <v>107</v>
      </c>
      <c r="F64" s="5">
        <f t="shared" si="2"/>
        <v>45967</v>
      </c>
      <c r="G64" s="596" t="str">
        <f t="shared" si="3"/>
        <v>Jue, Nov 2025</v>
      </c>
      <c r="H64" s="140">
        <f t="shared" si="4"/>
        <v>0</v>
      </c>
      <c r="I64" s="141" t="str">
        <f t="shared" si="4"/>
        <v>X</v>
      </c>
      <c r="J64" s="142" t="str">
        <f t="shared" si="4"/>
        <v>X</v>
      </c>
      <c r="K64" s="141">
        <f t="shared" si="4"/>
        <v>0</v>
      </c>
      <c r="L64" s="141">
        <f t="shared" si="4"/>
        <v>0</v>
      </c>
      <c r="M64" s="142">
        <f t="shared" si="4"/>
        <v>0</v>
      </c>
      <c r="N64" s="141">
        <f t="shared" si="4"/>
        <v>0</v>
      </c>
      <c r="O64" s="141">
        <f t="shared" si="4"/>
        <v>0</v>
      </c>
      <c r="P64" s="142">
        <f t="shared" si="4"/>
        <v>0</v>
      </c>
      <c r="Q64" s="141">
        <f t="shared" si="4"/>
        <v>0</v>
      </c>
      <c r="R64" s="141">
        <f t="shared" si="4"/>
        <v>0</v>
      </c>
      <c r="S64" s="141">
        <f t="shared" si="4"/>
        <v>0</v>
      </c>
      <c r="T64" s="1077"/>
      <c r="U64" s="104"/>
      <c r="AV64" s="33"/>
    </row>
    <row r="65" spans="2:48" s="7" customFormat="1" ht="18" customHeight="1" x14ac:dyDescent="0.3">
      <c r="B65" s="582" t="str">
        <f>IF(D65&lt;&gt;"","Pr04","")</f>
        <v/>
      </c>
      <c r="C65" s="326"/>
      <c r="D65" s="599"/>
      <c r="E65" s="328"/>
      <c r="F65" s="4" t="str">
        <f t="shared" si="2"/>
        <v/>
      </c>
      <c r="G65" s="595" t="str">
        <f t="shared" si="3"/>
        <v/>
      </c>
      <c r="H65" s="137" t="str">
        <f t="shared" si="4"/>
        <v/>
      </c>
      <c r="I65" s="138" t="str">
        <f t="shared" si="4"/>
        <v/>
      </c>
      <c r="J65" s="139" t="str">
        <f t="shared" si="4"/>
        <v/>
      </c>
      <c r="K65" s="138" t="str">
        <f t="shared" si="4"/>
        <v/>
      </c>
      <c r="L65" s="138" t="str">
        <f t="shared" si="4"/>
        <v/>
      </c>
      <c r="M65" s="139" t="str">
        <f t="shared" si="4"/>
        <v/>
      </c>
      <c r="N65" s="138" t="str">
        <f t="shared" si="4"/>
        <v/>
      </c>
      <c r="O65" s="138" t="str">
        <f t="shared" si="4"/>
        <v/>
      </c>
      <c r="P65" s="139" t="str">
        <f t="shared" si="4"/>
        <v/>
      </c>
      <c r="Q65" s="138" t="str">
        <f t="shared" si="4"/>
        <v/>
      </c>
      <c r="R65" s="138" t="str">
        <f t="shared" si="4"/>
        <v/>
      </c>
      <c r="S65" s="138" t="str">
        <f t="shared" si="4"/>
        <v/>
      </c>
      <c r="T65" s="1077"/>
      <c r="U65"/>
      <c r="AV65" s="33"/>
    </row>
    <row r="66" spans="2:48" s="7" customFormat="1" ht="18" customHeight="1" x14ac:dyDescent="0.3">
      <c r="B66" s="582" t="str">
        <f>IF(D66&lt;&gt;"","Pr05","")</f>
        <v/>
      </c>
      <c r="C66" s="326"/>
      <c r="D66" s="599"/>
      <c r="E66" s="328"/>
      <c r="F66" s="4" t="str">
        <f t="shared" si="2"/>
        <v/>
      </c>
      <c r="G66" s="595" t="str">
        <f t="shared" si="3"/>
        <v/>
      </c>
      <c r="H66" s="137" t="str">
        <f t="shared" si="4"/>
        <v/>
      </c>
      <c r="I66" s="138" t="str">
        <f t="shared" si="4"/>
        <v/>
      </c>
      <c r="J66" s="139" t="str">
        <f t="shared" si="4"/>
        <v/>
      </c>
      <c r="K66" s="138" t="str">
        <f t="shared" si="4"/>
        <v/>
      </c>
      <c r="L66" s="138" t="str">
        <f t="shared" si="4"/>
        <v/>
      </c>
      <c r="M66" s="139" t="str">
        <f t="shared" si="4"/>
        <v/>
      </c>
      <c r="N66" s="138" t="str">
        <f t="shared" si="4"/>
        <v/>
      </c>
      <c r="O66" s="138" t="str">
        <f t="shared" si="4"/>
        <v/>
      </c>
      <c r="P66" s="139" t="str">
        <f t="shared" si="4"/>
        <v/>
      </c>
      <c r="Q66" s="138" t="str">
        <f t="shared" si="4"/>
        <v/>
      </c>
      <c r="R66" s="138" t="str">
        <f t="shared" si="4"/>
        <v/>
      </c>
      <c r="S66" s="138" t="str">
        <f t="shared" si="4"/>
        <v/>
      </c>
      <c r="T66" s="1077"/>
      <c r="AV66" s="33"/>
    </row>
    <row r="67" spans="2:48" s="7" customFormat="1" ht="18" customHeight="1" x14ac:dyDescent="0.3">
      <c r="B67" s="583" t="str">
        <f>IF(D67&lt;&gt;"","Pr06","")</f>
        <v/>
      </c>
      <c r="C67" s="327"/>
      <c r="D67" s="600"/>
      <c r="E67" s="329"/>
      <c r="F67" s="5" t="str">
        <f t="shared" si="2"/>
        <v/>
      </c>
      <c r="G67" s="596" t="str">
        <f t="shared" si="3"/>
        <v/>
      </c>
      <c r="H67" s="140" t="str">
        <f t="shared" si="4"/>
        <v/>
      </c>
      <c r="I67" s="141" t="str">
        <f t="shared" si="4"/>
        <v/>
      </c>
      <c r="J67" s="142" t="str">
        <f t="shared" si="4"/>
        <v/>
      </c>
      <c r="K67" s="141" t="str">
        <f t="shared" si="4"/>
        <v/>
      </c>
      <c r="L67" s="141" t="str">
        <f t="shared" si="4"/>
        <v/>
      </c>
      <c r="M67" s="142" t="str">
        <f t="shared" si="4"/>
        <v/>
      </c>
      <c r="N67" s="141" t="str">
        <f t="shared" si="4"/>
        <v/>
      </c>
      <c r="O67" s="141" t="str">
        <f t="shared" si="4"/>
        <v/>
      </c>
      <c r="P67" s="142" t="str">
        <f t="shared" si="4"/>
        <v/>
      </c>
      <c r="Q67" s="141" t="str">
        <f t="shared" si="4"/>
        <v/>
      </c>
      <c r="R67" s="141" t="str">
        <f t="shared" si="4"/>
        <v/>
      </c>
      <c r="S67" s="141" t="str">
        <f t="shared" si="4"/>
        <v/>
      </c>
      <c r="T67" s="1077"/>
      <c r="AV67" s="33"/>
    </row>
    <row r="68" spans="2:48" s="7" customFormat="1" ht="18" customHeight="1" x14ac:dyDescent="0.3">
      <c r="B68" s="582" t="str">
        <f>IF(D68&lt;&gt;"","Pr07","")</f>
        <v/>
      </c>
      <c r="C68" s="326"/>
      <c r="D68" s="599"/>
      <c r="E68" s="328"/>
      <c r="F68" s="4" t="str">
        <f t="shared" si="2"/>
        <v/>
      </c>
      <c r="G68" s="595" t="str">
        <f t="shared" si="3"/>
        <v/>
      </c>
      <c r="H68" s="137" t="str">
        <f t="shared" si="4"/>
        <v/>
      </c>
      <c r="I68" s="138" t="str">
        <f t="shared" si="4"/>
        <v/>
      </c>
      <c r="J68" s="139" t="str">
        <f t="shared" si="4"/>
        <v/>
      </c>
      <c r="K68" s="138" t="str">
        <f t="shared" si="4"/>
        <v/>
      </c>
      <c r="L68" s="138" t="str">
        <f t="shared" si="4"/>
        <v/>
      </c>
      <c r="M68" s="139" t="str">
        <f t="shared" si="4"/>
        <v/>
      </c>
      <c r="N68" s="138" t="str">
        <f t="shared" si="4"/>
        <v/>
      </c>
      <c r="O68" s="138" t="str">
        <f t="shared" si="4"/>
        <v/>
      </c>
      <c r="P68" s="139" t="str">
        <f t="shared" si="4"/>
        <v/>
      </c>
      <c r="Q68" s="138" t="str">
        <f t="shared" si="4"/>
        <v/>
      </c>
      <c r="R68" s="138" t="str">
        <f t="shared" si="4"/>
        <v/>
      </c>
      <c r="S68" s="138" t="str">
        <f t="shared" si="4"/>
        <v/>
      </c>
      <c r="T68" s="1077"/>
      <c r="AV68" s="33"/>
    </row>
    <row r="69" spans="2:48" s="7" customFormat="1" ht="18" customHeight="1" x14ac:dyDescent="0.3">
      <c r="B69" s="582" t="str">
        <f>IF(D69&lt;&gt;"","Pr08","")</f>
        <v/>
      </c>
      <c r="C69" s="326"/>
      <c r="D69" s="599"/>
      <c r="E69" s="328"/>
      <c r="F69" s="4" t="str">
        <f t="shared" si="2"/>
        <v/>
      </c>
      <c r="G69" s="595" t="str">
        <f t="shared" si="3"/>
        <v/>
      </c>
      <c r="H69" s="137" t="str">
        <f t="shared" si="4"/>
        <v/>
      </c>
      <c r="I69" s="138" t="str">
        <f t="shared" si="4"/>
        <v/>
      </c>
      <c r="J69" s="139" t="str">
        <f t="shared" si="4"/>
        <v/>
      </c>
      <c r="K69" s="138" t="str">
        <f t="shared" si="4"/>
        <v/>
      </c>
      <c r="L69" s="138" t="str">
        <f t="shared" si="4"/>
        <v/>
      </c>
      <c r="M69" s="139" t="str">
        <f t="shared" si="4"/>
        <v/>
      </c>
      <c r="N69" s="138" t="str">
        <f t="shared" si="4"/>
        <v/>
      </c>
      <c r="O69" s="138" t="str">
        <f t="shared" si="4"/>
        <v/>
      </c>
      <c r="P69" s="139" t="str">
        <f t="shared" si="4"/>
        <v/>
      </c>
      <c r="Q69" s="138" t="str">
        <f t="shared" si="4"/>
        <v/>
      </c>
      <c r="R69" s="138" t="str">
        <f t="shared" si="4"/>
        <v/>
      </c>
      <c r="S69" s="138" t="str">
        <f t="shared" si="4"/>
        <v/>
      </c>
      <c r="T69" s="1077"/>
      <c r="U69" s="1077"/>
      <c r="AV69" s="33"/>
    </row>
    <row r="70" spans="2:48" s="7" customFormat="1" ht="18" customHeight="1" x14ac:dyDescent="0.3">
      <c r="B70" s="583" t="str">
        <f>IF(D70&lt;&gt;"","Pr09","")</f>
        <v/>
      </c>
      <c r="C70" s="327"/>
      <c r="D70" s="600"/>
      <c r="E70" s="329"/>
      <c r="F70" s="5" t="str">
        <f t="shared" si="2"/>
        <v/>
      </c>
      <c r="G70" s="596" t="str">
        <f t="shared" si="3"/>
        <v/>
      </c>
      <c r="H70" s="140" t="str">
        <f t="shared" si="4"/>
        <v/>
      </c>
      <c r="I70" s="141" t="str">
        <f t="shared" si="4"/>
        <v/>
      </c>
      <c r="J70" s="142" t="str">
        <f t="shared" si="4"/>
        <v/>
      </c>
      <c r="K70" s="141" t="str">
        <f t="shared" si="4"/>
        <v/>
      </c>
      <c r="L70" s="141" t="str">
        <f t="shared" si="4"/>
        <v/>
      </c>
      <c r="M70" s="142" t="str">
        <f t="shared" si="4"/>
        <v/>
      </c>
      <c r="N70" s="141" t="str">
        <f t="shared" si="4"/>
        <v/>
      </c>
      <c r="O70" s="141" t="str">
        <f t="shared" si="4"/>
        <v/>
      </c>
      <c r="P70" s="142" t="str">
        <f t="shared" si="4"/>
        <v/>
      </c>
      <c r="Q70" s="141" t="str">
        <f t="shared" si="4"/>
        <v/>
      </c>
      <c r="R70" s="141" t="str">
        <f t="shared" si="4"/>
        <v/>
      </c>
      <c r="S70" s="141" t="str">
        <f t="shared" si="4"/>
        <v/>
      </c>
      <c r="T70" s="1077"/>
      <c r="AV70" s="33"/>
    </row>
    <row r="71" spans="2:48" s="7" customFormat="1" ht="18" customHeight="1" x14ac:dyDescent="0.3">
      <c r="B71" s="582" t="str">
        <f>IF(D71&lt;&gt;"","Pr10","")</f>
        <v/>
      </c>
      <c r="C71" s="326"/>
      <c r="D71" s="599"/>
      <c r="E71" s="328"/>
      <c r="F71" s="4" t="str">
        <f t="shared" si="2"/>
        <v/>
      </c>
      <c r="G71" s="595" t="str">
        <f t="shared" si="3"/>
        <v/>
      </c>
      <c r="H71" s="137" t="str">
        <f t="shared" si="4"/>
        <v/>
      </c>
      <c r="I71" s="138" t="str">
        <f t="shared" si="4"/>
        <v/>
      </c>
      <c r="J71" s="139" t="str">
        <f t="shared" si="4"/>
        <v/>
      </c>
      <c r="K71" s="138" t="str">
        <f t="shared" si="4"/>
        <v/>
      </c>
      <c r="L71" s="138" t="str">
        <f t="shared" si="4"/>
        <v/>
      </c>
      <c r="M71" s="139" t="str">
        <f t="shared" si="4"/>
        <v/>
      </c>
      <c r="N71" s="138" t="str">
        <f t="shared" si="4"/>
        <v/>
      </c>
      <c r="O71" s="138" t="str">
        <f t="shared" si="4"/>
        <v/>
      </c>
      <c r="P71" s="139" t="str">
        <f t="shared" si="4"/>
        <v/>
      </c>
      <c r="Q71" s="138" t="str">
        <f t="shared" si="4"/>
        <v/>
      </c>
      <c r="R71" s="138" t="str">
        <f t="shared" si="4"/>
        <v/>
      </c>
      <c r="S71" s="138" t="str">
        <f t="shared" si="4"/>
        <v/>
      </c>
      <c r="T71" s="1077"/>
      <c r="AV71" s="33"/>
    </row>
    <row r="72" spans="2:48" s="7" customFormat="1" ht="18" customHeight="1" x14ac:dyDescent="0.3">
      <c r="B72" s="582" t="str">
        <f>IF(D72&lt;&gt;"","Pr11","")</f>
        <v/>
      </c>
      <c r="C72" s="326"/>
      <c r="D72" s="599"/>
      <c r="E72" s="328"/>
      <c r="F72" s="4" t="str">
        <f t="shared" si="2"/>
        <v/>
      </c>
      <c r="G72" s="595" t="str">
        <f t="shared" si="3"/>
        <v/>
      </c>
      <c r="H72" s="137" t="str">
        <f t="shared" ref="H72:S81" si="5">IFERROR(_xlfn.XLOOKUP($E72,$B$34:$B$54,H$34:H$54),"")</f>
        <v/>
      </c>
      <c r="I72" s="138" t="str">
        <f t="shared" si="5"/>
        <v/>
      </c>
      <c r="J72" s="139" t="str">
        <f t="shared" si="5"/>
        <v/>
      </c>
      <c r="K72" s="138" t="str">
        <f t="shared" si="5"/>
        <v/>
      </c>
      <c r="L72" s="138" t="str">
        <f t="shared" si="5"/>
        <v/>
      </c>
      <c r="M72" s="139" t="str">
        <f t="shared" si="5"/>
        <v/>
      </c>
      <c r="N72" s="138" t="str">
        <f t="shared" si="5"/>
        <v/>
      </c>
      <c r="O72" s="138" t="str">
        <f t="shared" si="5"/>
        <v/>
      </c>
      <c r="P72" s="139" t="str">
        <f t="shared" si="5"/>
        <v/>
      </c>
      <c r="Q72" s="138" t="str">
        <f t="shared" si="5"/>
        <v/>
      </c>
      <c r="R72" s="138" t="str">
        <f t="shared" si="5"/>
        <v/>
      </c>
      <c r="S72" s="138" t="str">
        <f t="shared" si="5"/>
        <v/>
      </c>
      <c r="T72" s="1077"/>
      <c r="AV72" s="33"/>
    </row>
    <row r="73" spans="2:48" s="7" customFormat="1" ht="18" customHeight="1" x14ac:dyDescent="0.3">
      <c r="B73" s="583" t="str">
        <f>IF(D73&lt;&gt;"","Pr12","")</f>
        <v/>
      </c>
      <c r="C73" s="327"/>
      <c r="D73" s="600"/>
      <c r="E73" s="329"/>
      <c r="F73" s="5" t="str">
        <f t="shared" si="2"/>
        <v/>
      </c>
      <c r="G73" s="596" t="str">
        <f t="shared" si="3"/>
        <v/>
      </c>
      <c r="H73" s="140" t="str">
        <f t="shared" si="5"/>
        <v/>
      </c>
      <c r="I73" s="141" t="str">
        <f t="shared" si="5"/>
        <v/>
      </c>
      <c r="J73" s="142" t="str">
        <f t="shared" si="5"/>
        <v/>
      </c>
      <c r="K73" s="141" t="str">
        <f t="shared" si="5"/>
        <v/>
      </c>
      <c r="L73" s="141" t="str">
        <f t="shared" si="5"/>
        <v/>
      </c>
      <c r="M73" s="142" t="str">
        <f t="shared" si="5"/>
        <v/>
      </c>
      <c r="N73" s="141" t="str">
        <f t="shared" si="5"/>
        <v/>
      </c>
      <c r="O73" s="141" t="str">
        <f t="shared" si="5"/>
        <v/>
      </c>
      <c r="P73" s="142" t="str">
        <f t="shared" si="5"/>
        <v/>
      </c>
      <c r="Q73" s="141" t="str">
        <f t="shared" si="5"/>
        <v/>
      </c>
      <c r="R73" s="141" t="str">
        <f t="shared" si="5"/>
        <v/>
      </c>
      <c r="S73" s="141" t="str">
        <f t="shared" si="5"/>
        <v/>
      </c>
      <c r="T73" s="1077"/>
      <c r="AV73" s="33"/>
    </row>
    <row r="74" spans="2:48" s="7" customFormat="1" ht="15.6" x14ac:dyDescent="0.3">
      <c r="B74" s="582" t="str">
        <f>IF(D74&lt;&gt;"","Pr13","")</f>
        <v/>
      </c>
      <c r="C74" s="326"/>
      <c r="D74" s="599"/>
      <c r="E74" s="328"/>
      <c r="F74" s="4" t="str">
        <f t="shared" si="2"/>
        <v/>
      </c>
      <c r="G74" s="595" t="str">
        <f t="shared" si="3"/>
        <v/>
      </c>
      <c r="H74" s="137" t="str">
        <f t="shared" si="5"/>
        <v/>
      </c>
      <c r="I74" s="138" t="str">
        <f t="shared" si="5"/>
        <v/>
      </c>
      <c r="J74" s="139" t="str">
        <f t="shared" si="5"/>
        <v/>
      </c>
      <c r="K74" s="138" t="str">
        <f t="shared" si="5"/>
        <v/>
      </c>
      <c r="L74" s="138" t="str">
        <f t="shared" si="5"/>
        <v/>
      </c>
      <c r="M74" s="139" t="str">
        <f t="shared" si="5"/>
        <v/>
      </c>
      <c r="N74" s="138" t="str">
        <f t="shared" si="5"/>
        <v/>
      </c>
      <c r="O74" s="138" t="str">
        <f t="shared" si="5"/>
        <v/>
      </c>
      <c r="P74" s="139" t="str">
        <f t="shared" si="5"/>
        <v/>
      </c>
      <c r="Q74" s="138" t="str">
        <f t="shared" si="5"/>
        <v/>
      </c>
      <c r="R74" s="138" t="str">
        <f t="shared" si="5"/>
        <v/>
      </c>
      <c r="S74" s="138" t="str">
        <f t="shared" si="5"/>
        <v/>
      </c>
      <c r="T74" s="1077"/>
      <c r="AV74" s="33"/>
    </row>
    <row r="75" spans="2:48" s="7" customFormat="1" ht="15.6" x14ac:dyDescent="0.3">
      <c r="B75" s="582" t="str">
        <f>IF(D75&lt;&gt;"","Pr14","")</f>
        <v/>
      </c>
      <c r="C75" s="326"/>
      <c r="D75" s="599"/>
      <c r="E75" s="328"/>
      <c r="F75" s="4" t="str">
        <f t="shared" si="2"/>
        <v/>
      </c>
      <c r="G75" s="595" t="str">
        <f t="shared" si="3"/>
        <v/>
      </c>
      <c r="H75" s="137" t="str">
        <f t="shared" si="5"/>
        <v/>
      </c>
      <c r="I75" s="138" t="str">
        <f t="shared" si="5"/>
        <v/>
      </c>
      <c r="J75" s="139" t="str">
        <f t="shared" si="5"/>
        <v/>
      </c>
      <c r="K75" s="138" t="str">
        <f t="shared" si="5"/>
        <v/>
      </c>
      <c r="L75" s="138" t="str">
        <f t="shared" si="5"/>
        <v/>
      </c>
      <c r="M75" s="139" t="str">
        <f t="shared" si="5"/>
        <v/>
      </c>
      <c r="N75" s="138" t="str">
        <f t="shared" si="5"/>
        <v/>
      </c>
      <c r="O75" s="138" t="str">
        <f t="shared" si="5"/>
        <v/>
      </c>
      <c r="P75" s="139" t="str">
        <f t="shared" si="5"/>
        <v/>
      </c>
      <c r="Q75" s="138" t="str">
        <f t="shared" si="5"/>
        <v/>
      </c>
      <c r="R75" s="138" t="str">
        <f t="shared" si="5"/>
        <v/>
      </c>
      <c r="S75" s="138" t="str">
        <f t="shared" si="5"/>
        <v/>
      </c>
      <c r="T75" s="1077"/>
      <c r="AV75" s="33"/>
    </row>
    <row r="76" spans="2:48" s="7" customFormat="1" ht="15.6" x14ac:dyDescent="0.3">
      <c r="B76" s="583" t="str">
        <f>IF(D76&lt;&gt;"","Pr15","")</f>
        <v/>
      </c>
      <c r="C76" s="327"/>
      <c r="D76" s="600"/>
      <c r="E76" s="329"/>
      <c r="F76" s="5" t="str">
        <f t="shared" si="2"/>
        <v/>
      </c>
      <c r="G76" s="596" t="str">
        <f t="shared" si="3"/>
        <v/>
      </c>
      <c r="H76" s="140" t="str">
        <f t="shared" si="5"/>
        <v/>
      </c>
      <c r="I76" s="141" t="str">
        <f t="shared" si="5"/>
        <v/>
      </c>
      <c r="J76" s="142" t="str">
        <f t="shared" si="5"/>
        <v/>
      </c>
      <c r="K76" s="141" t="str">
        <f t="shared" si="5"/>
        <v/>
      </c>
      <c r="L76" s="141" t="str">
        <f t="shared" si="5"/>
        <v/>
      </c>
      <c r="M76" s="142" t="str">
        <f t="shared" si="5"/>
        <v/>
      </c>
      <c r="N76" s="141" t="str">
        <f t="shared" si="5"/>
        <v/>
      </c>
      <c r="O76" s="141" t="str">
        <f t="shared" si="5"/>
        <v/>
      </c>
      <c r="P76" s="142" t="str">
        <f t="shared" si="5"/>
        <v/>
      </c>
      <c r="Q76" s="141" t="str">
        <f t="shared" si="5"/>
        <v/>
      </c>
      <c r="R76" s="141" t="str">
        <f t="shared" si="5"/>
        <v/>
      </c>
      <c r="S76" s="141" t="str">
        <f t="shared" si="5"/>
        <v/>
      </c>
      <c r="T76" s="1077"/>
      <c r="AV76" s="33"/>
    </row>
    <row r="77" spans="2:48" s="7" customFormat="1" ht="15.6" x14ac:dyDescent="0.3">
      <c r="B77" s="582" t="str">
        <f>IF(D77&lt;&gt;"","Pr16","")</f>
        <v/>
      </c>
      <c r="C77" s="326"/>
      <c r="D77" s="599"/>
      <c r="E77" s="328"/>
      <c r="F77" s="4" t="str">
        <f t="shared" si="2"/>
        <v/>
      </c>
      <c r="G77" s="595" t="str">
        <f t="shared" si="3"/>
        <v/>
      </c>
      <c r="H77" s="137" t="str">
        <f t="shared" si="5"/>
        <v/>
      </c>
      <c r="I77" s="138" t="str">
        <f t="shared" si="5"/>
        <v/>
      </c>
      <c r="J77" s="139" t="str">
        <f t="shared" si="5"/>
        <v/>
      </c>
      <c r="K77" s="138" t="str">
        <f t="shared" si="5"/>
        <v/>
      </c>
      <c r="L77" s="138" t="str">
        <f t="shared" si="5"/>
        <v/>
      </c>
      <c r="M77" s="139" t="str">
        <f t="shared" si="5"/>
        <v/>
      </c>
      <c r="N77" s="138" t="str">
        <f t="shared" si="5"/>
        <v/>
      </c>
      <c r="O77" s="138" t="str">
        <f t="shared" si="5"/>
        <v/>
      </c>
      <c r="P77" s="139" t="str">
        <f t="shared" si="5"/>
        <v/>
      </c>
      <c r="Q77" s="138" t="str">
        <f t="shared" si="5"/>
        <v/>
      </c>
      <c r="R77" s="138" t="str">
        <f t="shared" si="5"/>
        <v/>
      </c>
      <c r="S77" s="138" t="str">
        <f t="shared" si="5"/>
        <v/>
      </c>
      <c r="T77" s="1077"/>
      <c r="AV77" s="33"/>
    </row>
    <row r="78" spans="2:48" s="7" customFormat="1" ht="15.6" x14ac:dyDescent="0.3">
      <c r="B78" s="582" t="str">
        <f>IF(D78&lt;&gt;"","Pr17","")</f>
        <v/>
      </c>
      <c r="C78" s="326"/>
      <c r="D78" s="599"/>
      <c r="E78" s="328"/>
      <c r="F78" s="4" t="str">
        <f t="shared" si="2"/>
        <v/>
      </c>
      <c r="G78" s="595" t="str">
        <f t="shared" si="3"/>
        <v/>
      </c>
      <c r="H78" s="137" t="str">
        <f t="shared" si="5"/>
        <v/>
      </c>
      <c r="I78" s="138" t="str">
        <f t="shared" si="5"/>
        <v/>
      </c>
      <c r="J78" s="139" t="str">
        <f t="shared" si="5"/>
        <v/>
      </c>
      <c r="K78" s="138" t="str">
        <f t="shared" si="5"/>
        <v/>
      </c>
      <c r="L78" s="138" t="str">
        <f t="shared" si="5"/>
        <v/>
      </c>
      <c r="M78" s="139" t="str">
        <f t="shared" si="5"/>
        <v/>
      </c>
      <c r="N78" s="138" t="str">
        <f t="shared" si="5"/>
        <v/>
      </c>
      <c r="O78" s="138" t="str">
        <f t="shared" si="5"/>
        <v/>
      </c>
      <c r="P78" s="139" t="str">
        <f t="shared" si="5"/>
        <v/>
      </c>
      <c r="Q78" s="138" t="str">
        <f t="shared" si="5"/>
        <v/>
      </c>
      <c r="R78" s="138" t="str">
        <f t="shared" si="5"/>
        <v/>
      </c>
      <c r="S78" s="138" t="str">
        <f t="shared" si="5"/>
        <v/>
      </c>
      <c r="T78" s="1077"/>
      <c r="AV78" s="33"/>
    </row>
    <row r="79" spans="2:48" s="7" customFormat="1" ht="15.6" x14ac:dyDescent="0.3">
      <c r="B79" s="583" t="str">
        <f>IF(D79&lt;&gt;"","Pr18","")</f>
        <v/>
      </c>
      <c r="C79" s="327"/>
      <c r="D79" s="600"/>
      <c r="E79" s="329"/>
      <c r="F79" s="5" t="str">
        <f t="shared" si="2"/>
        <v/>
      </c>
      <c r="G79" s="596" t="str">
        <f t="shared" si="3"/>
        <v/>
      </c>
      <c r="H79" s="140" t="str">
        <f t="shared" si="5"/>
        <v/>
      </c>
      <c r="I79" s="141" t="str">
        <f t="shared" si="5"/>
        <v/>
      </c>
      <c r="J79" s="142" t="str">
        <f t="shared" si="5"/>
        <v/>
      </c>
      <c r="K79" s="141" t="str">
        <f t="shared" si="5"/>
        <v/>
      </c>
      <c r="L79" s="141" t="str">
        <f t="shared" si="5"/>
        <v/>
      </c>
      <c r="M79" s="142" t="str">
        <f t="shared" si="5"/>
        <v/>
      </c>
      <c r="N79" s="141" t="str">
        <f t="shared" si="5"/>
        <v/>
      </c>
      <c r="O79" s="141" t="str">
        <f t="shared" si="5"/>
        <v/>
      </c>
      <c r="P79" s="142" t="str">
        <f t="shared" si="5"/>
        <v/>
      </c>
      <c r="Q79" s="141" t="str">
        <f t="shared" si="5"/>
        <v/>
      </c>
      <c r="R79" s="141" t="str">
        <f t="shared" si="5"/>
        <v/>
      </c>
      <c r="S79" s="141" t="str">
        <f t="shared" si="5"/>
        <v/>
      </c>
      <c r="T79" s="1077"/>
      <c r="AV79" s="33"/>
    </row>
    <row r="80" spans="2:48" s="7" customFormat="1" ht="15.6" x14ac:dyDescent="0.3">
      <c r="B80" s="582" t="str">
        <f>IF(D80&lt;&gt;"","Pr19","")</f>
        <v/>
      </c>
      <c r="C80" s="326"/>
      <c r="D80" s="599"/>
      <c r="E80" s="328"/>
      <c r="F80" s="4" t="str">
        <f t="shared" si="2"/>
        <v/>
      </c>
      <c r="G80" s="595" t="str">
        <f t="shared" si="3"/>
        <v/>
      </c>
      <c r="H80" s="137" t="str">
        <f t="shared" si="5"/>
        <v/>
      </c>
      <c r="I80" s="138" t="str">
        <f t="shared" si="5"/>
        <v/>
      </c>
      <c r="J80" s="139" t="str">
        <f t="shared" si="5"/>
        <v/>
      </c>
      <c r="K80" s="138" t="str">
        <f t="shared" si="5"/>
        <v/>
      </c>
      <c r="L80" s="138" t="str">
        <f t="shared" si="5"/>
        <v/>
      </c>
      <c r="M80" s="139" t="str">
        <f t="shared" si="5"/>
        <v/>
      </c>
      <c r="N80" s="138" t="str">
        <f t="shared" si="5"/>
        <v/>
      </c>
      <c r="O80" s="138" t="str">
        <f t="shared" si="5"/>
        <v/>
      </c>
      <c r="P80" s="139" t="str">
        <f t="shared" si="5"/>
        <v/>
      </c>
      <c r="Q80" s="138" t="str">
        <f t="shared" si="5"/>
        <v/>
      </c>
      <c r="R80" s="138" t="str">
        <f t="shared" si="5"/>
        <v/>
      </c>
      <c r="S80" s="138" t="str">
        <f t="shared" si="5"/>
        <v/>
      </c>
      <c r="T80" s="1077"/>
      <c r="AV80" s="33"/>
    </row>
    <row r="81" spans="1:48" s="7" customFormat="1" ht="15.6" x14ac:dyDescent="0.3">
      <c r="B81" s="582" t="str">
        <f>IF(D81&lt;&gt;"","Pr20","")</f>
        <v/>
      </c>
      <c r="C81" s="326"/>
      <c r="D81" s="599"/>
      <c r="E81" s="328"/>
      <c r="F81" s="4" t="str">
        <f t="shared" si="2"/>
        <v/>
      </c>
      <c r="G81" s="595" t="str">
        <f t="shared" si="3"/>
        <v/>
      </c>
      <c r="H81" s="137" t="str">
        <f t="shared" si="5"/>
        <v/>
      </c>
      <c r="I81" s="138" t="str">
        <f t="shared" si="5"/>
        <v/>
      </c>
      <c r="J81" s="139" t="str">
        <f t="shared" si="5"/>
        <v/>
      </c>
      <c r="K81" s="138" t="str">
        <f t="shared" si="5"/>
        <v/>
      </c>
      <c r="L81" s="138" t="str">
        <f t="shared" si="5"/>
        <v/>
      </c>
      <c r="M81" s="139" t="str">
        <f t="shared" si="5"/>
        <v/>
      </c>
      <c r="N81" s="138" t="str">
        <f t="shared" si="5"/>
        <v/>
      </c>
      <c r="O81" s="138" t="str">
        <f t="shared" si="5"/>
        <v/>
      </c>
      <c r="P81" s="139" t="str">
        <f t="shared" si="5"/>
        <v/>
      </c>
      <c r="Q81" s="138" t="str">
        <f t="shared" si="5"/>
        <v/>
      </c>
      <c r="R81" s="138" t="str">
        <f t="shared" si="5"/>
        <v/>
      </c>
      <c r="S81" s="138" t="str">
        <f t="shared" si="5"/>
        <v/>
      </c>
      <c r="T81" s="1077"/>
      <c r="AV81" s="33"/>
    </row>
    <row r="82" spans="1:48" s="7" customFormat="1" ht="15.6" x14ac:dyDescent="0.3">
      <c r="B82" s="583" t="str">
        <f>IF(D82&lt;&gt;"","Pr21","")</f>
        <v/>
      </c>
      <c r="C82" s="327"/>
      <c r="D82" s="600"/>
      <c r="E82" s="329"/>
      <c r="F82" s="5" t="str">
        <f t="shared" si="2"/>
        <v/>
      </c>
      <c r="G82" s="596" t="str">
        <f t="shared" si="3"/>
        <v/>
      </c>
      <c r="H82" s="140" t="str">
        <f t="shared" ref="H82:S94" si="6">IFERROR(_xlfn.XLOOKUP($E82,$B$34:$B$54,H$34:H$54),"")</f>
        <v/>
      </c>
      <c r="I82" s="141" t="str">
        <f t="shared" si="6"/>
        <v/>
      </c>
      <c r="J82" s="142" t="str">
        <f t="shared" si="6"/>
        <v/>
      </c>
      <c r="K82" s="141" t="str">
        <f t="shared" si="6"/>
        <v/>
      </c>
      <c r="L82" s="141" t="str">
        <f t="shared" si="6"/>
        <v/>
      </c>
      <c r="M82" s="142" t="str">
        <f t="shared" si="6"/>
        <v/>
      </c>
      <c r="N82" s="141" t="str">
        <f t="shared" si="6"/>
        <v/>
      </c>
      <c r="O82" s="141" t="str">
        <f t="shared" si="6"/>
        <v/>
      </c>
      <c r="P82" s="142" t="str">
        <f t="shared" si="6"/>
        <v/>
      </c>
      <c r="Q82" s="141" t="str">
        <f t="shared" si="6"/>
        <v/>
      </c>
      <c r="R82" s="141" t="str">
        <f t="shared" si="6"/>
        <v/>
      </c>
      <c r="S82" s="141" t="str">
        <f t="shared" si="6"/>
        <v/>
      </c>
      <c r="T82" s="1077"/>
      <c r="AV82" s="33"/>
    </row>
    <row r="83" spans="1:48" s="7" customFormat="1" ht="15.6" x14ac:dyDescent="0.3">
      <c r="B83" s="582" t="str">
        <f>IF(D83&lt;&gt;"","Pr22","")</f>
        <v/>
      </c>
      <c r="C83" s="326"/>
      <c r="D83" s="599"/>
      <c r="E83" s="328"/>
      <c r="F83" s="4" t="str">
        <f t="shared" si="2"/>
        <v/>
      </c>
      <c r="G83" s="595" t="str">
        <f t="shared" si="3"/>
        <v/>
      </c>
      <c r="H83" s="137" t="str">
        <f t="shared" si="6"/>
        <v/>
      </c>
      <c r="I83" s="138" t="str">
        <f t="shared" si="6"/>
        <v/>
      </c>
      <c r="J83" s="139" t="str">
        <f t="shared" si="6"/>
        <v/>
      </c>
      <c r="K83" s="138" t="str">
        <f t="shared" si="6"/>
        <v/>
      </c>
      <c r="L83" s="138" t="str">
        <f t="shared" si="6"/>
        <v/>
      </c>
      <c r="M83" s="139" t="str">
        <f t="shared" si="6"/>
        <v/>
      </c>
      <c r="N83" s="138" t="str">
        <f t="shared" si="6"/>
        <v/>
      </c>
      <c r="O83" s="138" t="str">
        <f t="shared" si="6"/>
        <v/>
      </c>
      <c r="P83" s="139" t="str">
        <f t="shared" si="6"/>
        <v/>
      </c>
      <c r="Q83" s="138" t="str">
        <f t="shared" si="6"/>
        <v/>
      </c>
      <c r="R83" s="138" t="str">
        <f t="shared" si="6"/>
        <v/>
      </c>
      <c r="S83" s="138" t="str">
        <f t="shared" si="6"/>
        <v/>
      </c>
      <c r="T83" s="1077"/>
      <c r="AV83" s="33"/>
    </row>
    <row r="84" spans="1:48" s="7" customFormat="1" ht="15.6" x14ac:dyDescent="0.3">
      <c r="B84" s="582" t="str">
        <f>IF(D84&lt;&gt;"","Pr23","")</f>
        <v/>
      </c>
      <c r="C84" s="326"/>
      <c r="D84" s="599"/>
      <c r="E84" s="328"/>
      <c r="F84" s="4" t="str">
        <f t="shared" si="2"/>
        <v/>
      </c>
      <c r="G84" s="595" t="str">
        <f t="shared" si="3"/>
        <v/>
      </c>
      <c r="H84" s="137" t="str">
        <f t="shared" si="6"/>
        <v/>
      </c>
      <c r="I84" s="138" t="str">
        <f t="shared" si="6"/>
        <v/>
      </c>
      <c r="J84" s="139" t="str">
        <f t="shared" si="6"/>
        <v/>
      </c>
      <c r="K84" s="138" t="str">
        <f t="shared" si="6"/>
        <v/>
      </c>
      <c r="L84" s="138" t="str">
        <f t="shared" si="6"/>
        <v/>
      </c>
      <c r="M84" s="139" t="str">
        <f t="shared" si="6"/>
        <v/>
      </c>
      <c r="N84" s="138" t="str">
        <f t="shared" si="6"/>
        <v/>
      </c>
      <c r="O84" s="138" t="str">
        <f t="shared" si="6"/>
        <v/>
      </c>
      <c r="P84" s="139" t="str">
        <f t="shared" si="6"/>
        <v/>
      </c>
      <c r="Q84" s="138" t="str">
        <f t="shared" si="6"/>
        <v/>
      </c>
      <c r="R84" s="138" t="str">
        <f t="shared" si="6"/>
        <v/>
      </c>
      <c r="S84" s="138" t="str">
        <f t="shared" si="6"/>
        <v/>
      </c>
      <c r="T84" s="1077"/>
      <c r="AV84" s="33"/>
    </row>
    <row r="85" spans="1:48" s="7" customFormat="1" ht="15.6" x14ac:dyDescent="0.3">
      <c r="B85" s="583" t="str">
        <f>IF(D85&lt;&gt;"","Pr24","")</f>
        <v/>
      </c>
      <c r="C85" s="327"/>
      <c r="D85" s="600"/>
      <c r="E85" s="329"/>
      <c r="F85" s="5" t="str">
        <f t="shared" si="2"/>
        <v/>
      </c>
      <c r="G85" s="596" t="str">
        <f t="shared" si="3"/>
        <v/>
      </c>
      <c r="H85" s="140" t="str">
        <f t="shared" si="6"/>
        <v/>
      </c>
      <c r="I85" s="141" t="str">
        <f t="shared" si="6"/>
        <v/>
      </c>
      <c r="J85" s="142" t="str">
        <f t="shared" si="6"/>
        <v/>
      </c>
      <c r="K85" s="141" t="str">
        <f t="shared" si="6"/>
        <v/>
      </c>
      <c r="L85" s="141" t="str">
        <f t="shared" si="6"/>
        <v/>
      </c>
      <c r="M85" s="142" t="str">
        <f t="shared" si="6"/>
        <v/>
      </c>
      <c r="N85" s="141" t="str">
        <f t="shared" si="6"/>
        <v/>
      </c>
      <c r="O85" s="141" t="str">
        <f t="shared" si="6"/>
        <v/>
      </c>
      <c r="P85" s="142" t="str">
        <f t="shared" si="6"/>
        <v/>
      </c>
      <c r="Q85" s="141" t="str">
        <f t="shared" si="6"/>
        <v/>
      </c>
      <c r="R85" s="141" t="str">
        <f t="shared" si="6"/>
        <v/>
      </c>
      <c r="S85" s="141" t="str">
        <f t="shared" si="6"/>
        <v/>
      </c>
      <c r="T85" s="1077"/>
      <c r="U85" s="1077"/>
      <c r="AV85" s="33"/>
    </row>
    <row r="86" spans="1:48" s="7" customFormat="1" ht="15.6" x14ac:dyDescent="0.3">
      <c r="B86" s="582" t="str">
        <f>IF(D86&lt;&gt;"","Pr25","")</f>
        <v/>
      </c>
      <c r="C86" s="326"/>
      <c r="D86" s="599"/>
      <c r="E86" s="328"/>
      <c r="F86" s="4" t="str">
        <f t="shared" si="2"/>
        <v/>
      </c>
      <c r="G86" s="595" t="str">
        <f t="shared" si="3"/>
        <v/>
      </c>
      <c r="H86" s="137" t="str">
        <f t="shared" si="6"/>
        <v/>
      </c>
      <c r="I86" s="138" t="str">
        <f t="shared" si="6"/>
        <v/>
      </c>
      <c r="J86" s="139" t="str">
        <f t="shared" si="6"/>
        <v/>
      </c>
      <c r="K86" s="138" t="str">
        <f t="shared" si="6"/>
        <v/>
      </c>
      <c r="L86" s="138" t="str">
        <f t="shared" si="6"/>
        <v/>
      </c>
      <c r="M86" s="139" t="str">
        <f t="shared" si="6"/>
        <v/>
      </c>
      <c r="N86" s="138" t="str">
        <f t="shared" si="6"/>
        <v/>
      </c>
      <c r="O86" s="138" t="str">
        <f t="shared" si="6"/>
        <v/>
      </c>
      <c r="P86" s="139" t="str">
        <f t="shared" si="6"/>
        <v/>
      </c>
      <c r="Q86" s="138" t="str">
        <f t="shared" si="6"/>
        <v/>
      </c>
      <c r="R86" s="138" t="str">
        <f t="shared" si="6"/>
        <v/>
      </c>
      <c r="S86" s="138" t="str">
        <f t="shared" si="6"/>
        <v/>
      </c>
      <c r="T86" s="1077"/>
      <c r="AV86" s="33"/>
    </row>
    <row r="87" spans="1:48" s="7" customFormat="1" ht="15.6" x14ac:dyDescent="0.3">
      <c r="B87" s="582" t="str">
        <f>IF(D87&lt;&gt;"","Pr26","")</f>
        <v/>
      </c>
      <c r="C87" s="326"/>
      <c r="D87" s="599"/>
      <c r="E87" s="328"/>
      <c r="F87" s="4" t="str">
        <f t="shared" si="2"/>
        <v/>
      </c>
      <c r="G87" s="595" t="str">
        <f t="shared" si="3"/>
        <v/>
      </c>
      <c r="H87" s="137" t="str">
        <f t="shared" si="6"/>
        <v/>
      </c>
      <c r="I87" s="138" t="str">
        <f t="shared" si="6"/>
        <v/>
      </c>
      <c r="J87" s="139" t="str">
        <f t="shared" si="6"/>
        <v/>
      </c>
      <c r="K87" s="138" t="str">
        <f t="shared" si="6"/>
        <v/>
      </c>
      <c r="L87" s="138" t="str">
        <f t="shared" si="6"/>
        <v/>
      </c>
      <c r="M87" s="139" t="str">
        <f t="shared" si="6"/>
        <v/>
      </c>
      <c r="N87" s="138" t="str">
        <f t="shared" si="6"/>
        <v/>
      </c>
      <c r="O87" s="138" t="str">
        <f t="shared" si="6"/>
        <v/>
      </c>
      <c r="P87" s="139" t="str">
        <f t="shared" si="6"/>
        <v/>
      </c>
      <c r="Q87" s="138" t="str">
        <f t="shared" si="6"/>
        <v/>
      </c>
      <c r="R87" s="138" t="str">
        <f t="shared" si="6"/>
        <v/>
      </c>
      <c r="S87" s="138" t="str">
        <f t="shared" si="6"/>
        <v/>
      </c>
      <c r="T87" s="1077"/>
      <c r="AV87" s="33"/>
    </row>
    <row r="88" spans="1:48" s="7" customFormat="1" ht="15.6" x14ac:dyDescent="0.3">
      <c r="B88" s="583" t="str">
        <f>IF(D88&lt;&gt;"","Pr27","")</f>
        <v/>
      </c>
      <c r="C88" s="327"/>
      <c r="D88" s="600"/>
      <c r="E88" s="329"/>
      <c r="F88" s="5" t="str">
        <f t="shared" si="2"/>
        <v/>
      </c>
      <c r="G88" s="596" t="str">
        <f t="shared" si="3"/>
        <v/>
      </c>
      <c r="H88" s="140" t="str">
        <f t="shared" si="6"/>
        <v/>
      </c>
      <c r="I88" s="141" t="str">
        <f t="shared" si="6"/>
        <v/>
      </c>
      <c r="J88" s="142" t="str">
        <f t="shared" si="6"/>
        <v/>
      </c>
      <c r="K88" s="141" t="str">
        <f t="shared" si="6"/>
        <v/>
      </c>
      <c r="L88" s="141" t="str">
        <f t="shared" si="6"/>
        <v/>
      </c>
      <c r="M88" s="142" t="str">
        <f t="shared" si="6"/>
        <v/>
      </c>
      <c r="N88" s="141" t="str">
        <f t="shared" si="6"/>
        <v/>
      </c>
      <c r="O88" s="141" t="str">
        <f t="shared" si="6"/>
        <v/>
      </c>
      <c r="P88" s="142" t="str">
        <f t="shared" si="6"/>
        <v/>
      </c>
      <c r="Q88" s="141" t="str">
        <f t="shared" si="6"/>
        <v/>
      </c>
      <c r="R88" s="141" t="str">
        <f t="shared" si="6"/>
        <v/>
      </c>
      <c r="S88" s="141" t="str">
        <f t="shared" si="6"/>
        <v/>
      </c>
      <c r="T88" s="1077"/>
      <c r="AV88" s="33"/>
    </row>
    <row r="89" spans="1:48" s="7" customFormat="1" ht="15.6" x14ac:dyDescent="0.3">
      <c r="B89" s="582" t="str">
        <f>IF(D89&lt;&gt;"","Pr28","")</f>
        <v/>
      </c>
      <c r="C89" s="326"/>
      <c r="D89" s="599"/>
      <c r="E89" s="328"/>
      <c r="F89" s="4" t="str">
        <f t="shared" si="2"/>
        <v/>
      </c>
      <c r="G89" s="595" t="str">
        <f t="shared" si="3"/>
        <v/>
      </c>
      <c r="H89" s="137" t="str">
        <f t="shared" si="6"/>
        <v/>
      </c>
      <c r="I89" s="138" t="str">
        <f t="shared" si="6"/>
        <v/>
      </c>
      <c r="J89" s="139" t="str">
        <f t="shared" si="6"/>
        <v/>
      </c>
      <c r="K89" s="138" t="str">
        <f t="shared" si="6"/>
        <v/>
      </c>
      <c r="L89" s="138" t="str">
        <f t="shared" si="6"/>
        <v/>
      </c>
      <c r="M89" s="139" t="str">
        <f t="shared" si="6"/>
        <v/>
      </c>
      <c r="N89" s="138" t="str">
        <f t="shared" si="6"/>
        <v/>
      </c>
      <c r="O89" s="138" t="str">
        <f t="shared" si="6"/>
        <v/>
      </c>
      <c r="P89" s="139" t="str">
        <f t="shared" si="6"/>
        <v/>
      </c>
      <c r="Q89" s="138" t="str">
        <f t="shared" si="6"/>
        <v/>
      </c>
      <c r="R89" s="138" t="str">
        <f t="shared" si="6"/>
        <v/>
      </c>
      <c r="S89" s="138" t="str">
        <f t="shared" si="6"/>
        <v/>
      </c>
      <c r="T89" s="1077"/>
      <c r="AV89" s="33"/>
    </row>
    <row r="90" spans="1:48" s="7" customFormat="1" ht="15.6" x14ac:dyDescent="0.3">
      <c r="B90" s="582" t="str">
        <f>IF(D90&lt;&gt;"","Pr29","")</f>
        <v/>
      </c>
      <c r="C90" s="326"/>
      <c r="D90" s="599"/>
      <c r="E90" s="328"/>
      <c r="F90" s="4" t="str">
        <f t="shared" si="2"/>
        <v/>
      </c>
      <c r="G90" s="595" t="str">
        <f t="shared" si="3"/>
        <v/>
      </c>
      <c r="H90" s="137" t="str">
        <f t="shared" si="6"/>
        <v/>
      </c>
      <c r="I90" s="138" t="str">
        <f t="shared" si="6"/>
        <v/>
      </c>
      <c r="J90" s="139" t="str">
        <f t="shared" si="6"/>
        <v/>
      </c>
      <c r="K90" s="138" t="str">
        <f t="shared" si="6"/>
        <v/>
      </c>
      <c r="L90" s="138" t="str">
        <f t="shared" si="6"/>
        <v/>
      </c>
      <c r="M90" s="139" t="str">
        <f t="shared" si="6"/>
        <v/>
      </c>
      <c r="N90" s="138" t="str">
        <f t="shared" si="6"/>
        <v/>
      </c>
      <c r="O90" s="138" t="str">
        <f t="shared" si="6"/>
        <v/>
      </c>
      <c r="P90" s="139" t="str">
        <f t="shared" si="6"/>
        <v/>
      </c>
      <c r="Q90" s="138" t="str">
        <f t="shared" si="6"/>
        <v/>
      </c>
      <c r="R90" s="138" t="str">
        <f t="shared" si="6"/>
        <v/>
      </c>
      <c r="S90" s="138" t="str">
        <f t="shared" si="6"/>
        <v/>
      </c>
      <c r="T90" s="1077"/>
      <c r="AV90" s="33"/>
    </row>
    <row r="91" spans="1:48" s="7" customFormat="1" ht="15.6" x14ac:dyDescent="0.3">
      <c r="B91" s="583" t="str">
        <f>IF(D91&lt;&gt;"","Pr30","")</f>
        <v/>
      </c>
      <c r="C91" s="327"/>
      <c r="D91" s="600"/>
      <c r="E91" s="329"/>
      <c r="F91" s="5" t="str">
        <f t="shared" si="2"/>
        <v/>
      </c>
      <c r="G91" s="596" t="str">
        <f t="shared" si="3"/>
        <v/>
      </c>
      <c r="H91" s="140" t="str">
        <f t="shared" si="6"/>
        <v/>
      </c>
      <c r="I91" s="141" t="str">
        <f t="shared" si="6"/>
        <v/>
      </c>
      <c r="J91" s="142" t="str">
        <f t="shared" si="6"/>
        <v/>
      </c>
      <c r="K91" s="141" t="str">
        <f t="shared" si="6"/>
        <v/>
      </c>
      <c r="L91" s="141" t="str">
        <f t="shared" si="6"/>
        <v/>
      </c>
      <c r="M91" s="142" t="str">
        <f t="shared" si="6"/>
        <v/>
      </c>
      <c r="N91" s="141" t="str">
        <f t="shared" si="6"/>
        <v/>
      </c>
      <c r="O91" s="141" t="str">
        <f t="shared" si="6"/>
        <v/>
      </c>
      <c r="P91" s="142" t="str">
        <f t="shared" si="6"/>
        <v/>
      </c>
      <c r="Q91" s="141" t="str">
        <f t="shared" si="6"/>
        <v/>
      </c>
      <c r="R91" s="141" t="str">
        <f t="shared" si="6"/>
        <v/>
      </c>
      <c r="S91" s="141" t="str">
        <f t="shared" si="6"/>
        <v/>
      </c>
      <c r="T91" s="1077"/>
      <c r="AV91" s="33"/>
    </row>
    <row r="92" spans="1:48" s="7" customFormat="1" ht="15.6" x14ac:dyDescent="0.3">
      <c r="B92" s="582" t="str">
        <f>IF(D92&lt;&gt;"","Pr31","")</f>
        <v/>
      </c>
      <c r="C92" s="326"/>
      <c r="D92" s="599"/>
      <c r="E92" s="328"/>
      <c r="F92" s="4" t="str">
        <f t="shared" si="2"/>
        <v/>
      </c>
      <c r="G92" s="595" t="str">
        <f t="shared" si="3"/>
        <v/>
      </c>
      <c r="H92" s="143" t="str">
        <f t="shared" si="6"/>
        <v/>
      </c>
      <c r="I92" s="144" t="str">
        <f t="shared" si="6"/>
        <v/>
      </c>
      <c r="J92" s="145" t="str">
        <f t="shared" si="6"/>
        <v/>
      </c>
      <c r="K92" s="144" t="str">
        <f t="shared" si="6"/>
        <v/>
      </c>
      <c r="L92" s="144" t="str">
        <f t="shared" si="6"/>
        <v/>
      </c>
      <c r="M92" s="144" t="str">
        <f t="shared" si="6"/>
        <v/>
      </c>
      <c r="N92" s="143" t="str">
        <f t="shared" si="6"/>
        <v/>
      </c>
      <c r="O92" s="144" t="str">
        <f t="shared" si="6"/>
        <v/>
      </c>
      <c r="P92" s="145" t="str">
        <f t="shared" si="6"/>
        <v/>
      </c>
      <c r="Q92" s="143" t="str">
        <f t="shared" si="6"/>
        <v/>
      </c>
      <c r="R92" s="144" t="str">
        <f t="shared" si="6"/>
        <v/>
      </c>
      <c r="S92" s="144" t="str">
        <f t="shared" si="6"/>
        <v/>
      </c>
      <c r="T92" s="1077"/>
      <c r="AV92" s="33"/>
    </row>
    <row r="93" spans="1:48" s="7" customFormat="1" ht="15.6" x14ac:dyDescent="0.3">
      <c r="B93" s="582" t="str">
        <f>IF(D93&lt;&gt;"","Pr32","")</f>
        <v/>
      </c>
      <c r="C93" s="326"/>
      <c r="D93" s="599"/>
      <c r="E93" s="328"/>
      <c r="F93" s="4" t="str">
        <f t="shared" si="2"/>
        <v/>
      </c>
      <c r="G93" s="595" t="str">
        <f t="shared" si="3"/>
        <v/>
      </c>
      <c r="H93" s="137" t="str">
        <f t="shared" si="6"/>
        <v/>
      </c>
      <c r="I93" s="138" t="str">
        <f t="shared" si="6"/>
        <v/>
      </c>
      <c r="J93" s="139" t="str">
        <f t="shared" si="6"/>
        <v/>
      </c>
      <c r="K93" s="138" t="str">
        <f t="shared" si="6"/>
        <v/>
      </c>
      <c r="L93" s="138" t="str">
        <f t="shared" si="6"/>
        <v/>
      </c>
      <c r="M93" s="138" t="str">
        <f t="shared" si="6"/>
        <v/>
      </c>
      <c r="N93" s="137" t="str">
        <f t="shared" si="6"/>
        <v/>
      </c>
      <c r="O93" s="138" t="str">
        <f t="shared" si="6"/>
        <v/>
      </c>
      <c r="P93" s="139" t="str">
        <f t="shared" si="6"/>
        <v/>
      </c>
      <c r="Q93" s="137" t="str">
        <f t="shared" si="6"/>
        <v/>
      </c>
      <c r="R93" s="138" t="str">
        <f t="shared" si="6"/>
        <v/>
      </c>
      <c r="S93" s="138" t="str">
        <f t="shared" si="6"/>
        <v/>
      </c>
      <c r="T93" s="1077"/>
      <c r="AV93" s="33"/>
    </row>
    <row r="94" spans="1:48" s="7" customFormat="1" ht="15.6" x14ac:dyDescent="0.3">
      <c r="B94" s="583" t="str">
        <f>IF(D94&lt;&gt;"","Pr33","")</f>
        <v/>
      </c>
      <c r="C94" s="327"/>
      <c r="D94" s="600"/>
      <c r="E94" s="329"/>
      <c r="F94" s="5" t="str">
        <f t="shared" si="2"/>
        <v/>
      </c>
      <c r="G94" s="596" t="str">
        <f t="shared" si="3"/>
        <v/>
      </c>
      <c r="H94" s="140" t="str">
        <f t="shared" si="6"/>
        <v/>
      </c>
      <c r="I94" s="141" t="str">
        <f t="shared" si="6"/>
        <v/>
      </c>
      <c r="J94" s="142" t="str">
        <f t="shared" si="6"/>
        <v/>
      </c>
      <c r="K94" s="141" t="str">
        <f t="shared" si="6"/>
        <v/>
      </c>
      <c r="L94" s="141" t="str">
        <f t="shared" si="6"/>
        <v/>
      </c>
      <c r="M94" s="141" t="str">
        <f t="shared" si="6"/>
        <v/>
      </c>
      <c r="N94" s="140" t="str">
        <f t="shared" si="6"/>
        <v/>
      </c>
      <c r="O94" s="141" t="str">
        <f t="shared" si="6"/>
        <v/>
      </c>
      <c r="P94" s="142" t="str">
        <f t="shared" si="6"/>
        <v/>
      </c>
      <c r="Q94" s="140" t="str">
        <f t="shared" si="6"/>
        <v/>
      </c>
      <c r="R94" s="141" t="str">
        <f t="shared" si="6"/>
        <v/>
      </c>
      <c r="S94" s="141" t="str">
        <f t="shared" si="6"/>
        <v/>
      </c>
      <c r="T94" s="1077"/>
      <c r="AV94" s="33"/>
    </row>
    <row r="95" spans="1:48" s="7" customFormat="1" ht="15.6" x14ac:dyDescent="0.3">
      <c r="B95" s="799">
        <f>33-COUNTIF(B62:B94,"")</f>
        <v>3</v>
      </c>
      <c r="C95" s="166">
        <f>SUM(C62:C94)</f>
        <v>15</v>
      </c>
      <c r="D95" s="578" t="s">
        <v>373</v>
      </c>
      <c r="E95" s="578" t="s">
        <v>205</v>
      </c>
      <c r="G95" s="13"/>
      <c r="T95" s="1077"/>
      <c r="AV95" s="33"/>
    </row>
    <row r="96" spans="1:48" s="13" customFormat="1" ht="16.2" thickBot="1" x14ac:dyDescent="0.35">
      <c r="A96" s="481"/>
      <c r="B96" s="481"/>
      <c r="C96" s="1131"/>
      <c r="D96" s="481"/>
      <c r="E96" s="481"/>
      <c r="F96" s="481"/>
      <c r="G96" s="481"/>
      <c r="H96" s="481"/>
      <c r="I96" s="1131"/>
      <c r="J96" s="481"/>
      <c r="K96" s="481"/>
      <c r="L96" s="481"/>
      <c r="M96" s="481"/>
      <c r="N96" s="481"/>
      <c r="O96" s="481"/>
      <c r="P96" s="481"/>
      <c r="Q96" s="481"/>
      <c r="R96" s="481"/>
      <c r="S96" s="481" t="str">
        <f>IModulo&amp;" ("&amp;IProfesor&amp;")"</f>
        <v>FPM-it-1-0237 Infra. comunes de teleco en viviendas y edificios (Rafa Sanz)</v>
      </c>
      <c r="T96" s="500"/>
    </row>
    <row r="97" spans="20:48" s="7" customFormat="1" ht="15.6" x14ac:dyDescent="0.3">
      <c r="T97" s="1077"/>
      <c r="AV97" s="33"/>
    </row>
    <row r="98" spans="20:48" ht="15.6" x14ac:dyDescent="0.3">
      <c r="AV98" s="33"/>
    </row>
    <row r="99" spans="20:48" ht="15.6" x14ac:dyDescent="0.3">
      <c r="AV99" s="33"/>
    </row>
    <row r="100" spans="20:48" ht="15.6" x14ac:dyDescent="0.3">
      <c r="AV100" s="33"/>
    </row>
    <row r="101" spans="20:48" ht="15.6" x14ac:dyDescent="0.3">
      <c r="AV101" s="33"/>
    </row>
    <row r="102" spans="20:48" ht="15.6" x14ac:dyDescent="0.3">
      <c r="AV102" s="33"/>
    </row>
    <row r="103" spans="20:48" ht="15.6" x14ac:dyDescent="0.3">
      <c r="AV103" s="33"/>
    </row>
    <row r="104" spans="20:48" ht="15.6" x14ac:dyDescent="0.3">
      <c r="AV104" s="33"/>
    </row>
    <row r="105" spans="20:48" ht="15.6" x14ac:dyDescent="0.3">
      <c r="AV105" s="33"/>
    </row>
    <row r="106" spans="20:48" ht="15.6" x14ac:dyDescent="0.3">
      <c r="AV106" s="33"/>
    </row>
    <row r="107" spans="20:48" ht="15.6" x14ac:dyDescent="0.3">
      <c r="AV107" s="33"/>
    </row>
    <row r="108" spans="20:48" ht="15.6" x14ac:dyDescent="0.3">
      <c r="AV108" s="33"/>
    </row>
    <row r="109" spans="20:48" ht="15.6" x14ac:dyDescent="0.3">
      <c r="AV109" s="33"/>
    </row>
    <row r="110" spans="20:48" ht="15.6" x14ac:dyDescent="0.3">
      <c r="AV110" s="33"/>
    </row>
    <row r="111" spans="20:48" ht="15.6" x14ac:dyDescent="0.3">
      <c r="AV111" s="33"/>
    </row>
    <row r="112" spans="20:48" ht="15.6" x14ac:dyDescent="0.3">
      <c r="AV112" s="33"/>
    </row>
    <row r="113" spans="48:48" ht="15.6" x14ac:dyDescent="0.3">
      <c r="AV113" s="33"/>
    </row>
    <row r="114" spans="48:48" ht="15.6" x14ac:dyDescent="0.3">
      <c r="AV114" s="33"/>
    </row>
    <row r="115" spans="48:48" ht="15.6" x14ac:dyDescent="0.3">
      <c r="AV115" s="33"/>
    </row>
    <row r="116" spans="48:48" ht="15.6" x14ac:dyDescent="0.3">
      <c r="AV116" s="33"/>
    </row>
    <row r="117" spans="48:48" ht="15.6" x14ac:dyDescent="0.3">
      <c r="AV117" s="33"/>
    </row>
    <row r="118" spans="48:48" ht="15.6" x14ac:dyDescent="0.3">
      <c r="AV118" s="33"/>
    </row>
    <row r="119" spans="48:48" ht="15.6" x14ac:dyDescent="0.3">
      <c r="AV119" s="33"/>
    </row>
    <row r="120" spans="48:48" ht="15.6" x14ac:dyDescent="0.3">
      <c r="AV120" s="33"/>
    </row>
    <row r="121" spans="48:48" ht="15.6" x14ac:dyDescent="0.3">
      <c r="AV121" s="33"/>
    </row>
    <row r="122" spans="48:48" ht="15.6" x14ac:dyDescent="0.3">
      <c r="AV122" s="33"/>
    </row>
    <row r="123" spans="48:48" ht="15.6" x14ac:dyDescent="0.3">
      <c r="AV123" s="33"/>
    </row>
    <row r="124" spans="48:48" ht="15.6" x14ac:dyDescent="0.3">
      <c r="AV124" s="33"/>
    </row>
    <row r="125" spans="48:48" ht="15.6" x14ac:dyDescent="0.3">
      <c r="AV125" s="33"/>
    </row>
    <row r="126" spans="48:48" ht="15.6" x14ac:dyDescent="0.3">
      <c r="AV126" s="33"/>
    </row>
    <row r="127" spans="48:48" ht="15.6" x14ac:dyDescent="0.3">
      <c r="AV127" s="33"/>
    </row>
    <row r="128" spans="48:48" ht="15.6" x14ac:dyDescent="0.3">
      <c r="AV128" s="33"/>
    </row>
    <row r="129" spans="48:48" ht="15.6" x14ac:dyDescent="0.3">
      <c r="AV129" s="33"/>
    </row>
    <row r="130" spans="48:48" ht="15.6" x14ac:dyDescent="0.3">
      <c r="AV130" s="33"/>
    </row>
    <row r="131" spans="48:48" ht="15.6" x14ac:dyDescent="0.3">
      <c r="AV131" s="33"/>
    </row>
    <row r="132" spans="48:48" ht="15.6" x14ac:dyDescent="0.3">
      <c r="AV132" s="33"/>
    </row>
    <row r="133" spans="48:48" ht="15.6" x14ac:dyDescent="0.3">
      <c r="AV133" s="33"/>
    </row>
    <row r="134" spans="48:48" ht="15.6" x14ac:dyDescent="0.3">
      <c r="AV134" s="33"/>
    </row>
    <row r="135" spans="48:48" ht="15.6" x14ac:dyDescent="0.3">
      <c r="AV135" s="33"/>
    </row>
    <row r="136" spans="48:48" ht="15.6" x14ac:dyDescent="0.3">
      <c r="AV136" s="33"/>
    </row>
    <row r="137" spans="48:48" ht="15.6" x14ac:dyDescent="0.3">
      <c r="AV137" s="33"/>
    </row>
    <row r="138" spans="48:48" ht="15.6" x14ac:dyDescent="0.3">
      <c r="AV138" s="33"/>
    </row>
    <row r="139" spans="48:48" ht="15.6" x14ac:dyDescent="0.3">
      <c r="AV139" s="33"/>
    </row>
    <row r="140" spans="48:48" ht="15.6" x14ac:dyDescent="0.3">
      <c r="AV140" s="33"/>
    </row>
    <row r="141" spans="48:48" ht="15.6" x14ac:dyDescent="0.3">
      <c r="AV141" s="33"/>
    </row>
    <row r="142" spans="48:48" ht="15.6" x14ac:dyDescent="0.3">
      <c r="AV142" s="33"/>
    </row>
    <row r="143" spans="48:48" ht="15.6" x14ac:dyDescent="0.3">
      <c r="AV143" s="33"/>
    </row>
    <row r="144" spans="48:48" ht="15.6" x14ac:dyDescent="0.3">
      <c r="AV144" s="33"/>
    </row>
    <row r="145" spans="48:48" ht="15.6" x14ac:dyDescent="0.3">
      <c r="AV145" s="33"/>
    </row>
    <row r="146" spans="48:48" ht="15.6" x14ac:dyDescent="0.3">
      <c r="AV146" s="33"/>
    </row>
    <row r="147" spans="48:48" ht="15.6" x14ac:dyDescent="0.3">
      <c r="AV147" s="33"/>
    </row>
  </sheetData>
  <sheetProtection formatCells="0" formatColumns="0" formatRows="0" insertColumns="0" insertRows="0" insertHyperlinks="0" deleteColumns="0" deleteRows="0" sort="0" autoFilter="0" pivotTables="0"/>
  <protectedRanges>
    <protectedRange sqref="C62:E94" name="Prácticas"/>
    <protectedRange sqref="C34:D54" name="UD"/>
    <protectedRange sqref="H34:S54" name="RA"/>
    <protectedRange sqref="D7:D9" name="Información"/>
    <protectedRange sqref="C16:D27" name="RAprendizaje"/>
    <protectedRange sqref="H7:H10" name="CPA_2_1"/>
    <protectedRange sqref="R8 O7 L7" name="Horas_2"/>
  </protectedRanges>
  <customSheetViews>
    <customSheetView guid="{BEE73D72-37A1-4B7A-85D2-C39E053A4017}" scale="55" showPageBreaks="1" zeroValues="0" printArea="1">
      <pane ySplit="1" topLeftCell="A8" activePane="bottomLeft" state="frozen"/>
      <selection pane="bottomLeft" activeCell="AX25" sqref="AX25"/>
      <rowBreaks count="2" manualBreakCount="2">
        <brk id="29" max="45" man="1"/>
        <brk id="57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1"/>
    </customSheetView>
    <customSheetView guid="{81A05B8F-D3E4-4CEB-B8F2-C34A1F15FDB9}" scale="55" zeroValues="0" printArea="1">
      <pane ySplit="1" topLeftCell="A8" activePane="bottomLeft" state="frozen"/>
      <selection pane="bottomLeft" activeCell="AX25" sqref="AX25"/>
      <rowBreaks count="2" manualBreakCount="2">
        <brk id="29" max="45" man="1"/>
        <brk id="57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2"/>
    </customSheetView>
    <customSheetView guid="{079ED3F8-D23E-413F-B7FA-1C4A43A9CEAB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3"/>
    </customSheetView>
    <customSheetView guid="{BBFF7A3C-7579-4BB0-AAA9-66CE11DC0C92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4"/>
    </customSheetView>
    <customSheetView guid="{386B8780-5573-460C-A780-6C59BEFB4DBF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5"/>
    </customSheetView>
    <customSheetView guid="{748451F5-A0F3-420F-846E-9497A6A574EF}" scale="70" zeroValues="0" printArea="1">
      <pane ySplit="1" topLeftCell="A4" activePane="bottomLeft" state="frozen"/>
      <selection pane="bottomLeft" activeCell="N25" sqref="N25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6"/>
    </customSheetView>
  </customSheetViews>
  <mergeCells count="1">
    <mergeCell ref="Q1:S1"/>
  </mergeCells>
  <phoneticPr fontId="6" type="noConversion"/>
  <conditionalFormatting sqref="C28">
    <cfRule type="cellIs" dxfId="103" priority="2" operator="equal">
      <formula>1</formula>
    </cfRule>
  </conditionalFormatting>
  <conditionalFormatting sqref="H11">
    <cfRule type="cellIs" dxfId="99" priority="1" operator="equal">
      <formula>1</formula>
    </cfRule>
  </conditionalFormatting>
  <conditionalFormatting sqref="H34:S54">
    <cfRule type="cellIs" dxfId="98" priority="68" operator="equal">
      <formula>"X"</formula>
    </cfRule>
  </conditionalFormatting>
  <dataValidations disablePrompts="1" count="2">
    <dataValidation type="whole" allowBlank="1" showInputMessage="1" showErrorMessage="1" sqref="C55" xr:uid="{00000000-0002-0000-0000-000000000000}">
      <formula1>0</formula1>
      <formula2>(HMReal-SUM(#REF!))</formula2>
    </dataValidation>
    <dataValidation type="list" allowBlank="1" showInputMessage="1" showErrorMessage="1" sqref="E62:E94" xr:uid="{00000000-0002-0000-0000-000001000000}">
      <formula1>$B$35:$B$54</formula1>
    </dataValidation>
  </dataValidations>
  <pageMargins left="0.78740157480314965" right="0.39370078740157483" top="0.59055118110236227" bottom="0.39370078740157483" header="0.31496062992125984" footer="0.31496062992125984"/>
  <pageSetup paperSize="9" scale="56" fitToWidth="0" fitToHeight="0" orientation="landscape" r:id="rId7"/>
  <rowBreaks count="2" manualBreakCount="2">
    <brk id="29" max="19" man="1"/>
    <brk id="57" max="19" man="1"/>
  </rowBreaks>
  <colBreaks count="1" manualBreakCount="1">
    <brk id="47" max="84" man="1"/>
  </colBreaks>
  <ignoredErrors>
    <ignoredError sqref="D55 D28 B5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81" operator="between" id="{26254BC7-F52D-431B-B5BB-0F6B7FDF117C}">
            <xm:f>Fchs!$K$5</xm:f>
            <xm:f>Fchs!$K$6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4982" operator="between" id="{263DE1F7-EE6C-428C-9E9D-257E65E8D8B7}">
            <xm:f>Fchs!$H$5</xm:f>
            <xm:f>Fchs!$H$6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4983" operator="between" id="{6935F326-47AF-4A2E-A07B-EB54262F159E}">
            <xm:f>Fchs!$E$5</xm:f>
            <xm:f>Fchs!$E$6</xm:f>
            <x14:dxf>
              <fill>
                <patternFill>
                  <bgColor theme="7" tint="0.59996337778862885"/>
                </patternFill>
              </fill>
            </x14:dxf>
          </x14:cfRule>
          <xm:sqref>F34:F54 F62:F94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showInputMessage="1" showErrorMessage="1" xr:uid="{0D4302F1-CFA7-4F9C-96C7-6B9AE5B3D06E}">
          <x14:formula1>
            <xm:f>Info!$U$3:$U$4</xm:f>
          </x14:formula1>
          <xm:sqref>H34:S54</xm:sqref>
        </x14:dataValidation>
        <x14:dataValidation type="list" allowBlank="1" showInputMessage="1" showErrorMessage="1" promptTitle="-Seleccionar Dpto-" xr:uid="{00000000-0002-0000-0000-000003000000}">
          <x14:formula1>
            <xm:f>Info!$B$3:$B$24</xm:f>
          </x14:formula1>
          <xm:sqref>D8:D9</xm:sqref>
        </x14:dataValidation>
        <x14:dataValidation type="list" allowBlank="1" showInputMessage="1" showErrorMessage="1" xr:uid="{00000000-0002-0000-0000-000002000000}">
          <x14:formula1>
            <xm:f>Info!$F$3:$F$50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theme="8" tint="0.79998168889431442"/>
    <pageSetUpPr autoPageBreaks="0" fitToPage="1"/>
  </sheetPr>
  <dimension ref="A1:AR199"/>
  <sheetViews>
    <sheetView showGridLines="0" showZeros="0" view="pageBreakPreview" topLeftCell="C1" zoomScale="60" zoomScaleNormal="55" workbookViewId="0">
      <pane ySplit="2" topLeftCell="A5" activePane="bottomLeft" state="frozen"/>
      <selection pane="bottomLeft" activeCell="N12" sqref="N12"/>
    </sheetView>
  </sheetViews>
  <sheetFormatPr baseColWidth="10" defaultColWidth="11.5546875" defaultRowHeight="13.8" x14ac:dyDescent="0.25"/>
  <cols>
    <col min="1" max="1" width="2.77734375" style="17" customWidth="1"/>
    <col min="2" max="2" width="16.33203125" style="54" customWidth="1"/>
    <col min="3" max="3" width="16.33203125" style="55" customWidth="1"/>
    <col min="4" max="5" width="16.33203125" style="17" customWidth="1"/>
    <col min="6" max="6" width="16.33203125" style="55" customWidth="1"/>
    <col min="7" max="8" width="16.33203125" style="17" customWidth="1"/>
    <col min="9" max="9" width="16.33203125" style="55" customWidth="1"/>
    <col min="10" max="11" width="16.33203125" style="17" customWidth="1"/>
    <col min="12" max="12" width="16.33203125" style="55" customWidth="1"/>
    <col min="13" max="14" width="16.33203125" style="17" customWidth="1"/>
    <col min="15" max="15" width="16.33203125" style="54" customWidth="1"/>
    <col min="16" max="16" width="2.77734375" style="17" customWidth="1"/>
    <col min="17" max="17" width="12.5546875" style="1113" customWidth="1"/>
    <col min="18" max="18" width="15.44140625" style="17" customWidth="1"/>
    <col min="19" max="16384" width="11.5546875" style="17"/>
  </cols>
  <sheetData>
    <row r="1" spans="1:44" s="131" customFormat="1" ht="24" customHeight="1" thickBot="1" x14ac:dyDescent="0.5">
      <c r="A1" s="489" t="str">
        <f>"Fechas. Horario y calendario curso: "&amp;AñoInicioCurso&amp;" - "&amp;AñoInicioCurso+1</f>
        <v>Fechas. Horario y calendario curso: 2025 - 2026</v>
      </c>
      <c r="B1" s="485"/>
      <c r="C1" s="490"/>
      <c r="D1" s="491"/>
      <c r="E1" s="492"/>
      <c r="F1" s="490"/>
      <c r="G1" s="491"/>
      <c r="H1" s="492"/>
      <c r="I1" s="490"/>
      <c r="J1" s="491"/>
      <c r="K1" s="492"/>
      <c r="L1" s="490"/>
      <c r="M1" s="490"/>
      <c r="N1" s="1205">
        <f ca="1">FechaHoy</f>
        <v>46099</v>
      </c>
      <c r="O1" s="1205"/>
      <c r="P1" s="489"/>
      <c r="Q1" s="1109"/>
    </row>
    <row r="2" spans="1:44" s="1" customFormat="1" ht="18" customHeight="1" x14ac:dyDescent="0.45">
      <c r="A2" s="474"/>
      <c r="B2" s="667" t="str">
        <f>IModulo&amp;" ("&amp;IProfesor&amp;")"</f>
        <v>FPM-it-1-0237 Infra. comunes de teleco en viviendas y edificios (Rafa Sanz)</v>
      </c>
      <c r="C2" s="475"/>
      <c r="D2" s="475"/>
      <c r="E2" s="475"/>
      <c r="F2" s="475"/>
      <c r="G2" s="667"/>
      <c r="H2" s="19"/>
      <c r="J2" s="787"/>
      <c r="K2" s="1071"/>
      <c r="M2" s="475"/>
      <c r="N2" s="475"/>
      <c r="O2" s="967" t="s">
        <v>337</v>
      </c>
      <c r="P2" s="474"/>
      <c r="Q2" s="1110"/>
      <c r="R2" s="455"/>
    </row>
    <row r="3" spans="1:44" s="1" customFormat="1" ht="21" thickBot="1" x14ac:dyDescent="0.4">
      <c r="B3" s="300" t="s">
        <v>209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1077"/>
      <c r="Q3" s="1111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R3" s="23"/>
    </row>
    <row r="4" spans="1:44" s="20" customFormat="1" ht="15.6" x14ac:dyDescent="0.3">
      <c r="D4" s="1187"/>
      <c r="E4" s="1153" t="s">
        <v>296</v>
      </c>
      <c r="F4" s="1187"/>
      <c r="G4" s="1187"/>
      <c r="H4" s="1154" t="s">
        <v>295</v>
      </c>
      <c r="I4" s="1187"/>
      <c r="J4" s="1187"/>
      <c r="K4" s="1155" t="s">
        <v>294</v>
      </c>
      <c r="L4" s="1187"/>
      <c r="M4" s="1189"/>
      <c r="N4" s="1189" t="s">
        <v>297</v>
      </c>
      <c r="Q4" s="1111"/>
    </row>
    <row r="5" spans="1:44" s="13" customFormat="1" ht="15.6" x14ac:dyDescent="0.3">
      <c r="A5" s="616"/>
      <c r="B5" s="885" t="s">
        <v>348</v>
      </c>
      <c r="C5" s="1146">
        <v>2025</v>
      </c>
      <c r="D5" s="1147" t="s">
        <v>298</v>
      </c>
      <c r="E5" s="1148">
        <v>45915</v>
      </c>
      <c r="F5" s="1188" t="str">
        <f>MID(Info!$AZ$3,(WEEKDAY(E5,2)-1)*3+1,3)</f>
        <v>Lun</v>
      </c>
      <c r="G5" s="1149" t="s">
        <v>299</v>
      </c>
      <c r="H5" s="1148">
        <v>45992</v>
      </c>
      <c r="I5" s="1188" t="str">
        <f>MID(Info!$AZ$3,(WEEKDAY(H5,2)-1)*3+1,3)</f>
        <v>Lun</v>
      </c>
      <c r="J5" s="1150" t="s">
        <v>300</v>
      </c>
      <c r="K5" s="1148">
        <v>46097</v>
      </c>
      <c r="L5" s="1188" t="str">
        <f>MID(Info!$AZ$3,(WEEKDAY(K5,2)-1)*3+1,3)</f>
        <v>Lun</v>
      </c>
      <c r="M5" s="1190" t="s">
        <v>486</v>
      </c>
      <c r="N5" s="1191">
        <v>46174</v>
      </c>
      <c r="O5" s="609" t="str">
        <f>MID(Info!$AZ$3,(WEEKDAY(N5,2)-1)*3+1,3)</f>
        <v>Lun</v>
      </c>
      <c r="P5" s="616"/>
      <c r="Q5" s="1111"/>
    </row>
    <row r="6" spans="1:44" s="13" customFormat="1" ht="15.6" x14ac:dyDescent="0.3">
      <c r="A6" s="616"/>
      <c r="B6" s="76" t="s">
        <v>349</v>
      </c>
      <c r="C6" s="609">
        <f>AñoInicioCurso+1</f>
        <v>2026</v>
      </c>
      <c r="D6" s="1147" t="s">
        <v>301</v>
      </c>
      <c r="E6" s="1148">
        <v>45989</v>
      </c>
      <c r="F6" s="1188" t="str">
        <f>MID(Info!$AZ$3,(WEEKDAY(E6,2)-1)*3+1,3)</f>
        <v>Vie</v>
      </c>
      <c r="G6" s="1149" t="s">
        <v>302</v>
      </c>
      <c r="H6" s="1148">
        <v>46094</v>
      </c>
      <c r="I6" s="1188" t="str">
        <f>MID(Info!$AZ$3,(WEEKDAY(H6,2)-1)*3+1,3)</f>
        <v>Vie</v>
      </c>
      <c r="J6" s="1150" t="s">
        <v>303</v>
      </c>
      <c r="K6" s="1148">
        <v>46171</v>
      </c>
      <c r="L6" s="1188" t="str">
        <f>MID(Info!$AZ$3,(WEEKDAY(K6,2)-1)*3+1,3)</f>
        <v>Vie</v>
      </c>
      <c r="M6" s="1190" t="s">
        <v>172</v>
      </c>
      <c r="N6" s="1191">
        <v>46195</v>
      </c>
      <c r="O6" s="609" t="str">
        <f>MID(Info!$AZ$3,(WEEKDAY(N6,2)-1)*3+1,3)</f>
        <v>Lun</v>
      </c>
      <c r="P6" s="616"/>
      <c r="Q6" s="1111"/>
    </row>
    <row r="7" spans="1:44" s="13" customFormat="1" ht="15.6" x14ac:dyDescent="0.3">
      <c r="A7" s="1104"/>
      <c r="B7" s="1173" t="s">
        <v>293</v>
      </c>
      <c r="C7" s="1174">
        <f>SUM(D7:N7)</f>
        <v>271</v>
      </c>
      <c r="D7" s="1175"/>
      <c r="E7" s="1176">
        <f>_xlfn.DAYS(FechaFin1Tri,FechaInicio1Tri)</f>
        <v>74</v>
      </c>
      <c r="F7" s="1177"/>
      <c r="G7" s="1175"/>
      <c r="H7" s="1171">
        <f>_xlfn.DAYS(FechaFin2Tri,FechaInicio2Tri)</f>
        <v>102</v>
      </c>
      <c r="I7" s="1177"/>
      <c r="J7" s="1175"/>
      <c r="K7" s="1103">
        <f>_xlfn.DAYS(FechaFin3Tri,FechaInicio3Tri)</f>
        <v>74</v>
      </c>
      <c r="L7" s="1177"/>
      <c r="M7" s="1175"/>
      <c r="N7" s="1178">
        <f>_xlfn.DAYS(FechaFinEEva,FechaInicioEEva)</f>
        <v>21</v>
      </c>
      <c r="O7" s="1174" t="s">
        <v>293</v>
      </c>
      <c r="P7" s="1104"/>
      <c r="Q7" s="1111"/>
    </row>
    <row r="8" spans="1:44" s="13" customFormat="1" ht="15.6" x14ac:dyDescent="0.3">
      <c r="N8" s="15"/>
      <c r="O8" s="286"/>
      <c r="Q8" s="1111"/>
    </row>
    <row r="9" spans="1:44" s="1" customFormat="1" ht="21" thickBot="1" x14ac:dyDescent="0.4">
      <c r="B9" s="300" t="s">
        <v>533</v>
      </c>
      <c r="C9" s="301"/>
      <c r="D9" s="301"/>
      <c r="E9" s="301"/>
      <c r="F9" s="301"/>
      <c r="G9" s="301"/>
      <c r="H9" s="7"/>
      <c r="I9" s="1170" t="s">
        <v>534</v>
      </c>
      <c r="J9" s="301"/>
      <c r="K9" s="301"/>
      <c r="L9" s="301"/>
      <c r="M9" s="301"/>
      <c r="N9" s="301"/>
      <c r="O9" s="301"/>
      <c r="P9" s="1077"/>
      <c r="Q9" s="1111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R9" s="23"/>
    </row>
    <row r="10" spans="1:44" s="13" customFormat="1" ht="15.6" x14ac:dyDescent="0.3">
      <c r="B10" s="578" t="s">
        <v>524</v>
      </c>
      <c r="D10" s="7"/>
      <c r="F10"/>
      <c r="G10" s="7"/>
      <c r="H10" s="7"/>
      <c r="I10" s="7"/>
      <c r="J10" s="155">
        <v>1</v>
      </c>
      <c r="K10" s="155">
        <v>2</v>
      </c>
      <c r="L10" s="155">
        <v>3</v>
      </c>
      <c r="M10" s="155">
        <v>4</v>
      </c>
      <c r="N10" s="155">
        <v>5</v>
      </c>
      <c r="O10" s="7"/>
      <c r="Q10" s="1111"/>
    </row>
    <row r="11" spans="1:44" s="13" customFormat="1" ht="15.6" x14ac:dyDescent="0.3">
      <c r="A11" s="7"/>
      <c r="C11"/>
      <c r="D11"/>
      <c r="E11" s="12" t="s">
        <v>353</v>
      </c>
      <c r="F11" s="6"/>
      <c r="G11" s="6"/>
      <c r="I11" s="694" t="s">
        <v>309</v>
      </c>
      <c r="J11" s="769" t="s">
        <v>0</v>
      </c>
      <c r="K11" s="769" t="s">
        <v>1</v>
      </c>
      <c r="L11" s="769" t="s">
        <v>27</v>
      </c>
      <c r="M11" s="769" t="s">
        <v>2</v>
      </c>
      <c r="N11" s="769" t="s">
        <v>3</v>
      </c>
      <c r="O11" s="1192" t="s">
        <v>131</v>
      </c>
      <c r="Q11" s="1111"/>
    </row>
    <row r="12" spans="1:44" s="13" customFormat="1" ht="15.6" x14ac:dyDescent="0.3">
      <c r="A12" s="896"/>
      <c r="B12" s="266" t="s">
        <v>252</v>
      </c>
      <c r="C12" s="266" t="s">
        <v>282</v>
      </c>
      <c r="D12" s="694" t="s">
        <v>188</v>
      </c>
      <c r="E12" s="790">
        <v>2</v>
      </c>
      <c r="F12" s="790">
        <v>3</v>
      </c>
      <c r="G12" s="694" t="s">
        <v>274</v>
      </c>
      <c r="I12" s="1198" t="str">
        <f>IF(NTri&gt;2,"3 Tri.","2 Tri.")</f>
        <v>3 Tri.</v>
      </c>
      <c r="J12" s="770">
        <v>1</v>
      </c>
      <c r="K12" s="337">
        <v>1</v>
      </c>
      <c r="L12" s="337">
        <v>1</v>
      </c>
      <c r="M12" s="337">
        <v>1</v>
      </c>
      <c r="N12" s="337">
        <v>1</v>
      </c>
      <c r="O12" s="1193">
        <f>SUM(J12:N12)</f>
        <v>5</v>
      </c>
      <c r="Q12" s="1111"/>
    </row>
    <row r="13" spans="1:44" s="13" customFormat="1" ht="15.6" x14ac:dyDescent="0.3">
      <c r="A13" s="896">
        <v>1</v>
      </c>
      <c r="B13" s="1067">
        <f>FechaInicio1Tri</f>
        <v>45915</v>
      </c>
      <c r="C13" s="762">
        <f>FechaFin1Tri</f>
        <v>45989</v>
      </c>
      <c r="D13" s="738" t="s">
        <v>180</v>
      </c>
      <c r="E13" s="766">
        <v>0.4</v>
      </c>
      <c r="F13" s="766">
        <v>0.25</v>
      </c>
      <c r="G13" s="752">
        <f>_xlfn.XLOOKUP(NTri,$E$12:$F$12,$E13:$F13)</f>
        <v>0.25</v>
      </c>
      <c r="I13" s="394" t="s">
        <v>43</v>
      </c>
      <c r="J13" s="780">
        <f ca="1">SUMIFS(Flts!$AS$14:$AS$349,Flts!$B$14:$B$349,J$11,Flts!$AP$14:$AP$349,"X")</f>
        <v>9</v>
      </c>
      <c r="K13" s="780">
        <f ca="1">SUMIFS(Flts!$AS$14:$AS$349,Flts!$B$14:$B$349,K$11,Flts!$AP$14:$AP$349,"X")</f>
        <v>11</v>
      </c>
      <c r="L13" s="780">
        <f ca="1">SUMIFS(Flts!$AS$14:$AS$349,Flts!$B$14:$B$349,L$11,Flts!$AP$14:$AP$349,"X")</f>
        <v>11</v>
      </c>
      <c r="M13" s="780">
        <f ca="1">SUMIFS(Flts!$AS$14:$AS$349,Flts!$B$14:$B$349,M$11,Flts!$AP$14:$AP$349,"X")</f>
        <v>11</v>
      </c>
      <c r="N13" s="780">
        <f ca="1">SUMIFS(Flts!$AS$14:$AS$349,Flts!$B$14:$B$349,N$11,Flts!$AP$14:$AP$349,"X")</f>
        <v>10</v>
      </c>
      <c r="O13" s="1194">
        <f ca="1">SUM(J13:N13)</f>
        <v>52</v>
      </c>
      <c r="Q13" s="1111"/>
    </row>
    <row r="14" spans="1:44" s="13" customFormat="1" ht="15.6" x14ac:dyDescent="0.3">
      <c r="A14" s="896">
        <v>2</v>
      </c>
      <c r="B14" s="764">
        <f>FechaInicio2Tri</f>
        <v>45992</v>
      </c>
      <c r="C14" s="764">
        <f>FechaFin2Tri</f>
        <v>46094</v>
      </c>
      <c r="D14" s="739" t="s">
        <v>181</v>
      </c>
      <c r="E14" s="766">
        <v>0.6</v>
      </c>
      <c r="F14" s="766">
        <v>0.35</v>
      </c>
      <c r="G14" s="753">
        <f>_xlfn.XLOOKUP(NTri,$E$12:$F$12,$E14:$F14)</f>
        <v>0.35</v>
      </c>
      <c r="I14" s="393" t="str">
        <f>IF(NTri&gt;2,"2ª Ev.","FinalOrd.")</f>
        <v>2ª Ev.</v>
      </c>
      <c r="J14" s="772">
        <f ca="1">SUMIFS(Flts!$AS$14:$AS$349,Flts!$B$14:$B$349,J$11,Flts!$AQ$14:$AQ$349,"X")</f>
        <v>7</v>
      </c>
      <c r="K14" s="772">
        <f ca="1">SUMIFS(Flts!$AS$14:$AS$349,Flts!$B$14:$B$349,K$11,Flts!$AQ$14:$AQ$349,"X")</f>
        <v>8</v>
      </c>
      <c r="L14" s="772">
        <f ca="1">SUMIFS(Flts!$AS$14:$AS$349,Flts!$B$14:$B$349,L$11,Flts!$AQ$14:$AQ$349,"X")</f>
        <v>9</v>
      </c>
      <c r="M14" s="772">
        <f ca="1">SUMIFS(Flts!$AS$14:$AS$349,Flts!$B$14:$B$349,M$11,Flts!$AQ$14:$AQ$349,"X")</f>
        <v>8</v>
      </c>
      <c r="N14" s="772">
        <f ca="1">SUMIFS(Flts!$AS$14:$AS$349,Flts!$B$14:$B$349,N$11,Flts!$AQ$14:$AQ$349,"X")</f>
        <v>8</v>
      </c>
      <c r="O14" s="1195">
        <f ca="1">SUM(J14:N14)</f>
        <v>40</v>
      </c>
      <c r="Q14" s="1111"/>
    </row>
    <row r="15" spans="1:44" s="13" customFormat="1" ht="15.6" x14ac:dyDescent="0.3">
      <c r="A15" s="896">
        <v>3</v>
      </c>
      <c r="B15" s="765">
        <f>IF(NTri=3,FechaInicio3Tri,"")</f>
        <v>46097</v>
      </c>
      <c r="C15" s="765">
        <f>IF(NTri=3,FechaFin3Tri,"")</f>
        <v>46171</v>
      </c>
      <c r="D15" s="763" t="str">
        <f>IF(NTri=3,"3º Tri.","")</f>
        <v>3º Tri.</v>
      </c>
      <c r="E15" s="791">
        <v>0</v>
      </c>
      <c r="F15" s="767">
        <v>0.4</v>
      </c>
      <c r="G15" s="771">
        <f>_xlfn.XLOOKUP(NTri,$E$12:$F$12,$E15:$F15)</f>
        <v>0.4</v>
      </c>
      <c r="I15" s="1199" t="str">
        <f>IF(NTri&gt;2,"FinalOrd.","")</f>
        <v>FinalOrd.</v>
      </c>
      <c r="J15" s="773">
        <f ca="1">IF(NTri&gt;2,(SUMIFS(Flts!$AS$14:$AS$349,Flts!$B$14:$B$349,J$11,Flts!$AR$14:$AR$349,"X")),0)</f>
        <v>9</v>
      </c>
      <c r="K15" s="773">
        <f ca="1">IF(NTri&gt;2,(SUMIFS(Flts!$AS$14:$AS$349,Flts!$B$14:$B$349,K$11,Flts!$AR$14:$AR$349,"X")),0)</f>
        <v>10</v>
      </c>
      <c r="L15" s="773">
        <f ca="1">IF(NTri&gt;2,(SUMIFS(Flts!$AS$14:$AS$349,Flts!$B$14:$B$349,L$11,Flts!$AR$14:$AR$349,"X")),0)</f>
        <v>10</v>
      </c>
      <c r="M15" s="773">
        <f ca="1">IF(NTri&gt;2,(SUMIFS(Flts!$AS$14:$AS$349,Flts!$B$14:$B$349,M$11,Flts!$AR$14:$AR$349,"X")),0)</f>
        <v>9</v>
      </c>
      <c r="N15" s="773">
        <f ca="1">IF(NTri&gt;2,(SUMIFS(Flts!$AS$14:$AS$349,Flts!$B$14:$B$349,N$11,Flts!$AR$14:$AR$349,"X")),0)</f>
        <v>8</v>
      </c>
      <c r="O15" s="1196">
        <f ca="1">IF(NTri=3,SUM(J15:N15),"")</f>
        <v>46</v>
      </c>
      <c r="Q15" s="1111"/>
    </row>
    <row r="16" spans="1:44" s="13" customFormat="1" ht="15.6" x14ac:dyDescent="0.3">
      <c r="A16" s="286"/>
      <c r="B16" s="7"/>
      <c r="C16" s="7"/>
      <c r="D16" s="7"/>
      <c r="E16" s="779">
        <f t="shared" ref="E16:F16" si="0">SUM(E13:E15)</f>
        <v>1</v>
      </c>
      <c r="F16" s="779">
        <f t="shared" si="0"/>
        <v>1</v>
      </c>
      <c r="G16" s="779">
        <f>SUM(G13:G15)</f>
        <v>1</v>
      </c>
      <c r="J16" s="774">
        <f t="shared" ref="J16:N16" ca="1" si="1">SUM(J13:J15)</f>
        <v>25</v>
      </c>
      <c r="K16" s="774">
        <f t="shared" ca="1" si="1"/>
        <v>29</v>
      </c>
      <c r="L16" s="774">
        <f t="shared" ca="1" si="1"/>
        <v>30</v>
      </c>
      <c r="M16" s="774">
        <f t="shared" ca="1" si="1"/>
        <v>28</v>
      </c>
      <c r="N16" s="774">
        <f t="shared" ca="1" si="1"/>
        <v>26</v>
      </c>
      <c r="O16" s="1197">
        <f ca="1">SUM(O13:O15)</f>
        <v>138</v>
      </c>
      <c r="Q16" s="1111"/>
    </row>
    <row r="17" spans="2:44" s="13" customFormat="1" ht="15.6" x14ac:dyDescent="0.3">
      <c r="B17" s="286"/>
      <c r="C17" s="265"/>
      <c r="D17" s="133"/>
      <c r="E17" s="15"/>
      <c r="F17" s="15"/>
      <c r="G17" s="15"/>
      <c r="H17" s="1073"/>
      <c r="I17" s="15"/>
      <c r="J17" s="15"/>
      <c r="K17" s="265"/>
      <c r="L17" s="1074"/>
      <c r="M17" s="265"/>
      <c r="N17" s="7"/>
      <c r="O17" s="1172"/>
      <c r="Q17" s="1111"/>
    </row>
    <row r="18" spans="2:44" s="1" customFormat="1" ht="21" thickBot="1" x14ac:dyDescent="0.4">
      <c r="B18" s="300" t="s">
        <v>532</v>
      </c>
      <c r="C18" s="301"/>
      <c r="D18" s="301"/>
      <c r="E18" s="301"/>
      <c r="F18" s="301"/>
      <c r="G18" s="301"/>
      <c r="H18" s="1073"/>
      <c r="I18" s="1170" t="s">
        <v>158</v>
      </c>
      <c r="J18" s="301"/>
      <c r="K18" s="301"/>
      <c r="L18" s="301"/>
      <c r="M18" s="301"/>
      <c r="N18" s="301"/>
      <c r="O18" s="301"/>
      <c r="P18" s="1077"/>
      <c r="Q18" s="1111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R18" s="23"/>
    </row>
    <row r="19" spans="2:44" s="13" customFormat="1" ht="15.6" x14ac:dyDescent="0.3">
      <c r="B19" s="1165"/>
      <c r="C19" s="1163"/>
      <c r="D19" s="1163"/>
      <c r="E19" s="1163"/>
      <c r="F19" s="1163"/>
      <c r="G19" s="1160"/>
      <c r="H19" s="1161"/>
      <c r="I19" s="1165"/>
      <c r="J19" s="1163"/>
      <c r="K19" s="1163"/>
      <c r="L19" s="1163"/>
      <c r="M19" s="1163"/>
      <c r="N19" s="1163"/>
      <c r="O19" s="1163"/>
      <c r="P19" s="1162"/>
      <c r="Q19" s="1111"/>
    </row>
    <row r="20" spans="2:44" s="13" customFormat="1" ht="15.6" x14ac:dyDescent="0.3">
      <c r="B20" s="1166" t="s">
        <v>528</v>
      </c>
      <c r="C20" s="1169" t="s">
        <v>149</v>
      </c>
      <c r="D20" s="1169"/>
      <c r="E20" s="1168" t="s">
        <v>530</v>
      </c>
      <c r="F20" s="1168" t="s">
        <v>191</v>
      </c>
      <c r="G20" s="1168" t="s">
        <v>531</v>
      </c>
      <c r="H20" s="1162"/>
      <c r="I20" s="1166" t="s">
        <v>529</v>
      </c>
      <c r="J20" s="1167" t="s">
        <v>129</v>
      </c>
      <c r="K20" s="1167"/>
      <c r="L20" s="1167"/>
      <c r="M20" s="1168" t="s">
        <v>530</v>
      </c>
      <c r="N20" s="1168" t="s">
        <v>191</v>
      </c>
      <c r="O20" s="1164" t="s">
        <v>531</v>
      </c>
      <c r="P20" s="1162"/>
      <c r="Q20" s="1111"/>
    </row>
    <row r="21" spans="2:44" s="13" customFormat="1" ht="15.6" x14ac:dyDescent="0.3">
      <c r="B21" s="1152" t="str">
        <f>CoUD00</f>
        <v>UD00</v>
      </c>
      <c r="C21" s="590" t="str">
        <f>UnDi00</f>
        <v>pw</v>
      </c>
      <c r="D21" s="383"/>
      <c r="E21" s="962">
        <f>UDs!F34</f>
        <v>45915</v>
      </c>
      <c r="F21" s="586" t="str">
        <f>UDs!G34</f>
        <v>Lun, Sep 2025</v>
      </c>
      <c r="G21" s="588">
        <f>UDs!C34</f>
        <v>1</v>
      </c>
      <c r="H21" s="1162"/>
      <c r="I21" s="386" t="str">
        <f>IF(UDs!D62&lt;&gt;"",UDs!B62&amp;" / "&amp;UDs!E62,"")</f>
        <v>Pr01 / UD01</v>
      </c>
      <c r="J21" s="590" t="str">
        <f>Pract01</f>
        <v>aasds</v>
      </c>
      <c r="K21" s="385"/>
      <c r="L21" s="385"/>
      <c r="M21" s="962">
        <f>UDs!F62</f>
        <v>45916</v>
      </c>
      <c r="N21" s="584" t="str">
        <f>UDs!G62</f>
        <v>Mar, Sep 2025</v>
      </c>
      <c r="O21" s="588">
        <f>UDs!C62</f>
        <v>4</v>
      </c>
      <c r="P21" s="1162"/>
      <c r="Q21" s="1111"/>
    </row>
    <row r="22" spans="2:44" s="13" customFormat="1" ht="15.6" x14ac:dyDescent="0.3">
      <c r="B22" s="1152" t="str">
        <f>CoUD01</f>
        <v>UD01</v>
      </c>
      <c r="C22" s="590" t="str">
        <f>UnDi01</f>
        <v>ysbu</v>
      </c>
      <c r="D22" s="386"/>
      <c r="E22" s="962">
        <f>UDs!F35</f>
        <v>45916</v>
      </c>
      <c r="F22" s="586" t="str">
        <f>UDs!G35</f>
        <v>Mar, Sep 2025</v>
      </c>
      <c r="G22" s="586">
        <f>UDs!C35</f>
        <v>34</v>
      </c>
      <c r="H22" s="1162"/>
      <c r="I22" s="386" t="str">
        <f>IF(UDs!D63&lt;&gt;"",UDs!B63&amp;" / "&amp;UDs!E63,"")</f>
        <v>Pr02 / UD02</v>
      </c>
      <c r="J22" s="590" t="str">
        <f>Pract02</f>
        <v>DSDSSDASDA</v>
      </c>
      <c r="K22" s="385"/>
      <c r="L22" s="385"/>
      <c r="M22" s="962">
        <f>UDs!F63</f>
        <v>45967</v>
      </c>
      <c r="N22" s="584" t="str">
        <f>UDs!G63</f>
        <v>Jue, Nov 2025</v>
      </c>
      <c r="O22" s="588">
        <f>UDs!C63</f>
        <v>7</v>
      </c>
      <c r="P22" s="1162"/>
      <c r="Q22" s="1111"/>
    </row>
    <row r="23" spans="2:44" s="13" customFormat="1" ht="15.6" x14ac:dyDescent="0.3">
      <c r="B23" s="803" t="str">
        <f>CoUD02</f>
        <v>UD02</v>
      </c>
      <c r="C23" s="591" t="str">
        <f>UnDi02</f>
        <v xml:space="preserve">sdfdfasdfdsa </v>
      </c>
      <c r="D23" s="388"/>
      <c r="E23" s="963">
        <f>UDs!F36</f>
        <v>45967</v>
      </c>
      <c r="F23" s="587" t="str">
        <f>UDs!G36</f>
        <v>Jue, Nov 2025</v>
      </c>
      <c r="G23" s="587">
        <f>UDs!C36</f>
        <v>44</v>
      </c>
      <c r="H23" s="1162"/>
      <c r="I23" s="388" t="str">
        <f>IF(UDs!D64&lt;&gt;"",UDs!B64&amp;" / "&amp;UDs!E64,"")</f>
        <v>Pr03 / UD02</v>
      </c>
      <c r="J23" s="591" t="str">
        <f>Pract03</f>
        <v xml:space="preserve">jkljkl </v>
      </c>
      <c r="K23" s="387"/>
      <c r="L23" s="387"/>
      <c r="M23" s="963">
        <f>UDs!F64</f>
        <v>45967</v>
      </c>
      <c r="N23" s="585" t="str">
        <f>UDs!G64</f>
        <v>Jue, Nov 2025</v>
      </c>
      <c r="O23" s="589">
        <f>UDs!C64</f>
        <v>4</v>
      </c>
      <c r="P23" s="1162"/>
      <c r="Q23" s="1111"/>
    </row>
    <row r="24" spans="2:44" s="13" customFormat="1" ht="15.6" x14ac:dyDescent="0.3">
      <c r="B24" s="1152" t="str">
        <f>CoUD03</f>
        <v/>
      </c>
      <c r="C24" s="590">
        <f>UnDi03</f>
        <v>0</v>
      </c>
      <c r="D24" s="383"/>
      <c r="E24" s="962">
        <f>UDs!F37</f>
        <v>46048</v>
      </c>
      <c r="F24" s="586" t="str">
        <f>UDs!G37</f>
        <v>Lun, Ene 2026</v>
      </c>
      <c r="G24" s="586">
        <f>UDs!C37</f>
        <v>32</v>
      </c>
      <c r="H24" s="1162"/>
      <c r="I24" s="386" t="str">
        <f>IF(UDs!D65&lt;&gt;"",UDs!B65&amp;" / "&amp;UDs!E65,"")</f>
        <v/>
      </c>
      <c r="J24" s="590">
        <f>Pract04</f>
        <v>0</v>
      </c>
      <c r="K24" s="385"/>
      <c r="L24" s="385"/>
      <c r="M24" s="962" t="str">
        <f>UDs!F65</f>
        <v/>
      </c>
      <c r="N24" s="584" t="str">
        <f>UDs!G65</f>
        <v/>
      </c>
      <c r="O24" s="588">
        <f>UDs!C65</f>
        <v>0</v>
      </c>
      <c r="P24" s="1162"/>
      <c r="Q24" s="1111"/>
    </row>
    <row r="25" spans="2:44" s="13" customFormat="1" ht="15.6" x14ac:dyDescent="0.3">
      <c r="B25" s="1152" t="str">
        <f>CoUD04</f>
        <v/>
      </c>
      <c r="C25" s="590">
        <f>UnDi04</f>
        <v>0</v>
      </c>
      <c r="D25" s="383"/>
      <c r="E25" s="962">
        <f>UDs!F38</f>
        <v>46048</v>
      </c>
      <c r="F25" s="586" t="str">
        <f>UDs!G38</f>
        <v>Lun, Ene 2026</v>
      </c>
      <c r="G25" s="586">
        <f>UDs!C38</f>
        <v>54</v>
      </c>
      <c r="H25" s="1162"/>
      <c r="I25" s="386" t="str">
        <f>IF(UDs!D66&lt;&gt;"",UDs!B66&amp;" / "&amp;UDs!E66,"")</f>
        <v/>
      </c>
      <c r="J25" s="590">
        <f>Pract05</f>
        <v>0</v>
      </c>
      <c r="K25" s="385"/>
      <c r="L25" s="385"/>
      <c r="M25" s="962" t="str">
        <f>UDs!F66</f>
        <v/>
      </c>
      <c r="N25" s="584" t="str">
        <f>UDs!G66</f>
        <v/>
      </c>
      <c r="O25" s="588">
        <f>UDs!C66</f>
        <v>0</v>
      </c>
      <c r="P25" s="1162"/>
      <c r="Q25" s="1111"/>
    </row>
    <row r="26" spans="2:44" s="13" customFormat="1" ht="15.6" x14ac:dyDescent="0.3">
      <c r="B26" s="803" t="str">
        <f>CoUD05</f>
        <v/>
      </c>
      <c r="C26" s="591">
        <f>UnDi05</f>
        <v>0</v>
      </c>
      <c r="D26" s="389"/>
      <c r="E26" s="963">
        <f>UDs!F39</f>
        <v>46048</v>
      </c>
      <c r="F26" s="587" t="str">
        <f>UDs!G39</f>
        <v>Lun, Ene 2026</v>
      </c>
      <c r="G26" s="587">
        <f>UDs!C39</f>
        <v>24</v>
      </c>
      <c r="H26" s="1162"/>
      <c r="I26" s="388" t="str">
        <f>IF(UDs!D67&lt;&gt;"",UDs!B67&amp;" / "&amp;UDs!E67,"")</f>
        <v/>
      </c>
      <c r="J26" s="591">
        <f>Pract06</f>
        <v>0</v>
      </c>
      <c r="K26" s="387"/>
      <c r="L26" s="387"/>
      <c r="M26" s="963" t="str">
        <f>UDs!F67</f>
        <v/>
      </c>
      <c r="N26" s="585" t="str">
        <f>UDs!G67</f>
        <v/>
      </c>
      <c r="O26" s="589">
        <f>UDs!C67</f>
        <v>0</v>
      </c>
      <c r="P26" s="1162"/>
      <c r="Q26" s="1111"/>
    </row>
    <row r="27" spans="2:44" s="13" customFormat="1" ht="15.6" x14ac:dyDescent="0.3">
      <c r="B27" s="1152" t="str">
        <f>CoUD06</f>
        <v/>
      </c>
      <c r="C27" s="590">
        <f>UnDi06</f>
        <v>0</v>
      </c>
      <c r="D27" s="386"/>
      <c r="E27" s="962">
        <f>UDs!F40</f>
        <v>46048</v>
      </c>
      <c r="F27" s="586" t="str">
        <f>UDs!G40</f>
        <v>Lun, Ene 2026</v>
      </c>
      <c r="G27" s="586">
        <f>UDs!C40</f>
        <v>29</v>
      </c>
      <c r="H27" s="1162"/>
      <c r="I27" s="386" t="str">
        <f>IF(UDs!D68&lt;&gt;"",UDs!B68&amp;" / "&amp;UDs!E68,"")</f>
        <v/>
      </c>
      <c r="J27" s="590">
        <f>Pract07</f>
        <v>0</v>
      </c>
      <c r="K27" s="385"/>
      <c r="L27" s="385"/>
      <c r="M27" s="962" t="str">
        <f>UDs!F68</f>
        <v/>
      </c>
      <c r="N27" s="584" t="str">
        <f>UDs!G68</f>
        <v/>
      </c>
      <c r="O27" s="588">
        <f>UDs!C68</f>
        <v>0</v>
      </c>
      <c r="P27" s="1162"/>
      <c r="Q27" s="1111"/>
    </row>
    <row r="28" spans="2:44" s="13" customFormat="1" ht="15.6" x14ac:dyDescent="0.3">
      <c r="B28" s="1152" t="str">
        <f>CoUD07</f>
        <v/>
      </c>
      <c r="C28" s="590">
        <f>UnDi07</f>
        <v>0</v>
      </c>
      <c r="D28" s="386"/>
      <c r="E28" s="962" t="str">
        <f>UDs!F41</f>
        <v/>
      </c>
      <c r="F28" s="586" t="str">
        <f>UDs!G41</f>
        <v/>
      </c>
      <c r="G28" s="586">
        <f>UDs!C41</f>
        <v>0</v>
      </c>
      <c r="H28" s="1162"/>
      <c r="I28" s="386" t="str">
        <f>IF(UDs!D69&lt;&gt;"",UDs!B69&amp;" / "&amp;UDs!E69,"")</f>
        <v/>
      </c>
      <c r="J28" s="590">
        <f>Pract08</f>
        <v>0</v>
      </c>
      <c r="K28" s="385"/>
      <c r="L28" s="385"/>
      <c r="M28" s="962" t="str">
        <f>UDs!F69</f>
        <v/>
      </c>
      <c r="N28" s="584" t="str">
        <f>UDs!G69</f>
        <v/>
      </c>
      <c r="O28" s="588">
        <f>UDs!C69</f>
        <v>0</v>
      </c>
      <c r="P28" s="1162"/>
      <c r="Q28" s="1111"/>
    </row>
    <row r="29" spans="2:44" s="13" customFormat="1" ht="15.6" x14ac:dyDescent="0.3">
      <c r="B29" s="803" t="str">
        <f>CoUD08</f>
        <v/>
      </c>
      <c r="C29" s="591">
        <f>UnDi08</f>
        <v>0</v>
      </c>
      <c r="D29" s="389"/>
      <c r="E29" s="963" t="str">
        <f>UDs!F42</f>
        <v/>
      </c>
      <c r="F29" s="587" t="str">
        <f>UDs!G42</f>
        <v/>
      </c>
      <c r="G29" s="587">
        <f>UDs!C42</f>
        <v>0</v>
      </c>
      <c r="H29" s="1162"/>
      <c r="I29" s="388" t="str">
        <f>IF(UDs!D70&lt;&gt;"",UDs!B70&amp;" / "&amp;UDs!E70,"")</f>
        <v/>
      </c>
      <c r="J29" s="591">
        <f>Pract09</f>
        <v>0</v>
      </c>
      <c r="K29" s="387"/>
      <c r="L29" s="387"/>
      <c r="M29" s="963" t="str">
        <f>UDs!F70</f>
        <v/>
      </c>
      <c r="N29" s="585" t="str">
        <f>UDs!G70</f>
        <v/>
      </c>
      <c r="O29" s="589">
        <f>UDs!C70</f>
        <v>0</v>
      </c>
      <c r="P29" s="1162"/>
      <c r="Q29" s="1111"/>
    </row>
    <row r="30" spans="2:44" s="13" customFormat="1" ht="15.6" x14ac:dyDescent="0.3">
      <c r="B30" s="1152" t="str">
        <f>CoUD09</f>
        <v/>
      </c>
      <c r="C30" s="590">
        <f>UnDi09</f>
        <v>0</v>
      </c>
      <c r="D30" s="383"/>
      <c r="E30" s="962" t="str">
        <f>UDs!F43</f>
        <v/>
      </c>
      <c r="F30" s="586" t="str">
        <f>UDs!G43</f>
        <v/>
      </c>
      <c r="G30" s="586">
        <f>UDs!C43</f>
        <v>0</v>
      </c>
      <c r="H30" s="1162"/>
      <c r="I30" s="386" t="str">
        <f>IF(UDs!D71&lt;&gt;"",UDs!B71&amp;" / "&amp;UDs!E71,"")</f>
        <v/>
      </c>
      <c r="J30" s="590">
        <f>Pract10</f>
        <v>0</v>
      </c>
      <c r="K30" s="385"/>
      <c r="L30" s="385"/>
      <c r="M30" s="962" t="str">
        <f>UDs!F71</f>
        <v/>
      </c>
      <c r="N30" s="584" t="str">
        <f>UDs!G71</f>
        <v/>
      </c>
      <c r="O30" s="588">
        <f>UDs!C71</f>
        <v>0</v>
      </c>
      <c r="P30" s="1162"/>
      <c r="Q30" s="1111"/>
    </row>
    <row r="31" spans="2:44" s="13" customFormat="1" ht="15.6" x14ac:dyDescent="0.3">
      <c r="B31" s="1152" t="str">
        <f>CoUD10</f>
        <v/>
      </c>
      <c r="C31" s="590">
        <f>UnDi10</f>
        <v>0</v>
      </c>
      <c r="D31" s="383"/>
      <c r="E31" s="962" t="str">
        <f>UDs!F44</f>
        <v/>
      </c>
      <c r="F31" s="586" t="str">
        <f>UDs!G44</f>
        <v/>
      </c>
      <c r="G31" s="586">
        <f>UDs!C44</f>
        <v>0</v>
      </c>
      <c r="H31" s="1162"/>
      <c r="I31" s="386" t="str">
        <f>IF(UDs!D72&lt;&gt;"",UDs!B72&amp;" / "&amp;UDs!E72,"")</f>
        <v/>
      </c>
      <c r="J31" s="590">
        <f>Pract11</f>
        <v>0</v>
      </c>
      <c r="K31" s="385"/>
      <c r="L31" s="385"/>
      <c r="M31" s="962" t="str">
        <f>UDs!F72</f>
        <v/>
      </c>
      <c r="N31" s="584" t="str">
        <f>UDs!G72</f>
        <v/>
      </c>
      <c r="O31" s="588">
        <f>UDs!C72</f>
        <v>0</v>
      </c>
      <c r="P31" s="1162"/>
      <c r="Q31" s="1111"/>
    </row>
    <row r="32" spans="2:44" s="13" customFormat="1" ht="15.6" x14ac:dyDescent="0.3">
      <c r="B32" s="803" t="str">
        <f>CoUD11</f>
        <v/>
      </c>
      <c r="C32" s="591">
        <f>UnDi11</f>
        <v>0</v>
      </c>
      <c r="D32" s="388"/>
      <c r="E32" s="963" t="str">
        <f>UDs!F45</f>
        <v/>
      </c>
      <c r="F32" s="587" t="str">
        <f>UDs!G45</f>
        <v/>
      </c>
      <c r="G32" s="587">
        <f>UDs!C45</f>
        <v>0</v>
      </c>
      <c r="H32" s="1162"/>
      <c r="I32" s="388" t="str">
        <f>IF(UDs!D73&lt;&gt;"",UDs!B73&amp;" / "&amp;UDs!E73,"")</f>
        <v/>
      </c>
      <c r="J32" s="591">
        <f>Pract12</f>
        <v>0</v>
      </c>
      <c r="K32" s="387"/>
      <c r="L32" s="387"/>
      <c r="M32" s="963" t="str">
        <f>UDs!F73</f>
        <v/>
      </c>
      <c r="N32" s="585" t="str">
        <f>UDs!G73</f>
        <v/>
      </c>
      <c r="O32" s="589">
        <f>UDs!C73</f>
        <v>0</v>
      </c>
      <c r="P32" s="1162"/>
      <c r="Q32" s="1111"/>
    </row>
    <row r="33" spans="2:17" s="13" customFormat="1" ht="15.6" x14ac:dyDescent="0.3">
      <c r="B33" s="1152" t="str">
        <f>CoUD12</f>
        <v/>
      </c>
      <c r="C33" s="590">
        <f>UnDi12</f>
        <v>0</v>
      </c>
      <c r="D33" s="386"/>
      <c r="E33" s="962" t="str">
        <f>UDs!F46</f>
        <v/>
      </c>
      <c r="F33" s="586" t="str">
        <f>UDs!G46</f>
        <v/>
      </c>
      <c r="G33" s="586">
        <f>UDs!C46</f>
        <v>0</v>
      </c>
      <c r="H33" s="1162"/>
      <c r="I33" s="386" t="str">
        <f>IF(UDs!D74&lt;&gt;"",UDs!B74&amp;" / "&amp;UDs!E74,"")</f>
        <v/>
      </c>
      <c r="J33" s="590">
        <f>Pract13</f>
        <v>0</v>
      </c>
      <c r="K33" s="385"/>
      <c r="L33" s="385"/>
      <c r="M33" s="962" t="str">
        <f>UDs!F74</f>
        <v/>
      </c>
      <c r="N33" s="584" t="str">
        <f>UDs!G74</f>
        <v/>
      </c>
      <c r="O33" s="588">
        <f>UDs!C74</f>
        <v>0</v>
      </c>
      <c r="P33" s="1162"/>
      <c r="Q33" s="1111"/>
    </row>
    <row r="34" spans="2:17" s="13" customFormat="1" ht="15.6" x14ac:dyDescent="0.3">
      <c r="B34" s="1152" t="str">
        <f>CoUD13</f>
        <v/>
      </c>
      <c r="C34" s="590">
        <f>UnDi13</f>
        <v>0</v>
      </c>
      <c r="D34" s="383"/>
      <c r="E34" s="962" t="str">
        <f>UDs!F47</f>
        <v/>
      </c>
      <c r="F34" s="586" t="str">
        <f>UDs!G47</f>
        <v/>
      </c>
      <c r="G34" s="586">
        <f>UDs!C47</f>
        <v>0</v>
      </c>
      <c r="H34" s="1162"/>
      <c r="I34" s="386" t="str">
        <f>IF(UDs!D75&lt;&gt;"",UDs!B75&amp;" / "&amp;UDs!E75,"")</f>
        <v/>
      </c>
      <c r="J34" s="590">
        <f>Pract14</f>
        <v>0</v>
      </c>
      <c r="K34" s="385"/>
      <c r="L34" s="385"/>
      <c r="M34" s="962" t="str">
        <f>UDs!F75</f>
        <v/>
      </c>
      <c r="N34" s="584" t="str">
        <f>UDs!G75</f>
        <v/>
      </c>
      <c r="O34" s="588">
        <f>UDs!C75</f>
        <v>0</v>
      </c>
      <c r="P34" s="1162"/>
      <c r="Q34" s="1111"/>
    </row>
    <row r="35" spans="2:17" s="13" customFormat="1" ht="15.6" x14ac:dyDescent="0.3">
      <c r="B35" s="803" t="str">
        <f>CoUD14</f>
        <v/>
      </c>
      <c r="C35" s="591">
        <f>UnDi14</f>
        <v>0</v>
      </c>
      <c r="D35" s="389"/>
      <c r="E35" s="963" t="str">
        <f>UDs!F48</f>
        <v/>
      </c>
      <c r="F35" s="587" t="str">
        <f>UDs!G48</f>
        <v/>
      </c>
      <c r="G35" s="587">
        <f>UDs!C48</f>
        <v>0</v>
      </c>
      <c r="H35" s="1162"/>
      <c r="I35" s="388" t="str">
        <f>IF(UDs!D76&lt;&gt;"",UDs!B76&amp;" / "&amp;UDs!E76,"")</f>
        <v/>
      </c>
      <c r="J35" s="591">
        <f>Pract15</f>
        <v>0</v>
      </c>
      <c r="K35" s="387"/>
      <c r="L35" s="387"/>
      <c r="M35" s="963" t="str">
        <f>UDs!F76</f>
        <v/>
      </c>
      <c r="N35" s="585" t="str">
        <f>UDs!G76</f>
        <v/>
      </c>
      <c r="O35" s="589">
        <f>UDs!C76</f>
        <v>0</v>
      </c>
      <c r="P35" s="1162"/>
      <c r="Q35" s="1111"/>
    </row>
    <row r="36" spans="2:17" s="13" customFormat="1" ht="15.6" x14ac:dyDescent="0.3">
      <c r="B36" s="1152" t="str">
        <f>CoUD15</f>
        <v/>
      </c>
      <c r="C36" s="590">
        <f>UnDi15</f>
        <v>0</v>
      </c>
      <c r="D36" s="383"/>
      <c r="E36" s="962" t="str">
        <f>UDs!F49</f>
        <v/>
      </c>
      <c r="F36" s="586" t="str">
        <f>UDs!G49</f>
        <v/>
      </c>
      <c r="G36" s="586">
        <f>UDs!C49</f>
        <v>0</v>
      </c>
      <c r="H36" s="1162"/>
      <c r="I36" s="386" t="str">
        <f>IF(UDs!D77&lt;&gt;"",UDs!B77&amp;" / "&amp;UDs!E77,"")</f>
        <v/>
      </c>
      <c r="J36" s="590">
        <f>Pract16</f>
        <v>0</v>
      </c>
      <c r="K36" s="385"/>
      <c r="L36" s="385"/>
      <c r="M36" s="962" t="str">
        <f>UDs!F77</f>
        <v/>
      </c>
      <c r="N36" s="584" t="str">
        <f>UDs!G77</f>
        <v/>
      </c>
      <c r="O36" s="588">
        <f>UDs!C77</f>
        <v>0</v>
      </c>
      <c r="P36" s="1162"/>
      <c r="Q36" s="1111"/>
    </row>
    <row r="37" spans="2:17" s="13" customFormat="1" ht="15.6" x14ac:dyDescent="0.3">
      <c r="B37" s="1152" t="str">
        <f>CoUD16</f>
        <v/>
      </c>
      <c r="C37" s="590">
        <f>UnDi16</f>
        <v>0</v>
      </c>
      <c r="D37" s="386"/>
      <c r="E37" s="962" t="str">
        <f>UDs!F50</f>
        <v/>
      </c>
      <c r="F37" s="586" t="str">
        <f>UDs!G50</f>
        <v/>
      </c>
      <c r="G37" s="586">
        <f>UDs!C50</f>
        <v>0</v>
      </c>
      <c r="H37" s="1162"/>
      <c r="I37" s="386" t="str">
        <f>IF(UDs!D78&lt;&gt;"",UDs!B78&amp;" / "&amp;UDs!E78,"")</f>
        <v/>
      </c>
      <c r="J37" s="590">
        <f>Pract17</f>
        <v>0</v>
      </c>
      <c r="K37" s="385"/>
      <c r="L37" s="385"/>
      <c r="M37" s="962" t="str">
        <f>UDs!F78</f>
        <v/>
      </c>
      <c r="N37" s="584" t="str">
        <f>UDs!G78</f>
        <v/>
      </c>
      <c r="O37" s="588">
        <f>UDs!C78</f>
        <v>0</v>
      </c>
      <c r="P37" s="1162"/>
      <c r="Q37" s="1111"/>
    </row>
    <row r="38" spans="2:17" s="13" customFormat="1" ht="15.6" x14ac:dyDescent="0.3">
      <c r="B38" s="803" t="str">
        <f>CoUD17</f>
        <v/>
      </c>
      <c r="C38" s="591">
        <f>UnDi17</f>
        <v>0</v>
      </c>
      <c r="D38" s="388"/>
      <c r="E38" s="963" t="str">
        <f>UDs!F51</f>
        <v/>
      </c>
      <c r="F38" s="587" t="str">
        <f>UDs!G51</f>
        <v/>
      </c>
      <c r="G38" s="587">
        <f>UDs!C51</f>
        <v>0</v>
      </c>
      <c r="H38" s="1162"/>
      <c r="I38" s="388" t="str">
        <f>IF(UDs!D79&lt;&gt;"",UDs!B79&amp;" / "&amp;UDs!E79,"")</f>
        <v/>
      </c>
      <c r="J38" s="591">
        <f>Pract18</f>
        <v>0</v>
      </c>
      <c r="K38" s="387"/>
      <c r="L38" s="387"/>
      <c r="M38" s="963" t="str">
        <f>UDs!F79</f>
        <v/>
      </c>
      <c r="N38" s="585" t="str">
        <f>UDs!G79</f>
        <v/>
      </c>
      <c r="O38" s="589">
        <f>UDs!C79</f>
        <v>0</v>
      </c>
      <c r="P38" s="1162"/>
      <c r="Q38" s="1111"/>
    </row>
    <row r="39" spans="2:17" s="13" customFormat="1" ht="15.6" x14ac:dyDescent="0.3">
      <c r="B39" s="1152" t="str">
        <f>CoUD18</f>
        <v/>
      </c>
      <c r="C39" s="590">
        <f>UnDi18</f>
        <v>0</v>
      </c>
      <c r="D39" s="383"/>
      <c r="E39" s="962" t="str">
        <f>UDs!F52</f>
        <v/>
      </c>
      <c r="F39" s="586" t="str">
        <f>UDs!G52</f>
        <v/>
      </c>
      <c r="G39" s="586">
        <f>UDs!C52</f>
        <v>0</v>
      </c>
      <c r="H39" s="1162"/>
      <c r="I39" s="386" t="str">
        <f>IF(UDs!D80&lt;&gt;"",UDs!B80&amp;" / "&amp;UDs!E80,"")</f>
        <v/>
      </c>
      <c r="J39" s="590">
        <f>Pract19</f>
        <v>0</v>
      </c>
      <c r="K39" s="385"/>
      <c r="L39" s="385"/>
      <c r="M39" s="962" t="str">
        <f>UDs!F80</f>
        <v/>
      </c>
      <c r="N39" s="584" t="str">
        <f>UDs!G80</f>
        <v/>
      </c>
      <c r="O39" s="588">
        <f>UDs!C80</f>
        <v>0</v>
      </c>
      <c r="P39" s="1162"/>
      <c r="Q39" s="1111"/>
    </row>
    <row r="40" spans="2:17" s="13" customFormat="1" ht="15.6" x14ac:dyDescent="0.3">
      <c r="B40" s="1152" t="str">
        <f>CoUD19</f>
        <v/>
      </c>
      <c r="C40" s="590">
        <f>UnDi19</f>
        <v>0</v>
      </c>
      <c r="D40" s="383"/>
      <c r="E40" s="962" t="str">
        <f>UDs!F53</f>
        <v/>
      </c>
      <c r="F40" s="586" t="str">
        <f>UDs!G53</f>
        <v/>
      </c>
      <c r="G40" s="586">
        <f>UDs!C53</f>
        <v>0</v>
      </c>
      <c r="H40" s="1162"/>
      <c r="I40" s="386" t="str">
        <f>IF(UDs!D81&lt;&gt;"",UDs!B81&amp;" / "&amp;UDs!E81,"")</f>
        <v/>
      </c>
      <c r="J40" s="590">
        <f>Pract20</f>
        <v>0</v>
      </c>
      <c r="K40" s="385"/>
      <c r="L40" s="385"/>
      <c r="M40" s="962" t="str">
        <f>UDs!F81</f>
        <v/>
      </c>
      <c r="N40" s="584" t="str">
        <f>UDs!G81</f>
        <v/>
      </c>
      <c r="O40" s="588">
        <f>UDs!C81</f>
        <v>0</v>
      </c>
      <c r="P40" s="1162"/>
      <c r="Q40" s="1111"/>
    </row>
    <row r="41" spans="2:17" s="13" customFormat="1" ht="15.6" x14ac:dyDescent="0.3">
      <c r="B41" s="803" t="str">
        <f>CoUD20</f>
        <v/>
      </c>
      <c r="C41" s="591">
        <f>UnDi20</f>
        <v>0</v>
      </c>
      <c r="D41" s="389"/>
      <c r="E41" s="963" t="str">
        <f>UDs!F54</f>
        <v/>
      </c>
      <c r="F41" s="587" t="str">
        <f>UDs!G54</f>
        <v/>
      </c>
      <c r="G41" s="587">
        <f>UDs!C54</f>
        <v>0</v>
      </c>
      <c r="H41" s="1162"/>
      <c r="I41" s="388" t="str">
        <f>IF(UDs!D82&lt;&gt;"",UDs!B82&amp;" / "&amp;UDs!E82,"")</f>
        <v/>
      </c>
      <c r="J41" s="591">
        <f>Pract21</f>
        <v>0</v>
      </c>
      <c r="K41" s="387"/>
      <c r="L41" s="387"/>
      <c r="M41" s="963" t="str">
        <f>UDs!F82</f>
        <v/>
      </c>
      <c r="N41" s="585" t="str">
        <f>UDs!G82</f>
        <v/>
      </c>
      <c r="O41" s="589">
        <f>UDs!C82</f>
        <v>0</v>
      </c>
      <c r="P41" s="1162"/>
      <c r="Q41" s="1111"/>
    </row>
    <row r="42" spans="2:17" s="13" customFormat="1" ht="15.6" x14ac:dyDescent="0.3">
      <c r="B42" s="390" t="str">
        <f ca="1">CoUDCM</f>
        <v>NoOk</v>
      </c>
      <c r="C42" s="390"/>
      <c r="D42" s="390"/>
      <c r="E42" s="390"/>
      <c r="F42" s="1151" t="str">
        <f ca="1">UnDiCM</f>
        <v>NoOk ¡Atención!  Falta/n -80 hora/s</v>
      </c>
      <c r="G42" s="1157">
        <f ca="1">UDs!C55</f>
        <v>-80</v>
      </c>
      <c r="H42" s="1162"/>
      <c r="I42" s="386" t="str">
        <f>IF(UDs!D83&lt;&gt;"",UDs!B83&amp;" / "&amp;UDs!E83,"")</f>
        <v/>
      </c>
      <c r="J42" s="590">
        <f>Pract22</f>
        <v>0</v>
      </c>
      <c r="K42" s="385"/>
      <c r="L42" s="385"/>
      <c r="M42" s="962" t="str">
        <f>UDs!F83</f>
        <v/>
      </c>
      <c r="N42" s="584" t="str">
        <f>UDs!G83</f>
        <v/>
      </c>
      <c r="O42" s="588">
        <f>UDs!C83</f>
        <v>0</v>
      </c>
      <c r="P42" s="1162"/>
      <c r="Q42" s="1111"/>
    </row>
    <row r="43" spans="2:17" s="13" customFormat="1" ht="15.6" x14ac:dyDescent="0.3">
      <c r="B43" s="384"/>
      <c r="C43" s="384"/>
      <c r="D43" s="321"/>
      <c r="E43" s="321"/>
      <c r="F43" s="321"/>
      <c r="G43" s="1158"/>
      <c r="H43" s="1162"/>
      <c r="I43" s="386" t="str">
        <f>IF(UDs!D84&lt;&gt;"",UDs!B84&amp;" / "&amp;UDs!E84,"")</f>
        <v/>
      </c>
      <c r="J43" s="590">
        <f>Pract23</f>
        <v>0</v>
      </c>
      <c r="K43" s="385"/>
      <c r="L43" s="385"/>
      <c r="M43" s="962" t="str">
        <f>UDs!F84</f>
        <v/>
      </c>
      <c r="N43" s="584" t="str">
        <f>UDs!G84</f>
        <v/>
      </c>
      <c r="O43" s="588">
        <f>UDs!C84</f>
        <v>0</v>
      </c>
      <c r="P43" s="1162"/>
      <c r="Q43" s="1111"/>
    </row>
    <row r="44" spans="2:17" s="13" customFormat="1" ht="15.6" x14ac:dyDescent="0.3">
      <c r="B44" s="384"/>
      <c r="C44" s="384"/>
      <c r="D44" s="321"/>
      <c r="E44" s="321"/>
      <c r="F44" s="321"/>
      <c r="G44" s="1159"/>
      <c r="H44" s="1162"/>
      <c r="I44" s="388" t="str">
        <f>IF(UDs!D85&lt;&gt;"",UDs!B85&amp;" / "&amp;UDs!E85,"")</f>
        <v/>
      </c>
      <c r="J44" s="591">
        <f>Pract24</f>
        <v>0</v>
      </c>
      <c r="K44" s="387"/>
      <c r="L44" s="387"/>
      <c r="M44" s="963" t="str">
        <f>UDs!F85</f>
        <v/>
      </c>
      <c r="N44" s="585" t="str">
        <f>UDs!G85</f>
        <v/>
      </c>
      <c r="O44" s="589">
        <f>UDs!C85</f>
        <v>0</v>
      </c>
      <c r="P44" s="1162"/>
      <c r="Q44" s="1111"/>
    </row>
    <row r="45" spans="2:17" s="13" customFormat="1" ht="15.6" x14ac:dyDescent="0.3">
      <c r="B45" s="384"/>
      <c r="C45" s="384"/>
      <c r="D45" s="321"/>
      <c r="E45" s="321"/>
      <c r="F45" s="321"/>
      <c r="G45" s="1160"/>
      <c r="H45" s="1162"/>
      <c r="I45" s="386" t="str">
        <f>IF(UDs!D86&lt;&gt;"",UDs!B86&amp;" / "&amp;UDs!E86,"")</f>
        <v/>
      </c>
      <c r="J45" s="590">
        <f>Pract25</f>
        <v>0</v>
      </c>
      <c r="K45" s="385"/>
      <c r="L45" s="385"/>
      <c r="M45" s="962" t="str">
        <f>UDs!F86</f>
        <v/>
      </c>
      <c r="N45" s="584" t="str">
        <f>UDs!G86</f>
        <v/>
      </c>
      <c r="O45" s="588">
        <f>UDs!C86</f>
        <v>0</v>
      </c>
      <c r="P45" s="1162"/>
      <c r="Q45" s="1111"/>
    </row>
    <row r="46" spans="2:17" s="13" customFormat="1" ht="15.6" x14ac:dyDescent="0.3">
      <c r="B46" s="384"/>
      <c r="C46" s="384"/>
      <c r="D46" s="321"/>
      <c r="E46" s="321"/>
      <c r="F46" s="321"/>
      <c r="G46" s="1158"/>
      <c r="H46" s="1162"/>
      <c r="I46" s="386" t="str">
        <f>IF(UDs!D87&lt;&gt;"",UDs!B87&amp;" / "&amp;UDs!E87,"")</f>
        <v/>
      </c>
      <c r="J46" s="590">
        <f>Pract26</f>
        <v>0</v>
      </c>
      <c r="K46" s="385"/>
      <c r="L46" s="385"/>
      <c r="M46" s="962" t="str">
        <f>UDs!F87</f>
        <v/>
      </c>
      <c r="N46" s="584" t="str">
        <f>UDs!G87</f>
        <v/>
      </c>
      <c r="O46" s="588">
        <f>UDs!C87</f>
        <v>0</v>
      </c>
      <c r="P46" s="1162"/>
      <c r="Q46" s="1111"/>
    </row>
    <row r="47" spans="2:17" s="13" customFormat="1" ht="15.6" x14ac:dyDescent="0.3">
      <c r="B47" s="384"/>
      <c r="C47" s="384"/>
      <c r="D47" s="321"/>
      <c r="E47" s="321"/>
      <c r="F47" s="321"/>
      <c r="G47" s="1158"/>
      <c r="H47" s="1162"/>
      <c r="I47" s="388" t="str">
        <f>IF(UDs!D88&lt;&gt;"",UDs!B88&amp;" / "&amp;UDs!E88,"")</f>
        <v/>
      </c>
      <c r="J47" s="591">
        <f>Pract27</f>
        <v>0</v>
      </c>
      <c r="K47" s="387"/>
      <c r="L47" s="387"/>
      <c r="M47" s="963" t="str">
        <f>UDs!F88</f>
        <v/>
      </c>
      <c r="N47" s="585" t="str">
        <f>UDs!G88</f>
        <v/>
      </c>
      <c r="O47" s="589">
        <f>UDs!C88</f>
        <v>0</v>
      </c>
      <c r="P47" s="1162"/>
      <c r="Q47" s="1111"/>
    </row>
    <row r="48" spans="2:17" s="13" customFormat="1" ht="15.6" x14ac:dyDescent="0.3">
      <c r="B48" s="384"/>
      <c r="C48" s="384"/>
      <c r="D48" s="321"/>
      <c r="E48" s="321"/>
      <c r="F48" s="321"/>
      <c r="G48" s="1158"/>
      <c r="H48" s="1162"/>
      <c r="I48" s="386" t="str">
        <f>IF(UDs!D89&lt;&gt;"",UDs!B89&amp;" / "&amp;UDs!E89,"")</f>
        <v/>
      </c>
      <c r="J48" s="590">
        <f>Pract28</f>
        <v>0</v>
      </c>
      <c r="K48" s="385"/>
      <c r="L48" s="385"/>
      <c r="M48" s="962" t="str">
        <f>UDs!F89</f>
        <v/>
      </c>
      <c r="N48" s="584" t="str">
        <f>UDs!G89</f>
        <v/>
      </c>
      <c r="O48" s="588">
        <f>UDs!C89</f>
        <v>0</v>
      </c>
      <c r="P48" s="1162"/>
      <c r="Q48" s="1111"/>
    </row>
    <row r="49" spans="1:44" s="13" customFormat="1" ht="15.6" x14ac:dyDescent="0.3">
      <c r="B49" s="384"/>
      <c r="C49" s="384"/>
      <c r="D49" s="321"/>
      <c r="E49" s="321"/>
      <c r="F49" s="321"/>
      <c r="G49" s="1159"/>
      <c r="H49" s="1162"/>
      <c r="I49" s="386" t="str">
        <f>IF(UDs!D90&lt;&gt;"",UDs!B90&amp;" / "&amp;UDs!E90,"")</f>
        <v/>
      </c>
      <c r="J49" s="590">
        <f>Pract29</f>
        <v>0</v>
      </c>
      <c r="K49" s="385"/>
      <c r="L49" s="385"/>
      <c r="M49" s="962" t="str">
        <f>UDs!F90</f>
        <v/>
      </c>
      <c r="N49" s="584" t="str">
        <f>UDs!G90</f>
        <v/>
      </c>
      <c r="O49" s="588">
        <f>UDs!C90</f>
        <v>0</v>
      </c>
      <c r="P49" s="1162"/>
      <c r="Q49" s="1111"/>
    </row>
    <row r="50" spans="1:44" s="13" customFormat="1" ht="15.6" x14ac:dyDescent="0.3">
      <c r="B50" s="384"/>
      <c r="C50" s="384"/>
      <c r="D50" s="321"/>
      <c r="E50" s="321"/>
      <c r="F50" s="321"/>
      <c r="G50" s="1159"/>
      <c r="H50" s="1162"/>
      <c r="I50" s="388" t="str">
        <f>IF(UDs!D91&lt;&gt;"",UDs!B91&amp;" / "&amp;UDs!E91,"")</f>
        <v/>
      </c>
      <c r="J50" s="591">
        <f>Pract30</f>
        <v>0</v>
      </c>
      <c r="K50" s="387"/>
      <c r="L50" s="387"/>
      <c r="M50" s="963" t="str">
        <f>UDs!F91</f>
        <v/>
      </c>
      <c r="N50" s="585" t="str">
        <f>UDs!G91</f>
        <v/>
      </c>
      <c r="O50" s="589">
        <f>UDs!C91</f>
        <v>0</v>
      </c>
      <c r="P50" s="1162"/>
      <c r="Q50" s="1111"/>
    </row>
    <row r="51" spans="1:44" s="13" customFormat="1" ht="15.6" x14ac:dyDescent="0.3">
      <c r="B51" s="384"/>
      <c r="C51" s="384"/>
      <c r="D51" s="321"/>
      <c r="E51" s="321"/>
      <c r="F51" s="321"/>
      <c r="G51" s="1159"/>
      <c r="H51" s="1162"/>
      <c r="I51" s="386" t="str">
        <f>IF(UDs!D92&lt;&gt;"",UDs!B92&amp;" / "&amp;UDs!E92,"")</f>
        <v/>
      </c>
      <c r="J51" s="590">
        <f>Pract31</f>
        <v>0</v>
      </c>
      <c r="K51" s="385"/>
      <c r="L51" s="385"/>
      <c r="M51" s="962" t="str">
        <f>UDs!F92</f>
        <v/>
      </c>
      <c r="N51" s="584" t="str">
        <f>UDs!G92</f>
        <v/>
      </c>
      <c r="O51" s="588">
        <f>UDs!C92</f>
        <v>0</v>
      </c>
      <c r="P51" s="1162"/>
      <c r="Q51" s="1111"/>
    </row>
    <row r="52" spans="1:44" s="13" customFormat="1" ht="15.6" x14ac:dyDescent="0.3">
      <c r="B52" s="384"/>
      <c r="C52" s="384"/>
      <c r="D52" s="321"/>
      <c r="E52" s="321"/>
      <c r="F52" s="321"/>
      <c r="G52" s="1159"/>
      <c r="H52" s="1162"/>
      <c r="I52" s="386" t="str">
        <f>IF(UDs!D93&lt;&gt;"",UDs!B93&amp;" / "&amp;UDs!E93,"")</f>
        <v/>
      </c>
      <c r="J52" s="590">
        <f>Pract32</f>
        <v>0</v>
      </c>
      <c r="K52" s="385"/>
      <c r="L52" s="385"/>
      <c r="M52" s="962" t="str">
        <f>UDs!F93</f>
        <v/>
      </c>
      <c r="N52" s="584" t="str">
        <f>UDs!G93</f>
        <v/>
      </c>
      <c r="O52" s="588">
        <f>UDs!C93</f>
        <v>0</v>
      </c>
      <c r="P52" s="1162"/>
      <c r="Q52" s="1111"/>
    </row>
    <row r="53" spans="1:44" s="13" customFormat="1" ht="15.6" x14ac:dyDescent="0.3">
      <c r="B53" s="384"/>
      <c r="C53" s="384"/>
      <c r="D53" s="321"/>
      <c r="E53" s="321"/>
      <c r="F53" s="321"/>
      <c r="G53" s="1159"/>
      <c r="H53" s="1162"/>
      <c r="I53" s="388" t="str">
        <f>IF(UDs!D94&lt;&gt;"",UDs!B94&amp;" / "&amp;UDs!E94,"")</f>
        <v/>
      </c>
      <c r="J53" s="591">
        <f>Pract33</f>
        <v>0</v>
      </c>
      <c r="K53" s="387"/>
      <c r="L53" s="387"/>
      <c r="M53" s="963" t="str">
        <f>UDs!F94</f>
        <v/>
      </c>
      <c r="N53" s="585" t="str">
        <f>UDs!G94</f>
        <v/>
      </c>
      <c r="O53" s="589">
        <f>UDs!C94</f>
        <v>0</v>
      </c>
      <c r="P53" s="1162"/>
      <c r="Q53" s="1111"/>
    </row>
    <row r="54" spans="1:44" s="13" customFormat="1" ht="15.6" x14ac:dyDescent="0.3">
      <c r="B54" s="286"/>
      <c r="C54" s="265"/>
      <c r="D54" s="133"/>
      <c r="E54" s="15"/>
      <c r="F54" s="15"/>
      <c r="G54" s="15"/>
      <c r="H54" s="15"/>
      <c r="I54" s="265"/>
      <c r="J54" s="265"/>
      <c r="K54" s="7"/>
      <c r="L54" s="15"/>
      <c r="M54" s="286"/>
      <c r="O54" s="1110"/>
      <c r="Q54" s="1111"/>
    </row>
    <row r="55" spans="1:44" s="1" customFormat="1" ht="21" thickBot="1" x14ac:dyDescent="0.4">
      <c r="B55" s="1108" t="str">
        <f>"Calendario. Primer trimestre académico, final de "&amp;AñoInicioCurso</f>
        <v>Calendario. Primer trimestre académico, final de 2025</v>
      </c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1077"/>
      <c r="Q55" s="1111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R55" s="23"/>
    </row>
    <row r="56" spans="1:44" s="13" customFormat="1" ht="15.6" x14ac:dyDescent="0.3">
      <c r="B56" s="286"/>
      <c r="C56" s="265"/>
      <c r="D56" s="133"/>
      <c r="E56" s="15"/>
      <c r="F56" s="15"/>
      <c r="G56" s="15"/>
      <c r="H56" s="15"/>
      <c r="I56" s="15"/>
      <c r="J56" s="265"/>
      <c r="K56" s="265"/>
      <c r="L56" s="15"/>
      <c r="M56" s="15"/>
      <c r="N56" s="15"/>
      <c r="O56" s="286"/>
      <c r="Q56" s="1111"/>
    </row>
    <row r="57" spans="1:44" s="265" customFormat="1" ht="16.2" thickBot="1" x14ac:dyDescent="0.35">
      <c r="A57" s="13"/>
      <c r="B57" s="307" t="s">
        <v>23</v>
      </c>
      <c r="C57" s="1121" t="s">
        <v>154</v>
      </c>
      <c r="D57" s="514" t="s">
        <v>75</v>
      </c>
      <c r="E57" s="494" t="s">
        <v>74</v>
      </c>
      <c r="F57" s="1114" t="s">
        <v>154</v>
      </c>
      <c r="G57" s="514" t="s">
        <v>75</v>
      </c>
      <c r="H57" s="494" t="s">
        <v>74</v>
      </c>
      <c r="I57" s="1121" t="s">
        <v>154</v>
      </c>
      <c r="J57" s="514" t="s">
        <v>75</v>
      </c>
      <c r="K57" s="494" t="s">
        <v>74</v>
      </c>
      <c r="L57" s="1114" t="s">
        <v>154</v>
      </c>
      <c r="M57" s="514" t="s">
        <v>75</v>
      </c>
      <c r="N57" s="494" t="s">
        <v>74</v>
      </c>
      <c r="O57" s="307" t="s">
        <v>23</v>
      </c>
      <c r="P57" s="13"/>
      <c r="Q57" s="1111"/>
      <c r="R57" s="20"/>
    </row>
    <row r="58" spans="1:44" s="265" customFormat="1" ht="15.6" x14ac:dyDescent="0.3">
      <c r="A58" s="178"/>
      <c r="B58" s="38" t="s">
        <v>180</v>
      </c>
      <c r="C58" s="1138" t="s">
        <v>185</v>
      </c>
      <c r="D58" s="268"/>
      <c r="E58" s="269"/>
      <c r="F58" s="1132"/>
      <c r="G58" s="495"/>
      <c r="H58" s="495"/>
      <c r="I58" s="1140"/>
      <c r="J58" s="495"/>
      <c r="K58" s="495"/>
      <c r="L58" s="1144"/>
      <c r="M58" s="272"/>
      <c r="N58" s="272"/>
      <c r="O58" s="38" t="s">
        <v>180</v>
      </c>
      <c r="P58" s="178"/>
      <c r="Q58" s="1111"/>
      <c r="R58" s="20"/>
    </row>
    <row r="59" spans="1:44" s="98" customFormat="1" ht="24" thickBot="1" x14ac:dyDescent="0.5">
      <c r="A59" s="178"/>
      <c r="B59" s="1063">
        <f>AñoInicioCurso</f>
        <v>2025</v>
      </c>
      <c r="C59" s="1122">
        <f>DATE(B59,9,1)</f>
        <v>45901</v>
      </c>
      <c r="D59" s="133" t="s">
        <v>75</v>
      </c>
      <c r="E59" s="133" t="s">
        <v>74</v>
      </c>
      <c r="F59" s="1115">
        <f>DATE(B59,10,1)</f>
        <v>45931</v>
      </c>
      <c r="G59" s="133" t="s">
        <v>75</v>
      </c>
      <c r="H59" s="133" t="s">
        <v>74</v>
      </c>
      <c r="I59" s="1122">
        <f>DATE(B59,11,1)</f>
        <v>45962</v>
      </c>
      <c r="J59" s="133" t="s">
        <v>75</v>
      </c>
      <c r="K59" s="133" t="s">
        <v>74</v>
      </c>
      <c r="L59" s="1115">
        <f>DATE(B59,12,1)</f>
        <v>45992</v>
      </c>
      <c r="M59" s="133" t="s">
        <v>75</v>
      </c>
      <c r="N59" s="133" t="s">
        <v>74</v>
      </c>
      <c r="O59" s="1063">
        <f>AñoInicioCurso</f>
        <v>2025</v>
      </c>
      <c r="P59" s="178"/>
      <c r="Q59" s="1111"/>
    </row>
    <row r="60" spans="1:44" s="13" customFormat="1" ht="15.6" x14ac:dyDescent="0.3">
      <c r="A60" s="178"/>
      <c r="B60" s="46" t="s">
        <v>0</v>
      </c>
      <c r="C60" s="1123">
        <f>IF(WEEKDAY(C59,2)=1,C59,0)</f>
        <v>45901</v>
      </c>
      <c r="D60" s="496"/>
      <c r="E60" s="496"/>
      <c r="F60" s="1133">
        <f>IF(WEEKDAY(F59,2)=1,F59,0)</f>
        <v>0</v>
      </c>
      <c r="G60" s="496"/>
      <c r="H60" s="496"/>
      <c r="I60" s="1141">
        <f>IF(WEEKDAY(I59,2)=1,I59,0)</f>
        <v>0</v>
      </c>
      <c r="J60" s="496"/>
      <c r="K60" s="496"/>
      <c r="L60" s="1133">
        <f>IF(WEEKDAY(L59,2)=1,L59,0)</f>
        <v>45992</v>
      </c>
      <c r="M60" s="496"/>
      <c r="N60" s="497"/>
      <c r="O60" s="46" t="s">
        <v>0</v>
      </c>
      <c r="P60" s="178"/>
      <c r="Q60" s="1111"/>
    </row>
    <row r="61" spans="1:44" s="13" customFormat="1" ht="15.6" x14ac:dyDescent="0.3">
      <c r="A61" s="178"/>
      <c r="B61" s="46" t="s">
        <v>1</v>
      </c>
      <c r="C61" s="1124">
        <f>IF(WEEKDAY(C59,2)=2,C59,IF(WEEKDAY(C59,2)&lt;2,C60+1,0))</f>
        <v>45902</v>
      </c>
      <c r="D61" s="498"/>
      <c r="E61" s="498"/>
      <c r="F61" s="1134">
        <f>IF(WEEKDAY(F59,2)=2,F59,IF(WEEKDAY(F59,2)&lt;2,F60+1,0))</f>
        <v>0</v>
      </c>
      <c r="G61" s="498"/>
      <c r="H61" s="498"/>
      <c r="I61" s="1142">
        <f>IF(WEEKDAY(I59,2)=2,I59,IF(WEEKDAY(I59,2)&lt;2,I60+1,0))</f>
        <v>0</v>
      </c>
      <c r="J61" s="498"/>
      <c r="K61" s="498"/>
      <c r="L61" s="1134">
        <f>IF(WEEKDAY(L59,2)=2,L59,IF(WEEKDAY(L59,2)&lt;2,L60+1,0))</f>
        <v>45993</v>
      </c>
      <c r="M61" s="498"/>
      <c r="N61" s="499"/>
      <c r="O61" s="46" t="s">
        <v>1</v>
      </c>
      <c r="P61" s="178"/>
      <c r="Q61" s="1111"/>
    </row>
    <row r="62" spans="1:44" s="13" customFormat="1" ht="15.6" x14ac:dyDescent="0.3">
      <c r="A62" s="178"/>
      <c r="B62" s="46" t="s">
        <v>27</v>
      </c>
      <c r="C62" s="1124">
        <f>IF(WEEKDAY(C59,2)=3,C59,IF(WEEKDAY(C59,2)&lt;3,C61+1,0))</f>
        <v>45903</v>
      </c>
      <c r="D62" s="498"/>
      <c r="E62" s="498"/>
      <c r="F62" s="1134">
        <f>IF(WEEKDAY(F59,2)=3,F59,IF(WEEKDAY(F59,2)&lt;3,F61+1,0))</f>
        <v>45931</v>
      </c>
      <c r="G62" s="498"/>
      <c r="H62" s="498"/>
      <c r="I62" s="1142">
        <f>IF(WEEKDAY(I59,2)=3,I59,IF(WEEKDAY(I59,2)&lt;3,I61+1,0))</f>
        <v>0</v>
      </c>
      <c r="J62" s="498"/>
      <c r="K62" s="498"/>
      <c r="L62" s="1134">
        <f>IF(WEEKDAY(L59,2)=3,L59,IF(WEEKDAY(L59,2)&lt;3,L61+1,0))</f>
        <v>45994</v>
      </c>
      <c r="M62" s="498"/>
      <c r="N62" s="499" t="s">
        <v>498</v>
      </c>
      <c r="O62" s="46" t="s">
        <v>27</v>
      </c>
      <c r="P62" s="178"/>
      <c r="Q62" s="1111"/>
    </row>
    <row r="63" spans="1:44" s="13" customFormat="1" ht="15.6" x14ac:dyDescent="0.3">
      <c r="A63" s="178"/>
      <c r="B63" s="46" t="s">
        <v>2</v>
      </c>
      <c r="C63" s="1124">
        <f>IF(WEEKDAY(C59,2)=4,C59,IF(WEEKDAY(C59,2)&lt;4,C62+1,0))</f>
        <v>45904</v>
      </c>
      <c r="D63" s="498"/>
      <c r="E63" s="498" t="s">
        <v>482</v>
      </c>
      <c r="F63" s="1134">
        <f>IF(WEEKDAY(F59,2)=4,F59,IF(WEEKDAY(F59,2)&lt;4,F62+1,0))</f>
        <v>45932</v>
      </c>
      <c r="G63" s="498"/>
      <c r="H63" s="498"/>
      <c r="I63" s="1142">
        <f>IF(WEEKDAY(I59,2)=4,I59,IF(WEEKDAY(I59,2)&lt;4,I62+1,0))</f>
        <v>0</v>
      </c>
      <c r="J63" s="498"/>
      <c r="K63" s="498"/>
      <c r="L63" s="1134">
        <f>IF(WEEKDAY(L59,2)=4,L59,IF(WEEKDAY(L59,2)&lt;4,L62+1,0))</f>
        <v>45995</v>
      </c>
      <c r="M63" s="498"/>
      <c r="N63" s="499"/>
      <c r="O63" s="46" t="s">
        <v>2</v>
      </c>
      <c r="P63" s="178"/>
      <c r="Q63" s="1111"/>
    </row>
    <row r="64" spans="1:44" s="13" customFormat="1" ht="15.6" x14ac:dyDescent="0.3">
      <c r="A64" s="178"/>
      <c r="B64" s="46" t="s">
        <v>3</v>
      </c>
      <c r="C64" s="1124">
        <f>IF(WEEKDAY(C59,2)=5,C59,IF(WEEKDAY(C59,2)&lt;5,C63+1,0))</f>
        <v>45905</v>
      </c>
      <c r="D64" s="498"/>
      <c r="E64" s="498"/>
      <c r="F64" s="1134">
        <f>IF(WEEKDAY(F59,2)=5,F59,IF(WEEKDAY(F59,2)&lt;5,F63+1,0))</f>
        <v>45933</v>
      </c>
      <c r="G64" s="498"/>
      <c r="H64" s="498"/>
      <c r="I64" s="1142">
        <f>IF(WEEKDAY(I59,2)=5,I59,IF(WEEKDAY(I59,2)&lt;5,I63+1,0))</f>
        <v>0</v>
      </c>
      <c r="J64" s="498"/>
      <c r="K64" s="498"/>
      <c r="L64" s="1134">
        <f>IF(WEEKDAY(L59,2)=5,L59,IF(WEEKDAY(L59,2)&lt;5,L63+1,0))</f>
        <v>45996</v>
      </c>
      <c r="M64" s="498"/>
      <c r="N64" s="499" t="s">
        <v>499</v>
      </c>
      <c r="O64" s="46" t="s">
        <v>3</v>
      </c>
      <c r="P64" s="178"/>
      <c r="Q64" s="1111"/>
    </row>
    <row r="65" spans="1:17" s="13" customFormat="1" ht="15.6" x14ac:dyDescent="0.3">
      <c r="A65" s="178"/>
      <c r="B65" s="486" t="s">
        <v>28</v>
      </c>
      <c r="C65" s="1125">
        <f>IF(WEEKDAY(C59,2)=6,C59,IF(WEEKDAY(C59,2)&lt;6,C64+1,0))</f>
        <v>45906</v>
      </c>
      <c r="D65" s="444"/>
      <c r="E65" s="444"/>
      <c r="F65" s="1120">
        <f>IF(WEEKDAY(F59,2)=6,F59,IF(WEEKDAY(F59,2)&lt;6,F64+1,0))</f>
        <v>45934</v>
      </c>
      <c r="G65" s="444"/>
      <c r="H65" s="444"/>
      <c r="I65" s="1130">
        <f>IF(WEEKDAY(I59,2)=6,I59,IF(WEEKDAY(I59,2)&lt;6,I64+1,0))</f>
        <v>45962</v>
      </c>
      <c r="J65" s="444"/>
      <c r="K65" s="444"/>
      <c r="L65" s="1120">
        <f>IF(WEEKDAY(L59,2)=6,L59,IF(WEEKDAY(L59,2)&lt;6,L64+1,0))</f>
        <v>45997</v>
      </c>
      <c r="M65" s="444"/>
      <c r="N65" s="447"/>
      <c r="O65" s="486" t="s">
        <v>28</v>
      </c>
      <c r="P65" s="178"/>
      <c r="Q65" s="1111"/>
    </row>
    <row r="66" spans="1:17" s="13" customFormat="1" ht="16.2" thickBot="1" x14ac:dyDescent="0.35">
      <c r="A66" s="178"/>
      <c r="B66" s="486" t="s">
        <v>29</v>
      </c>
      <c r="C66" s="1125">
        <f>IF(WEEKDAY(C59,2)=7,C59,IF(WEEKDAY(C59,2)&lt;7,C65+1,0))</f>
        <v>45907</v>
      </c>
      <c r="D66" s="444"/>
      <c r="E66" s="444"/>
      <c r="F66" s="1120">
        <f>IF(WEEKDAY(F59,2)=7,F59,IF(WEEKDAY(F59,2)&lt;7,F65+1,0))</f>
        <v>45935</v>
      </c>
      <c r="G66" s="444"/>
      <c r="H66" s="444"/>
      <c r="I66" s="1130">
        <f>IF(WEEKDAY(I59,2)=7,I59,IF(WEEKDAY(I59,2)&lt;7,I65+1,0))</f>
        <v>45963</v>
      </c>
      <c r="J66" s="444"/>
      <c r="K66" s="444"/>
      <c r="L66" s="1120">
        <f>IF(WEEKDAY(L59,2)=7,L59,IF(WEEKDAY(L59,2)&lt;7,L65+1,0))</f>
        <v>45998</v>
      </c>
      <c r="M66" s="444"/>
      <c r="N66" s="447"/>
      <c r="O66" s="486" t="s">
        <v>29</v>
      </c>
      <c r="P66" s="178"/>
      <c r="Q66" s="1111"/>
    </row>
    <row r="67" spans="1:17" s="13" customFormat="1" ht="15.6" x14ac:dyDescent="0.3">
      <c r="A67" s="178"/>
      <c r="B67" s="46" t="s">
        <v>0</v>
      </c>
      <c r="C67" s="1123">
        <f>C66+1</f>
        <v>45908</v>
      </c>
      <c r="D67" s="496"/>
      <c r="E67" s="496"/>
      <c r="F67" s="1133">
        <f>F66+1</f>
        <v>45936</v>
      </c>
      <c r="G67" s="496"/>
      <c r="H67" s="496"/>
      <c r="I67" s="1141">
        <f>I66+1</f>
        <v>45964</v>
      </c>
      <c r="J67" s="496" t="s">
        <v>34</v>
      </c>
      <c r="K67" s="496"/>
      <c r="L67" s="1133">
        <f>L66+1</f>
        <v>45999</v>
      </c>
      <c r="M67" s="496" t="s">
        <v>35</v>
      </c>
      <c r="N67" s="497"/>
      <c r="O67" s="46" t="s">
        <v>0</v>
      </c>
      <c r="P67" s="178"/>
      <c r="Q67" s="1111"/>
    </row>
    <row r="68" spans="1:17" s="13" customFormat="1" ht="15.6" x14ac:dyDescent="0.3">
      <c r="A68" s="178"/>
      <c r="B68" s="46" t="s">
        <v>1</v>
      </c>
      <c r="C68" s="1124">
        <f>C67+1</f>
        <v>45909</v>
      </c>
      <c r="D68" s="498"/>
      <c r="E68" s="498"/>
      <c r="F68" s="1134">
        <f>F67+1</f>
        <v>45937</v>
      </c>
      <c r="G68" s="498"/>
      <c r="H68" s="1069"/>
      <c r="I68" s="1142">
        <f>I67+1</f>
        <v>45965</v>
      </c>
      <c r="J68" s="498"/>
      <c r="K68" s="498"/>
      <c r="L68" s="1134">
        <f>L67+1</f>
        <v>46000</v>
      </c>
      <c r="M68" s="498"/>
      <c r="N68" s="499" t="s">
        <v>501</v>
      </c>
      <c r="O68" s="46" t="s">
        <v>1</v>
      </c>
      <c r="P68" s="178"/>
      <c r="Q68" s="1111"/>
    </row>
    <row r="69" spans="1:17" s="13" customFormat="1" ht="15.6" x14ac:dyDescent="0.3">
      <c r="A69" s="178"/>
      <c r="B69" s="46" t="s">
        <v>27</v>
      </c>
      <c r="C69" s="1124">
        <f t="shared" ref="C69:C71" si="2">C68+1</f>
        <v>45910</v>
      </c>
      <c r="D69" s="498"/>
      <c r="E69" s="498"/>
      <c r="F69" s="1134">
        <f t="shared" ref="F69:F71" si="3">F68+1</f>
        <v>45938</v>
      </c>
      <c r="G69" s="498"/>
      <c r="H69" s="498"/>
      <c r="I69" s="1142">
        <f t="shared" ref="I69:I71" si="4">I68+1</f>
        <v>45966</v>
      </c>
      <c r="J69" s="498"/>
      <c r="K69" s="498"/>
      <c r="L69" s="1134">
        <f t="shared" ref="L69:L71" si="5">L68+1</f>
        <v>46001</v>
      </c>
      <c r="M69" s="498"/>
      <c r="N69" s="499" t="s">
        <v>501</v>
      </c>
      <c r="O69" s="46" t="s">
        <v>27</v>
      </c>
      <c r="P69" s="178"/>
      <c r="Q69" s="1111"/>
    </row>
    <row r="70" spans="1:17" s="13" customFormat="1" ht="15.6" x14ac:dyDescent="0.3">
      <c r="A70" s="178"/>
      <c r="B70" s="46" t="s">
        <v>2</v>
      </c>
      <c r="C70" s="1124">
        <f t="shared" si="2"/>
        <v>45911</v>
      </c>
      <c r="D70" s="498"/>
      <c r="E70" s="498" t="s">
        <v>485</v>
      </c>
      <c r="F70" s="1134">
        <f t="shared" si="3"/>
        <v>45939</v>
      </c>
      <c r="G70" s="498"/>
      <c r="H70" s="498"/>
      <c r="I70" s="1142">
        <f t="shared" si="4"/>
        <v>45967</v>
      </c>
      <c r="J70" s="498"/>
      <c r="K70" s="498"/>
      <c r="L70" s="1134">
        <f t="shared" si="5"/>
        <v>46002</v>
      </c>
      <c r="M70" s="498"/>
      <c r="N70" s="499" t="s">
        <v>501</v>
      </c>
      <c r="O70" s="46" t="s">
        <v>2</v>
      </c>
      <c r="P70" s="178"/>
      <c r="Q70" s="1111"/>
    </row>
    <row r="71" spans="1:17" s="13" customFormat="1" ht="15.6" x14ac:dyDescent="0.3">
      <c r="A71" s="178"/>
      <c r="B71" s="46" t="s">
        <v>3</v>
      </c>
      <c r="C71" s="1124">
        <f t="shared" si="2"/>
        <v>45912</v>
      </c>
      <c r="D71" s="498"/>
      <c r="E71" s="498" t="s">
        <v>338</v>
      </c>
      <c r="F71" s="1134">
        <f t="shared" si="3"/>
        <v>45940</v>
      </c>
      <c r="G71" s="498" t="s">
        <v>105</v>
      </c>
      <c r="H71" s="498"/>
      <c r="I71" s="1142">
        <f t="shared" si="4"/>
        <v>45968</v>
      </c>
      <c r="J71" s="498"/>
      <c r="K71" s="498"/>
      <c r="L71" s="1134">
        <f t="shared" si="5"/>
        <v>46003</v>
      </c>
      <c r="M71" s="498"/>
      <c r="N71" s="499" t="s">
        <v>501</v>
      </c>
      <c r="O71" s="46" t="s">
        <v>3</v>
      </c>
      <c r="P71" s="178"/>
      <c r="Q71" s="1111"/>
    </row>
    <row r="72" spans="1:17" s="13" customFormat="1" ht="15.6" x14ac:dyDescent="0.3">
      <c r="A72" s="178"/>
      <c r="B72" s="486" t="s">
        <v>28</v>
      </c>
      <c r="C72" s="1125">
        <f>C71+1</f>
        <v>45913</v>
      </c>
      <c r="D72" s="444"/>
      <c r="E72" s="444"/>
      <c r="F72" s="1120">
        <f>F71+1</f>
        <v>45941</v>
      </c>
      <c r="G72" s="444"/>
      <c r="H72" s="444"/>
      <c r="I72" s="1130">
        <f>I71+1</f>
        <v>45969</v>
      </c>
      <c r="J72" s="444"/>
      <c r="K72" s="444"/>
      <c r="L72" s="1120">
        <f>L71+1</f>
        <v>46004</v>
      </c>
      <c r="M72" s="444"/>
      <c r="N72" s="447"/>
      <c r="O72" s="486" t="s">
        <v>28</v>
      </c>
      <c r="P72" s="178"/>
      <c r="Q72" s="1111"/>
    </row>
    <row r="73" spans="1:17" s="13" customFormat="1" ht="16.2" thickBot="1" x14ac:dyDescent="0.35">
      <c r="A73" s="178"/>
      <c r="B73" s="486" t="s">
        <v>29</v>
      </c>
      <c r="C73" s="1126">
        <f>C72+1</f>
        <v>45914</v>
      </c>
      <c r="D73" s="445"/>
      <c r="E73" s="445"/>
      <c r="F73" s="1135">
        <f>F72+1</f>
        <v>45942</v>
      </c>
      <c r="G73" s="445"/>
      <c r="H73" s="445"/>
      <c r="I73" s="1143">
        <f>I72+1</f>
        <v>45970</v>
      </c>
      <c r="J73" s="445"/>
      <c r="K73" s="445"/>
      <c r="L73" s="1135">
        <f>L72+1</f>
        <v>46005</v>
      </c>
      <c r="M73" s="445"/>
      <c r="N73" s="446"/>
      <c r="O73" s="486" t="s">
        <v>29</v>
      </c>
      <c r="P73" s="178"/>
      <c r="Q73" s="1111"/>
    </row>
    <row r="74" spans="1:17" s="13" customFormat="1" ht="15.6" x14ac:dyDescent="0.3">
      <c r="A74" s="178"/>
      <c r="B74" s="46" t="s">
        <v>0</v>
      </c>
      <c r="C74" s="1124">
        <f>C73+1</f>
        <v>45915</v>
      </c>
      <c r="D74" s="498"/>
      <c r="E74" s="498"/>
      <c r="F74" s="1134">
        <f>F73+1</f>
        <v>45943</v>
      </c>
      <c r="G74" s="498" t="s">
        <v>105</v>
      </c>
      <c r="H74" s="498"/>
      <c r="I74" s="1142">
        <f>I73+1</f>
        <v>45971</v>
      </c>
      <c r="J74" s="498"/>
      <c r="K74" s="498"/>
      <c r="L74" s="1134">
        <f>L73+1</f>
        <v>46006</v>
      </c>
      <c r="M74" s="498"/>
      <c r="N74" s="499" t="s">
        <v>494</v>
      </c>
      <c r="O74" s="46" t="s">
        <v>0</v>
      </c>
      <c r="P74" s="178"/>
      <c r="Q74" s="1111"/>
    </row>
    <row r="75" spans="1:17" s="13" customFormat="1" ht="15.6" x14ac:dyDescent="0.3">
      <c r="A75" s="178"/>
      <c r="B75" s="46" t="s">
        <v>1</v>
      </c>
      <c r="C75" s="1124">
        <f>C74+1</f>
        <v>45916</v>
      </c>
      <c r="D75" s="498"/>
      <c r="E75" s="498"/>
      <c r="F75" s="1134">
        <f>F74+1</f>
        <v>45944</v>
      </c>
      <c r="G75" s="498"/>
      <c r="H75" s="498"/>
      <c r="I75" s="1142">
        <f>I74+1</f>
        <v>45972</v>
      </c>
      <c r="J75" s="498"/>
      <c r="K75" s="498"/>
      <c r="L75" s="1134">
        <f>L74+1</f>
        <v>46007</v>
      </c>
      <c r="M75" s="498"/>
      <c r="N75" s="499" t="s">
        <v>500</v>
      </c>
      <c r="O75" s="46" t="s">
        <v>1</v>
      </c>
      <c r="P75" s="178"/>
      <c r="Q75" s="1111"/>
    </row>
    <row r="76" spans="1:17" s="13" customFormat="1" ht="15.6" x14ac:dyDescent="0.3">
      <c r="A76" s="178"/>
      <c r="B76" s="46" t="s">
        <v>27</v>
      </c>
      <c r="C76" s="1124">
        <f t="shared" ref="C76:C78" si="6">C75+1</f>
        <v>45917</v>
      </c>
      <c r="D76" s="498"/>
      <c r="E76" s="498"/>
      <c r="F76" s="1134">
        <f t="shared" ref="F76:F78" si="7">F75+1</f>
        <v>45945</v>
      </c>
      <c r="G76" s="498"/>
      <c r="H76" s="498"/>
      <c r="I76" s="1142">
        <f t="shared" ref="I76:I78" si="8">I75+1</f>
        <v>45973</v>
      </c>
      <c r="J76" s="498"/>
      <c r="K76" s="498"/>
      <c r="L76" s="1134">
        <f t="shared" ref="L76:L78" si="9">L75+1</f>
        <v>46008</v>
      </c>
      <c r="M76" s="498"/>
      <c r="N76" s="499" t="s">
        <v>510</v>
      </c>
      <c r="O76" s="46" t="s">
        <v>27</v>
      </c>
      <c r="P76" s="178"/>
      <c r="Q76" s="1111"/>
    </row>
    <row r="77" spans="1:17" s="13" customFormat="1" ht="15.6" x14ac:dyDescent="0.3">
      <c r="A77" s="178"/>
      <c r="B77" s="46" t="s">
        <v>2</v>
      </c>
      <c r="C77" s="1124">
        <f t="shared" si="6"/>
        <v>45918</v>
      </c>
      <c r="D77" s="498"/>
      <c r="E77" s="498"/>
      <c r="F77" s="1134">
        <f t="shared" si="7"/>
        <v>45946</v>
      </c>
      <c r="G77" s="498"/>
      <c r="H77" s="498"/>
      <c r="I77" s="1142">
        <f t="shared" si="8"/>
        <v>45974</v>
      </c>
      <c r="J77" s="498"/>
      <c r="K77" s="498"/>
      <c r="L77" s="1134">
        <f t="shared" si="9"/>
        <v>46009</v>
      </c>
      <c r="M77" s="498"/>
      <c r="N77" s="499"/>
      <c r="O77" s="46" t="s">
        <v>2</v>
      </c>
      <c r="P77" s="178"/>
      <c r="Q77" s="1111"/>
    </row>
    <row r="78" spans="1:17" s="13" customFormat="1" ht="15.6" x14ac:dyDescent="0.3">
      <c r="A78" s="178"/>
      <c r="B78" s="46" t="s">
        <v>3</v>
      </c>
      <c r="C78" s="1124">
        <f t="shared" si="6"/>
        <v>45919</v>
      </c>
      <c r="D78" s="498"/>
      <c r="E78" s="498"/>
      <c r="F78" s="1134">
        <f t="shared" si="7"/>
        <v>45947</v>
      </c>
      <c r="G78" s="498"/>
      <c r="H78" s="498"/>
      <c r="I78" s="1142">
        <f t="shared" si="8"/>
        <v>45975</v>
      </c>
      <c r="J78" s="498"/>
      <c r="K78" s="498"/>
      <c r="L78" s="1134">
        <f t="shared" si="9"/>
        <v>46010</v>
      </c>
      <c r="M78" s="498"/>
      <c r="N78" s="499"/>
      <c r="O78" s="46" t="s">
        <v>3</v>
      </c>
      <c r="P78" s="178"/>
      <c r="Q78" s="1111"/>
    </row>
    <row r="79" spans="1:17" s="13" customFormat="1" ht="15.6" x14ac:dyDescent="0.3">
      <c r="A79" s="178"/>
      <c r="B79" s="486" t="s">
        <v>28</v>
      </c>
      <c r="C79" s="1125">
        <f>C78+1</f>
        <v>45920</v>
      </c>
      <c r="D79" s="444"/>
      <c r="E79" s="444"/>
      <c r="F79" s="1120">
        <f>F78+1</f>
        <v>45948</v>
      </c>
      <c r="G79" s="444"/>
      <c r="H79" s="444"/>
      <c r="I79" s="1130">
        <f>I78+1</f>
        <v>45976</v>
      </c>
      <c r="J79" s="444"/>
      <c r="K79" s="444"/>
      <c r="L79" s="1120">
        <f>L78+1</f>
        <v>46011</v>
      </c>
      <c r="M79" s="444"/>
      <c r="N79" s="447"/>
      <c r="O79" s="486" t="s">
        <v>28</v>
      </c>
      <c r="P79" s="178"/>
      <c r="Q79" s="1111"/>
    </row>
    <row r="80" spans="1:17" s="13" customFormat="1" ht="16.2" thickBot="1" x14ac:dyDescent="0.35">
      <c r="A80" s="178"/>
      <c r="B80" s="486" t="s">
        <v>29</v>
      </c>
      <c r="C80" s="1125">
        <f>C79+1</f>
        <v>45921</v>
      </c>
      <c r="D80" s="444"/>
      <c r="E80" s="444"/>
      <c r="F80" s="1120">
        <f>F79+1</f>
        <v>45949</v>
      </c>
      <c r="G80" s="444"/>
      <c r="H80" s="444"/>
      <c r="I80" s="1130">
        <f>I79+1</f>
        <v>45977</v>
      </c>
      <c r="J80" s="444"/>
      <c r="K80" s="444"/>
      <c r="L80" s="1120">
        <f>L79+1</f>
        <v>46012</v>
      </c>
      <c r="M80" s="444"/>
      <c r="N80" s="447"/>
      <c r="O80" s="486" t="s">
        <v>29</v>
      </c>
      <c r="P80" s="178"/>
      <c r="Q80" s="1111"/>
    </row>
    <row r="81" spans="1:17" s="13" customFormat="1" ht="15.6" x14ac:dyDescent="0.3">
      <c r="A81" s="178"/>
      <c r="B81" s="46" t="s">
        <v>0</v>
      </c>
      <c r="C81" s="1123">
        <f>C80+1</f>
        <v>45922</v>
      </c>
      <c r="D81" s="496"/>
      <c r="E81" s="496"/>
      <c r="F81" s="1133">
        <f>F80+1</f>
        <v>45950</v>
      </c>
      <c r="G81" s="496"/>
      <c r="H81" s="496"/>
      <c r="I81" s="1141">
        <f>I80+1</f>
        <v>45978</v>
      </c>
      <c r="J81" s="496"/>
      <c r="K81" s="496" t="s">
        <v>495</v>
      </c>
      <c r="L81" s="1133">
        <f>L80+1</f>
        <v>46013</v>
      </c>
      <c r="M81" s="496" t="s">
        <v>16</v>
      </c>
      <c r="N81" s="497"/>
      <c r="O81" s="46" t="s">
        <v>0</v>
      </c>
      <c r="P81" s="178"/>
      <c r="Q81" s="1111"/>
    </row>
    <row r="82" spans="1:17" s="13" customFormat="1" ht="15.6" x14ac:dyDescent="0.3">
      <c r="A82" s="178"/>
      <c r="B82" s="46" t="s">
        <v>1</v>
      </c>
      <c r="C82" s="1124">
        <f>C81+1</f>
        <v>45923</v>
      </c>
      <c r="D82" s="498"/>
      <c r="E82" s="498"/>
      <c r="F82" s="1134">
        <f>F81+1</f>
        <v>45951</v>
      </c>
      <c r="G82" s="498"/>
      <c r="H82" s="498"/>
      <c r="I82" s="1142">
        <f>I81+1</f>
        <v>45979</v>
      </c>
      <c r="J82" s="498"/>
      <c r="K82" s="498"/>
      <c r="L82" s="1134">
        <f>L81+1</f>
        <v>46014</v>
      </c>
      <c r="M82" s="498" t="s">
        <v>16</v>
      </c>
      <c r="N82" s="499"/>
      <c r="O82" s="46" t="s">
        <v>1</v>
      </c>
      <c r="P82" s="178"/>
      <c r="Q82" s="1111"/>
    </row>
    <row r="83" spans="1:17" s="13" customFormat="1" ht="15.6" x14ac:dyDescent="0.3">
      <c r="A83" s="178"/>
      <c r="B83" s="46" t="s">
        <v>27</v>
      </c>
      <c r="C83" s="1124">
        <f t="shared" ref="C83:C85" si="10">C82+1</f>
        <v>45924</v>
      </c>
      <c r="D83" s="498"/>
      <c r="E83" s="498"/>
      <c r="F83" s="1134">
        <f t="shared" ref="F83:F85" si="11">F82+1</f>
        <v>45952</v>
      </c>
      <c r="G83" s="498"/>
      <c r="H83" s="498"/>
      <c r="I83" s="1142">
        <f t="shared" ref="I83:I85" si="12">I82+1</f>
        <v>45980</v>
      </c>
      <c r="J83" s="498"/>
      <c r="K83" s="498"/>
      <c r="L83" s="1134">
        <f t="shared" ref="L83:L85" si="13">L82+1</f>
        <v>46015</v>
      </c>
      <c r="M83" s="498" t="s">
        <v>16</v>
      </c>
      <c r="N83" s="499"/>
      <c r="O83" s="46" t="s">
        <v>27</v>
      </c>
      <c r="P83" s="178"/>
      <c r="Q83" s="1111"/>
    </row>
    <row r="84" spans="1:17" s="13" customFormat="1" ht="15.6" x14ac:dyDescent="0.3">
      <c r="A84" s="178"/>
      <c r="B84" s="46" t="s">
        <v>2</v>
      </c>
      <c r="C84" s="1124">
        <f t="shared" si="10"/>
        <v>45925</v>
      </c>
      <c r="D84" s="498"/>
      <c r="E84" s="498"/>
      <c r="F84" s="1134">
        <f t="shared" si="11"/>
        <v>45953</v>
      </c>
      <c r="G84" s="498"/>
      <c r="H84" s="498"/>
      <c r="I84" s="1142">
        <f t="shared" si="12"/>
        <v>45981</v>
      </c>
      <c r="J84" s="498"/>
      <c r="K84" s="498"/>
      <c r="L84" s="1134">
        <f t="shared" si="13"/>
        <v>46016</v>
      </c>
      <c r="M84" s="498" t="s">
        <v>16</v>
      </c>
      <c r="N84" s="499"/>
      <c r="O84" s="46" t="s">
        <v>2</v>
      </c>
      <c r="P84" s="178"/>
      <c r="Q84" s="1111"/>
    </row>
    <row r="85" spans="1:17" s="13" customFormat="1" ht="15.6" x14ac:dyDescent="0.3">
      <c r="A85" s="178"/>
      <c r="B85" s="46" t="s">
        <v>3</v>
      </c>
      <c r="C85" s="1124">
        <f t="shared" si="10"/>
        <v>45926</v>
      </c>
      <c r="D85" s="498"/>
      <c r="E85" s="498"/>
      <c r="F85" s="1134">
        <f t="shared" si="11"/>
        <v>45954</v>
      </c>
      <c r="G85" s="498"/>
      <c r="H85" s="498"/>
      <c r="I85" s="1142">
        <f t="shared" si="12"/>
        <v>45982</v>
      </c>
      <c r="J85" s="498"/>
      <c r="K85" s="498"/>
      <c r="L85" s="1134">
        <f t="shared" si="13"/>
        <v>46017</v>
      </c>
      <c r="M85" s="498" t="s">
        <v>16</v>
      </c>
      <c r="N85" s="499"/>
      <c r="O85" s="46" t="s">
        <v>3</v>
      </c>
      <c r="P85" s="178"/>
      <c r="Q85" s="1111"/>
    </row>
    <row r="86" spans="1:17" s="13" customFormat="1" ht="15.6" x14ac:dyDescent="0.3">
      <c r="A86" s="178"/>
      <c r="B86" s="486" t="s">
        <v>28</v>
      </c>
      <c r="C86" s="1125">
        <f>C85+1</f>
        <v>45927</v>
      </c>
      <c r="D86" s="444"/>
      <c r="E86" s="444"/>
      <c r="F86" s="1120">
        <f>F85+1</f>
        <v>45955</v>
      </c>
      <c r="G86" s="444"/>
      <c r="H86" s="444"/>
      <c r="I86" s="1130">
        <f>I85+1</f>
        <v>45983</v>
      </c>
      <c r="J86" s="444"/>
      <c r="K86" s="444"/>
      <c r="L86" s="1120">
        <f>L85+1</f>
        <v>46018</v>
      </c>
      <c r="M86" s="444"/>
      <c r="N86" s="447"/>
      <c r="O86" s="486" t="s">
        <v>28</v>
      </c>
      <c r="P86" s="178"/>
      <c r="Q86" s="1111"/>
    </row>
    <row r="87" spans="1:17" s="13" customFormat="1" ht="16.2" thickBot="1" x14ac:dyDescent="0.35">
      <c r="A87" s="178"/>
      <c r="B87" s="486" t="s">
        <v>29</v>
      </c>
      <c r="C87" s="1126">
        <f>C86+1</f>
        <v>45928</v>
      </c>
      <c r="D87" s="445"/>
      <c r="E87" s="445"/>
      <c r="F87" s="1135">
        <f>F86+1</f>
        <v>45956</v>
      </c>
      <c r="G87" s="445"/>
      <c r="H87" s="445"/>
      <c r="I87" s="1143">
        <f>I86+1</f>
        <v>45984</v>
      </c>
      <c r="J87" s="445"/>
      <c r="K87" s="445"/>
      <c r="L87" s="1135">
        <f>L86+1</f>
        <v>46019</v>
      </c>
      <c r="M87" s="445"/>
      <c r="N87" s="446"/>
      <c r="O87" s="486" t="s">
        <v>29</v>
      </c>
      <c r="P87" s="178"/>
      <c r="Q87" s="1111"/>
    </row>
    <row r="88" spans="1:17" s="13" customFormat="1" ht="15.6" x14ac:dyDescent="0.3">
      <c r="A88" s="178"/>
      <c r="B88" s="46" t="s">
        <v>0</v>
      </c>
      <c r="C88" s="1124">
        <f>IF(MONTH(C74+14)=MONTH(C74),C74+14,0)</f>
        <v>45929</v>
      </c>
      <c r="D88" s="498"/>
      <c r="E88" s="498"/>
      <c r="F88" s="1134">
        <f>IF(MONTH(F74+14)=MONTH(F74),F74+14,0)</f>
        <v>45957</v>
      </c>
      <c r="G88" s="498"/>
      <c r="H88" s="498"/>
      <c r="I88" s="1142">
        <f>IF(MONTH(I74+14)=MONTH(I74),I74+14,0)</f>
        <v>45985</v>
      </c>
      <c r="J88" s="498"/>
      <c r="K88" s="498"/>
      <c r="L88" s="1134">
        <f>IF(MONTH(L74+14)=MONTH(L74),L74+14,0)</f>
        <v>46020</v>
      </c>
      <c r="M88" s="498" t="s">
        <v>16</v>
      </c>
      <c r="N88" s="499"/>
      <c r="O88" s="46" t="s">
        <v>0</v>
      </c>
      <c r="P88" s="178"/>
      <c r="Q88" s="1111"/>
    </row>
    <row r="89" spans="1:17" s="13" customFormat="1" ht="15.6" x14ac:dyDescent="0.3">
      <c r="A89" s="178"/>
      <c r="B89" s="46" t="s">
        <v>1</v>
      </c>
      <c r="C89" s="1124">
        <f>IF(MONTH(C75+14)=MONTH(C75),C75+14,0)</f>
        <v>45930</v>
      </c>
      <c r="D89" s="498"/>
      <c r="E89" s="498"/>
      <c r="F89" s="1134">
        <f>IF(MONTH(F75+14)=MONTH(F75),F75+14,0)</f>
        <v>45958</v>
      </c>
      <c r="G89" s="498"/>
      <c r="H89" s="498"/>
      <c r="I89" s="1142">
        <f>IF(MONTH(I75+14)=MONTH(I75),I75+14,0)</f>
        <v>45986</v>
      </c>
      <c r="J89" s="498"/>
      <c r="K89" s="498"/>
      <c r="L89" s="1134">
        <f>IF(MONTH(L75+14)=MONTH(L75),L75+14,0)</f>
        <v>46021</v>
      </c>
      <c r="M89" s="498" t="s">
        <v>16</v>
      </c>
      <c r="N89" s="499"/>
      <c r="O89" s="46" t="s">
        <v>1</v>
      </c>
      <c r="P89" s="178"/>
      <c r="Q89" s="1111"/>
    </row>
    <row r="90" spans="1:17" s="13" customFormat="1" ht="15.6" x14ac:dyDescent="0.3">
      <c r="A90" s="178"/>
      <c r="B90" s="46" t="s">
        <v>27</v>
      </c>
      <c r="C90" s="1124">
        <f t="shared" ref="C90:C91" si="14">IF(MONTH(C76+14)=MONTH(C76),C76+14,0)</f>
        <v>0</v>
      </c>
      <c r="D90" s="498"/>
      <c r="E90" s="498"/>
      <c r="F90" s="1134">
        <f t="shared" ref="F90:F91" si="15">IF(MONTH(F76+14)=MONTH(F76),F76+14,0)</f>
        <v>45959</v>
      </c>
      <c r="G90" s="498"/>
      <c r="H90" s="498"/>
      <c r="I90" s="1142">
        <f t="shared" ref="I90:I91" si="16">IF(MONTH(I76+14)=MONTH(I76),I76+14,0)</f>
        <v>45987</v>
      </c>
      <c r="J90" s="498"/>
      <c r="K90" s="1070" t="s">
        <v>497</v>
      </c>
      <c r="L90" s="1134">
        <f t="shared" ref="L90:L91" si="17">IF(MONTH(L76+14)=MONTH(L76),L76+14,0)</f>
        <v>46022</v>
      </c>
      <c r="M90" s="498" t="s">
        <v>16</v>
      </c>
      <c r="N90" s="499"/>
      <c r="O90" s="46" t="s">
        <v>27</v>
      </c>
      <c r="P90" s="178"/>
      <c r="Q90" s="1111"/>
    </row>
    <row r="91" spans="1:17" s="13" customFormat="1" ht="15.6" x14ac:dyDescent="0.3">
      <c r="A91" s="178"/>
      <c r="B91" s="46" t="s">
        <v>2</v>
      </c>
      <c r="C91" s="1124">
        <f t="shared" si="14"/>
        <v>0</v>
      </c>
      <c r="D91" s="498"/>
      <c r="E91" s="1069" t="s">
        <v>506</v>
      </c>
      <c r="F91" s="1134">
        <f t="shared" si="15"/>
        <v>45960</v>
      </c>
      <c r="G91" s="498"/>
      <c r="H91" s="498"/>
      <c r="I91" s="1142">
        <f t="shared" si="16"/>
        <v>45988</v>
      </c>
      <c r="J91" s="498"/>
      <c r="K91" s="1070"/>
      <c r="L91" s="1134">
        <f t="shared" si="17"/>
        <v>0</v>
      </c>
      <c r="M91" s="498"/>
      <c r="N91" s="499"/>
      <c r="O91" s="46" t="s">
        <v>2</v>
      </c>
      <c r="P91" s="178"/>
      <c r="Q91" s="1111"/>
    </row>
    <row r="92" spans="1:17" s="13" customFormat="1" ht="15.6" x14ac:dyDescent="0.3">
      <c r="A92" s="178"/>
      <c r="B92" s="46" t="s">
        <v>3</v>
      </c>
      <c r="C92" s="1124">
        <f>IF(MONTH(C78+14)=MONTH(C78),C78+14,0)</f>
        <v>0</v>
      </c>
      <c r="D92" s="498"/>
      <c r="E92" s="498"/>
      <c r="F92" s="1134">
        <f>IF(MONTH(F78+14)=MONTH(F78),F78+14,0)</f>
        <v>45961</v>
      </c>
      <c r="G92" s="498"/>
      <c r="H92" s="498"/>
      <c r="I92" s="1142">
        <f>IF(MONTH(I78+14)=MONTH(I78),I78+14,0)</f>
        <v>45989</v>
      </c>
      <c r="J92" s="498"/>
      <c r="K92" s="1070" t="s">
        <v>496</v>
      </c>
      <c r="L92" s="1134">
        <f>IF(MONTH(L78+14)=MONTH(L78),L78+14,0)</f>
        <v>0</v>
      </c>
      <c r="M92" s="498"/>
      <c r="N92" s="499"/>
      <c r="O92" s="46" t="s">
        <v>3</v>
      </c>
      <c r="P92" s="178"/>
      <c r="Q92" s="1111"/>
    </row>
    <row r="93" spans="1:17" s="13" customFormat="1" ht="31.2" x14ac:dyDescent="0.3">
      <c r="A93" s="178"/>
      <c r="B93" s="486" t="s">
        <v>28</v>
      </c>
      <c r="C93" s="1125">
        <f>IF(MONTH(C79+14)=MONTH(C79),C79+14,0)</f>
        <v>0</v>
      </c>
      <c r="D93" s="444"/>
      <c r="E93" s="444"/>
      <c r="F93" s="1120">
        <f>IF(MONTH(F79+14)=MONTH(F79),F79+14,0)</f>
        <v>0</v>
      </c>
      <c r="G93" s="444"/>
      <c r="H93" s="444" t="s">
        <v>505</v>
      </c>
      <c r="I93" s="1130">
        <f>IF(MONTH(I79+14)=MONTH(I79),I79+14,0)</f>
        <v>45990</v>
      </c>
      <c r="J93" s="444"/>
      <c r="K93" s="444"/>
      <c r="L93" s="1120">
        <f>IF(MONTH(L79+14)=MONTH(L79),L79+14,0)</f>
        <v>0</v>
      </c>
      <c r="M93" s="444"/>
      <c r="N93" s="447"/>
      <c r="O93" s="486" t="s">
        <v>28</v>
      </c>
      <c r="P93" s="178"/>
      <c r="Q93" s="1111"/>
    </row>
    <row r="94" spans="1:17" s="13" customFormat="1" ht="16.2" thickBot="1" x14ac:dyDescent="0.35">
      <c r="A94" s="178"/>
      <c r="B94" s="486" t="s">
        <v>29</v>
      </c>
      <c r="C94" s="1125">
        <f>IF(MONTH(C80+14)=MONTH(C80),C80+14,0)</f>
        <v>0</v>
      </c>
      <c r="D94" s="444"/>
      <c r="E94" s="444"/>
      <c r="F94" s="1120">
        <f>IF(MONTH(F80+14)=MONTH(F80),F80+14,0)</f>
        <v>0</v>
      </c>
      <c r="G94" s="444"/>
      <c r="H94" s="444"/>
      <c r="I94" s="1130">
        <f>IF(MONTH(I80+14)=MONTH(I80),I80+14,0)</f>
        <v>45991</v>
      </c>
      <c r="J94" s="444"/>
      <c r="K94" s="444"/>
      <c r="L94" s="1120">
        <f>IF(MONTH(L80+14)=MONTH(L80),L80+14,0)</f>
        <v>0</v>
      </c>
      <c r="M94" s="444"/>
      <c r="N94" s="447"/>
      <c r="O94" s="486" t="s">
        <v>29</v>
      </c>
      <c r="P94" s="178"/>
      <c r="Q94" s="1111"/>
    </row>
    <row r="95" spans="1:17" s="13" customFormat="1" ht="15.6" x14ac:dyDescent="0.3">
      <c r="A95" s="178"/>
      <c r="B95" s="46" t="s">
        <v>0</v>
      </c>
      <c r="C95" s="1123">
        <f>IF(MONTH(C81+14)=MONTH(C81),C81+14,0)</f>
        <v>0</v>
      </c>
      <c r="D95" s="496"/>
      <c r="E95" s="496"/>
      <c r="F95" s="1133">
        <f>IF(MONTH(F81+14)=MONTH(F81),F81+14,0)</f>
        <v>0</v>
      </c>
      <c r="G95" s="496"/>
      <c r="H95" s="496"/>
      <c r="I95" s="1141">
        <f>IF(MONTH(I81+14)=MONTH(I81),I81+14,0)</f>
        <v>0</v>
      </c>
      <c r="J95" s="496"/>
      <c r="K95" s="496"/>
      <c r="L95" s="1133">
        <f>IF(MONTH(L81+14)=MONTH(L81),L81+14,0)</f>
        <v>0</v>
      </c>
      <c r="M95" s="496"/>
      <c r="N95" s="497"/>
      <c r="O95" s="46" t="s">
        <v>0</v>
      </c>
      <c r="P95" s="178"/>
      <c r="Q95" s="1111"/>
    </row>
    <row r="96" spans="1:17" s="13" customFormat="1" ht="15.6" x14ac:dyDescent="0.3">
      <c r="A96" s="178"/>
      <c r="B96" s="46" t="s">
        <v>1</v>
      </c>
      <c r="C96" s="1124">
        <f>IF(MONTH(C82+14)=MONTH(C82),C82+14,0)</f>
        <v>0</v>
      </c>
      <c r="D96" s="498"/>
      <c r="E96" s="498"/>
      <c r="F96" s="1134">
        <f>IF(MONTH(F82+14)=MONTH(F82),F82+14,0)</f>
        <v>0</v>
      </c>
      <c r="G96" s="498"/>
      <c r="H96" s="498"/>
      <c r="I96" s="1142">
        <f>IF(MONTH(I82+14)=MONTH(I82),I82+14,0)</f>
        <v>0</v>
      </c>
      <c r="J96" s="498"/>
      <c r="K96" s="498"/>
      <c r="L96" s="1134">
        <f>IF(MONTH(L82+14)=MONTH(L82),L82+14,0)</f>
        <v>0</v>
      </c>
      <c r="M96" s="498"/>
      <c r="N96" s="499"/>
      <c r="O96" s="46" t="s">
        <v>1</v>
      </c>
      <c r="P96" s="178"/>
      <c r="Q96" s="1111"/>
    </row>
    <row r="97" spans="1:44" s="13" customFormat="1" ht="15.6" x14ac:dyDescent="0.3">
      <c r="A97" s="178"/>
      <c r="B97" s="46" t="s">
        <v>27</v>
      </c>
      <c r="C97" s="1124">
        <f t="shared" ref="C97:C98" si="18">IF(MONTH(C83+14)=MONTH(C83),C83+14,0)</f>
        <v>0</v>
      </c>
      <c r="D97" s="498"/>
      <c r="E97" s="498"/>
      <c r="F97" s="1134">
        <f t="shared" ref="F97:F98" si="19">IF(MONTH(F83+14)=MONTH(F83),F83+14,0)</f>
        <v>0</v>
      </c>
      <c r="G97" s="498"/>
      <c r="H97" s="498"/>
      <c r="I97" s="1142">
        <f t="shared" ref="I97:I98" si="20">IF(MONTH(I83+14)=MONTH(I83),I83+14,0)</f>
        <v>0</v>
      </c>
      <c r="J97" s="498"/>
      <c r="K97" s="498"/>
      <c r="L97" s="1134">
        <f t="shared" ref="L97:L98" si="21">IF(MONTH(L83+14)=MONTH(L83),L83+14,0)</f>
        <v>0</v>
      </c>
      <c r="M97" s="498"/>
      <c r="N97" s="499"/>
      <c r="O97" s="46" t="s">
        <v>27</v>
      </c>
      <c r="P97" s="178"/>
      <c r="Q97" s="1111"/>
    </row>
    <row r="98" spans="1:44" s="13" customFormat="1" ht="15.6" x14ac:dyDescent="0.3">
      <c r="A98" s="178"/>
      <c r="B98" s="46" t="s">
        <v>2</v>
      </c>
      <c r="C98" s="1124">
        <f t="shared" si="18"/>
        <v>0</v>
      </c>
      <c r="D98" s="498"/>
      <c r="E98" s="498"/>
      <c r="F98" s="1134">
        <f t="shared" si="19"/>
        <v>0</v>
      </c>
      <c r="G98" s="498"/>
      <c r="H98" s="498"/>
      <c r="I98" s="1142">
        <f t="shared" si="20"/>
        <v>0</v>
      </c>
      <c r="J98" s="498"/>
      <c r="K98" s="498"/>
      <c r="L98" s="1134">
        <f t="shared" si="21"/>
        <v>0</v>
      </c>
      <c r="M98" s="498"/>
      <c r="N98" s="499"/>
      <c r="O98" s="46" t="s">
        <v>2</v>
      </c>
      <c r="P98" s="178"/>
      <c r="Q98" s="1111"/>
    </row>
    <row r="99" spans="1:44" s="13" customFormat="1" ht="15.6" x14ac:dyDescent="0.3">
      <c r="A99" s="178"/>
      <c r="B99" s="46" t="s">
        <v>3</v>
      </c>
      <c r="C99" s="1124">
        <f>IF(MONTH(C85+14)=MONTH(C85),C85+14,0)</f>
        <v>0</v>
      </c>
      <c r="D99" s="498"/>
      <c r="E99" s="498"/>
      <c r="F99" s="1134">
        <f>IF(MONTH(F85+14)=MONTH(F85),F85+14,0)</f>
        <v>0</v>
      </c>
      <c r="G99" s="498"/>
      <c r="H99" s="498"/>
      <c r="I99" s="1142">
        <f>IF(MONTH(I85+14)=MONTH(I85),I85+14,0)</f>
        <v>0</v>
      </c>
      <c r="J99" s="498"/>
      <c r="K99" s="498"/>
      <c r="L99" s="1134">
        <f>IF(MONTH(L85+14)=MONTH(L85),L85+14,0)</f>
        <v>0</v>
      </c>
      <c r="M99" s="498"/>
      <c r="N99" s="499"/>
      <c r="O99" s="46" t="s">
        <v>3</v>
      </c>
      <c r="P99" s="178"/>
      <c r="Q99" s="1111"/>
    </row>
    <row r="100" spans="1:44" s="13" customFormat="1" ht="15.6" x14ac:dyDescent="0.3">
      <c r="A100" s="178"/>
      <c r="B100" s="486" t="s">
        <v>28</v>
      </c>
      <c r="C100" s="1125">
        <f>IF(MONTH(C86+14)=MONTH(C86),C86+14,0)</f>
        <v>0</v>
      </c>
      <c r="D100" s="444"/>
      <c r="E100" s="444"/>
      <c r="F100" s="1120">
        <f>IF(MONTH(F86+14)=MONTH(F86),F86+14,0)</f>
        <v>0</v>
      </c>
      <c r="G100" s="444"/>
      <c r="H100" s="444"/>
      <c r="I100" s="1130">
        <f>IF(MONTH(I86+14)=MONTH(I86),I86+14,0)</f>
        <v>0</v>
      </c>
      <c r="J100" s="444"/>
      <c r="K100" s="444"/>
      <c r="L100" s="1120">
        <f>IF(MONTH(L86+14)=MONTH(L86),L86+14,0)</f>
        <v>0</v>
      </c>
      <c r="M100" s="444"/>
      <c r="N100" s="447"/>
      <c r="O100" s="486" t="s">
        <v>28</v>
      </c>
      <c r="P100" s="178"/>
      <c r="Q100" s="1111"/>
    </row>
    <row r="101" spans="1:44" s="13" customFormat="1" ht="16.2" thickBot="1" x14ac:dyDescent="0.35">
      <c r="A101" s="178"/>
      <c r="B101" s="486" t="s">
        <v>29</v>
      </c>
      <c r="C101" s="1126">
        <f>IF(MONTH(C87+14)=MONTH(C87),C87+14,0)</f>
        <v>0</v>
      </c>
      <c r="D101" s="445"/>
      <c r="E101" s="445"/>
      <c r="F101" s="1135">
        <f>IF(MONTH(F87+14)=MONTH(F87),F87+14,0)</f>
        <v>0</v>
      </c>
      <c r="G101" s="445"/>
      <c r="H101" s="445"/>
      <c r="I101" s="1143">
        <f>IF(MONTH(I87+14)=MONTH(I87),I87+14,0)</f>
        <v>0</v>
      </c>
      <c r="J101" s="445"/>
      <c r="K101" s="445"/>
      <c r="L101" s="1135">
        <f>IF(MONTH(L87+14)=MONTH(L87),L87+14,0)</f>
        <v>0</v>
      </c>
      <c r="M101" s="445"/>
      <c r="N101" s="446"/>
      <c r="O101" s="486" t="s">
        <v>29</v>
      </c>
      <c r="P101" s="178"/>
      <c r="Q101" s="1111"/>
    </row>
    <row r="102" spans="1:44" s="13" customFormat="1" ht="15.6" x14ac:dyDescent="0.3">
      <c r="B102" s="46"/>
      <c r="C102" s="76"/>
      <c r="F102" s="443"/>
      <c r="I102" s="76"/>
      <c r="L102" s="443"/>
      <c r="O102" s="46"/>
      <c r="Q102" s="1111"/>
    </row>
    <row r="103" spans="1:44" s="1" customFormat="1" ht="21" thickBot="1" x14ac:dyDescent="0.4">
      <c r="B103" s="1108" t="str">
        <f>"Calendario. Segundo trimestre académico, primer trimestre del "&amp;AñoInicioCurso+1</f>
        <v>Calendario. Segundo trimestre académico, primer trimestre del 2026</v>
      </c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1077"/>
      <c r="Q103" s="1111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R103" s="23"/>
    </row>
    <row r="104" spans="1:44" s="13" customFormat="1" ht="15.6" x14ac:dyDescent="0.3">
      <c r="B104" s="286"/>
      <c r="C104" s="1127"/>
      <c r="D104" s="133"/>
      <c r="E104" s="15"/>
      <c r="F104" s="265"/>
      <c r="G104" s="15"/>
      <c r="H104" s="15"/>
      <c r="I104" s="1127"/>
      <c r="J104" s="265"/>
      <c r="K104" s="265"/>
      <c r="L104" s="265"/>
      <c r="M104" s="15"/>
      <c r="N104" s="15"/>
      <c r="O104" s="286"/>
      <c r="Q104" s="1111"/>
    </row>
    <row r="105" spans="1:44" s="265" customFormat="1" ht="16.2" thickBot="1" x14ac:dyDescent="0.35">
      <c r="A105" s="13"/>
      <c r="B105" s="307" t="s">
        <v>23</v>
      </c>
      <c r="C105" s="1121" t="s">
        <v>154</v>
      </c>
      <c r="D105" s="514" t="s">
        <v>75</v>
      </c>
      <c r="E105" s="494" t="s">
        <v>74</v>
      </c>
      <c r="F105" s="1114" t="s">
        <v>154</v>
      </c>
      <c r="G105" s="514" t="s">
        <v>75</v>
      </c>
      <c r="H105" s="494" t="s">
        <v>74</v>
      </c>
      <c r="I105" s="1121" t="s">
        <v>154</v>
      </c>
      <c r="J105" s="514" t="s">
        <v>75</v>
      </c>
      <c r="K105" s="494" t="s">
        <v>74</v>
      </c>
      <c r="L105" s="307"/>
      <c r="M105" s="307"/>
      <c r="N105" s="307"/>
      <c r="O105" s="307" t="s">
        <v>23</v>
      </c>
      <c r="P105" s="13"/>
      <c r="Q105" s="1111"/>
      <c r="R105" s="20"/>
    </row>
    <row r="106" spans="1:44" s="13" customFormat="1" ht="15.6" x14ac:dyDescent="0.3">
      <c r="A106" s="179"/>
      <c r="B106" s="39" t="s">
        <v>181</v>
      </c>
      <c r="C106" s="1128" t="s">
        <v>183</v>
      </c>
      <c r="D106" s="270"/>
      <c r="E106" s="270"/>
      <c r="F106" s="1136"/>
      <c r="G106" s="270"/>
      <c r="H106" s="270"/>
      <c r="I106" s="1136"/>
      <c r="J106" s="270"/>
      <c r="K106" s="270"/>
      <c r="L106" s="270"/>
      <c r="M106" s="270"/>
      <c r="N106" s="270"/>
      <c r="O106" s="39" t="s">
        <v>181</v>
      </c>
      <c r="P106" s="179"/>
      <c r="Q106" s="1111"/>
    </row>
    <row r="107" spans="1:44" s="13" customFormat="1" ht="24" thickBot="1" x14ac:dyDescent="0.5">
      <c r="A107" s="179"/>
      <c r="B107" s="1063">
        <f>AñoInicioCurso+1</f>
        <v>2026</v>
      </c>
      <c r="C107" s="1122">
        <f>DATE(B107,1,1)</f>
        <v>46023</v>
      </c>
      <c r="D107" s="133" t="s">
        <v>75</v>
      </c>
      <c r="E107" s="133" t="s">
        <v>74</v>
      </c>
      <c r="F107" s="1115">
        <f>DATE(B107,2,1)</f>
        <v>46054</v>
      </c>
      <c r="G107" s="133" t="s">
        <v>75</v>
      </c>
      <c r="H107" s="133" t="s">
        <v>74</v>
      </c>
      <c r="I107" s="1122">
        <f>DATE(B107,3,1)</f>
        <v>46082</v>
      </c>
      <c r="J107" s="133" t="s">
        <v>75</v>
      </c>
      <c r="K107" s="133" t="s">
        <v>74</v>
      </c>
      <c r="L107" s="265"/>
      <c r="M107" s="15"/>
      <c r="N107" s="15"/>
      <c r="O107" s="1063">
        <f>AñoInicioCurso+1</f>
        <v>2026</v>
      </c>
      <c r="P107" s="179"/>
      <c r="Q107" s="1111"/>
    </row>
    <row r="108" spans="1:44" s="13" customFormat="1" ht="15.6" x14ac:dyDescent="0.3">
      <c r="A108" s="179"/>
      <c r="B108" s="46" t="s">
        <v>0</v>
      </c>
      <c r="C108" s="1123">
        <f>IF(WEEKDAY(C107,2)=1,C107,0)</f>
        <v>0</v>
      </c>
      <c r="D108" s="496"/>
      <c r="E108" s="496"/>
      <c r="F108" s="1116">
        <f>IF(WEEKDAY(F107,2)=1,F107,0)</f>
        <v>0</v>
      </c>
      <c r="G108" s="496"/>
      <c r="H108" s="496"/>
      <c r="I108" s="1123">
        <f>IF(WEEKDAY(I107,2)=1,I107,0)</f>
        <v>0</v>
      </c>
      <c r="J108" s="496"/>
      <c r="K108" s="1072" t="s">
        <v>489</v>
      </c>
      <c r="L108" s="265"/>
      <c r="M108" s="15"/>
      <c r="N108" s="15"/>
      <c r="O108" s="46" t="s">
        <v>0</v>
      </c>
      <c r="P108" s="179"/>
      <c r="Q108" s="1110"/>
    </row>
    <row r="109" spans="1:44" s="13" customFormat="1" ht="15.6" x14ac:dyDescent="0.3">
      <c r="A109" s="179"/>
      <c r="B109" s="46" t="s">
        <v>1</v>
      </c>
      <c r="C109" s="1124">
        <f>IF(WEEKDAY(C107,2)=2,C107,IF(WEEKDAY(C107,2)&lt;2,C108+1,0))</f>
        <v>0</v>
      </c>
      <c r="D109" s="498"/>
      <c r="E109" s="498"/>
      <c r="F109" s="1117">
        <f>IF(WEEKDAY(F107,2)=2,F107,IF(WEEKDAY(F107,2)&lt;2,F108+1,0))</f>
        <v>0</v>
      </c>
      <c r="G109" s="498"/>
      <c r="H109" s="498"/>
      <c r="I109" s="1124">
        <f>IF(WEEKDAY(I107,2)=2,I107,IF(WEEKDAY(I107,2)&lt;2,I108+1,0))</f>
        <v>0</v>
      </c>
      <c r="J109" s="498"/>
      <c r="K109" s="1068"/>
      <c r="L109" s="443"/>
      <c r="O109" s="46" t="s">
        <v>1</v>
      </c>
      <c r="P109" s="179"/>
      <c r="Q109" s="1110"/>
    </row>
    <row r="110" spans="1:44" s="13" customFormat="1" ht="15.6" x14ac:dyDescent="0.3">
      <c r="A110" s="179"/>
      <c r="B110" s="46" t="s">
        <v>27</v>
      </c>
      <c r="C110" s="1124">
        <f>IF(WEEKDAY(C107,2)=3,C107,IF(WEEKDAY(C107,2)&lt;3,C109+1,0))</f>
        <v>0</v>
      </c>
      <c r="D110" s="498"/>
      <c r="E110" s="498"/>
      <c r="F110" s="1117">
        <f>IF(WEEKDAY(F107,2)=3,F107,IF(WEEKDAY(F107,2)&lt;3,F109+1,0))</f>
        <v>0</v>
      </c>
      <c r="G110" s="498"/>
      <c r="H110" s="498"/>
      <c r="I110" s="1124">
        <f>IF(WEEKDAY(I107,2)=3,I107,IF(WEEKDAY(I107,2)&lt;3,I109+1,0))</f>
        <v>0</v>
      </c>
      <c r="J110" s="498"/>
      <c r="K110" s="499"/>
      <c r="L110" s="443"/>
      <c r="O110" s="46" t="s">
        <v>27</v>
      </c>
      <c r="P110" s="179"/>
      <c r="Q110" s="1110"/>
    </row>
    <row r="111" spans="1:44" s="13" customFormat="1" ht="15.6" x14ac:dyDescent="0.3">
      <c r="A111" s="179"/>
      <c r="B111" s="46" t="s">
        <v>2</v>
      </c>
      <c r="C111" s="1124">
        <f>IF(WEEKDAY(C107,2)=4,C107,IF(WEEKDAY(C107,2)&lt;4,C110+1,0))</f>
        <v>46023</v>
      </c>
      <c r="D111" s="498" t="s">
        <v>16</v>
      </c>
      <c r="E111" s="498"/>
      <c r="F111" s="1117">
        <f>IF(WEEKDAY(F107,2)=4,F107,IF(WEEKDAY(F107,2)&lt;4,F110+1,0))</f>
        <v>0</v>
      </c>
      <c r="G111" s="498"/>
      <c r="H111" s="498"/>
      <c r="I111" s="1124">
        <f>IF(WEEKDAY(I107,2)=4,I107,IF(WEEKDAY(I107,2)&lt;4,I110+1,0))</f>
        <v>0</v>
      </c>
      <c r="J111" s="498"/>
      <c r="K111" s="499"/>
      <c r="L111" s="443"/>
      <c r="O111" s="46" t="s">
        <v>2</v>
      </c>
      <c r="P111" s="179"/>
      <c r="Q111" s="1110"/>
    </row>
    <row r="112" spans="1:44" s="13" customFormat="1" ht="15.6" x14ac:dyDescent="0.3">
      <c r="A112" s="179"/>
      <c r="B112" s="46" t="s">
        <v>3</v>
      </c>
      <c r="C112" s="1124">
        <f>IF(WEEKDAY(C107,2)=5,C107,IF(WEEKDAY(C107,2)&lt;5,C111+1,0))</f>
        <v>46024</v>
      </c>
      <c r="D112" s="498" t="s">
        <v>16</v>
      </c>
      <c r="E112" s="498"/>
      <c r="F112" s="1117">
        <f>IF(WEEKDAY(F107,2)=5,F107,IF(WEEKDAY(F107,2)&lt;5,F111+1,0))</f>
        <v>0</v>
      </c>
      <c r="G112" s="498"/>
      <c r="H112" s="498"/>
      <c r="I112" s="1124">
        <f>IF(WEEKDAY(I107,2)=5,I107,IF(WEEKDAY(I107,2)&lt;5,I111+1,0))</f>
        <v>0</v>
      </c>
      <c r="J112" s="498"/>
      <c r="K112" s="499"/>
      <c r="L112" s="443"/>
      <c r="O112" s="46" t="s">
        <v>3</v>
      </c>
      <c r="P112" s="179"/>
      <c r="Q112" s="1110"/>
    </row>
    <row r="113" spans="1:17" s="13" customFormat="1" ht="15.6" x14ac:dyDescent="0.3">
      <c r="A113" s="179"/>
      <c r="B113" s="486" t="s">
        <v>28</v>
      </c>
      <c r="C113" s="1125">
        <f>IF(WEEKDAY(C107,2)=6,C107,IF(WEEKDAY(C107,2)&lt;6,C112+1,0))</f>
        <v>46025</v>
      </c>
      <c r="D113" s="444"/>
      <c r="E113" s="444"/>
      <c r="F113" s="1118">
        <f>IF(WEEKDAY(F107,2)=6,F107,IF(WEEKDAY(F107,2)&lt;6,F112+1,0))</f>
        <v>0</v>
      </c>
      <c r="G113" s="444"/>
      <c r="H113" s="444"/>
      <c r="I113" s="1125">
        <f>IF(WEEKDAY(I107,2)=6,I107,IF(WEEKDAY(I107,2)&lt;6,I112+1,0))</f>
        <v>0</v>
      </c>
      <c r="J113" s="444"/>
      <c r="K113" s="447"/>
      <c r="L113" s="443"/>
      <c r="O113" s="486" t="s">
        <v>28</v>
      </c>
      <c r="P113" s="179"/>
      <c r="Q113" s="1110"/>
    </row>
    <row r="114" spans="1:17" s="13" customFormat="1" ht="16.2" thickBot="1" x14ac:dyDescent="0.35">
      <c r="A114" s="179"/>
      <c r="B114" s="486" t="s">
        <v>29</v>
      </c>
      <c r="C114" s="1125">
        <f>IF(WEEKDAY(C107,2)=7,C107,IF(WEEKDAY(C107,2)&lt;7,C113+1,0))</f>
        <v>46026</v>
      </c>
      <c r="D114" s="445"/>
      <c r="E114" s="445"/>
      <c r="F114" s="1118">
        <f>IF(WEEKDAY(F107,2)=7,F107,IF(WEEKDAY(F107,2)&lt;7,F113+1,0))</f>
        <v>46054</v>
      </c>
      <c r="G114" s="445"/>
      <c r="H114" s="445"/>
      <c r="I114" s="1125">
        <f>IF(WEEKDAY(I107,2)=7,I107,IF(WEEKDAY(I107,2)&lt;7,I113+1,0))</f>
        <v>46082</v>
      </c>
      <c r="J114" s="444"/>
      <c r="K114" s="447"/>
      <c r="L114" s="443"/>
      <c r="O114" s="486" t="s">
        <v>29</v>
      </c>
      <c r="P114" s="179"/>
      <c r="Q114" s="1110"/>
    </row>
    <row r="115" spans="1:17" s="13" customFormat="1" ht="15.6" x14ac:dyDescent="0.3">
      <c r="A115" s="179"/>
      <c r="B115" s="46" t="s">
        <v>0</v>
      </c>
      <c r="C115" s="1123">
        <f>C114+1</f>
        <v>46027</v>
      </c>
      <c r="D115" s="498" t="s">
        <v>16</v>
      </c>
      <c r="E115" s="498"/>
      <c r="F115" s="1116">
        <f>F114+1</f>
        <v>46055</v>
      </c>
      <c r="G115" s="1203" t="s">
        <v>491</v>
      </c>
      <c r="H115" s="498"/>
      <c r="I115" s="1123">
        <f>I114+1</f>
        <v>46083</v>
      </c>
      <c r="J115" s="496"/>
      <c r="K115" s="497" t="s">
        <v>502</v>
      </c>
      <c r="L115" s="443"/>
      <c r="O115" s="46" t="s">
        <v>0</v>
      </c>
      <c r="P115" s="179"/>
      <c r="Q115" s="1110"/>
    </row>
    <row r="116" spans="1:17" s="13" customFormat="1" ht="15.6" x14ac:dyDescent="0.3">
      <c r="A116" s="179"/>
      <c r="B116" s="46" t="s">
        <v>1</v>
      </c>
      <c r="C116" s="1124">
        <f>C115+1</f>
        <v>46028</v>
      </c>
      <c r="D116" s="498" t="s">
        <v>16</v>
      </c>
      <c r="E116" s="498"/>
      <c r="F116" s="1117">
        <f>F115+1</f>
        <v>46056</v>
      </c>
      <c r="G116" s="498" t="s">
        <v>491</v>
      </c>
      <c r="H116" s="498"/>
      <c r="I116" s="1124">
        <f>I115+1</f>
        <v>46084</v>
      </c>
      <c r="J116" s="498"/>
      <c r="K116" s="499" t="s">
        <v>510</v>
      </c>
      <c r="L116" s="443"/>
      <c r="O116" s="46" t="s">
        <v>1</v>
      </c>
      <c r="P116" s="179"/>
      <c r="Q116" s="1110"/>
    </row>
    <row r="117" spans="1:17" s="13" customFormat="1" ht="15.6" x14ac:dyDescent="0.3">
      <c r="A117" s="179"/>
      <c r="B117" s="46" t="s">
        <v>27</v>
      </c>
      <c r="C117" s="1124">
        <f t="shared" ref="C117:C119" si="22">C116+1</f>
        <v>46029</v>
      </c>
      <c r="D117" s="498"/>
      <c r="E117" s="498"/>
      <c r="F117" s="1117">
        <f t="shared" ref="F117:F119" si="23">F116+1</f>
        <v>46057</v>
      </c>
      <c r="G117" s="498" t="s">
        <v>491</v>
      </c>
      <c r="H117" s="498"/>
      <c r="I117" s="1124">
        <f t="shared" ref="I117:I119" si="24">I116+1</f>
        <v>46085</v>
      </c>
      <c r="J117" s="498"/>
      <c r="K117" s="499"/>
      <c r="L117" s="443"/>
      <c r="O117" s="46" t="s">
        <v>27</v>
      </c>
      <c r="P117" s="179"/>
      <c r="Q117" s="1110"/>
    </row>
    <row r="118" spans="1:17" s="13" customFormat="1" ht="15.6" x14ac:dyDescent="0.3">
      <c r="A118" s="179"/>
      <c r="B118" s="46" t="s">
        <v>2</v>
      </c>
      <c r="C118" s="1124">
        <f t="shared" si="22"/>
        <v>46030</v>
      </c>
      <c r="D118" s="498"/>
      <c r="E118" s="498"/>
      <c r="F118" s="1117">
        <f t="shared" si="23"/>
        <v>46058</v>
      </c>
      <c r="G118" s="498" t="s">
        <v>491</v>
      </c>
      <c r="H118" s="498"/>
      <c r="I118" s="1124">
        <f t="shared" si="24"/>
        <v>46086</v>
      </c>
      <c r="J118" s="498"/>
      <c r="K118" s="499"/>
      <c r="L118" s="443"/>
      <c r="O118" s="46" t="s">
        <v>2</v>
      </c>
      <c r="P118" s="179"/>
      <c r="Q118" s="1110"/>
    </row>
    <row r="119" spans="1:17" s="13" customFormat="1" ht="15.6" x14ac:dyDescent="0.3">
      <c r="A119" s="179"/>
      <c r="B119" s="46" t="s">
        <v>3</v>
      </c>
      <c r="C119" s="1124">
        <f t="shared" si="22"/>
        <v>46031</v>
      </c>
      <c r="D119" s="498"/>
      <c r="E119" s="498"/>
      <c r="F119" s="1117">
        <f t="shared" si="23"/>
        <v>46059</v>
      </c>
      <c r="G119" s="498" t="s">
        <v>491</v>
      </c>
      <c r="H119" s="498"/>
      <c r="I119" s="1124">
        <f t="shared" si="24"/>
        <v>46087</v>
      </c>
      <c r="J119" s="498" t="s">
        <v>487</v>
      </c>
      <c r="K119" s="499"/>
      <c r="L119" s="443"/>
      <c r="O119" s="46" t="s">
        <v>3</v>
      </c>
      <c r="P119" s="179"/>
      <c r="Q119" s="1110"/>
    </row>
    <row r="120" spans="1:17" s="13" customFormat="1" ht="15.6" x14ac:dyDescent="0.3">
      <c r="A120" s="179"/>
      <c r="B120" s="486" t="s">
        <v>28</v>
      </c>
      <c r="C120" s="1125">
        <f>C119+1</f>
        <v>46032</v>
      </c>
      <c r="D120" s="444"/>
      <c r="E120" s="444"/>
      <c r="F120" s="1118">
        <f>F119+1</f>
        <v>46060</v>
      </c>
      <c r="G120" s="444"/>
      <c r="H120" s="444"/>
      <c r="I120" s="1125">
        <f>I119+1</f>
        <v>46088</v>
      </c>
      <c r="J120" s="444"/>
      <c r="K120" s="447"/>
      <c r="L120" s="443"/>
      <c r="O120" s="486" t="s">
        <v>28</v>
      </c>
      <c r="P120" s="179"/>
      <c r="Q120" s="1110"/>
    </row>
    <row r="121" spans="1:17" s="13" customFormat="1" ht="16.2" thickBot="1" x14ac:dyDescent="0.35">
      <c r="A121" s="179"/>
      <c r="B121" s="486" t="s">
        <v>29</v>
      </c>
      <c r="C121" s="1126">
        <f>C120+1</f>
        <v>46033</v>
      </c>
      <c r="D121" s="445"/>
      <c r="E121" s="445"/>
      <c r="F121" s="1119">
        <f>F120+1</f>
        <v>46061</v>
      </c>
      <c r="G121" s="445"/>
      <c r="H121" s="445"/>
      <c r="I121" s="1126">
        <f>I120+1</f>
        <v>46089</v>
      </c>
      <c r="J121" s="445"/>
      <c r="K121" s="446"/>
      <c r="L121" s="443"/>
      <c r="O121" s="486" t="s">
        <v>29</v>
      </c>
      <c r="P121" s="179"/>
      <c r="Q121" s="1110"/>
    </row>
    <row r="122" spans="1:17" s="13" customFormat="1" ht="15.6" x14ac:dyDescent="0.3">
      <c r="A122" s="179"/>
      <c r="B122" s="46" t="s">
        <v>0</v>
      </c>
      <c r="C122" s="1124">
        <f>C121+1</f>
        <v>46034</v>
      </c>
      <c r="D122" s="498"/>
      <c r="E122" s="498"/>
      <c r="F122" s="1117">
        <f>F121+1</f>
        <v>46062</v>
      </c>
      <c r="G122" s="498" t="s">
        <v>491</v>
      </c>
      <c r="H122" s="498"/>
      <c r="I122" s="1124">
        <f>I121+1</f>
        <v>46090</v>
      </c>
      <c r="J122" s="498"/>
      <c r="K122" s="499"/>
      <c r="L122" s="443"/>
      <c r="O122" s="46" t="s">
        <v>0</v>
      </c>
      <c r="P122" s="179"/>
      <c r="Q122" s="1110"/>
    </row>
    <row r="123" spans="1:17" s="13" customFormat="1" ht="15.6" x14ac:dyDescent="0.3">
      <c r="A123" s="179"/>
      <c r="B123" s="46" t="s">
        <v>1</v>
      </c>
      <c r="C123" s="1124">
        <f>C122+1</f>
        <v>46035</v>
      </c>
      <c r="D123" s="498"/>
      <c r="E123" s="498"/>
      <c r="F123" s="1117">
        <f>F122+1</f>
        <v>46063</v>
      </c>
      <c r="G123" s="498" t="s">
        <v>491</v>
      </c>
      <c r="H123" s="498"/>
      <c r="I123" s="1124">
        <f>I122+1</f>
        <v>46091</v>
      </c>
      <c r="J123" s="498"/>
      <c r="K123" s="499"/>
      <c r="L123" s="443"/>
      <c r="O123" s="46" t="s">
        <v>1</v>
      </c>
      <c r="P123" s="179"/>
      <c r="Q123" s="1110"/>
    </row>
    <row r="124" spans="1:17" s="13" customFormat="1" ht="15.6" x14ac:dyDescent="0.3">
      <c r="A124" s="179"/>
      <c r="B124" s="46" t="s">
        <v>27</v>
      </c>
      <c r="C124" s="1124">
        <f t="shared" ref="C124:C126" si="25">C123+1</f>
        <v>46036</v>
      </c>
      <c r="D124" s="498"/>
      <c r="E124" s="498"/>
      <c r="F124" s="1117">
        <f t="shared" ref="F124:F126" si="26">F123+1</f>
        <v>46064</v>
      </c>
      <c r="G124" s="498" t="s">
        <v>491</v>
      </c>
      <c r="H124" s="498"/>
      <c r="I124" s="1124">
        <f t="shared" ref="I124:I126" si="27">I123+1</f>
        <v>46092</v>
      </c>
      <c r="J124" s="498"/>
      <c r="K124" s="499" t="s">
        <v>512</v>
      </c>
      <c r="L124" s="443"/>
      <c r="O124" s="46" t="s">
        <v>27</v>
      </c>
      <c r="P124" s="179"/>
      <c r="Q124" s="1110"/>
    </row>
    <row r="125" spans="1:17" s="13" customFormat="1" ht="15.6" x14ac:dyDescent="0.3">
      <c r="A125" s="179"/>
      <c r="B125" s="46" t="s">
        <v>2</v>
      </c>
      <c r="C125" s="1124">
        <f t="shared" si="25"/>
        <v>46037</v>
      </c>
      <c r="D125" s="498"/>
      <c r="E125" s="498"/>
      <c r="F125" s="1117">
        <f t="shared" si="26"/>
        <v>46065</v>
      </c>
      <c r="G125" s="498" t="s">
        <v>491</v>
      </c>
      <c r="H125" s="498"/>
      <c r="I125" s="1124">
        <f t="shared" si="27"/>
        <v>46093</v>
      </c>
      <c r="J125" s="498"/>
      <c r="K125" s="499"/>
      <c r="L125" s="443"/>
      <c r="O125" s="46" t="s">
        <v>2</v>
      </c>
      <c r="P125" s="179"/>
      <c r="Q125" s="1110"/>
    </row>
    <row r="126" spans="1:17" s="13" customFormat="1" ht="15.6" x14ac:dyDescent="0.3">
      <c r="A126" s="179"/>
      <c r="B126" s="46" t="s">
        <v>3</v>
      </c>
      <c r="C126" s="1124">
        <f t="shared" si="25"/>
        <v>46038</v>
      </c>
      <c r="D126" s="498"/>
      <c r="E126" s="498"/>
      <c r="F126" s="1117">
        <f t="shared" si="26"/>
        <v>46066</v>
      </c>
      <c r="G126" s="498" t="s">
        <v>491</v>
      </c>
      <c r="H126" s="498"/>
      <c r="I126" s="1124">
        <f t="shared" si="27"/>
        <v>46094</v>
      </c>
      <c r="J126" s="498"/>
      <c r="K126" s="499" t="s">
        <v>513</v>
      </c>
      <c r="L126" s="443"/>
      <c r="O126" s="46" t="s">
        <v>3</v>
      </c>
      <c r="P126" s="179"/>
      <c r="Q126" s="1110"/>
    </row>
    <row r="127" spans="1:17" s="13" customFormat="1" ht="15.6" x14ac:dyDescent="0.3">
      <c r="A127" s="179"/>
      <c r="B127" s="486" t="s">
        <v>28</v>
      </c>
      <c r="C127" s="1125">
        <f>C126+1</f>
        <v>46039</v>
      </c>
      <c r="D127" s="444"/>
      <c r="E127" s="444"/>
      <c r="F127" s="1118">
        <f>F126+1</f>
        <v>46067</v>
      </c>
      <c r="G127" s="444"/>
      <c r="H127" s="444"/>
      <c r="I127" s="1125">
        <f>I126+1</f>
        <v>46095</v>
      </c>
      <c r="J127" s="444"/>
      <c r="K127" s="447"/>
      <c r="L127" s="443"/>
      <c r="O127" s="486" t="s">
        <v>28</v>
      </c>
      <c r="P127" s="179"/>
      <c r="Q127" s="1110"/>
    </row>
    <row r="128" spans="1:17" s="13" customFormat="1" ht="16.2" thickBot="1" x14ac:dyDescent="0.35">
      <c r="A128" s="179"/>
      <c r="B128" s="486" t="s">
        <v>29</v>
      </c>
      <c r="C128" s="1125">
        <f>C127+1</f>
        <v>46040</v>
      </c>
      <c r="D128" s="445"/>
      <c r="E128" s="445"/>
      <c r="F128" s="1118">
        <f>F127+1</f>
        <v>46068</v>
      </c>
      <c r="G128" s="445"/>
      <c r="H128" s="445"/>
      <c r="I128" s="1125">
        <f>I127+1</f>
        <v>46096</v>
      </c>
      <c r="J128" s="444"/>
      <c r="K128" s="446"/>
      <c r="L128" s="443"/>
      <c r="O128" s="486" t="s">
        <v>29</v>
      </c>
      <c r="P128" s="179"/>
      <c r="Q128" s="1110"/>
    </row>
    <row r="129" spans="1:17" s="13" customFormat="1" ht="15.6" x14ac:dyDescent="0.3">
      <c r="A129" s="179"/>
      <c r="B129" s="46" t="s">
        <v>0</v>
      </c>
      <c r="C129" s="1123">
        <f>C128+1</f>
        <v>46041</v>
      </c>
      <c r="D129" s="498"/>
      <c r="E129" s="498"/>
      <c r="F129" s="1116">
        <f>F128+1</f>
        <v>46069</v>
      </c>
      <c r="G129" s="498" t="s">
        <v>491</v>
      </c>
      <c r="H129" s="498"/>
      <c r="I129" s="1123">
        <f>I128+1</f>
        <v>46097</v>
      </c>
      <c r="J129" s="496"/>
      <c r="K129" s="499"/>
      <c r="L129" s="443"/>
      <c r="O129" s="46" t="s">
        <v>0</v>
      </c>
      <c r="P129" s="179"/>
      <c r="Q129" s="1110"/>
    </row>
    <row r="130" spans="1:17" s="13" customFormat="1" ht="15.6" x14ac:dyDescent="0.3">
      <c r="A130" s="179"/>
      <c r="B130" s="46" t="s">
        <v>1</v>
      </c>
      <c r="C130" s="1124">
        <f>C129+1</f>
        <v>46042</v>
      </c>
      <c r="D130" s="498"/>
      <c r="E130" s="498"/>
      <c r="F130" s="1117">
        <f>F129+1</f>
        <v>46070</v>
      </c>
      <c r="G130" s="498" t="s">
        <v>491</v>
      </c>
      <c r="H130" s="498"/>
      <c r="I130" s="1124">
        <f>I129+1</f>
        <v>46098</v>
      </c>
      <c r="J130" s="498"/>
      <c r="K130" s="499"/>
      <c r="L130" s="443"/>
      <c r="O130" s="46" t="s">
        <v>1</v>
      </c>
      <c r="P130" s="179"/>
      <c r="Q130" s="1110"/>
    </row>
    <row r="131" spans="1:17" s="13" customFormat="1" ht="15.6" x14ac:dyDescent="0.3">
      <c r="A131" s="179"/>
      <c r="B131" s="46" t="s">
        <v>27</v>
      </c>
      <c r="C131" s="1124">
        <f t="shared" ref="C131:C133" si="28">C130+1</f>
        <v>46043</v>
      </c>
      <c r="D131" s="498"/>
      <c r="E131" s="498"/>
      <c r="F131" s="1117">
        <f t="shared" ref="F131:F133" si="29">F130+1</f>
        <v>46071</v>
      </c>
      <c r="G131" s="498" t="s">
        <v>491</v>
      </c>
      <c r="H131" s="498"/>
      <c r="I131" s="1124">
        <f t="shared" ref="I131:I133" si="30">I130+1</f>
        <v>46099</v>
      </c>
      <c r="J131" s="498"/>
      <c r="K131" s="499" t="s">
        <v>514</v>
      </c>
      <c r="L131" s="443"/>
      <c r="O131" s="46" t="s">
        <v>27</v>
      </c>
      <c r="P131" s="179"/>
      <c r="Q131" s="1110"/>
    </row>
    <row r="132" spans="1:17" s="13" customFormat="1" ht="15.6" x14ac:dyDescent="0.3">
      <c r="A132" s="179"/>
      <c r="B132" s="46" t="s">
        <v>2</v>
      </c>
      <c r="C132" s="1124">
        <f t="shared" si="28"/>
        <v>46044</v>
      </c>
      <c r="D132" s="498"/>
      <c r="E132" s="498"/>
      <c r="F132" s="1117">
        <f t="shared" si="29"/>
        <v>46072</v>
      </c>
      <c r="G132" s="498" t="s">
        <v>491</v>
      </c>
      <c r="H132" s="498"/>
      <c r="I132" s="1124">
        <f t="shared" si="30"/>
        <v>46100</v>
      </c>
      <c r="J132" s="498"/>
      <c r="K132" s="499"/>
      <c r="L132" s="443"/>
      <c r="O132" s="46" t="s">
        <v>2</v>
      </c>
      <c r="P132" s="179"/>
      <c r="Q132" s="1110"/>
    </row>
    <row r="133" spans="1:17" s="13" customFormat="1" ht="15.6" x14ac:dyDescent="0.3">
      <c r="A133" s="179"/>
      <c r="B133" s="46" t="s">
        <v>3</v>
      </c>
      <c r="C133" s="1124">
        <f t="shared" si="28"/>
        <v>46045</v>
      </c>
      <c r="D133" s="498"/>
      <c r="E133" s="498"/>
      <c r="F133" s="1117">
        <f t="shared" si="29"/>
        <v>46073</v>
      </c>
      <c r="G133" s="498" t="s">
        <v>491</v>
      </c>
      <c r="H133" s="498"/>
      <c r="I133" s="1124">
        <f t="shared" si="30"/>
        <v>46101</v>
      </c>
      <c r="J133" s="498"/>
      <c r="K133" s="499"/>
      <c r="L133" s="443"/>
      <c r="O133" s="46" t="s">
        <v>3</v>
      </c>
      <c r="P133" s="179"/>
      <c r="Q133" s="1110"/>
    </row>
    <row r="134" spans="1:17" s="13" customFormat="1" ht="15.6" x14ac:dyDescent="0.3">
      <c r="A134" s="179"/>
      <c r="B134" s="486" t="s">
        <v>28</v>
      </c>
      <c r="C134" s="1125">
        <f>C133+1</f>
        <v>46046</v>
      </c>
      <c r="D134" s="444"/>
      <c r="E134" s="444"/>
      <c r="F134" s="1118">
        <f>F133+1</f>
        <v>46074</v>
      </c>
      <c r="G134" s="444"/>
      <c r="H134" s="444"/>
      <c r="I134" s="1125">
        <f>I133+1</f>
        <v>46102</v>
      </c>
      <c r="J134" s="444"/>
      <c r="K134" s="447"/>
      <c r="L134" s="443"/>
      <c r="O134" s="486" t="s">
        <v>28</v>
      </c>
      <c r="P134" s="179"/>
      <c r="Q134" s="1110"/>
    </row>
    <row r="135" spans="1:17" s="13" customFormat="1" ht="16.2" thickBot="1" x14ac:dyDescent="0.35">
      <c r="A135" s="179"/>
      <c r="B135" s="486" t="s">
        <v>29</v>
      </c>
      <c r="C135" s="1126">
        <f>C134+1</f>
        <v>46047</v>
      </c>
      <c r="D135" s="445"/>
      <c r="E135" s="445"/>
      <c r="F135" s="1119">
        <f>F134+1</f>
        <v>46075</v>
      </c>
      <c r="G135" s="445"/>
      <c r="H135" s="445"/>
      <c r="I135" s="1126">
        <f>I134+1</f>
        <v>46103</v>
      </c>
      <c r="J135" s="445"/>
      <c r="K135" s="446"/>
      <c r="L135" s="443"/>
      <c r="O135" s="486" t="s">
        <v>29</v>
      </c>
      <c r="P135" s="179"/>
      <c r="Q135" s="1110"/>
    </row>
    <row r="136" spans="1:17" s="13" customFormat="1" ht="15.6" x14ac:dyDescent="0.3">
      <c r="A136" s="179"/>
      <c r="B136" s="46" t="s">
        <v>0</v>
      </c>
      <c r="C136" s="1124">
        <f>IF(MONTH(C122+14)=MONTH(C122),C122+14,0)</f>
        <v>46048</v>
      </c>
      <c r="D136" s="498"/>
      <c r="E136" s="498"/>
      <c r="F136" s="1117">
        <f>IF(MONTH(F122+14)=MONTH(F122),F122+14,0)</f>
        <v>46076</v>
      </c>
      <c r="G136" s="498" t="s">
        <v>491</v>
      </c>
      <c r="H136" s="498"/>
      <c r="I136" s="1124">
        <f>IF(MONTH(I122+14)=MONTH(I122),I122+14,0)</f>
        <v>46104</v>
      </c>
      <c r="J136" s="498"/>
      <c r="K136" s="499"/>
      <c r="L136" s="443"/>
      <c r="O136" s="46" t="s">
        <v>0</v>
      </c>
      <c r="P136" s="179"/>
      <c r="Q136" s="1110"/>
    </row>
    <row r="137" spans="1:17" s="13" customFormat="1" ht="15.6" x14ac:dyDescent="0.3">
      <c r="A137" s="179"/>
      <c r="B137" s="46" t="s">
        <v>1</v>
      </c>
      <c r="C137" s="1124">
        <f>IF(MONTH(C123+14)=MONTH(C123),C123+14,0)</f>
        <v>46049</v>
      </c>
      <c r="D137" s="498"/>
      <c r="E137" s="498"/>
      <c r="F137" s="1117">
        <f>IF(MONTH(F123+14)=MONTH(F123),F123+14,0)</f>
        <v>46077</v>
      </c>
      <c r="G137" s="498" t="s">
        <v>491</v>
      </c>
      <c r="H137" s="498"/>
      <c r="I137" s="1124">
        <f>IF(MONTH(I123+14)=MONTH(I123),I123+14,0)</f>
        <v>46105</v>
      </c>
      <c r="J137" s="498"/>
      <c r="K137" s="499"/>
      <c r="L137" s="443"/>
      <c r="O137" s="46" t="s">
        <v>1</v>
      </c>
      <c r="P137" s="179"/>
      <c r="Q137" s="1110"/>
    </row>
    <row r="138" spans="1:17" s="13" customFormat="1" ht="15.6" x14ac:dyDescent="0.3">
      <c r="A138" s="179"/>
      <c r="B138" s="46" t="s">
        <v>27</v>
      </c>
      <c r="C138" s="1124">
        <f t="shared" ref="C138:C139" si="31">IF(MONTH(C124+14)=MONTH(C124),C124+14,0)</f>
        <v>46050</v>
      </c>
      <c r="D138" s="498"/>
      <c r="E138" s="498"/>
      <c r="F138" s="1117">
        <f t="shared" ref="F138:F139" si="32">IF(MONTH(F124+14)=MONTH(F124),F124+14,0)</f>
        <v>46078</v>
      </c>
      <c r="G138" s="498" t="s">
        <v>491</v>
      </c>
      <c r="H138" s="498" t="s">
        <v>503</v>
      </c>
      <c r="I138" s="1124">
        <f t="shared" ref="I138:I139" si="33">IF(MONTH(I124+14)=MONTH(I124),I124+14,0)</f>
        <v>46106</v>
      </c>
      <c r="J138" s="498"/>
      <c r="K138" s="499" t="s">
        <v>514</v>
      </c>
      <c r="L138" s="443"/>
      <c r="O138" s="46" t="s">
        <v>27</v>
      </c>
      <c r="P138" s="179"/>
      <c r="Q138" s="1110"/>
    </row>
    <row r="139" spans="1:17" s="13" customFormat="1" ht="15.6" x14ac:dyDescent="0.3">
      <c r="A139" s="179"/>
      <c r="B139" s="46" t="s">
        <v>2</v>
      </c>
      <c r="C139" s="1124">
        <f t="shared" si="31"/>
        <v>46051</v>
      </c>
      <c r="D139" s="498" t="s">
        <v>488</v>
      </c>
      <c r="E139" s="498"/>
      <c r="F139" s="1117">
        <f t="shared" si="32"/>
        <v>46079</v>
      </c>
      <c r="G139" s="498" t="s">
        <v>491</v>
      </c>
      <c r="H139" s="498"/>
      <c r="I139" s="1124">
        <f t="shared" si="33"/>
        <v>46107</v>
      </c>
      <c r="J139" s="498"/>
      <c r="K139" s="499"/>
      <c r="L139" s="443"/>
      <c r="O139" s="46" t="s">
        <v>2</v>
      </c>
      <c r="P139" s="179"/>
      <c r="Q139" s="1110"/>
    </row>
    <row r="140" spans="1:17" s="13" customFormat="1" ht="15.6" x14ac:dyDescent="0.3">
      <c r="A140" s="179"/>
      <c r="B140" s="46" t="s">
        <v>3</v>
      </c>
      <c r="C140" s="1124">
        <f>IF(MONTH(C126+14)=MONTH(C126),C126+14,0)</f>
        <v>46052</v>
      </c>
      <c r="D140" s="498"/>
      <c r="E140" s="498"/>
      <c r="F140" s="1117">
        <f>IF(MONTH(F126+14)=MONTH(F126),F126+14,0)</f>
        <v>46080</v>
      </c>
      <c r="G140" s="498" t="s">
        <v>491</v>
      </c>
      <c r="H140" s="498" t="s">
        <v>504</v>
      </c>
      <c r="I140" s="1124">
        <f>IF(MONTH(I126+14)=MONTH(I126),I126+14,0)</f>
        <v>46108</v>
      </c>
      <c r="J140" s="498"/>
      <c r="K140" s="499"/>
      <c r="L140" s="443"/>
      <c r="O140" s="46" t="s">
        <v>3</v>
      </c>
      <c r="P140" s="179"/>
      <c r="Q140" s="1110"/>
    </row>
    <row r="141" spans="1:17" s="13" customFormat="1" ht="15.6" x14ac:dyDescent="0.3">
      <c r="A141" s="179"/>
      <c r="B141" s="486" t="s">
        <v>28</v>
      </c>
      <c r="C141" s="1125">
        <f>IF(MONTH(C127+14)=MONTH(C127),C127+14,0)</f>
        <v>46053</v>
      </c>
      <c r="D141" s="444"/>
      <c r="E141" s="444"/>
      <c r="F141" s="1118">
        <f>IF(MONTH(F127+14)=MONTH(F127),F127+14,0)</f>
        <v>46081</v>
      </c>
      <c r="G141" s="444"/>
      <c r="H141" s="444"/>
      <c r="I141" s="1125">
        <f>IF(MONTH(I127+14)=MONTH(I127),I127+14,0)</f>
        <v>46109</v>
      </c>
      <c r="J141" s="444"/>
      <c r="K141" s="447"/>
      <c r="L141" s="443"/>
      <c r="O141" s="486" t="s">
        <v>28</v>
      </c>
      <c r="P141" s="179"/>
      <c r="Q141" s="1110"/>
    </row>
    <row r="142" spans="1:17" s="13" customFormat="1" ht="16.2" thickBot="1" x14ac:dyDescent="0.35">
      <c r="A142" s="179"/>
      <c r="B142" s="486" t="s">
        <v>29</v>
      </c>
      <c r="C142" s="1125">
        <f>IF(MONTH(C128+14)=MONTH(C128),C128+14,0)</f>
        <v>0</v>
      </c>
      <c r="D142" s="445"/>
      <c r="E142" s="445"/>
      <c r="F142" s="1118">
        <f>IF(MONTH(F128+14)=MONTH(F128),F128+14,0)</f>
        <v>0</v>
      </c>
      <c r="G142" s="445"/>
      <c r="H142" s="445"/>
      <c r="I142" s="1125">
        <f>IF(MONTH(I128+14)=MONTH(I128),I128+14,0)</f>
        <v>46110</v>
      </c>
      <c r="J142" s="444"/>
      <c r="K142" s="447"/>
      <c r="L142" s="443"/>
      <c r="O142" s="486" t="s">
        <v>29</v>
      </c>
      <c r="P142" s="179"/>
      <c r="Q142" s="1110"/>
    </row>
    <row r="143" spans="1:17" s="13" customFormat="1" ht="15.6" x14ac:dyDescent="0.3">
      <c r="A143" s="179"/>
      <c r="B143" s="46" t="s">
        <v>0</v>
      </c>
      <c r="C143" s="1123">
        <f>IF(MONTH(C129+14)=MONTH(C129),C129+14,0)</f>
        <v>0</v>
      </c>
      <c r="D143" s="498"/>
      <c r="E143" s="498"/>
      <c r="F143" s="1116">
        <f>IF(MONTH(F129+14)=MONTH(F129),F129+14,0)</f>
        <v>0</v>
      </c>
      <c r="G143" s="498"/>
      <c r="H143" s="498"/>
      <c r="I143" s="1123">
        <f>IF(MONTH(I129+14)=MONTH(I129),I129+14,0)</f>
        <v>46111</v>
      </c>
      <c r="J143" s="496" t="s">
        <v>492</v>
      </c>
      <c r="K143" s="497"/>
      <c r="L143" s="443"/>
      <c r="O143" s="46" t="s">
        <v>0</v>
      </c>
      <c r="P143" s="179"/>
      <c r="Q143" s="1110"/>
    </row>
    <row r="144" spans="1:17" s="13" customFormat="1" ht="15.6" x14ac:dyDescent="0.3">
      <c r="A144" s="179"/>
      <c r="B144" s="46" t="s">
        <v>1</v>
      </c>
      <c r="C144" s="1124">
        <f>IF(MONTH(C130+14)=MONTH(C130),C130+14,0)</f>
        <v>0</v>
      </c>
      <c r="D144" s="498"/>
      <c r="E144" s="498"/>
      <c r="F144" s="1117">
        <f>IF(MONTH(F130+14)=MONTH(F130),F130+14,0)</f>
        <v>0</v>
      </c>
      <c r="G144" s="498"/>
      <c r="H144" s="498"/>
      <c r="I144" s="1124">
        <f>IF(MONTH(I130+14)=MONTH(I130),I130+14,0)</f>
        <v>46112</v>
      </c>
      <c r="J144" s="498" t="s">
        <v>492</v>
      </c>
      <c r="K144" s="499"/>
      <c r="L144" s="443"/>
      <c r="O144" s="46" t="s">
        <v>1</v>
      </c>
      <c r="P144" s="179"/>
      <c r="Q144" s="1110"/>
    </row>
    <row r="145" spans="1:44" s="13" customFormat="1" ht="15.6" x14ac:dyDescent="0.3">
      <c r="A145" s="179"/>
      <c r="B145" s="46" t="s">
        <v>27</v>
      </c>
      <c r="C145" s="1124">
        <f t="shared" ref="C145:C146" si="34">IF(MONTH(C131+14)=MONTH(C131),C131+14,0)</f>
        <v>0</v>
      </c>
      <c r="D145" s="498"/>
      <c r="E145" s="498"/>
      <c r="F145" s="1117">
        <f t="shared" ref="F145:F146" si="35">IF(MONTH(F131+14)=MONTH(F131),F131+14,0)</f>
        <v>0</v>
      </c>
      <c r="G145" s="498"/>
      <c r="H145" s="498"/>
      <c r="I145" s="1124">
        <f t="shared" ref="I145:I146" si="36">IF(MONTH(I131+14)=MONTH(I131),I131+14,0)</f>
        <v>0</v>
      </c>
      <c r="J145" s="498"/>
      <c r="K145" s="499"/>
      <c r="L145" s="443"/>
      <c r="O145" s="46" t="s">
        <v>27</v>
      </c>
      <c r="P145" s="179"/>
      <c r="Q145" s="1110"/>
    </row>
    <row r="146" spans="1:44" s="13" customFormat="1" ht="15.6" x14ac:dyDescent="0.3">
      <c r="A146" s="179"/>
      <c r="B146" s="46" t="s">
        <v>2</v>
      </c>
      <c r="C146" s="1124">
        <f t="shared" si="34"/>
        <v>0</v>
      </c>
      <c r="D146" s="498"/>
      <c r="E146" s="498"/>
      <c r="F146" s="1117">
        <f t="shared" si="35"/>
        <v>0</v>
      </c>
      <c r="G146" s="498"/>
      <c r="H146" s="498"/>
      <c r="I146" s="1124">
        <f t="shared" si="36"/>
        <v>0</v>
      </c>
      <c r="J146" s="498"/>
      <c r="K146" s="499"/>
      <c r="L146" s="443"/>
      <c r="O146" s="46" t="s">
        <v>2</v>
      </c>
      <c r="P146" s="179"/>
      <c r="Q146" s="1110"/>
    </row>
    <row r="147" spans="1:44" s="13" customFormat="1" ht="15.6" x14ac:dyDescent="0.3">
      <c r="A147" s="179"/>
      <c r="B147" s="46" t="s">
        <v>3</v>
      </c>
      <c r="C147" s="1124">
        <f>IF(MONTH(C133+14)=MONTH(C133),C133+14,0)</f>
        <v>0</v>
      </c>
      <c r="D147" s="498"/>
      <c r="E147" s="498"/>
      <c r="F147" s="1117">
        <f>IF(MONTH(F133+14)=MONTH(F133),F133+14,0)</f>
        <v>0</v>
      </c>
      <c r="G147" s="498"/>
      <c r="H147" s="498"/>
      <c r="I147" s="1124">
        <f>IF(MONTH(I133+14)=MONTH(I133),I133+14,0)</f>
        <v>0</v>
      </c>
      <c r="J147" s="498"/>
      <c r="K147" s="499"/>
      <c r="L147" s="443"/>
      <c r="O147" s="46" t="s">
        <v>3</v>
      </c>
      <c r="P147" s="179"/>
      <c r="Q147" s="1110"/>
    </row>
    <row r="148" spans="1:44" s="13" customFormat="1" ht="15.6" x14ac:dyDescent="0.3">
      <c r="A148" s="179"/>
      <c r="B148" s="486" t="s">
        <v>28</v>
      </c>
      <c r="C148" s="1125">
        <f>IF(MONTH(C134+14)=MONTH(C134),C134+14,0)</f>
        <v>0</v>
      </c>
      <c r="D148" s="444"/>
      <c r="E148" s="444"/>
      <c r="F148" s="1118">
        <f>IF(MONTH(F134+14)=MONTH(F134),F134+14,0)</f>
        <v>0</v>
      </c>
      <c r="G148" s="444"/>
      <c r="H148" s="444"/>
      <c r="I148" s="1125">
        <f>IF(MONTH(I134+14)=MONTH(I134),I134+14,0)</f>
        <v>0</v>
      </c>
      <c r="J148" s="444"/>
      <c r="K148" s="447"/>
      <c r="L148" s="443"/>
      <c r="O148" s="486" t="s">
        <v>28</v>
      </c>
      <c r="P148" s="179"/>
      <c r="Q148" s="1110"/>
    </row>
    <row r="149" spans="1:44" s="13" customFormat="1" ht="16.2" thickBot="1" x14ac:dyDescent="0.35">
      <c r="A149" s="179"/>
      <c r="B149" s="486" t="s">
        <v>29</v>
      </c>
      <c r="C149" s="1126">
        <f>IF(MONTH(C135+14)=MONTH(C135),C135+14,0)</f>
        <v>0</v>
      </c>
      <c r="D149" s="445"/>
      <c r="E149" s="445"/>
      <c r="F149" s="1119">
        <f>IF(MONTH(F135+14)=MONTH(F135),F135+14,0)</f>
        <v>0</v>
      </c>
      <c r="G149" s="445"/>
      <c r="H149" s="445"/>
      <c r="I149" s="1126">
        <f>IF(MONTH(I135+14)=MONTH(I135),I135+14,0)</f>
        <v>0</v>
      </c>
      <c r="J149" s="445"/>
      <c r="K149" s="446"/>
      <c r="L149" s="443"/>
      <c r="O149" s="486" t="s">
        <v>29</v>
      </c>
      <c r="P149" s="179"/>
      <c r="Q149" s="1110"/>
    </row>
    <row r="150" spans="1:44" s="13" customFormat="1" ht="15.6" x14ac:dyDescent="0.3">
      <c r="B150" s="46"/>
      <c r="C150" s="76"/>
      <c r="F150" s="443"/>
      <c r="I150" s="76"/>
      <c r="L150" s="443"/>
      <c r="O150" s="46"/>
      <c r="Q150" s="1110"/>
    </row>
    <row r="151" spans="1:44" s="1" customFormat="1" ht="21" thickBot="1" x14ac:dyDescent="0.4">
      <c r="B151" s="1108" t="str">
        <f>"Calendario. Tercer trimestre académico, segundo trimestre del "&amp;AñoInicioCurso+1</f>
        <v>Calendario. Tercer trimestre académico, segundo trimestre del 2026</v>
      </c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1077"/>
      <c r="Q151" s="1112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R151" s="23"/>
    </row>
    <row r="152" spans="1:44" s="13" customFormat="1" ht="15.6" x14ac:dyDescent="0.3">
      <c r="B152" s="286"/>
      <c r="C152" s="1127"/>
      <c r="D152" s="133"/>
      <c r="E152" s="15"/>
      <c r="F152" s="265"/>
      <c r="G152" s="15"/>
      <c r="H152" s="15"/>
      <c r="I152" s="1127"/>
      <c r="J152" s="265"/>
      <c r="K152" s="265"/>
      <c r="L152" s="265"/>
      <c r="M152" s="15"/>
      <c r="N152" s="15"/>
      <c r="O152" s="286"/>
      <c r="Q152" s="1110"/>
    </row>
    <row r="153" spans="1:44" s="265" customFormat="1" ht="16.2" thickBot="1" x14ac:dyDescent="0.35">
      <c r="A153" s="13"/>
      <c r="B153" s="307" t="s">
        <v>23</v>
      </c>
      <c r="C153" s="1121" t="s">
        <v>154</v>
      </c>
      <c r="D153" s="514" t="s">
        <v>75</v>
      </c>
      <c r="E153" s="494" t="s">
        <v>74</v>
      </c>
      <c r="F153" s="1114" t="s">
        <v>154</v>
      </c>
      <c r="G153" s="514" t="s">
        <v>75</v>
      </c>
      <c r="H153" s="494" t="s">
        <v>74</v>
      </c>
      <c r="I153" s="1121" t="s">
        <v>154</v>
      </c>
      <c r="J153" s="514" t="s">
        <v>75</v>
      </c>
      <c r="K153" s="494" t="s">
        <v>74</v>
      </c>
      <c r="L153" s="307"/>
      <c r="M153" s="307"/>
      <c r="N153" s="307"/>
      <c r="O153" s="307" t="s">
        <v>23</v>
      </c>
      <c r="P153" s="13"/>
      <c r="Q153" s="1111"/>
      <c r="R153" s="20"/>
    </row>
    <row r="154" spans="1:44" s="13" customFormat="1" ht="15.6" x14ac:dyDescent="0.3">
      <c r="A154" s="180"/>
      <c r="B154" s="40" t="s">
        <v>182</v>
      </c>
      <c r="C154" s="1129" t="s">
        <v>184</v>
      </c>
      <c r="D154" s="271"/>
      <c r="E154" s="271"/>
      <c r="F154" s="1137"/>
      <c r="G154" s="271"/>
      <c r="H154" s="271"/>
      <c r="I154" s="1139" t="s">
        <v>171</v>
      </c>
      <c r="J154" s="52" t="s">
        <v>165</v>
      </c>
      <c r="K154" s="287"/>
      <c r="L154" s="1145"/>
      <c r="M154" s="287"/>
      <c r="N154" s="287"/>
      <c r="O154" s="287"/>
      <c r="P154" s="1061"/>
      <c r="Q154" s="1110"/>
    </row>
    <row r="155" spans="1:44" s="13" customFormat="1" ht="24" thickBot="1" x14ac:dyDescent="0.5">
      <c r="A155" s="180"/>
      <c r="B155" s="1063">
        <f>AñoInicioCurso+1</f>
        <v>2026</v>
      </c>
      <c r="C155" s="1122">
        <f>DATE(B107,4,1)</f>
        <v>46113</v>
      </c>
      <c r="D155" s="133" t="s">
        <v>75</v>
      </c>
      <c r="E155" s="133" t="s">
        <v>74</v>
      </c>
      <c r="F155" s="1115">
        <f>DATE(B155,5,1)</f>
        <v>46143</v>
      </c>
      <c r="G155" s="133" t="s">
        <v>75</v>
      </c>
      <c r="H155" s="133" t="s">
        <v>74</v>
      </c>
      <c r="I155" s="1122">
        <f>DATE(B155,6,1)</f>
        <v>46174</v>
      </c>
      <c r="J155" s="133" t="s">
        <v>75</v>
      </c>
      <c r="K155" s="133" t="s">
        <v>74</v>
      </c>
      <c r="L155" s="443"/>
      <c r="O155" s="1063">
        <f>AñoInicioCurso+1</f>
        <v>2026</v>
      </c>
      <c r="P155" s="1062"/>
      <c r="Q155" s="1110"/>
    </row>
    <row r="156" spans="1:44" s="13" customFormat="1" ht="15.6" x14ac:dyDescent="0.3">
      <c r="A156" s="180"/>
      <c r="B156" s="46" t="s">
        <v>0</v>
      </c>
      <c r="C156" s="1123">
        <f>IF(WEEKDAY(C155,2)=1,C155,0)</f>
        <v>0</v>
      </c>
      <c r="D156" s="496"/>
      <c r="E156" s="496"/>
      <c r="F156" s="1116">
        <f>IF(WEEKDAY(F155,2)=1,F155,0)</f>
        <v>0</v>
      </c>
      <c r="G156" s="496"/>
      <c r="H156" s="496"/>
      <c r="I156" s="1123">
        <f>IF(WEEKDAY(I155,2)=1,I155,0)</f>
        <v>46174</v>
      </c>
      <c r="J156" s="496"/>
      <c r="K156" s="497"/>
      <c r="L156" s="443"/>
      <c r="O156" s="46" t="s">
        <v>0</v>
      </c>
      <c r="P156" s="1062"/>
      <c r="Q156" s="1110"/>
    </row>
    <row r="157" spans="1:44" s="13" customFormat="1" ht="15.6" x14ac:dyDescent="0.3">
      <c r="A157" s="180"/>
      <c r="B157" s="46" t="s">
        <v>1</v>
      </c>
      <c r="C157" s="1124">
        <f>IF(WEEKDAY(C155,2)=2,C155,IF(WEEKDAY(C155,2)&lt;2,C156+1,0))</f>
        <v>0</v>
      </c>
      <c r="D157" s="1070"/>
      <c r="E157" s="498"/>
      <c r="F157" s="1117">
        <f>IF(WEEKDAY(F155,2)=2,F155,IF(WEEKDAY(F155,2)&lt;2,F156+1,0))</f>
        <v>0</v>
      </c>
      <c r="G157" s="498"/>
      <c r="H157" s="498"/>
      <c r="I157" s="1124">
        <f>IF(WEEKDAY(I155,2)=2,I155,IF(WEEKDAY(I155,2)&lt;2,I156+1,0))</f>
        <v>46175</v>
      </c>
      <c r="J157" s="498"/>
      <c r="K157" s="499"/>
      <c r="L157" s="443"/>
      <c r="O157" s="46" t="s">
        <v>1</v>
      </c>
      <c r="P157" s="1062"/>
      <c r="Q157" s="1110"/>
    </row>
    <row r="158" spans="1:44" s="13" customFormat="1" ht="15.6" x14ac:dyDescent="0.3">
      <c r="A158" s="180"/>
      <c r="B158" s="46" t="s">
        <v>27</v>
      </c>
      <c r="C158" s="1124">
        <f>IF(WEEKDAY(C155,2)=3,C155,IF(WEEKDAY(C155,2)&lt;3,C157+1,0))</f>
        <v>46113</v>
      </c>
      <c r="D158" s="1070" t="s">
        <v>492</v>
      </c>
      <c r="E158" s="498"/>
      <c r="F158" s="1117">
        <f>IF(WEEKDAY(F155,2)=3,F155,IF(WEEKDAY(F155,2)&lt;3,F157+1,0))</f>
        <v>0</v>
      </c>
      <c r="G158" s="498"/>
      <c r="H158" s="498"/>
      <c r="I158" s="1124">
        <f>IF(WEEKDAY(I155,2)=3,I155,IF(WEEKDAY(I155,2)&lt;3,I157+1,0))</f>
        <v>46176</v>
      </c>
      <c r="J158" s="498"/>
      <c r="K158" s="499"/>
      <c r="L158" s="443"/>
      <c r="O158" s="46" t="s">
        <v>27</v>
      </c>
      <c r="P158" s="1062"/>
      <c r="Q158" s="1110"/>
    </row>
    <row r="159" spans="1:44" s="13" customFormat="1" ht="15.6" x14ac:dyDescent="0.3">
      <c r="A159" s="180"/>
      <c r="B159" s="46" t="s">
        <v>2</v>
      </c>
      <c r="C159" s="1124">
        <f>IF(WEEKDAY(C155,2)=4,C155,IF(WEEKDAY(C155,2)&lt;4,C158+1,0))</f>
        <v>46114</v>
      </c>
      <c r="D159" s="498" t="s">
        <v>492</v>
      </c>
      <c r="E159" s="498"/>
      <c r="F159" s="1117">
        <f>IF(WEEKDAY(F155,2)=4,F155,IF(WEEKDAY(F155,2)&lt;4,F158+1,0))</f>
        <v>0</v>
      </c>
      <c r="G159" s="498"/>
      <c r="H159" s="498"/>
      <c r="I159" s="1124">
        <f>IF(WEEKDAY(I155,2)=4,I155,IF(WEEKDAY(I155,2)&lt;4,I158+1,0))</f>
        <v>46177</v>
      </c>
      <c r="J159" s="498"/>
      <c r="K159" s="499"/>
      <c r="L159" s="443"/>
      <c r="O159" s="46" t="s">
        <v>2</v>
      </c>
      <c r="P159" s="1062"/>
      <c r="Q159" s="1110"/>
    </row>
    <row r="160" spans="1:44" s="13" customFormat="1" ht="15.6" x14ac:dyDescent="0.3">
      <c r="A160" s="180"/>
      <c r="B160" s="46" t="s">
        <v>3</v>
      </c>
      <c r="C160" s="1124">
        <f>IF(WEEKDAY(C155,2)=5,C155,IF(WEEKDAY(C155,2)&lt;5,C159+1,0))</f>
        <v>46115</v>
      </c>
      <c r="D160" s="498" t="s">
        <v>492</v>
      </c>
      <c r="E160" s="498"/>
      <c r="F160" s="1117">
        <f>IF(WEEKDAY(F155,2)=5,F155,IF(WEEKDAY(F155,2)&lt;5,F159+1,0))</f>
        <v>46143</v>
      </c>
      <c r="G160" s="498" t="s">
        <v>480</v>
      </c>
      <c r="H160" s="498"/>
      <c r="I160" s="1124">
        <f>IF(WEEKDAY(I155,2)=5,I155,IF(WEEKDAY(I155,2)&lt;5,I159+1,0))</f>
        <v>46178</v>
      </c>
      <c r="J160" s="498"/>
      <c r="K160" s="499"/>
      <c r="L160" s="443"/>
      <c r="O160" s="46" t="s">
        <v>3</v>
      </c>
      <c r="P160" s="1062"/>
      <c r="Q160" s="1110"/>
    </row>
    <row r="161" spans="1:17" s="13" customFormat="1" ht="15.6" x14ac:dyDescent="0.3">
      <c r="A161" s="180"/>
      <c r="B161" s="486" t="s">
        <v>28</v>
      </c>
      <c r="C161" s="1125">
        <f>IF(WEEKDAY(C155,2)=6,C155,IF(WEEKDAY(C155,2)&lt;6,C160+1,0))</f>
        <v>46116</v>
      </c>
      <c r="D161" s="444"/>
      <c r="E161" s="444"/>
      <c r="F161" s="1118">
        <f>IF(WEEKDAY(F155,2)=6,F155,IF(WEEKDAY(F155,2)&lt;6,F160+1,0))</f>
        <v>46144</v>
      </c>
      <c r="G161" s="444"/>
      <c r="H161" s="444"/>
      <c r="I161" s="1125">
        <f>IF(WEEKDAY(I155,2)=6,I155,IF(WEEKDAY(I155,2)&lt;6,I160+1,0))</f>
        <v>46179</v>
      </c>
      <c r="J161" s="444"/>
      <c r="K161" s="447"/>
      <c r="L161" s="443"/>
      <c r="O161" s="486" t="s">
        <v>28</v>
      </c>
      <c r="P161" s="1062"/>
      <c r="Q161" s="1110"/>
    </row>
    <row r="162" spans="1:17" s="13" customFormat="1" ht="16.2" thickBot="1" x14ac:dyDescent="0.35">
      <c r="A162" s="180"/>
      <c r="B162" s="486" t="s">
        <v>29</v>
      </c>
      <c r="C162" s="1125">
        <f>IF(WEEKDAY(C155,2)=7,C155,IF(WEEKDAY(C155,2)&lt;7,C161+1,0))</f>
        <v>46117</v>
      </c>
      <c r="D162" s="445"/>
      <c r="E162" s="445"/>
      <c r="F162" s="1118">
        <f>IF(WEEKDAY(F155,2)=7,F155,IF(WEEKDAY(F155,2)&lt;7,F161+1,0))</f>
        <v>46145</v>
      </c>
      <c r="G162" s="445"/>
      <c r="H162" s="445"/>
      <c r="I162" s="1125">
        <f>IF(WEEKDAY(I155,2)=7,I155,IF(WEEKDAY(I155,2)&lt;7,I161+1,0))</f>
        <v>46180</v>
      </c>
      <c r="J162" s="444"/>
      <c r="K162" s="447"/>
      <c r="L162" s="443"/>
      <c r="M162" s="13" t="s">
        <v>516</v>
      </c>
      <c r="O162" s="486" t="s">
        <v>29</v>
      </c>
      <c r="P162" s="1062"/>
      <c r="Q162" s="1110"/>
    </row>
    <row r="163" spans="1:17" s="13" customFormat="1" ht="15.6" x14ac:dyDescent="0.3">
      <c r="A163" s="180"/>
      <c r="B163" s="46" t="s">
        <v>0</v>
      </c>
      <c r="C163" s="1123">
        <f>C162+1</f>
        <v>46118</v>
      </c>
      <c r="D163" s="496" t="s">
        <v>492</v>
      </c>
      <c r="E163" s="498"/>
      <c r="F163" s="1116">
        <f>F162+1</f>
        <v>46146</v>
      </c>
      <c r="G163" s="498"/>
      <c r="H163" s="498"/>
      <c r="I163" s="1123">
        <f>I162+1</f>
        <v>46181</v>
      </c>
      <c r="J163" s="496"/>
      <c r="K163" s="497" t="s">
        <v>508</v>
      </c>
      <c r="L163" s="443"/>
      <c r="O163" s="46" t="s">
        <v>0</v>
      </c>
      <c r="P163" s="1062"/>
      <c r="Q163" s="1110"/>
    </row>
    <row r="164" spans="1:17" s="13" customFormat="1" ht="15.6" x14ac:dyDescent="0.3">
      <c r="A164" s="180"/>
      <c r="B164" s="46" t="s">
        <v>1</v>
      </c>
      <c r="C164" s="1124">
        <f>C163+1</f>
        <v>46119</v>
      </c>
      <c r="D164" s="498"/>
      <c r="E164" s="498"/>
      <c r="F164" s="1117">
        <f>F163+1</f>
        <v>46147</v>
      </c>
      <c r="G164" s="498"/>
      <c r="H164" s="498"/>
      <c r="I164" s="1124">
        <f>I163+1</f>
        <v>46182</v>
      </c>
      <c r="J164" s="498"/>
      <c r="K164" s="499" t="s">
        <v>509</v>
      </c>
      <c r="L164" s="443"/>
      <c r="O164" s="46" t="s">
        <v>1</v>
      </c>
      <c r="P164" s="1062"/>
      <c r="Q164" s="1110"/>
    </row>
    <row r="165" spans="1:17" s="13" customFormat="1" ht="15.6" x14ac:dyDescent="0.3">
      <c r="A165" s="180"/>
      <c r="B165" s="46" t="s">
        <v>27</v>
      </c>
      <c r="C165" s="1124">
        <f t="shared" ref="C165:C167" si="37">C164+1</f>
        <v>46120</v>
      </c>
      <c r="D165" s="498"/>
      <c r="E165" s="498"/>
      <c r="F165" s="1117">
        <f t="shared" ref="F165:F167" si="38">F164+1</f>
        <v>46148</v>
      </c>
      <c r="G165" s="498"/>
      <c r="H165" s="498"/>
      <c r="I165" s="1124">
        <f t="shared" ref="I165:I167" si="39">I164+1</f>
        <v>46183</v>
      </c>
      <c r="J165" s="498"/>
      <c r="K165" s="499" t="s">
        <v>511</v>
      </c>
      <c r="L165" s="443"/>
      <c r="O165" s="46" t="s">
        <v>27</v>
      </c>
      <c r="P165" s="1062"/>
      <c r="Q165" s="1110"/>
    </row>
    <row r="166" spans="1:17" s="13" customFormat="1" ht="15.6" x14ac:dyDescent="0.3">
      <c r="A166" s="180"/>
      <c r="B166" s="46" t="s">
        <v>2</v>
      </c>
      <c r="C166" s="1124">
        <f t="shared" si="37"/>
        <v>46121</v>
      </c>
      <c r="D166" s="498"/>
      <c r="E166" s="498"/>
      <c r="F166" s="1117">
        <f t="shared" si="38"/>
        <v>46149</v>
      </c>
      <c r="G166" s="498"/>
      <c r="H166" s="498"/>
      <c r="I166" s="1124">
        <f t="shared" si="39"/>
        <v>46184</v>
      </c>
      <c r="J166" s="498"/>
      <c r="K166" s="499"/>
      <c r="L166" s="443"/>
      <c r="O166" s="46" t="s">
        <v>2</v>
      </c>
      <c r="P166" s="1062"/>
      <c r="Q166" s="1110"/>
    </row>
    <row r="167" spans="1:17" s="13" customFormat="1" ht="15.6" x14ac:dyDescent="0.3">
      <c r="A167" s="180"/>
      <c r="B167" s="46" t="s">
        <v>3</v>
      </c>
      <c r="C167" s="1124">
        <f t="shared" si="37"/>
        <v>46122</v>
      </c>
      <c r="D167" s="498"/>
      <c r="E167" s="498"/>
      <c r="F167" s="1117">
        <f t="shared" si="38"/>
        <v>46150</v>
      </c>
      <c r="G167" s="498"/>
      <c r="H167" s="498"/>
      <c r="I167" s="1124">
        <f t="shared" si="39"/>
        <v>46185</v>
      </c>
      <c r="J167" s="498"/>
      <c r="K167" s="499"/>
      <c r="L167" s="443"/>
      <c r="O167" s="46" t="s">
        <v>3</v>
      </c>
      <c r="P167" s="1062"/>
      <c r="Q167" s="1110"/>
    </row>
    <row r="168" spans="1:17" s="13" customFormat="1" ht="15.6" x14ac:dyDescent="0.3">
      <c r="A168" s="180"/>
      <c r="B168" s="486" t="s">
        <v>28</v>
      </c>
      <c r="C168" s="1125">
        <f>C167+1</f>
        <v>46123</v>
      </c>
      <c r="D168" s="444"/>
      <c r="E168" s="444"/>
      <c r="F168" s="1118">
        <f>F167+1</f>
        <v>46151</v>
      </c>
      <c r="G168" s="444"/>
      <c r="H168" s="444"/>
      <c r="I168" s="1125">
        <f>I167+1</f>
        <v>46186</v>
      </c>
      <c r="J168" s="444"/>
      <c r="K168" s="447"/>
      <c r="L168" s="443"/>
      <c r="O168" s="486" t="s">
        <v>28</v>
      </c>
      <c r="P168" s="1062"/>
      <c r="Q168" s="1110"/>
    </row>
    <row r="169" spans="1:17" s="13" customFormat="1" ht="16.2" thickBot="1" x14ac:dyDescent="0.35">
      <c r="A169" s="180"/>
      <c r="B169" s="486" t="s">
        <v>29</v>
      </c>
      <c r="C169" s="1126">
        <f>C168+1</f>
        <v>46124</v>
      </c>
      <c r="D169" s="445"/>
      <c r="E169" s="445"/>
      <c r="F169" s="1119">
        <f>F168+1</f>
        <v>46152</v>
      </c>
      <c r="G169" s="445"/>
      <c r="H169" s="445"/>
      <c r="I169" s="1126">
        <f>I168+1</f>
        <v>46187</v>
      </c>
      <c r="J169" s="445"/>
      <c r="K169" s="446"/>
      <c r="L169" s="443"/>
      <c r="O169" s="486" t="s">
        <v>29</v>
      </c>
      <c r="P169" s="1062"/>
      <c r="Q169" s="1110"/>
    </row>
    <row r="170" spans="1:17" s="13" customFormat="1" ht="15.6" x14ac:dyDescent="0.3">
      <c r="A170" s="180"/>
      <c r="B170" s="46" t="s">
        <v>0</v>
      </c>
      <c r="C170" s="1124">
        <f>C169+1</f>
        <v>46125</v>
      </c>
      <c r="D170" s="498"/>
      <c r="E170" s="498"/>
      <c r="F170" s="1117">
        <f>F169+1</f>
        <v>46153</v>
      </c>
      <c r="G170" s="498"/>
      <c r="H170" s="498"/>
      <c r="I170" s="1124">
        <f>I169+1</f>
        <v>46188</v>
      </c>
      <c r="J170" s="498"/>
      <c r="K170" s="499"/>
      <c r="L170" s="443"/>
      <c r="O170" s="46" t="s">
        <v>0</v>
      </c>
      <c r="P170" s="1062"/>
      <c r="Q170" s="1110"/>
    </row>
    <row r="171" spans="1:17" s="13" customFormat="1" ht="15.6" x14ac:dyDescent="0.3">
      <c r="A171" s="180"/>
      <c r="B171" s="46" t="s">
        <v>1</v>
      </c>
      <c r="C171" s="1124">
        <f>C170+1</f>
        <v>46126</v>
      </c>
      <c r="D171" s="498"/>
      <c r="E171" s="498"/>
      <c r="F171" s="1117">
        <f>F170+1</f>
        <v>46154</v>
      </c>
      <c r="G171" s="498"/>
      <c r="H171" s="498"/>
      <c r="I171" s="1124">
        <f>I170+1</f>
        <v>46189</v>
      </c>
      <c r="J171" s="498"/>
      <c r="K171" s="499"/>
      <c r="L171" s="443"/>
      <c r="O171" s="46" t="s">
        <v>1</v>
      </c>
      <c r="P171" s="1062"/>
      <c r="Q171" s="1110"/>
    </row>
    <row r="172" spans="1:17" s="13" customFormat="1" ht="15.6" x14ac:dyDescent="0.3">
      <c r="A172" s="180"/>
      <c r="B172" s="46" t="s">
        <v>27</v>
      </c>
      <c r="C172" s="1124">
        <f t="shared" ref="C172:C174" si="40">C171+1</f>
        <v>46127</v>
      </c>
      <c r="D172" s="498"/>
      <c r="E172" s="498"/>
      <c r="F172" s="1117">
        <f t="shared" ref="F172:F174" si="41">F171+1</f>
        <v>46155</v>
      </c>
      <c r="G172" s="498"/>
      <c r="H172" s="498"/>
      <c r="I172" s="1124">
        <f t="shared" ref="I172:I174" si="42">I171+1</f>
        <v>46190</v>
      </c>
      <c r="J172" s="498"/>
      <c r="K172" s="499"/>
      <c r="L172" s="443"/>
      <c r="O172" s="46" t="s">
        <v>27</v>
      </c>
      <c r="P172" s="1062"/>
      <c r="Q172" s="1110"/>
    </row>
    <row r="173" spans="1:17" s="13" customFormat="1" ht="15.6" x14ac:dyDescent="0.3">
      <c r="A173" s="180"/>
      <c r="B173" s="46" t="s">
        <v>2</v>
      </c>
      <c r="C173" s="1124">
        <f t="shared" si="40"/>
        <v>46128</v>
      </c>
      <c r="D173" s="498"/>
      <c r="E173" s="498"/>
      <c r="F173" s="1117">
        <f t="shared" si="41"/>
        <v>46156</v>
      </c>
      <c r="G173" s="498"/>
      <c r="H173" s="498"/>
      <c r="I173" s="1124">
        <f t="shared" si="42"/>
        <v>46191</v>
      </c>
      <c r="J173" s="498"/>
      <c r="K173" s="499" t="s">
        <v>515</v>
      </c>
      <c r="L173" s="443"/>
      <c r="O173" s="46" t="s">
        <v>2</v>
      </c>
      <c r="P173" s="1062"/>
      <c r="Q173" s="1110"/>
    </row>
    <row r="174" spans="1:17" s="13" customFormat="1" ht="15.6" x14ac:dyDescent="0.3">
      <c r="A174" s="180"/>
      <c r="B174" s="46" t="s">
        <v>3</v>
      </c>
      <c r="C174" s="1124">
        <f t="shared" si="40"/>
        <v>46129</v>
      </c>
      <c r="D174" s="498"/>
      <c r="E174" s="498"/>
      <c r="F174" s="1117">
        <f t="shared" si="41"/>
        <v>46157</v>
      </c>
      <c r="G174" s="498"/>
      <c r="H174" s="498"/>
      <c r="I174" s="1124">
        <f t="shared" si="42"/>
        <v>46192</v>
      </c>
      <c r="J174" s="498"/>
      <c r="K174" s="499"/>
      <c r="L174" s="133" t="s">
        <v>507</v>
      </c>
      <c r="O174" s="46" t="s">
        <v>3</v>
      </c>
      <c r="P174" s="1062"/>
      <c r="Q174" s="1110"/>
    </row>
    <row r="175" spans="1:17" s="13" customFormat="1" ht="15.6" x14ac:dyDescent="0.3">
      <c r="A175" s="180"/>
      <c r="B175" s="486" t="s">
        <v>28</v>
      </c>
      <c r="C175" s="1125">
        <f>C174+1</f>
        <v>46130</v>
      </c>
      <c r="D175" s="444"/>
      <c r="E175" s="444"/>
      <c r="F175" s="1118">
        <f>F174+1</f>
        <v>46158</v>
      </c>
      <c r="G175" s="444"/>
      <c r="H175" s="444"/>
      <c r="I175" s="1125">
        <f>I174+1</f>
        <v>46193</v>
      </c>
      <c r="J175" s="444"/>
      <c r="K175" s="447"/>
      <c r="L175" s="443"/>
      <c r="O175" s="486" t="s">
        <v>28</v>
      </c>
      <c r="P175" s="1062"/>
      <c r="Q175" s="1110"/>
    </row>
    <row r="176" spans="1:17" s="13" customFormat="1" ht="16.2" thickBot="1" x14ac:dyDescent="0.35">
      <c r="A176" s="180"/>
      <c r="B176" s="486" t="s">
        <v>29</v>
      </c>
      <c r="C176" s="1125">
        <f>C175+1</f>
        <v>46131</v>
      </c>
      <c r="D176" s="445"/>
      <c r="E176" s="445"/>
      <c r="F176" s="1118">
        <f>F175+1</f>
        <v>46159</v>
      </c>
      <c r="G176" s="445"/>
      <c r="H176" s="445"/>
      <c r="I176" s="1125">
        <f>I175+1</f>
        <v>46194</v>
      </c>
      <c r="J176" s="444"/>
      <c r="K176" s="447"/>
      <c r="L176" s="443"/>
      <c r="O176" s="486" t="s">
        <v>29</v>
      </c>
      <c r="P176" s="1062"/>
      <c r="Q176" s="1110"/>
    </row>
    <row r="177" spans="1:17" s="13" customFormat="1" ht="15.6" x14ac:dyDescent="0.3">
      <c r="A177" s="180"/>
      <c r="B177" s="46" t="s">
        <v>0</v>
      </c>
      <c r="C177" s="1123">
        <f>C176+1</f>
        <v>46132</v>
      </c>
      <c r="D177" s="498"/>
      <c r="E177" s="498"/>
      <c r="F177" s="1116">
        <f>F176+1</f>
        <v>46160</v>
      </c>
      <c r="G177" s="498"/>
      <c r="H177" s="498"/>
      <c r="I177" s="1123">
        <f>I176+1</f>
        <v>46195</v>
      </c>
      <c r="J177" s="496"/>
      <c r="K177" s="497"/>
      <c r="L177" s="443"/>
      <c r="O177" s="46" t="s">
        <v>0</v>
      </c>
      <c r="P177" s="1062"/>
      <c r="Q177" s="1110"/>
    </row>
    <row r="178" spans="1:17" s="13" customFormat="1" ht="15.6" x14ac:dyDescent="0.3">
      <c r="A178" s="180"/>
      <c r="B178" s="46" t="s">
        <v>1</v>
      </c>
      <c r="C178" s="1124">
        <f>C177+1</f>
        <v>46133</v>
      </c>
      <c r="D178" s="498"/>
      <c r="E178" s="498"/>
      <c r="F178" s="1117">
        <f>F177+1</f>
        <v>46161</v>
      </c>
      <c r="G178" s="498"/>
      <c r="H178" s="498"/>
      <c r="I178" s="1124">
        <f>I177+1</f>
        <v>46196</v>
      </c>
      <c r="J178" s="498"/>
      <c r="K178" s="499"/>
      <c r="L178" s="443"/>
      <c r="O178" s="46" t="s">
        <v>1</v>
      </c>
      <c r="P178" s="1062"/>
      <c r="Q178" s="1110"/>
    </row>
    <row r="179" spans="1:17" s="13" customFormat="1" ht="15.6" x14ac:dyDescent="0.3">
      <c r="A179" s="180"/>
      <c r="B179" s="46" t="s">
        <v>27</v>
      </c>
      <c r="C179" s="1124">
        <f t="shared" ref="C179:C181" si="43">C178+1</f>
        <v>46134</v>
      </c>
      <c r="D179" s="498"/>
      <c r="E179" s="498"/>
      <c r="F179" s="1117">
        <f t="shared" ref="F179:F181" si="44">F178+1</f>
        <v>46162</v>
      </c>
      <c r="G179" s="498"/>
      <c r="H179" s="498"/>
      <c r="I179" s="1124">
        <f t="shared" ref="I179:I181" si="45">I178+1</f>
        <v>46197</v>
      </c>
      <c r="J179" s="498"/>
      <c r="K179" s="499"/>
      <c r="L179" s="443"/>
      <c r="O179" s="46" t="s">
        <v>27</v>
      </c>
      <c r="P179" s="1062"/>
      <c r="Q179" s="1110"/>
    </row>
    <row r="180" spans="1:17" s="13" customFormat="1" ht="15.6" x14ac:dyDescent="0.3">
      <c r="A180" s="180"/>
      <c r="B180" s="46" t="s">
        <v>2</v>
      </c>
      <c r="C180" s="1124">
        <f t="shared" si="43"/>
        <v>46135</v>
      </c>
      <c r="D180" s="498" t="s">
        <v>493</v>
      </c>
      <c r="E180" s="498"/>
      <c r="F180" s="1117">
        <f t="shared" si="44"/>
        <v>46163</v>
      </c>
      <c r="G180" s="498"/>
      <c r="H180" s="498"/>
      <c r="I180" s="1124">
        <f t="shared" si="45"/>
        <v>46198</v>
      </c>
      <c r="J180" s="498"/>
      <c r="K180" s="499"/>
      <c r="L180" s="443"/>
      <c r="O180" s="46" t="s">
        <v>2</v>
      </c>
      <c r="P180" s="1062"/>
      <c r="Q180" s="1110"/>
    </row>
    <row r="181" spans="1:17" s="13" customFormat="1" ht="15.6" x14ac:dyDescent="0.3">
      <c r="A181" s="180"/>
      <c r="B181" s="46" t="s">
        <v>3</v>
      </c>
      <c r="C181" s="1124">
        <f t="shared" si="43"/>
        <v>46136</v>
      </c>
      <c r="D181" s="498" t="s">
        <v>493</v>
      </c>
      <c r="E181" s="498"/>
      <c r="F181" s="1117">
        <f t="shared" si="44"/>
        <v>46164</v>
      </c>
      <c r="G181" s="498"/>
      <c r="H181" s="498"/>
      <c r="I181" s="1124">
        <f t="shared" si="45"/>
        <v>46199</v>
      </c>
      <c r="J181" s="498"/>
      <c r="K181" s="499"/>
      <c r="L181" s="443"/>
      <c r="O181" s="46" t="s">
        <v>3</v>
      </c>
      <c r="P181" s="1062"/>
      <c r="Q181" s="1110"/>
    </row>
    <row r="182" spans="1:17" s="13" customFormat="1" ht="15.6" x14ac:dyDescent="0.3">
      <c r="A182" s="180"/>
      <c r="B182" s="486" t="s">
        <v>28</v>
      </c>
      <c r="C182" s="1125">
        <f>C181+1</f>
        <v>46137</v>
      </c>
      <c r="D182" s="444"/>
      <c r="E182" s="444"/>
      <c r="F182" s="1118">
        <f>F181+1</f>
        <v>46165</v>
      </c>
      <c r="G182" s="444"/>
      <c r="H182" s="444"/>
      <c r="I182" s="1125">
        <f>I181+1</f>
        <v>46200</v>
      </c>
      <c r="J182" s="444"/>
      <c r="K182" s="447"/>
      <c r="L182" s="443"/>
      <c r="O182" s="486" t="s">
        <v>28</v>
      </c>
      <c r="P182" s="1062"/>
      <c r="Q182" s="1110"/>
    </row>
    <row r="183" spans="1:17" s="13" customFormat="1" ht="16.2" thickBot="1" x14ac:dyDescent="0.35">
      <c r="A183" s="180"/>
      <c r="B183" s="486" t="s">
        <v>29</v>
      </c>
      <c r="C183" s="1126">
        <f>C182+1</f>
        <v>46138</v>
      </c>
      <c r="D183" s="445"/>
      <c r="E183" s="445"/>
      <c r="F183" s="1119">
        <f>F182+1</f>
        <v>46166</v>
      </c>
      <c r="G183" s="445"/>
      <c r="H183" s="445"/>
      <c r="I183" s="1126">
        <f>I182+1</f>
        <v>46201</v>
      </c>
      <c r="J183" s="445"/>
      <c r="K183" s="446"/>
      <c r="L183" s="443"/>
      <c r="O183" s="486" t="s">
        <v>29</v>
      </c>
      <c r="P183" s="1062"/>
      <c r="Q183" s="1110"/>
    </row>
    <row r="184" spans="1:17" s="13" customFormat="1" ht="15.6" x14ac:dyDescent="0.3">
      <c r="A184" s="180"/>
      <c r="B184" s="46" t="s">
        <v>0</v>
      </c>
      <c r="C184" s="1124">
        <f>IF(MONTH(C170+14)=MONTH(C170),C170+14,0)</f>
        <v>46139</v>
      </c>
      <c r="D184" s="498"/>
      <c r="E184" s="498"/>
      <c r="F184" s="1117">
        <f>IF(MONTH(F170+14)=MONTH(F170),F170+14,0)</f>
        <v>46167</v>
      </c>
      <c r="G184" s="498"/>
      <c r="H184" s="498"/>
      <c r="I184" s="1124">
        <f>IF(MONTH(I170+14)=MONTH(I170),I170+14,0)</f>
        <v>46202</v>
      </c>
      <c r="J184" s="498"/>
      <c r="K184" s="499"/>
      <c r="L184" s="443"/>
      <c r="O184" s="46" t="s">
        <v>0</v>
      </c>
      <c r="P184" s="1062"/>
      <c r="Q184" s="1110"/>
    </row>
    <row r="185" spans="1:17" s="13" customFormat="1" ht="15.6" x14ac:dyDescent="0.3">
      <c r="A185" s="180"/>
      <c r="B185" s="46" t="s">
        <v>1</v>
      </c>
      <c r="C185" s="1124">
        <f>IF(MONTH(C171+14)=MONTH(C171),C171+14,0)</f>
        <v>46140</v>
      </c>
      <c r="D185" s="498"/>
      <c r="E185" s="498"/>
      <c r="F185" s="1117">
        <f>IF(MONTH(F171+14)=MONTH(F171),F171+14,0)</f>
        <v>46168</v>
      </c>
      <c r="G185" s="498"/>
      <c r="H185" s="498"/>
      <c r="I185" s="1124">
        <f>IF(MONTH(I171+14)=MONTH(I171),I171+14,0)</f>
        <v>46203</v>
      </c>
      <c r="J185" s="498"/>
      <c r="K185" s="499"/>
      <c r="L185" s="443"/>
      <c r="O185" s="46" t="s">
        <v>1</v>
      </c>
      <c r="P185" s="1062"/>
      <c r="Q185" s="1110"/>
    </row>
    <row r="186" spans="1:17" s="13" customFormat="1" ht="15.6" x14ac:dyDescent="0.3">
      <c r="A186" s="180"/>
      <c r="B186" s="46" t="s">
        <v>27</v>
      </c>
      <c r="C186" s="1124">
        <f t="shared" ref="C186:C187" si="46">IF(MONTH(C172+14)=MONTH(C172),C172+14,0)</f>
        <v>46141</v>
      </c>
      <c r="D186" s="498"/>
      <c r="E186" s="498"/>
      <c r="F186" s="1117">
        <f t="shared" ref="F186:F187" si="47">IF(MONTH(F172+14)=MONTH(F172),F172+14,0)</f>
        <v>46169</v>
      </c>
      <c r="G186" s="498"/>
      <c r="H186" s="498"/>
      <c r="I186" s="1124">
        <f t="shared" ref="I186:I187" si="48">IF(MONTH(I172+14)=MONTH(I172),I172+14,0)</f>
        <v>0</v>
      </c>
      <c r="J186" s="498"/>
      <c r="K186" s="499"/>
      <c r="L186" s="443"/>
      <c r="O186" s="46" t="s">
        <v>27</v>
      </c>
      <c r="P186" s="1062"/>
      <c r="Q186" s="1110"/>
    </row>
    <row r="187" spans="1:17" s="13" customFormat="1" ht="15.6" x14ac:dyDescent="0.3">
      <c r="A187" s="180"/>
      <c r="B187" s="46" t="s">
        <v>2</v>
      </c>
      <c r="C187" s="1124">
        <f t="shared" si="46"/>
        <v>46142</v>
      </c>
      <c r="D187" s="498"/>
      <c r="E187" s="498"/>
      <c r="F187" s="1117">
        <f t="shared" si="47"/>
        <v>46170</v>
      </c>
      <c r="G187" s="498"/>
      <c r="H187" s="498"/>
      <c r="I187" s="1124">
        <f t="shared" si="48"/>
        <v>0</v>
      </c>
      <c r="J187" s="498"/>
      <c r="K187" s="499"/>
      <c r="L187" s="443"/>
      <c r="O187" s="46" t="s">
        <v>2</v>
      </c>
      <c r="P187" s="1062"/>
      <c r="Q187" s="1110"/>
    </row>
    <row r="188" spans="1:17" s="13" customFormat="1" ht="15.6" x14ac:dyDescent="0.3">
      <c r="A188" s="180"/>
      <c r="B188" s="46" t="s">
        <v>3</v>
      </c>
      <c r="C188" s="1124">
        <f>IF(MONTH(C174+14)=MONTH(C174),C174+14,0)</f>
        <v>0</v>
      </c>
      <c r="D188" s="498"/>
      <c r="E188" s="498"/>
      <c r="F188" s="1117">
        <f>IF(MONTH(F174+14)=MONTH(F174),F174+14,0)</f>
        <v>46171</v>
      </c>
      <c r="G188" s="498"/>
      <c r="H188" s="498"/>
      <c r="I188" s="1124">
        <f>IF(MONTH(I174+14)=MONTH(I174),I174+14,0)</f>
        <v>0</v>
      </c>
      <c r="J188" s="498"/>
      <c r="K188" s="499"/>
      <c r="L188" s="443"/>
      <c r="O188" s="46" t="s">
        <v>3</v>
      </c>
      <c r="P188" s="1062"/>
      <c r="Q188" s="1110"/>
    </row>
    <row r="189" spans="1:17" s="13" customFormat="1" ht="15.6" x14ac:dyDescent="0.3">
      <c r="A189" s="180"/>
      <c r="B189" s="486" t="s">
        <v>28</v>
      </c>
      <c r="C189" s="1125">
        <f>IF(MONTH(C175+14)=MONTH(C175),C175+14,0)</f>
        <v>0</v>
      </c>
      <c r="D189" s="444"/>
      <c r="E189" s="444"/>
      <c r="F189" s="1118">
        <f>IF(MONTH(F175+14)=MONTH(F175),F175+14,0)</f>
        <v>46172</v>
      </c>
      <c r="G189" s="444"/>
      <c r="H189" s="444"/>
      <c r="I189" s="1125">
        <f>IF(MONTH(I175+14)=MONTH(I175),I175+14,0)</f>
        <v>0</v>
      </c>
      <c r="J189" s="444"/>
      <c r="K189" s="447"/>
      <c r="L189" s="443"/>
      <c r="O189" s="486" t="s">
        <v>28</v>
      </c>
      <c r="P189" s="1062"/>
      <c r="Q189" s="1110"/>
    </row>
    <row r="190" spans="1:17" s="13" customFormat="1" ht="16.2" thickBot="1" x14ac:dyDescent="0.35">
      <c r="A190" s="180"/>
      <c r="B190" s="486" t="s">
        <v>29</v>
      </c>
      <c r="C190" s="1125">
        <f>IF(MONTH(C176+14)=MONTH(C176),C176+14,0)</f>
        <v>0</v>
      </c>
      <c r="D190" s="445"/>
      <c r="E190" s="445"/>
      <c r="F190" s="1118">
        <f>IF(MONTH(F176+14)=MONTH(F176),F176+14,0)</f>
        <v>46173</v>
      </c>
      <c r="G190" s="445"/>
      <c r="H190" s="445"/>
      <c r="I190" s="1125">
        <f>IF(MONTH(I176+14)=MONTH(I176),I176+14,0)</f>
        <v>0</v>
      </c>
      <c r="J190" s="444"/>
      <c r="K190" s="447"/>
      <c r="L190" s="443"/>
      <c r="O190" s="486" t="s">
        <v>29</v>
      </c>
      <c r="P190" s="1062"/>
      <c r="Q190" s="1110"/>
    </row>
    <row r="191" spans="1:17" s="13" customFormat="1" ht="15.6" x14ac:dyDescent="0.3">
      <c r="A191" s="180"/>
      <c r="B191" s="46" t="s">
        <v>0</v>
      </c>
      <c r="C191" s="1123">
        <f>IF(MONTH(C177+14)=MONTH(C177),C177+14,0)</f>
        <v>0</v>
      </c>
      <c r="D191" s="498"/>
      <c r="E191" s="498"/>
      <c r="F191" s="1116">
        <f>IF(MONTH(F177+14)=MONTH(F177),F177+14,0)</f>
        <v>0</v>
      </c>
      <c r="G191" s="498"/>
      <c r="H191" s="498"/>
      <c r="I191" s="1123">
        <f>IF(MONTH(I177+14)=MONTH(I177),I177+14,0)</f>
        <v>0</v>
      </c>
      <c r="J191" s="496"/>
      <c r="K191" s="497"/>
      <c r="L191" s="443"/>
      <c r="O191" s="46" t="s">
        <v>0</v>
      </c>
      <c r="P191" s="1062"/>
      <c r="Q191" s="1110"/>
    </row>
    <row r="192" spans="1:17" s="13" customFormat="1" ht="15.6" x14ac:dyDescent="0.3">
      <c r="A192" s="180"/>
      <c r="B192" s="46" t="s">
        <v>1</v>
      </c>
      <c r="C192" s="1124">
        <f>IF(MONTH(C178+14)=MONTH(C178),C178+14,0)</f>
        <v>0</v>
      </c>
      <c r="D192" s="498"/>
      <c r="E192" s="498"/>
      <c r="F192" s="1117">
        <f>IF(MONTH(F178+14)=MONTH(F178),F178+14,0)</f>
        <v>0</v>
      </c>
      <c r="G192" s="498"/>
      <c r="H192" s="498"/>
      <c r="I192" s="1124">
        <f>IF(MONTH(I178+14)=MONTH(I178),I178+14,0)</f>
        <v>0</v>
      </c>
      <c r="J192" s="498"/>
      <c r="K192" s="499"/>
      <c r="L192" s="443"/>
      <c r="O192" s="46" t="s">
        <v>1</v>
      </c>
      <c r="P192" s="1062"/>
      <c r="Q192" s="1110"/>
    </row>
    <row r="193" spans="1:17" s="13" customFormat="1" ht="15.6" x14ac:dyDescent="0.3">
      <c r="A193" s="180"/>
      <c r="B193" s="46" t="s">
        <v>27</v>
      </c>
      <c r="C193" s="1124">
        <f t="shared" ref="C193:C194" si="49">IF(MONTH(C179+14)=MONTH(C179),C179+14,0)</f>
        <v>0</v>
      </c>
      <c r="D193" s="498"/>
      <c r="E193" s="498"/>
      <c r="F193" s="1117">
        <f t="shared" ref="F193:F194" si="50">IF(MONTH(F179+14)=MONTH(F179),F179+14,0)</f>
        <v>0</v>
      </c>
      <c r="G193" s="498"/>
      <c r="H193" s="498"/>
      <c r="I193" s="1124">
        <f t="shared" ref="I193:I194" si="51">IF(MONTH(I179+14)=MONTH(I179),I179+14,0)</f>
        <v>0</v>
      </c>
      <c r="J193" s="498"/>
      <c r="K193" s="499"/>
      <c r="L193" s="443"/>
      <c r="O193" s="46" t="s">
        <v>27</v>
      </c>
      <c r="P193" s="1062"/>
      <c r="Q193" s="1110"/>
    </row>
    <row r="194" spans="1:17" s="13" customFormat="1" ht="15.6" x14ac:dyDescent="0.3">
      <c r="A194" s="180"/>
      <c r="B194" s="46" t="s">
        <v>2</v>
      </c>
      <c r="C194" s="1124">
        <f t="shared" si="49"/>
        <v>0</v>
      </c>
      <c r="D194" s="498"/>
      <c r="E194" s="498"/>
      <c r="F194" s="1117">
        <f t="shared" si="50"/>
        <v>0</v>
      </c>
      <c r="G194" s="498"/>
      <c r="H194" s="498"/>
      <c r="I194" s="1124">
        <f t="shared" si="51"/>
        <v>0</v>
      </c>
      <c r="J194" s="498"/>
      <c r="K194" s="499"/>
      <c r="L194" s="443"/>
      <c r="O194" s="46" t="s">
        <v>2</v>
      </c>
      <c r="P194" s="1062"/>
      <c r="Q194" s="1110"/>
    </row>
    <row r="195" spans="1:17" s="13" customFormat="1" ht="15.6" x14ac:dyDescent="0.3">
      <c r="A195" s="180"/>
      <c r="B195" s="46" t="s">
        <v>3</v>
      </c>
      <c r="C195" s="1124">
        <f>IF(MONTH(C181+14)=MONTH(C181),C181+14,0)</f>
        <v>0</v>
      </c>
      <c r="D195" s="498"/>
      <c r="E195" s="498"/>
      <c r="F195" s="1117">
        <f>IF(MONTH(F181+14)=MONTH(F181),F181+14,0)</f>
        <v>0</v>
      </c>
      <c r="G195" s="498"/>
      <c r="H195" s="498"/>
      <c r="I195" s="1124">
        <f>IF(MONTH(I181+14)=MONTH(I181),I181+14,0)</f>
        <v>0</v>
      </c>
      <c r="J195" s="498"/>
      <c r="K195" s="499"/>
      <c r="L195" s="443"/>
      <c r="O195" s="46" t="s">
        <v>3</v>
      </c>
      <c r="P195" s="1062"/>
      <c r="Q195" s="1110"/>
    </row>
    <row r="196" spans="1:17" s="13" customFormat="1" ht="15.6" x14ac:dyDescent="0.3">
      <c r="A196" s="180"/>
      <c r="B196" s="486" t="s">
        <v>28</v>
      </c>
      <c r="C196" s="1125">
        <f>IF(MONTH(C182+14)=MONTH(C182),C182+14,0)</f>
        <v>0</v>
      </c>
      <c r="D196" s="444"/>
      <c r="E196" s="444"/>
      <c r="F196" s="1118">
        <f>IF(MONTH(F182+14)=MONTH(F182),F182+14,0)</f>
        <v>0</v>
      </c>
      <c r="G196" s="444"/>
      <c r="H196" s="444"/>
      <c r="I196" s="1125">
        <f>IF(MONTH(I182+14)=MONTH(I182),I182+14,0)</f>
        <v>0</v>
      </c>
      <c r="J196" s="444"/>
      <c r="K196" s="447"/>
      <c r="L196" s="443"/>
      <c r="O196" s="486" t="s">
        <v>28</v>
      </c>
      <c r="P196" s="1062"/>
      <c r="Q196" s="1110"/>
    </row>
    <row r="197" spans="1:17" s="13" customFormat="1" ht="16.2" thickBot="1" x14ac:dyDescent="0.35">
      <c r="A197" s="180"/>
      <c r="B197" s="486" t="s">
        <v>29</v>
      </c>
      <c r="C197" s="1126">
        <f>IF(MONTH(C183+14)=MONTH(C183),C183+14,0)</f>
        <v>0</v>
      </c>
      <c r="D197" s="445"/>
      <c r="E197" s="445"/>
      <c r="F197" s="1119">
        <f>IF(MONTH(F183+14)=MONTH(F183),F183+14,0)</f>
        <v>0</v>
      </c>
      <c r="G197" s="445"/>
      <c r="H197" s="445"/>
      <c r="I197" s="1126">
        <f>IF(MONTH(I183+14)=MONTH(I183),I183+14,0)</f>
        <v>0</v>
      </c>
      <c r="J197" s="445"/>
      <c r="K197" s="446"/>
      <c r="L197" s="443"/>
      <c r="O197" s="486" t="s">
        <v>29</v>
      </c>
      <c r="P197" s="1062"/>
      <c r="Q197" s="1110"/>
    </row>
    <row r="198" spans="1:17" s="13" customFormat="1" ht="15.6" x14ac:dyDescent="0.3">
      <c r="A198" s="180"/>
      <c r="B198" s="486"/>
      <c r="C198" s="1130"/>
      <c r="D198" s="444"/>
      <c r="E198" s="444"/>
      <c r="F198" s="1120"/>
      <c r="G198" s="444"/>
      <c r="H198" s="444"/>
      <c r="I198" s="1130"/>
      <c r="J198" s="444"/>
      <c r="K198" s="444"/>
      <c r="L198" s="46"/>
      <c r="O198" s="486"/>
      <c r="P198" s="1062"/>
      <c r="Q198" s="1110"/>
    </row>
    <row r="199" spans="1:17" s="13" customFormat="1" ht="16.2" thickBot="1" x14ac:dyDescent="0.35">
      <c r="A199" s="481"/>
      <c r="B199" s="481"/>
      <c r="C199" s="1131"/>
      <c r="D199" s="481"/>
      <c r="E199" s="481"/>
      <c r="F199" s="481"/>
      <c r="G199" s="481"/>
      <c r="H199" s="481"/>
      <c r="I199" s="1131"/>
      <c r="J199" s="481"/>
      <c r="K199" s="481"/>
      <c r="L199" s="481"/>
      <c r="M199" s="481"/>
      <c r="N199" s="481"/>
      <c r="O199" s="481" t="str">
        <f>IModulo&amp;" ("&amp;IProfesor&amp;")"</f>
        <v>FPM-it-1-0237 Infra. comunes de teleco en viviendas y edificios (Rafa Sanz)</v>
      </c>
      <c r="P199" s="500"/>
      <c r="Q199" s="1110"/>
    </row>
  </sheetData>
  <sheetProtection formatCells="0" formatColumns="0" formatRows="0" insertColumns="0" insertRows="0" insertHyperlinks="0" deleteColumns="0" deleteRows="0" sort="0" autoFilter="0" pivotTables="0"/>
  <protectedRanges>
    <protectedRange sqref="H5:H6 N5:N6 E5:E6 K5:K6" name="Fechas"/>
    <protectedRange sqref="D156:E198 D108:E149 D60:E101 G156:H198 G60:H101 J108:K149 J60:K94 J156:K198 M60:N94 G108:H149" name="Meses"/>
    <protectedRange sqref="C5" name="FechaSimulada"/>
    <protectedRange sqref="J12:N12" name="HorasDias_2_1"/>
    <protectedRange sqref="E13:F15" name="Datos_2_1"/>
  </protectedRanges>
  <customSheetViews>
    <customSheetView guid="{BEE73D72-37A1-4B7A-85D2-C39E053A4017}" scale="80" showPageBreaks="1" showGridLines="0" zeroValues="0" printArea="1">
      <pane ySplit="8" topLeftCell="A36" activePane="bottomLeft" state="frozen"/>
      <selection pane="bottomLeft" activeCell="M5" sqref="M5"/>
      <rowBreaks count="2" manualBreakCount="2">
        <brk id="52" max="16383" man="1"/>
        <brk id="99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1"/>
    </customSheetView>
    <customSheetView guid="{81A05B8F-D3E4-4CEB-B8F2-C34A1F15FDB9}" scale="80" showGridLines="0" zeroValues="0">
      <pane ySplit="8.0588235294117645" topLeftCell="A36" activePane="bottomLeft" state="frozen"/>
      <selection pane="bottomLeft" activeCell="M5" sqref="M5"/>
      <rowBreaks count="2" manualBreakCount="2">
        <brk id="52" max="16383" man="1"/>
        <brk id="99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2"/>
    </customSheetView>
    <customSheetView guid="{079ED3F8-D23E-413F-B7FA-1C4A43A9CEAB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3"/>
    </customSheetView>
    <customSheetView guid="{BBFF7A3C-7579-4BB0-AAA9-66CE11DC0C92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4"/>
    </customSheetView>
    <customSheetView guid="{386B8780-5573-460C-A780-6C59BEFB4DBF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5"/>
    </customSheetView>
    <customSheetView guid="{748451F5-A0F3-420F-846E-9497A6A574EF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6"/>
    </customSheetView>
  </customSheetViews>
  <mergeCells count="1">
    <mergeCell ref="N1:O1"/>
  </mergeCells>
  <conditionalFormatting sqref="B88:B101 O88:O101">
    <cfRule type="expression" dxfId="97" priority="4980">
      <formula>AND($C88=0,$F88=0,$I88=0,$L88=0)</formula>
    </cfRule>
  </conditionalFormatting>
  <conditionalFormatting sqref="B136:B149 O136:O149 B184:B198 O184:O198">
    <cfRule type="expression" dxfId="96" priority="4951">
      <formula>AND($C136=0,$F136=0,$I136=0)</formula>
    </cfRule>
  </conditionalFormatting>
  <conditionalFormatting sqref="C60:E101 C108:E149 C156:E198">
    <cfRule type="expression" dxfId="95" priority="24">
      <formula>$C60=0</formula>
    </cfRule>
  </conditionalFormatting>
  <conditionalFormatting sqref="D60:D101 D108:D149 D156:D198 G60:G101 G108:G149 G156:G198 M60:M101 J60:J101 J108:J149 J156:J198">
    <cfRule type="cellIs" dxfId="94" priority="25" stopIfTrue="1" operator="notEqual">
      <formula>""</formula>
    </cfRule>
  </conditionalFormatting>
  <conditionalFormatting sqref="E21:E41 M21:M53">
    <cfRule type="cellIs" dxfId="93" priority="1" operator="between">
      <formula>$K$5</formula>
      <formula>$K$6</formula>
    </cfRule>
    <cfRule type="cellIs" dxfId="92" priority="2" operator="between">
      <formula>$H$5</formula>
      <formula>$H$6</formula>
    </cfRule>
    <cfRule type="cellIs" dxfId="91" priority="3" operator="between">
      <formula>$E$5</formula>
      <formula>$E$6</formula>
    </cfRule>
  </conditionalFormatting>
  <conditionalFormatting sqref="E16:G16">
    <cfRule type="cellIs" dxfId="90" priority="4" operator="equal">
      <formula>1</formula>
    </cfRule>
  </conditionalFormatting>
  <conditionalFormatting sqref="F60:H101 F108:H149 F156:H198">
    <cfRule type="expression" dxfId="89" priority="23">
      <formula>$F60=0</formula>
    </cfRule>
  </conditionalFormatting>
  <conditionalFormatting sqref="I60:K80 I81:J81 I82:K101 I108:K149 I156:K198 D158:D160 D163:D164">
    <cfRule type="expression" dxfId="88" priority="10">
      <formula>$I60=0</formula>
    </cfRule>
  </conditionalFormatting>
  <conditionalFormatting sqref="K2">
    <cfRule type="expression" dxfId="87" priority="7">
      <formula>$I2=0</formula>
    </cfRule>
  </conditionalFormatting>
  <conditionalFormatting sqref="K81">
    <cfRule type="expression" dxfId="86" priority="6">
      <formula>$F81=0</formula>
    </cfRule>
  </conditionalFormatting>
  <conditionalFormatting sqref="L60:N75 L76:M78 L79:N101">
    <cfRule type="expression" dxfId="85" priority="21">
      <formula>$L60=0</formula>
    </cfRule>
  </conditionalFormatting>
  <conditionalFormatting sqref="N76:N78">
    <cfRule type="expression" dxfId="84" priority="15">
      <formula>$I76=0</formula>
    </cfRule>
  </conditionalFormatting>
  <dataValidations count="1">
    <dataValidation type="date" operator="greaterThan" allowBlank="1" showInputMessage="1" showErrorMessage="1" sqref="H5:H6 E5:E6 K5:K6 N5:N6" xr:uid="{00000000-0002-0000-0400-000000000000}">
      <formula1>36526</formula1>
    </dataValidation>
  </dataValidations>
  <hyperlinks>
    <hyperlink ref="O2" r:id="rId7" xr:uid="{1106CE97-99F6-4E42-85C3-2AFB623777EE}"/>
  </hyperlinks>
  <printOptions horizontalCentered="1"/>
  <pageMargins left="0.39370078740157483" right="0.39370078740157483" top="0.59055118110236227" bottom="0.39370078740157483" header="0" footer="0"/>
  <pageSetup paperSize="9" scale="60" fitToHeight="0" orientation="landscape" r:id="rId8"/>
  <rowBreaks count="3" manualBreakCount="3">
    <brk id="54" max="16383" man="1"/>
    <brk id="102" max="16383" man="1"/>
    <brk id="150" max="16383" man="1"/>
  </rowBreaks>
  <ignoredErrors>
    <ignoredError sqref="E7 O13 L5:L6 I5:I6 F5:F6 G13:G15 C13:C14 B14" unlockedFormula="1"/>
    <ignoredError sqref="E16:F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BE3A-1BA4-492B-B9D5-15A4F31F94D2}">
  <sheetPr>
    <tabColor theme="8" tint="0.79998168889431442"/>
    <pageSetUpPr fitToPage="1"/>
  </sheetPr>
  <dimension ref="A1:AT551"/>
  <sheetViews>
    <sheetView showGridLines="0" showZeros="0" view="pageBreakPreview" topLeftCell="A3" zoomScale="60" zoomScaleNormal="55" workbookViewId="0">
      <selection activeCell="E36" sqref="E36"/>
    </sheetView>
  </sheetViews>
  <sheetFormatPr baseColWidth="10" defaultRowHeight="14.4" x14ac:dyDescent="0.3"/>
  <cols>
    <col min="1" max="1" width="3.21875" style="1" customWidth="1"/>
    <col min="2" max="2" width="9" style="1" customWidth="1"/>
    <col min="3" max="3" width="9.21875" style="1" customWidth="1"/>
    <col min="4" max="27" width="7.21875" style="1" customWidth="1"/>
    <col min="28" max="28" width="3.21875" style="1" customWidth="1"/>
    <col min="29" max="29" width="15.6640625" customWidth="1"/>
    <col min="31" max="31" width="3.6640625" customWidth="1"/>
  </cols>
  <sheetData>
    <row r="1" spans="1:46" ht="25.8" thickBot="1" x14ac:dyDescent="0.5">
      <c r="A1" s="489" t="s">
        <v>525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1204">
        <f ca="1">FechaHoy</f>
        <v>46099</v>
      </c>
      <c r="Z1" s="1204"/>
      <c r="AA1" s="1204"/>
      <c r="AB1" s="1075"/>
    </row>
    <row r="2" spans="1:46" s="7" customFormat="1" ht="15.6" x14ac:dyDescent="0.3">
      <c r="A2" s="578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107"/>
      <c r="R2" s="1107"/>
      <c r="S2" s="1107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  <c r="AM2" s="672"/>
      <c r="AN2" s="672"/>
      <c r="AO2" s="672"/>
      <c r="AP2" s="672"/>
      <c r="AQ2" s="672"/>
      <c r="AR2" s="672"/>
      <c r="AS2" s="672"/>
      <c r="AT2" s="672"/>
    </row>
    <row r="3" spans="1:46" ht="21" thickBot="1" x14ac:dyDescent="0.4">
      <c r="B3" s="300" t="s">
        <v>149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2"/>
      <c r="Z3" s="302"/>
      <c r="AA3" s="302"/>
      <c r="AB3" s="1076"/>
    </row>
    <row r="4" spans="1:46" ht="21" thickBot="1" x14ac:dyDescent="0.4">
      <c r="A4" s="405"/>
      <c r="B4" s="8"/>
      <c r="C4" s="8"/>
      <c r="D4" s="8"/>
      <c r="E4" s="8"/>
      <c r="F4" s="8"/>
      <c r="G4" s="8"/>
      <c r="H4" s="8"/>
      <c r="I4" s="8"/>
      <c r="J4" s="601"/>
      <c r="K4" s="601"/>
      <c r="L4" s="8"/>
      <c r="M4" s="8"/>
      <c r="N4" s="8"/>
      <c r="O4" s="8"/>
      <c r="P4" s="601"/>
      <c r="Q4" s="601"/>
      <c r="R4" s="8"/>
      <c r="S4" s="8"/>
      <c r="T4" s="8"/>
      <c r="U4" s="8"/>
      <c r="V4" s="601"/>
      <c r="W4" s="601"/>
      <c r="X4" s="33"/>
      <c r="Y4" s="33"/>
      <c r="Z4" s="33"/>
      <c r="AA4" s="33"/>
      <c r="AB4" s="1076"/>
      <c r="AC4" s="12" t="s">
        <v>350</v>
      </c>
      <c r="AD4" s="6"/>
    </row>
    <row r="5" spans="1:46" ht="16.2" thickBot="1" x14ac:dyDescent="0.35">
      <c r="A5" s="7"/>
      <c r="B5" s="24"/>
      <c r="C5" s="7"/>
      <c r="D5" s="149" t="s">
        <v>200</v>
      </c>
      <c r="E5" s="277"/>
      <c r="F5" s="278"/>
      <c r="G5" s="278"/>
      <c r="H5" s="34">
        <f>D29+F29+H29+J29</f>
        <v>66</v>
      </c>
      <c r="I5" s="35">
        <f ca="1">E29+G29+I29+K29</f>
        <v>66</v>
      </c>
      <c r="J5" s="1206">
        <f ca="1">(E29+G29+I29+K29)/(D29+F29+H29+J29)</f>
        <v>1</v>
      </c>
      <c r="K5" s="1207"/>
      <c r="L5" s="147" t="s">
        <v>181</v>
      </c>
      <c r="M5" s="283"/>
      <c r="N5" s="34">
        <f>L29+N29+P29</f>
        <v>427</v>
      </c>
      <c r="O5" s="35">
        <f ca="1">M29+O29+Q29</f>
        <v>301</v>
      </c>
      <c r="P5" s="1206">
        <f ca="1">(M29+O29+Q29)/(L29+N29+P29)</f>
        <v>0.70491803278688525</v>
      </c>
      <c r="Q5" s="1207"/>
      <c r="R5" s="148" t="s">
        <v>208</v>
      </c>
      <c r="S5" s="284"/>
      <c r="T5" s="34">
        <f>R29+T29+V29</f>
        <v>648</v>
      </c>
      <c r="U5" s="35">
        <f ca="1">S29+U29+W29</f>
        <v>0</v>
      </c>
      <c r="V5" s="1206">
        <f ca="1">IF(NTri&gt;=$R$30,(S29+U29+W29)/(R29+T29+V29),"")</f>
        <v>0</v>
      </c>
      <c r="W5" s="1207"/>
      <c r="X5" s="8"/>
      <c r="Y5" s="8"/>
      <c r="Z5" s="8"/>
      <c r="AA5" s="8"/>
      <c r="AB5" s="1077"/>
      <c r="AC5" s="876" t="str">
        <f>Info!W3</f>
        <v>De hoy</v>
      </c>
      <c r="AD5" s="877">
        <f ca="1">TODAY()</f>
        <v>46099</v>
      </c>
    </row>
    <row r="6" spans="1:46" ht="15.6" x14ac:dyDescent="0.3">
      <c r="A6" s="7"/>
      <c r="B6" s="7"/>
      <c r="C6" s="8"/>
      <c r="D6" s="25" t="s">
        <v>5</v>
      </c>
      <c r="E6" s="26"/>
      <c r="F6" s="26" t="s">
        <v>6</v>
      </c>
      <c r="G6" s="26"/>
      <c r="H6" s="26" t="s">
        <v>7</v>
      </c>
      <c r="I6" s="26"/>
      <c r="J6" s="26" t="s">
        <v>8</v>
      </c>
      <c r="K6" s="26"/>
      <c r="L6" s="25" t="s">
        <v>9</v>
      </c>
      <c r="M6" s="26"/>
      <c r="N6" s="26" t="s">
        <v>10</v>
      </c>
      <c r="O6" s="26"/>
      <c r="P6" s="26" t="s">
        <v>1</v>
      </c>
      <c r="Q6" s="26"/>
      <c r="R6" s="25" t="s">
        <v>11</v>
      </c>
      <c r="S6" s="26"/>
      <c r="T6" s="26" t="s">
        <v>12</v>
      </c>
      <c r="U6" s="26"/>
      <c r="V6" s="26" t="s">
        <v>13</v>
      </c>
      <c r="W6" s="26"/>
      <c r="X6" s="8"/>
      <c r="Y6" s="567" t="s">
        <v>209</v>
      </c>
      <c r="Z6" s="8"/>
      <c r="AA6" s="8"/>
      <c r="AB6" s="1077"/>
      <c r="AC6" s="876" t="str">
        <f>Info!W4</f>
        <v>Simulada</v>
      </c>
      <c r="AD6" s="878">
        <v>45536</v>
      </c>
    </row>
    <row r="7" spans="1:46" ht="31.8" thickBot="1" x14ac:dyDescent="0.35">
      <c r="A7" s="222"/>
      <c r="B7" s="21" t="s">
        <v>30</v>
      </c>
      <c r="C7" s="22" t="s">
        <v>192</v>
      </c>
      <c r="D7" s="267" t="s">
        <v>332</v>
      </c>
      <c r="E7" s="36" t="s">
        <v>333</v>
      </c>
      <c r="F7" s="267" t="s">
        <v>332</v>
      </c>
      <c r="G7" s="36" t="s">
        <v>333</v>
      </c>
      <c r="H7" s="267" t="s">
        <v>332</v>
      </c>
      <c r="I7" s="36" t="s">
        <v>333</v>
      </c>
      <c r="J7" s="267" t="s">
        <v>332</v>
      </c>
      <c r="K7" s="36" t="s">
        <v>333</v>
      </c>
      <c r="L7" s="267" t="s">
        <v>332</v>
      </c>
      <c r="M7" s="36" t="s">
        <v>333</v>
      </c>
      <c r="N7" s="267" t="s">
        <v>332</v>
      </c>
      <c r="O7" s="36" t="s">
        <v>333</v>
      </c>
      <c r="P7" s="267" t="s">
        <v>332</v>
      </c>
      <c r="Q7" s="36" t="s">
        <v>333</v>
      </c>
      <c r="R7" s="267" t="s">
        <v>332</v>
      </c>
      <c r="S7" s="36" t="s">
        <v>333</v>
      </c>
      <c r="T7" s="267" t="s">
        <v>332</v>
      </c>
      <c r="U7" s="36" t="s">
        <v>333</v>
      </c>
      <c r="V7" s="267" t="s">
        <v>332</v>
      </c>
      <c r="W7" s="36" t="s">
        <v>333</v>
      </c>
      <c r="X7" s="37" t="s">
        <v>334</v>
      </c>
      <c r="Y7" s="38" t="s">
        <v>211</v>
      </c>
      <c r="Z7" s="39" t="s">
        <v>212</v>
      </c>
      <c r="AA7" s="40" t="s">
        <v>210</v>
      </c>
      <c r="AB7" s="222"/>
      <c r="AC7" s="18" t="s">
        <v>481</v>
      </c>
      <c r="AD7" s="879" t="s">
        <v>315</v>
      </c>
    </row>
    <row r="8" spans="1:46" ht="16.2" thickBot="1" x14ac:dyDescent="0.35">
      <c r="A8" s="7"/>
      <c r="B8" s="221" t="str">
        <f>IF(UDs!C34&lt;&gt;0,UDs!B34,IF(C8&lt;&gt;0,CoUDCM,0))</f>
        <v>UD00</v>
      </c>
      <c r="C8" s="138">
        <v>1</v>
      </c>
      <c r="D8" s="156">
        <f>SUMIF(Flts!E$14:E$43,UDs!$B34,Flts!$AS$14:$AS$43)</f>
        <v>1</v>
      </c>
      <c r="E8" s="157">
        <f ca="1">SUMIF(Flts!F$14:F$43,UDs!$B34,Flts!$AS$14:$AS$43)</f>
        <v>1</v>
      </c>
      <c r="F8" s="158">
        <f>SUMIF(Flts!E$48:E$78,UDs!$B34,Flts!$AS$48:$AS$78)</f>
        <v>0</v>
      </c>
      <c r="G8" s="157">
        <f ca="1">SUMIF(Flts!F$48:F$78,UDs!$B34,Flts!$AS$48:$AS$78)</f>
        <v>0</v>
      </c>
      <c r="H8" s="158">
        <f>SUMIF(Flts!E$82:E$111,UDs!$B34,Flts!$AS$82:$AS$111)</f>
        <v>0</v>
      </c>
      <c r="I8" s="157">
        <f ca="1">SUMIF(Flts!F$82:F$111,UDs!$B34,Flts!$AS$82:$AS$111)</f>
        <v>0</v>
      </c>
      <c r="J8" s="158">
        <f>SUMIF(Flts!E$116:E$146,UDs!$B34,Flts!$AS$116:$AS$146)</f>
        <v>0</v>
      </c>
      <c r="K8" s="157">
        <f ca="1">SUMIF(Flts!F$116:F$146,UDs!$B34,Flts!$AS$116:$AS$146)</f>
        <v>0</v>
      </c>
      <c r="L8" s="156">
        <f>SUMIF(Flts!E$150:E$180,UDs!$B34,Flts!$AS$150:$AS$180)</f>
        <v>0</v>
      </c>
      <c r="M8" s="157">
        <f ca="1">SUMIF(Flts!F$150:F$180,UDs!$B34,Flts!$AS$150:$AS$180)</f>
        <v>0</v>
      </c>
      <c r="N8" s="158">
        <f>SUMIF(Flts!E$184:E$212,UDs!$B34,Flts!$AS$184:$AS$212)</f>
        <v>0</v>
      </c>
      <c r="O8" s="157">
        <f ca="1">SUMIF(Flts!F$184:F$212,UDs!$B34,Flts!$AS$184:$AS$212)</f>
        <v>0</v>
      </c>
      <c r="P8" s="158">
        <f>SUMIF(Flts!E$218:E$248,UDs!$B34,Flts!$AS$218:$AS$248)</f>
        <v>0</v>
      </c>
      <c r="Q8" s="157">
        <f ca="1">SUMIF(Flts!F$218:F$248,UDs!$B34,Flts!$AS$218:$AS$248)</f>
        <v>0</v>
      </c>
      <c r="R8" s="156">
        <f>IF(NTri&gt;=$R$30,SUMIF(Flts!E$252:E$281,UDs!$B34,Flts!$AS$252:$AS$281),0)</f>
        <v>0</v>
      </c>
      <c r="S8" s="157">
        <f ca="1">IF(NTri&gt;=$R$30,SUMIF(Flts!F$252:F$281,UDs!$B34,Flts!$AS$252:$AS$281),0)</f>
        <v>0</v>
      </c>
      <c r="T8" s="158">
        <f>IF(NTri&gt;=$R$30,SUMIF(Flts!E$286:E$316,UDs!$B34,Flts!$AS$286:$AS$316),0)</f>
        <v>0</v>
      </c>
      <c r="U8" s="157">
        <f ca="1">IF(NTri&gt;=$R$30,SUMIF(Flts!F$286:F$316,UDs!$B34,Flts!$AS$286:$AS$316),0)</f>
        <v>0</v>
      </c>
      <c r="V8" s="158">
        <f>IF(NTri&gt;=$R$30,SUMIF(Flts!E$320:E$349,UDs!$B34,Flts!$AS$320:$AS$349),0)</f>
        <v>0</v>
      </c>
      <c r="W8" s="157">
        <f ca="1">IF(NTri&gt;=$R$30,SUMIF(Flts!F$320:F$349,UDs!$B34,Flts!$AS$320:$AS$349),0)</f>
        <v>0</v>
      </c>
      <c r="X8" s="159">
        <f t="shared" ref="X8:X28" ca="1" si="0">SUM(E8,G8,I8,K8,M8,O8,Q8,S8,U8,W8)</f>
        <v>1</v>
      </c>
      <c r="Y8" s="2">
        <f ca="1">IF(AND(FechaInicio1Tri&lt;=UDs!$F34, FechaFin1Tri&gt;=UDs!$F34),(E8+G8+I8+K8)/(D8+F8+H8+J8),0%)</f>
        <v>1</v>
      </c>
      <c r="Z8" s="2">
        <f>IF(AND(FechaInicio2Tri&lt;=UDs!$F34, FechaFin2Tri&gt;=UDs!$F34),(M8+O8+Q8)/(L8+N8+P8),0%)</f>
        <v>0</v>
      </c>
      <c r="AA8" s="171">
        <f>IF(AND(FechaInicio3Tri&lt;=UDs!$F34, FechaFin3Tri&gt;=UDs!$F34),(S8+U8+W8)/(R8+T8+V8),0%)</f>
        <v>0</v>
      </c>
      <c r="AB8" s="7"/>
      <c r="AC8" s="880" t="str">
        <f>"= "&amp;IF(AD7=Info!W4,Info!W4,Info!W3)</f>
        <v>= De hoy</v>
      </c>
      <c r="AD8" s="881">
        <f ca="1">IF(AD7=Info!W4,AD6,TODAY())</f>
        <v>46099</v>
      </c>
    </row>
    <row r="9" spans="1:46" ht="15.6" x14ac:dyDescent="0.3">
      <c r="A9" s="7"/>
      <c r="B9" s="221" t="str">
        <f>IF(UDs!C35&lt;&gt;0,UDs!B35,IF(C9&lt;&gt;0,CoUDCM,0))</f>
        <v>UD01</v>
      </c>
      <c r="C9" s="138">
        <f>IFERROR(IF(C8+UDs!C34&gt;C8,C8+UDs!C34,0),0)</f>
        <v>2</v>
      </c>
      <c r="D9" s="156">
        <f>SUMIF(Flts!E$14:E$43,UDs!$B35,Flts!$AS$14:$AS$43)</f>
        <v>11</v>
      </c>
      <c r="E9" s="157">
        <f ca="1">SUMIF(Flts!F$14:F$43,UDs!$B35,Flts!$AS$14:$AS$43)</f>
        <v>11</v>
      </c>
      <c r="F9" s="158">
        <f>SUMIF(Flts!E$48:E$78,UDs!$B35,Flts!$AS$48:$AS$78)</f>
        <v>21</v>
      </c>
      <c r="G9" s="157">
        <f ca="1">SUMIF(Flts!F$48:F$78,UDs!$B35,Flts!$AS$48:$AS$78)</f>
        <v>21</v>
      </c>
      <c r="H9" s="158">
        <f>SUMIF(Flts!E$82:E$111,UDs!$B35,Flts!$AS$82:$AS$111)</f>
        <v>2</v>
      </c>
      <c r="I9" s="157">
        <f ca="1">SUMIF(Flts!F$82:F$111,UDs!$B35,Flts!$AS$82:$AS$111)</f>
        <v>2</v>
      </c>
      <c r="J9" s="158">
        <f>SUMIF(Flts!E$116:E$146,UDs!$B35,Flts!$AS$116:$AS$146)</f>
        <v>0</v>
      </c>
      <c r="K9" s="157">
        <f ca="1">SUMIF(Flts!F$116:F$146,UDs!$B35,Flts!$AS$116:$AS$146)</f>
        <v>0</v>
      </c>
      <c r="L9" s="156">
        <f>SUMIF(Flts!E$150:E$180,UDs!$B35,Flts!$AS$150:$AS$180)</f>
        <v>0</v>
      </c>
      <c r="M9" s="157">
        <f ca="1">SUMIF(Flts!F$150:F$180,UDs!$B35,Flts!$AS$150:$AS$180)</f>
        <v>0</v>
      </c>
      <c r="N9" s="158">
        <f>SUMIF(Flts!E$184:E$212,UDs!$B35,Flts!$AS$184:$AS$212)</f>
        <v>0</v>
      </c>
      <c r="O9" s="157">
        <f ca="1">SUMIF(Flts!F$184:F$212,UDs!$B35,Flts!$AS$184:$AS$212)</f>
        <v>0</v>
      </c>
      <c r="P9" s="158">
        <f>SUMIF(Flts!E$218:E$248,UDs!$B35,Flts!$AS$218:$AS$248)</f>
        <v>0</v>
      </c>
      <c r="Q9" s="157">
        <f ca="1">SUMIF(Flts!F$218:F$248,UDs!$B35,Flts!$AS$218:$AS$248)</f>
        <v>0</v>
      </c>
      <c r="R9" s="156">
        <f>IF(NTri&gt;=$R$30,SUMIF(Flts!E$252:E$281,UDs!$B35,Flts!$AS$252:$AS$281),0)</f>
        <v>0</v>
      </c>
      <c r="S9" s="157">
        <f ca="1">IF(NTri&gt;=$R$30,SUMIF(Flts!F$252:F$281,UDs!$B35,Flts!$AS$252:$AS$281),0)</f>
        <v>0</v>
      </c>
      <c r="T9" s="158">
        <f>IF(NTri&gt;=$R$30,SUMIF(Flts!E$286:E$316,UDs!$B35,Flts!$AS$286:$AS$316),0)</f>
        <v>0</v>
      </c>
      <c r="U9" s="157">
        <f ca="1">IF(NTri&gt;=$R$30,SUMIF(Flts!F$286:F$316,UDs!$B35,Flts!$AS$286:$AS$316),0)</f>
        <v>0</v>
      </c>
      <c r="V9" s="158">
        <f>IF(NTri&gt;=$R$30,SUMIF(Flts!E$320:E$349,UDs!$B35,Flts!$AS$320:$AS$349),0)</f>
        <v>0</v>
      </c>
      <c r="W9" s="157">
        <f ca="1">IF(NTri&gt;=$R$30,SUMIF(Flts!F$320:F$349,UDs!$B35,Flts!$AS$320:$AS$349),0)</f>
        <v>0</v>
      </c>
      <c r="X9" s="160">
        <f t="shared" ca="1" si="0"/>
        <v>34</v>
      </c>
      <c r="Y9" s="2">
        <f ca="1">IF(AND(FechaInicio1Tri&lt;=UDs!$F35, FechaFin1Tri&gt;=UDs!$F35),(E9+G9+I9+K9)/(D9+F9+H9+J9),0%)</f>
        <v>1</v>
      </c>
      <c r="Z9" s="2">
        <f>IF(AND(FechaInicio2Tri&lt;=UDs!$F35, FechaFin2Tri&gt;=UDs!$F35),(M9+O9+Q9)/(L9+N9+P9),0%)</f>
        <v>0</v>
      </c>
      <c r="AA9" s="2">
        <f>IF(AND(FechaInicio3Tri&lt;=UDs!$F35, FechaFin3Tri&gt;=UDs!$F35),(S9+U9+W9)/(R9+T9+V9),0%)</f>
        <v>0</v>
      </c>
      <c r="AB9" s="7"/>
    </row>
    <row r="10" spans="1:46" ht="15.6" x14ac:dyDescent="0.3">
      <c r="A10" s="7"/>
      <c r="B10" s="223" t="str">
        <f>IF(UDs!C36&lt;&gt;0,UDs!B36,IF(C10&lt;&gt;0,CoUDCM,0))</f>
        <v>UD02</v>
      </c>
      <c r="C10" s="141">
        <f>IFERROR(IF(C9+UDs!C35&gt;C9,C9+UDs!C35,0),0)</f>
        <v>36</v>
      </c>
      <c r="D10" s="161">
        <f>SUMIF(Flts!E$14:E$43,UDs!$B36,Flts!$AS$14:$AS$43)</f>
        <v>0</v>
      </c>
      <c r="E10" s="162">
        <f ca="1">SUMIF(Flts!F$14:F$43,UDs!$B36,Flts!$AS$14:$AS$43)</f>
        <v>0</v>
      </c>
      <c r="F10" s="163">
        <f>SUMIF(Flts!E$48:E$78,UDs!$B36,Flts!$AS$48:$AS$78)</f>
        <v>0</v>
      </c>
      <c r="G10" s="162">
        <f ca="1">SUMIF(Flts!F$48:F$78,UDs!$B36,Flts!$AS$48:$AS$78)</f>
        <v>0</v>
      </c>
      <c r="H10" s="163">
        <f>SUMIF(Flts!E$82:E$111,UDs!$B36,Flts!$AS$82:$AS$111)</f>
        <v>17</v>
      </c>
      <c r="I10" s="162">
        <f ca="1">SUMIF(Flts!F$82:F$111,UDs!$B36,Flts!$AS$82:$AS$111)</f>
        <v>17</v>
      </c>
      <c r="J10" s="163">
        <f>SUMIF(Flts!E$116:E$146,UDs!$B36,Flts!$AS$116:$AS$146)</f>
        <v>14</v>
      </c>
      <c r="K10" s="162">
        <f ca="1">SUMIF(Flts!F$116:F$146,UDs!$B36,Flts!$AS$116:$AS$146)</f>
        <v>14</v>
      </c>
      <c r="L10" s="161">
        <f>SUMIF(Flts!E$150:E$180,UDs!$B36,Flts!$AS$150:$AS$180)</f>
        <v>13</v>
      </c>
      <c r="M10" s="162">
        <f ca="1">SUMIF(Flts!F$150:F$180,UDs!$B36,Flts!$AS$150:$AS$180)</f>
        <v>13</v>
      </c>
      <c r="N10" s="163">
        <f>SUMIF(Flts!E$184:E$212,UDs!$B36,Flts!$AS$184:$AS$212)</f>
        <v>0</v>
      </c>
      <c r="O10" s="162">
        <f ca="1">SUMIF(Flts!F$184:F$212,UDs!$B36,Flts!$AS$184:$AS$212)</f>
        <v>0</v>
      </c>
      <c r="P10" s="163">
        <f>SUMIF(Flts!E$218:E$248,UDs!$B36,Flts!$AS$218:$AS$248)</f>
        <v>0</v>
      </c>
      <c r="Q10" s="162">
        <f ca="1">SUMIF(Flts!F$218:F$248,UDs!$B36,Flts!$AS$218:$AS$248)</f>
        <v>0</v>
      </c>
      <c r="R10" s="161">
        <f>IF(NTri&gt;=$R$30,SUMIF(Flts!E$252:E$281,UDs!$B36,Flts!$AS$252:$AS$281),0)</f>
        <v>0</v>
      </c>
      <c r="S10" s="162">
        <f ca="1">IF(NTri&gt;=$R$30,SUMIF(Flts!F$252:F$281,UDs!$B36,Flts!$AS$252:$AS$281),0)</f>
        <v>0</v>
      </c>
      <c r="T10" s="163">
        <f>IF(NTri&gt;=$R$30,SUMIF(Flts!E$286:E$316,UDs!$B36,Flts!$AS$286:$AS$316),0)</f>
        <v>0</v>
      </c>
      <c r="U10" s="162">
        <f ca="1">IF(NTri&gt;=$R$30,SUMIF(Flts!F$286:F$316,UDs!$B36,Flts!$AS$286:$AS$316),0)</f>
        <v>0</v>
      </c>
      <c r="V10" s="163">
        <f>IF(NTri&gt;=$R$30,SUMIF(Flts!E$320:E$349,UDs!$B36,Flts!$AS$320:$AS$349),0)</f>
        <v>0</v>
      </c>
      <c r="W10" s="162">
        <f ca="1">IF(NTri&gt;=$R$30,SUMIF(Flts!F$320:F$349,UDs!$B36,Flts!$AS$320:$AS$349),0)</f>
        <v>0</v>
      </c>
      <c r="X10" s="164">
        <f t="shared" ca="1" si="0"/>
        <v>44</v>
      </c>
      <c r="Y10" s="3">
        <f ca="1">IF(AND(FechaInicio1Tri&lt;=UDs!$F36, FechaFin1Tri&gt;=UDs!$F36),(E10+G10+I10+K10)/(D10+F10+H10+J10),0%)</f>
        <v>1</v>
      </c>
      <c r="Z10" s="3">
        <f>IF(AND(FechaInicio2Tri&lt;=UDs!$F36, FechaFin2Tri&gt;=UDs!$F36),(M10+O10+Q10)/(L10+N10+P10),0%)</f>
        <v>0</v>
      </c>
      <c r="AA10" s="3">
        <f>IF(AND(FechaInicio3Tri&lt;=UDs!$F36, FechaFin3Tri&gt;=UDs!$F36),(S10+U10+W10)/(R10+T10+V10),0%)</f>
        <v>0</v>
      </c>
      <c r="AB10" s="7"/>
    </row>
    <row r="11" spans="1:46" ht="15.6" x14ac:dyDescent="0.3">
      <c r="A11" s="7"/>
      <c r="B11" s="221" t="str">
        <f>IF(UDs!C37&lt;&gt;0,UDs!B37,IF(C11&lt;&gt;0,CoUDCM,0))</f>
        <v/>
      </c>
      <c r="C11" s="138">
        <f>IFERROR(IF(C10+UDs!C36&gt;C10,C10+UDs!C36,0),0)</f>
        <v>80</v>
      </c>
      <c r="D11" s="156">
        <f>SUMIF(Flts!E$14:E$43,UDs!$B37,Flts!$AS$14:$AS$43)</f>
        <v>0</v>
      </c>
      <c r="E11" s="157">
        <f ca="1">SUMIF(Flts!F$14:F$43,UDs!$B37,Flts!$AS$14:$AS$43)</f>
        <v>0</v>
      </c>
      <c r="F11" s="158">
        <f>SUMIF(Flts!E$48:E$78,UDs!$B37,Flts!$AS$48:$AS$78)</f>
        <v>0</v>
      </c>
      <c r="G11" s="157">
        <f ca="1">SUMIF(Flts!F$48:F$78,UDs!$B37,Flts!$AS$48:$AS$78)</f>
        <v>0</v>
      </c>
      <c r="H11" s="158">
        <f>SUMIF(Flts!E$82:E$111,UDs!$B37,Flts!$AS$82:$AS$111)</f>
        <v>0</v>
      </c>
      <c r="I11" s="157">
        <f ca="1">SUMIF(Flts!F$82:F$111,UDs!$B37,Flts!$AS$82:$AS$111)</f>
        <v>0</v>
      </c>
      <c r="J11" s="158">
        <f>SUMIF(Flts!E$116:E$146,UDs!$B37,Flts!$AS$116:$AS$146)</f>
        <v>0</v>
      </c>
      <c r="K11" s="157">
        <f ca="1">SUMIF(Flts!F$116:F$146,UDs!$B37,Flts!$AS$116:$AS$146)</f>
        <v>0</v>
      </c>
      <c r="L11" s="156">
        <f>SUMIF(Flts!E$150:E$180,UDs!$B37,Flts!$AS$150:$AS$180)</f>
        <v>4</v>
      </c>
      <c r="M11" s="157">
        <f ca="1">SUMIF(Flts!F$150:F$180,UDs!$B37,Flts!$AS$150:$AS$180)</f>
        <v>4</v>
      </c>
      <c r="N11" s="158">
        <f>SUMIF(Flts!E$184:E$212,UDs!$B37,Flts!$AS$184:$AS$212)</f>
        <v>0</v>
      </c>
      <c r="O11" s="157">
        <f ca="1">SUMIF(Flts!F$184:F$212,UDs!$B37,Flts!$AS$184:$AS$212)</f>
        <v>0</v>
      </c>
      <c r="P11" s="158">
        <f>SUMIF(Flts!E$218:E$248,UDs!$B37,Flts!$AS$218:$AS$248)</f>
        <v>19</v>
      </c>
      <c r="Q11" s="157">
        <f ca="1">SUMIF(Flts!F$218:F$248,UDs!$B37,Flts!$AS$218:$AS$248)</f>
        <v>12</v>
      </c>
      <c r="R11" s="156">
        <f>IF(NTri&gt;=$R$30,SUMIF(Flts!E$252:E$281,UDs!$B37,Flts!$AS$252:$AS$281),0)</f>
        <v>16</v>
      </c>
      <c r="S11" s="157">
        <f ca="1">IF(NTri&gt;=$R$30,SUMIF(Flts!F$252:F$281,UDs!$B37,Flts!$AS$252:$AS$281),0)</f>
        <v>0</v>
      </c>
      <c r="T11" s="158">
        <f>IF(NTri&gt;=$R$30,SUMIF(Flts!E$286:E$316,UDs!$B37,Flts!$AS$286:$AS$316),0)</f>
        <v>20</v>
      </c>
      <c r="U11" s="157">
        <f ca="1">IF(NTri&gt;=$R$30,SUMIF(Flts!F$286:F$316,UDs!$B37,Flts!$AS$286:$AS$316),0)</f>
        <v>0</v>
      </c>
      <c r="V11" s="158">
        <f>IF(NTri&gt;=$R$30,SUMIF(Flts!E$320:E$349,UDs!$B37,Flts!$AS$320:$AS$349),0)</f>
        <v>0</v>
      </c>
      <c r="W11" s="157">
        <f ca="1">IF(NTri&gt;=$R$30,SUMIF(Flts!F$320:F$349,UDs!$B37,Flts!$AS$320:$AS$349),0)</f>
        <v>0</v>
      </c>
      <c r="X11" s="160">
        <f t="shared" ca="1" si="0"/>
        <v>16</v>
      </c>
      <c r="Y11" s="2">
        <f>IF(AND(FechaInicio1Tri&lt;=UDs!$F37, FechaFin1Tri&gt;=UDs!$F37),(E11+G11+I11+K11)/(D11+F11+H11+J11),0%)</f>
        <v>0</v>
      </c>
      <c r="Z11" s="2">
        <f ca="1">IF(AND(FechaInicio2Tri&lt;=UDs!$F37, FechaFin2Tri&gt;=UDs!$F37),(M11+O11+Q11)/(L11+N11+P11),0%)</f>
        <v>0.69565217391304346</v>
      </c>
      <c r="AA11" s="2">
        <f>IF(AND(FechaInicio3Tri&lt;=UDs!$F37, FechaFin3Tri&gt;=UDs!$F37),(S11+U11+W11)/(R11+T11+V11),0%)</f>
        <v>0</v>
      </c>
      <c r="AB11" s="7"/>
    </row>
    <row r="12" spans="1:46" ht="15.6" x14ac:dyDescent="0.3">
      <c r="A12" s="7"/>
      <c r="B12" s="221" t="str">
        <f>IF(UDs!C38&lt;&gt;0,UDs!B38,IF(C12&lt;&gt;0,CoUDCM,0))</f>
        <v/>
      </c>
      <c r="C12" s="138">
        <f>IFERROR(IF(C11+UDs!C37&gt;C11,C11+UDs!C37,0),0)</f>
        <v>112</v>
      </c>
      <c r="D12" s="156">
        <f>SUMIF(Flts!E$14:E$43,UDs!$B38,Flts!$AS$14:$AS$43)</f>
        <v>0</v>
      </c>
      <c r="E12" s="157">
        <f ca="1">SUMIF(Flts!F$14:F$43,UDs!$B38,Flts!$AS$14:$AS$43)</f>
        <v>0</v>
      </c>
      <c r="F12" s="158">
        <f>SUMIF(Flts!E$48:E$78,UDs!$B38,Flts!$AS$48:$AS$78)</f>
        <v>0</v>
      </c>
      <c r="G12" s="157">
        <f ca="1">SUMIF(Flts!F$48:F$78,UDs!$B38,Flts!$AS$48:$AS$78)</f>
        <v>0</v>
      </c>
      <c r="H12" s="158">
        <f>SUMIF(Flts!E$82:E$111,UDs!$B38,Flts!$AS$82:$AS$111)</f>
        <v>0</v>
      </c>
      <c r="I12" s="157">
        <f ca="1">SUMIF(Flts!F$82:F$111,UDs!$B38,Flts!$AS$82:$AS$111)</f>
        <v>0</v>
      </c>
      <c r="J12" s="158">
        <f>SUMIF(Flts!E$116:E$146,UDs!$B38,Flts!$AS$116:$AS$146)</f>
        <v>0</v>
      </c>
      <c r="K12" s="157">
        <f ca="1">SUMIF(Flts!F$116:F$146,UDs!$B38,Flts!$AS$116:$AS$146)</f>
        <v>0</v>
      </c>
      <c r="L12" s="156">
        <f>SUMIF(Flts!E$150:E$180,UDs!$B38,Flts!$AS$150:$AS$180)</f>
        <v>4</v>
      </c>
      <c r="M12" s="157">
        <f ca="1">SUMIF(Flts!F$150:F$180,UDs!$B38,Flts!$AS$150:$AS$180)</f>
        <v>4</v>
      </c>
      <c r="N12" s="158">
        <f>SUMIF(Flts!E$184:E$212,UDs!$B38,Flts!$AS$184:$AS$212)</f>
        <v>0</v>
      </c>
      <c r="O12" s="157">
        <f ca="1">SUMIF(Flts!F$184:F$212,UDs!$B38,Flts!$AS$184:$AS$212)</f>
        <v>0</v>
      </c>
      <c r="P12" s="158">
        <f>SUMIF(Flts!E$218:E$248,UDs!$B38,Flts!$AS$218:$AS$248)</f>
        <v>19</v>
      </c>
      <c r="Q12" s="157">
        <f ca="1">SUMIF(Flts!F$218:F$248,UDs!$B38,Flts!$AS$218:$AS$248)</f>
        <v>12</v>
      </c>
      <c r="R12" s="156">
        <f>IF(NTri&gt;=$R$30,SUMIF(Flts!E$252:E$281,UDs!$B38,Flts!$AS$252:$AS$281),0)</f>
        <v>16</v>
      </c>
      <c r="S12" s="157">
        <f ca="1">IF(NTri&gt;=$R$30,SUMIF(Flts!F$252:F$281,UDs!$B38,Flts!$AS$252:$AS$281),0)</f>
        <v>0</v>
      </c>
      <c r="T12" s="158">
        <f>IF(NTri&gt;=$R$30,SUMIF(Flts!E$286:E$316,UDs!$B38,Flts!$AS$286:$AS$316),0)</f>
        <v>20</v>
      </c>
      <c r="U12" s="157">
        <f ca="1">IF(NTri&gt;=$R$30,SUMIF(Flts!F$286:F$316,UDs!$B38,Flts!$AS$286:$AS$316),0)</f>
        <v>0</v>
      </c>
      <c r="V12" s="158">
        <f>IF(NTri&gt;=$R$30,SUMIF(Flts!E$320:E$349,UDs!$B38,Flts!$AS$320:$AS$349),0)</f>
        <v>0</v>
      </c>
      <c r="W12" s="157">
        <f ca="1">IF(NTri&gt;=$R$30,SUMIF(Flts!F$320:F$349,UDs!$B38,Flts!$AS$320:$AS$349),0)</f>
        <v>0</v>
      </c>
      <c r="X12" s="160">
        <f t="shared" ca="1" si="0"/>
        <v>16</v>
      </c>
      <c r="Y12" s="2">
        <f>IF(AND(FechaInicio1Tri&lt;=UDs!$F38, FechaFin1Tri&gt;=UDs!$F38),(E12+G12+I12+K12)/(D12+F12+H12+J12),0%)</f>
        <v>0</v>
      </c>
      <c r="Z12" s="2">
        <f ca="1">IF(AND(FechaInicio2Tri&lt;=UDs!$F38, FechaFin2Tri&gt;=UDs!$F38),(M12+O12+Q12)/(L12+N12+P12),0%)</f>
        <v>0.69565217391304346</v>
      </c>
      <c r="AA12" s="2">
        <f>IF(AND(FechaInicio3Tri&lt;=UDs!$F38, FechaFin3Tri&gt;=UDs!$F38),(S12+U12+W12)/(R12+T12+V12),0%)</f>
        <v>0</v>
      </c>
      <c r="AB12" s="7"/>
    </row>
    <row r="13" spans="1:46" ht="15.6" x14ac:dyDescent="0.3">
      <c r="A13" s="7"/>
      <c r="B13" s="223" t="str">
        <f>IF(UDs!C39&lt;&gt;0,UDs!B39,IF(C13&lt;&gt;0,CoUDCM,0))</f>
        <v/>
      </c>
      <c r="C13" s="141">
        <f>IFERROR(IF(C12+UDs!C38&gt;C12,C12+UDs!C38,0),0)</f>
        <v>166</v>
      </c>
      <c r="D13" s="161">
        <f>SUMIF(Flts!E$14:E$43,UDs!$B39,Flts!$AS$14:$AS$43)</f>
        <v>0</v>
      </c>
      <c r="E13" s="162">
        <f ca="1">SUMIF(Flts!F$14:F$43,UDs!$B39,Flts!$AS$14:$AS$43)</f>
        <v>0</v>
      </c>
      <c r="F13" s="163">
        <f>SUMIF(Flts!E$48:E$78,UDs!$B39,Flts!$AS$48:$AS$78)</f>
        <v>0</v>
      </c>
      <c r="G13" s="162">
        <f ca="1">SUMIF(Flts!F$48:F$78,UDs!$B39,Flts!$AS$48:$AS$78)</f>
        <v>0</v>
      </c>
      <c r="H13" s="163">
        <f>SUMIF(Flts!E$82:E$111,UDs!$B39,Flts!$AS$82:$AS$111)</f>
        <v>0</v>
      </c>
      <c r="I13" s="162">
        <f ca="1">SUMIF(Flts!F$82:F$111,UDs!$B39,Flts!$AS$82:$AS$111)</f>
        <v>0</v>
      </c>
      <c r="J13" s="163">
        <f>SUMIF(Flts!E$116:E$146,UDs!$B39,Flts!$AS$116:$AS$146)</f>
        <v>0</v>
      </c>
      <c r="K13" s="162">
        <f ca="1">SUMIF(Flts!F$116:F$146,UDs!$B39,Flts!$AS$116:$AS$146)</f>
        <v>0</v>
      </c>
      <c r="L13" s="161">
        <f>SUMIF(Flts!E$150:E$180,UDs!$B39,Flts!$AS$150:$AS$180)</f>
        <v>4</v>
      </c>
      <c r="M13" s="162">
        <f ca="1">SUMIF(Flts!F$150:F$180,UDs!$B39,Flts!$AS$150:$AS$180)</f>
        <v>4</v>
      </c>
      <c r="N13" s="163">
        <f>SUMIF(Flts!E$184:E$212,UDs!$B39,Flts!$AS$184:$AS$212)</f>
        <v>0</v>
      </c>
      <c r="O13" s="162">
        <f ca="1">SUMIF(Flts!F$184:F$212,UDs!$B39,Flts!$AS$184:$AS$212)</f>
        <v>0</v>
      </c>
      <c r="P13" s="163">
        <f>SUMIF(Flts!E$218:E$248,UDs!$B39,Flts!$AS$218:$AS$248)</f>
        <v>19</v>
      </c>
      <c r="Q13" s="162">
        <f ca="1">SUMIF(Flts!F$218:F$248,UDs!$B39,Flts!$AS$218:$AS$248)</f>
        <v>12</v>
      </c>
      <c r="R13" s="161">
        <f>IF(NTri&gt;=$R$30,SUMIF(Flts!E$252:E$281,UDs!$B39,Flts!$AS$252:$AS$281),0)</f>
        <v>16</v>
      </c>
      <c r="S13" s="162">
        <f ca="1">IF(NTri&gt;=$R$30,SUMIF(Flts!F$252:F$281,UDs!$B39,Flts!$AS$252:$AS$281),0)</f>
        <v>0</v>
      </c>
      <c r="T13" s="163">
        <f>IF(NTri&gt;=$R$30,SUMIF(Flts!E$286:E$316,UDs!$B39,Flts!$AS$286:$AS$316),0)</f>
        <v>20</v>
      </c>
      <c r="U13" s="162">
        <f ca="1">IF(NTri&gt;=$R$30,SUMIF(Flts!F$286:F$316,UDs!$B39,Flts!$AS$286:$AS$316),0)</f>
        <v>0</v>
      </c>
      <c r="V13" s="163">
        <f>IF(NTri&gt;=$R$30,SUMIF(Flts!E$320:E$349,UDs!$B39,Flts!$AS$320:$AS$349),0)</f>
        <v>0</v>
      </c>
      <c r="W13" s="162">
        <f ca="1">IF(NTri&gt;=$R$30,SUMIF(Flts!F$320:F$349,UDs!$B39,Flts!$AS$320:$AS$349),0)</f>
        <v>0</v>
      </c>
      <c r="X13" s="165">
        <f t="shared" ca="1" si="0"/>
        <v>16</v>
      </c>
      <c r="Y13" s="3">
        <f>IF(AND(FechaInicio1Tri&lt;=UDs!$F39, FechaFin1Tri&gt;=UDs!$F39),(E13+G13+I13+K13)/(D13+F13+H13+J13),0%)</f>
        <v>0</v>
      </c>
      <c r="Z13" s="3">
        <f ca="1">IF(AND(FechaInicio2Tri&lt;=UDs!$F39, FechaFin2Tri&gt;=UDs!$F39),(M13+O13+Q13)/(L13+N13+P13),0%)</f>
        <v>0.69565217391304346</v>
      </c>
      <c r="AA13" s="3">
        <f>IF(AND(FechaInicio3Tri&lt;=UDs!$F39, FechaFin3Tri&gt;=UDs!$F39),(S13+U13+W13)/(R13+T13+V13),0%)</f>
        <v>0</v>
      </c>
      <c r="AB13" s="7"/>
    </row>
    <row r="14" spans="1:46" ht="15.6" x14ac:dyDescent="0.3">
      <c r="A14" s="7"/>
      <c r="B14" s="221" t="str">
        <f>IF(UDs!C40&lt;&gt;0,UDs!B40,IF(C14&lt;&gt;0,CoUDCM,0))</f>
        <v/>
      </c>
      <c r="C14" s="138">
        <f>IFERROR(IF(C13+UDs!C39&gt;C13,C13+UDs!C39,0),0)</f>
        <v>190</v>
      </c>
      <c r="D14" s="156">
        <f>SUMIF(Flts!E$14:E$43,UDs!$B40,Flts!$AS$14:$AS$43)</f>
        <v>0</v>
      </c>
      <c r="E14" s="157">
        <f ca="1">SUMIF(Flts!F$14:F$43,UDs!$B40,Flts!$AS$14:$AS$43)</f>
        <v>0</v>
      </c>
      <c r="F14" s="158">
        <f>SUMIF(Flts!E$48:E$78,UDs!$B40,Flts!$AS$48:$AS$78)</f>
        <v>0</v>
      </c>
      <c r="G14" s="157">
        <f ca="1">SUMIF(Flts!F$48:F$78,UDs!$B40,Flts!$AS$48:$AS$78)</f>
        <v>0</v>
      </c>
      <c r="H14" s="158">
        <f>SUMIF(Flts!E$82:E$111,UDs!$B40,Flts!$AS$82:$AS$111)</f>
        <v>0</v>
      </c>
      <c r="I14" s="157">
        <f ca="1">SUMIF(Flts!F$82:F$111,UDs!$B40,Flts!$AS$82:$AS$111)</f>
        <v>0</v>
      </c>
      <c r="J14" s="158">
        <f>SUMIF(Flts!E$116:E$146,UDs!$B40,Flts!$AS$116:$AS$146)</f>
        <v>0</v>
      </c>
      <c r="K14" s="157">
        <f ca="1">SUMIF(Flts!F$116:F$146,UDs!$B40,Flts!$AS$116:$AS$146)</f>
        <v>0</v>
      </c>
      <c r="L14" s="156">
        <f>SUMIF(Flts!E$150:E$180,UDs!$B40,Flts!$AS$150:$AS$180)</f>
        <v>4</v>
      </c>
      <c r="M14" s="157">
        <f ca="1">SUMIF(Flts!F$150:F$180,UDs!$B40,Flts!$AS$150:$AS$180)</f>
        <v>4</v>
      </c>
      <c r="N14" s="158">
        <f>SUMIF(Flts!E$184:E$212,UDs!$B40,Flts!$AS$184:$AS$212)</f>
        <v>0</v>
      </c>
      <c r="O14" s="157">
        <f ca="1">SUMIF(Flts!F$184:F$212,UDs!$B40,Flts!$AS$184:$AS$212)</f>
        <v>0</v>
      </c>
      <c r="P14" s="158">
        <f>SUMIF(Flts!E$218:E$248,UDs!$B40,Flts!$AS$218:$AS$248)</f>
        <v>19</v>
      </c>
      <c r="Q14" s="157">
        <f ca="1">SUMIF(Flts!F$218:F$248,UDs!$B40,Flts!$AS$218:$AS$248)</f>
        <v>12</v>
      </c>
      <c r="R14" s="156">
        <f>IF(NTri&gt;=$R$30,SUMIF(Flts!E$252:E$281,UDs!$B40,Flts!$AS$252:$AS$281),0)</f>
        <v>16</v>
      </c>
      <c r="S14" s="157">
        <f ca="1">IF(NTri&gt;=$R$30,SUMIF(Flts!F$252:F$281,UDs!$B40,Flts!$AS$252:$AS$281),0)</f>
        <v>0</v>
      </c>
      <c r="T14" s="158">
        <f>IF(NTri&gt;=$R$30,SUMIF(Flts!E$286:E$316,UDs!$B40,Flts!$AS$286:$AS$316),0)</f>
        <v>20</v>
      </c>
      <c r="U14" s="157">
        <f ca="1">IF(NTri&gt;=$R$30,SUMIF(Flts!F$286:F$316,UDs!$B40,Flts!$AS$286:$AS$316),0)</f>
        <v>0</v>
      </c>
      <c r="V14" s="158">
        <f>IF(NTri&gt;=$R$30,SUMIF(Flts!E$320:E$349,UDs!$B40,Flts!$AS$320:$AS$349),0)</f>
        <v>0</v>
      </c>
      <c r="W14" s="157">
        <f ca="1">IF(NTri&gt;=$R$30,SUMIF(Flts!F$320:F$349,UDs!$B40,Flts!$AS$320:$AS$349),0)</f>
        <v>0</v>
      </c>
      <c r="X14" s="159">
        <f t="shared" ca="1" si="0"/>
        <v>16</v>
      </c>
      <c r="Y14" s="2">
        <f>IF(AND(FechaInicio1Tri&lt;=UDs!$F40, FechaFin1Tri&gt;=UDs!$F40),(E14+G14+I14+K14)/(D14+F14+H14+J14),0%)</f>
        <v>0</v>
      </c>
      <c r="Z14" s="2">
        <f ca="1">IF(AND(FechaInicio2Tri&lt;=UDs!$F40, FechaFin2Tri&gt;=UDs!$F40),(M14+O14+Q14)/(L14+N14+P14),0%)</f>
        <v>0.69565217391304346</v>
      </c>
      <c r="AA14" s="2">
        <f>IF(AND(FechaInicio3Tri&lt;=UDs!$F40, FechaFin3Tri&gt;=UDs!$F40),(S14+U14+W14)/(R14+T14+V14),0%)</f>
        <v>0</v>
      </c>
      <c r="AB14" s="7"/>
    </row>
    <row r="15" spans="1:46" ht="15.6" x14ac:dyDescent="0.3">
      <c r="A15" s="7"/>
      <c r="B15" s="221" t="str">
        <f ca="1">IF(UDs!C41&lt;&gt;0,UDs!B41,IF(C15&lt;&gt;0,CoUDCM,0))</f>
        <v>NoOk</v>
      </c>
      <c r="C15" s="138">
        <f>IFERROR(IF(C14+UDs!C40&gt;C14,C14+UDs!C40,0),0)</f>
        <v>219</v>
      </c>
      <c r="D15" s="156">
        <f>SUMIF(Flts!E$14:E$43,UDs!$B41,Flts!$AS$14:$AS$43)</f>
        <v>0</v>
      </c>
      <c r="E15" s="157">
        <f ca="1">SUMIF(Flts!F$14:F$43,UDs!$B41,Flts!$AS$14:$AS$43)</f>
        <v>0</v>
      </c>
      <c r="F15" s="158">
        <f>SUMIF(Flts!E$48:E$78,UDs!$B41,Flts!$AS$48:$AS$78)</f>
        <v>0</v>
      </c>
      <c r="G15" s="157">
        <f ca="1">SUMIF(Flts!F$48:F$78,UDs!$B41,Flts!$AS$48:$AS$78)</f>
        <v>0</v>
      </c>
      <c r="H15" s="158">
        <f>SUMIF(Flts!E$82:E$111,UDs!$B41,Flts!$AS$82:$AS$111)</f>
        <v>0</v>
      </c>
      <c r="I15" s="157">
        <f ca="1">SUMIF(Flts!F$82:F$111,UDs!$B41,Flts!$AS$82:$AS$111)</f>
        <v>0</v>
      </c>
      <c r="J15" s="158">
        <f>SUMIF(Flts!E$116:E$146,UDs!$B41,Flts!$AS$116:$AS$146)</f>
        <v>0</v>
      </c>
      <c r="K15" s="157">
        <f ca="1">SUMIF(Flts!F$116:F$146,UDs!$B41,Flts!$AS$116:$AS$146)</f>
        <v>0</v>
      </c>
      <c r="L15" s="156">
        <f>SUMIF(Flts!E$150:E$180,UDs!$B41,Flts!$AS$150:$AS$180)</f>
        <v>4</v>
      </c>
      <c r="M15" s="157">
        <f ca="1">SUMIF(Flts!F$150:F$180,UDs!$B41,Flts!$AS$150:$AS$180)</f>
        <v>4</v>
      </c>
      <c r="N15" s="158">
        <f>SUMIF(Flts!E$184:E$212,UDs!$B41,Flts!$AS$184:$AS$212)</f>
        <v>0</v>
      </c>
      <c r="O15" s="157">
        <f ca="1">SUMIF(Flts!F$184:F$212,UDs!$B41,Flts!$AS$184:$AS$212)</f>
        <v>0</v>
      </c>
      <c r="P15" s="158">
        <f>SUMIF(Flts!E$218:E$248,UDs!$B41,Flts!$AS$218:$AS$248)</f>
        <v>19</v>
      </c>
      <c r="Q15" s="157">
        <f ca="1">SUMIF(Flts!F$218:F$248,UDs!$B41,Flts!$AS$218:$AS$248)</f>
        <v>12</v>
      </c>
      <c r="R15" s="156">
        <f>IF(NTri&gt;=$R$30,SUMIF(Flts!E$252:E$281,UDs!$B41,Flts!$AS$252:$AS$281),0)</f>
        <v>16</v>
      </c>
      <c r="S15" s="157">
        <f ca="1">IF(NTri&gt;=$R$30,SUMIF(Flts!F$252:F$281,UDs!$B41,Flts!$AS$252:$AS$281),0)</f>
        <v>0</v>
      </c>
      <c r="T15" s="158">
        <f>IF(NTri&gt;=$R$30,SUMIF(Flts!E$286:E$316,UDs!$B41,Flts!$AS$286:$AS$316),0)</f>
        <v>20</v>
      </c>
      <c r="U15" s="157">
        <f ca="1">IF(NTri&gt;=$R$30,SUMIF(Flts!F$286:F$316,UDs!$B41,Flts!$AS$286:$AS$316),0)</f>
        <v>0</v>
      </c>
      <c r="V15" s="158">
        <f>IF(NTri&gt;=$R$30,SUMIF(Flts!E$320:E$349,UDs!$B41,Flts!$AS$320:$AS$349),0)</f>
        <v>0</v>
      </c>
      <c r="W15" s="157">
        <f ca="1">IF(NTri&gt;=$R$30,SUMIF(Flts!F$320:F$349,UDs!$B41,Flts!$AS$320:$AS$349),0)</f>
        <v>0</v>
      </c>
      <c r="X15" s="159">
        <f t="shared" ca="1" si="0"/>
        <v>16</v>
      </c>
      <c r="Y15" s="2">
        <f>IF(AND(FechaInicio1Tri&lt;=UDs!$F41, FechaFin1Tri&gt;=UDs!$F41),(E15+G15+I15+K15)/(D15+F15+H15+J15),0%)</f>
        <v>0</v>
      </c>
      <c r="Z15" s="2">
        <f>IF(AND(FechaInicio2Tri&lt;=UDs!$F41, FechaFin2Tri&gt;=UDs!$F41),(M15+O15+Q15)/(L15+N15+P15),0%)</f>
        <v>0</v>
      </c>
      <c r="AA15" s="2">
        <f>IF(AND(FechaInicio3Tri&lt;=UDs!$F41, FechaFin3Tri&gt;=UDs!$F41),(S15+U15+W15)/(R15+T15+V15),0%)</f>
        <v>0</v>
      </c>
      <c r="AB15" s="7"/>
    </row>
    <row r="16" spans="1:46" ht="15.6" x14ac:dyDescent="0.3">
      <c r="A16" s="7"/>
      <c r="B16" s="223">
        <f>IF(UDs!C42&lt;&gt;0,UDs!B42,IF(C16&lt;&gt;0,CoUDCM,0))</f>
        <v>0</v>
      </c>
      <c r="C16" s="141">
        <f>IFERROR(IF(C15+UDs!C41&gt;C15,C15+UDs!C41,0),0)</f>
        <v>0</v>
      </c>
      <c r="D16" s="161">
        <f>SUMIF(Flts!E$14:E$43,UDs!$B42,Flts!$AS$14:$AS$43)</f>
        <v>0</v>
      </c>
      <c r="E16" s="162">
        <f ca="1">SUMIF(Flts!F$14:F$43,UDs!$B42,Flts!$AS$14:$AS$43)</f>
        <v>0</v>
      </c>
      <c r="F16" s="163">
        <f>SUMIF(Flts!E$48:E$78,UDs!$B42,Flts!$AS$48:$AS$78)</f>
        <v>0</v>
      </c>
      <c r="G16" s="162">
        <f ca="1">SUMIF(Flts!F$48:F$78,UDs!$B42,Flts!$AS$48:$AS$78)</f>
        <v>0</v>
      </c>
      <c r="H16" s="163">
        <f>SUMIF(Flts!E$82:E$111,UDs!$B42,Flts!$AS$82:$AS$111)</f>
        <v>0</v>
      </c>
      <c r="I16" s="162">
        <f ca="1">SUMIF(Flts!F$82:F$111,UDs!$B42,Flts!$AS$82:$AS$111)</f>
        <v>0</v>
      </c>
      <c r="J16" s="163">
        <f>SUMIF(Flts!E$116:E$146,UDs!$B42,Flts!$AS$116:$AS$146)</f>
        <v>0</v>
      </c>
      <c r="K16" s="162">
        <f ca="1">SUMIF(Flts!F$116:F$146,UDs!$B42,Flts!$AS$116:$AS$146)</f>
        <v>0</v>
      </c>
      <c r="L16" s="161">
        <f>SUMIF(Flts!E$150:E$180,UDs!$B42,Flts!$AS$150:$AS$180)</f>
        <v>4</v>
      </c>
      <c r="M16" s="162">
        <f ca="1">SUMIF(Flts!F$150:F$180,UDs!$B42,Flts!$AS$150:$AS$180)</f>
        <v>4</v>
      </c>
      <c r="N16" s="163">
        <f>SUMIF(Flts!E$184:E$212,UDs!$B42,Flts!$AS$184:$AS$212)</f>
        <v>0</v>
      </c>
      <c r="O16" s="162">
        <f ca="1">SUMIF(Flts!F$184:F$212,UDs!$B42,Flts!$AS$184:$AS$212)</f>
        <v>0</v>
      </c>
      <c r="P16" s="163">
        <f>SUMIF(Flts!E$218:E$248,UDs!$B42,Flts!$AS$218:$AS$248)</f>
        <v>19</v>
      </c>
      <c r="Q16" s="162">
        <f ca="1">SUMIF(Flts!F$218:F$248,UDs!$B42,Flts!$AS$218:$AS$248)</f>
        <v>12</v>
      </c>
      <c r="R16" s="161">
        <f>IF(NTri&gt;=$R$30,SUMIF(Flts!E$252:E$281,UDs!$B42,Flts!$AS$252:$AS$281),0)</f>
        <v>16</v>
      </c>
      <c r="S16" s="162">
        <f ca="1">IF(NTri&gt;=$R$30,SUMIF(Flts!F$252:F$281,UDs!$B42,Flts!$AS$252:$AS$281),0)</f>
        <v>0</v>
      </c>
      <c r="T16" s="163">
        <f>IF(NTri&gt;=$R$30,SUMIF(Flts!E$286:E$316,UDs!$B42,Flts!$AS$286:$AS$316),0)</f>
        <v>20</v>
      </c>
      <c r="U16" s="162">
        <f ca="1">IF(NTri&gt;=$R$30,SUMIF(Flts!F$286:F$316,UDs!$B42,Flts!$AS$286:$AS$316),0)</f>
        <v>0</v>
      </c>
      <c r="V16" s="163">
        <f>IF(NTri&gt;=$R$30,SUMIF(Flts!E$320:E$349,UDs!$B42,Flts!$AS$320:$AS$349),0)</f>
        <v>0</v>
      </c>
      <c r="W16" s="162">
        <f ca="1">IF(NTri&gt;=$R$30,SUMIF(Flts!F$320:F$349,UDs!$B42,Flts!$AS$320:$AS$349),0)</f>
        <v>0</v>
      </c>
      <c r="X16" s="165">
        <f t="shared" ca="1" si="0"/>
        <v>16</v>
      </c>
      <c r="Y16" s="3">
        <f>IF(AND(FechaInicio1Tri&lt;=UDs!$F42, FechaFin1Tri&gt;=UDs!$F42),(E16+G16+I16+K16)/(D16+F16+H16+J16),0%)</f>
        <v>0</v>
      </c>
      <c r="Z16" s="3">
        <f>IF(AND(FechaInicio2Tri&lt;=UDs!$F42, FechaFin2Tri&gt;=UDs!$F42),(M16+O16+Q16)/(L16+N16+P16),0%)</f>
        <v>0</v>
      </c>
      <c r="AA16" s="3">
        <f>IF(AND(FechaInicio3Tri&lt;=UDs!$F42, FechaFin3Tri&gt;=UDs!$F42),(S16+U16+W16)/(R16+T16+V16),0%)</f>
        <v>0</v>
      </c>
      <c r="AB16" s="7"/>
    </row>
    <row r="17" spans="1:28" ht="15.6" x14ac:dyDescent="0.3">
      <c r="A17" s="7"/>
      <c r="B17" s="221">
        <f>IF(UDs!C43&lt;&gt;0,UDs!B43,IF(C17&lt;&gt;0,CoUDCM,0))</f>
        <v>0</v>
      </c>
      <c r="C17" s="138">
        <f>IFERROR(IF(C16+UDs!C42&gt;C16,C16+UDs!C42,0),0)</f>
        <v>0</v>
      </c>
      <c r="D17" s="156">
        <f>SUMIF(Flts!E$14:E$43,UDs!$B43,Flts!$AS$14:$AS$43)</f>
        <v>0</v>
      </c>
      <c r="E17" s="157">
        <f ca="1">SUMIF(Flts!F$14:F$43,UDs!$B43,Flts!$AS$14:$AS$43)</f>
        <v>0</v>
      </c>
      <c r="F17" s="158">
        <f>SUMIF(Flts!E$48:E$78,UDs!$B43,Flts!$AS$48:$AS$78)</f>
        <v>0</v>
      </c>
      <c r="G17" s="157">
        <f ca="1">SUMIF(Flts!F$48:F$78,UDs!$B43,Flts!$AS$48:$AS$78)</f>
        <v>0</v>
      </c>
      <c r="H17" s="158">
        <f>SUMIF(Flts!E$82:E$111,UDs!$B43,Flts!$AS$82:$AS$111)</f>
        <v>0</v>
      </c>
      <c r="I17" s="157">
        <f ca="1">SUMIF(Flts!F$82:F$111,UDs!$B43,Flts!$AS$82:$AS$111)</f>
        <v>0</v>
      </c>
      <c r="J17" s="158">
        <f>SUMIF(Flts!E$116:E$146,UDs!$B43,Flts!$AS$116:$AS$146)</f>
        <v>0</v>
      </c>
      <c r="K17" s="157">
        <f ca="1">SUMIF(Flts!F$116:F$146,UDs!$B43,Flts!$AS$116:$AS$146)</f>
        <v>0</v>
      </c>
      <c r="L17" s="156">
        <f>SUMIF(Flts!E$150:E$180,UDs!$B43,Flts!$AS$150:$AS$180)</f>
        <v>4</v>
      </c>
      <c r="M17" s="157">
        <f ca="1">SUMIF(Flts!F$150:F$180,UDs!$B43,Flts!$AS$150:$AS$180)</f>
        <v>4</v>
      </c>
      <c r="N17" s="158">
        <f>SUMIF(Flts!E$184:E$212,UDs!$B43,Flts!$AS$184:$AS$212)</f>
        <v>0</v>
      </c>
      <c r="O17" s="157">
        <f ca="1">SUMIF(Flts!F$184:F$212,UDs!$B43,Flts!$AS$184:$AS$212)</f>
        <v>0</v>
      </c>
      <c r="P17" s="158">
        <f>SUMIF(Flts!E$218:E$248,UDs!$B43,Flts!$AS$218:$AS$248)</f>
        <v>19</v>
      </c>
      <c r="Q17" s="157">
        <f ca="1">SUMIF(Flts!F$218:F$248,UDs!$B43,Flts!$AS$218:$AS$248)</f>
        <v>12</v>
      </c>
      <c r="R17" s="156">
        <f>IF(NTri&gt;=$R$30,SUMIF(Flts!E$252:E$281,UDs!$B43,Flts!$AS$252:$AS$281),0)</f>
        <v>16</v>
      </c>
      <c r="S17" s="157">
        <f ca="1">IF(NTri&gt;=$R$30,SUMIF(Flts!F$252:F$281,UDs!$B43,Flts!$AS$252:$AS$281),0)</f>
        <v>0</v>
      </c>
      <c r="T17" s="158">
        <f>IF(NTri&gt;=$R$30,SUMIF(Flts!E$286:E$316,UDs!$B43,Flts!$AS$286:$AS$316),0)</f>
        <v>20</v>
      </c>
      <c r="U17" s="157">
        <f ca="1">IF(NTri&gt;=$R$30,SUMIF(Flts!F$286:F$316,UDs!$B43,Flts!$AS$286:$AS$316),0)</f>
        <v>0</v>
      </c>
      <c r="V17" s="158">
        <f>IF(NTri&gt;=$R$30,SUMIF(Flts!E$320:E$349,UDs!$B43,Flts!$AS$320:$AS$349),0)</f>
        <v>0</v>
      </c>
      <c r="W17" s="157">
        <f ca="1">IF(NTri&gt;=$R$30,SUMIF(Flts!F$320:F$349,UDs!$B43,Flts!$AS$320:$AS$349),0)</f>
        <v>0</v>
      </c>
      <c r="X17" s="159">
        <f t="shared" ca="1" si="0"/>
        <v>16</v>
      </c>
      <c r="Y17" s="2">
        <f>IF(AND(FechaInicio1Tri&lt;=UDs!$F43, FechaFin1Tri&gt;=UDs!$F43),(E17+G17+I17+K17)/(D17+F17+H17+J17),0%)</f>
        <v>0</v>
      </c>
      <c r="Z17" s="2">
        <f>IF(AND(FechaInicio2Tri&lt;=UDs!$F43, FechaFin2Tri&gt;=UDs!$F43),(M17+O17+Q17)/(L17+N17+P17),0%)</f>
        <v>0</v>
      </c>
      <c r="AA17" s="2">
        <f>IF(AND(FechaInicio3Tri&lt;=UDs!$F43, FechaFin3Tri&gt;=UDs!$F43),(S17+U17+W17)/(R17+T17+V17),0%)</f>
        <v>0</v>
      </c>
      <c r="AB17" s="7"/>
    </row>
    <row r="18" spans="1:28" ht="15.6" x14ac:dyDescent="0.3">
      <c r="A18" s="7"/>
      <c r="B18" s="221">
        <f>IF(UDs!C44&lt;&gt;0,UDs!B44,IF(C18&lt;&gt;0,CoUDCM,0))</f>
        <v>0</v>
      </c>
      <c r="C18" s="138">
        <f>IFERROR(IF(C17+UDs!C43&gt;C17,C17+UDs!C43,0),0)</f>
        <v>0</v>
      </c>
      <c r="D18" s="156">
        <f>SUMIF(Flts!E$14:E$43,UDs!$B44,Flts!$AS$14:$AS$43)</f>
        <v>0</v>
      </c>
      <c r="E18" s="157">
        <f ca="1">SUMIF(Flts!F$14:F$43,UDs!$B44,Flts!$AS$14:$AS$43)</f>
        <v>0</v>
      </c>
      <c r="F18" s="158">
        <f>SUMIF(Flts!E$48:E$78,UDs!$B44,Flts!$AS$48:$AS$78)</f>
        <v>0</v>
      </c>
      <c r="G18" s="157">
        <f ca="1">SUMIF(Flts!F$48:F$78,UDs!$B44,Flts!$AS$48:$AS$78)</f>
        <v>0</v>
      </c>
      <c r="H18" s="158">
        <f>SUMIF(Flts!E$82:E$111,UDs!$B44,Flts!$AS$82:$AS$111)</f>
        <v>0</v>
      </c>
      <c r="I18" s="157">
        <f ca="1">SUMIF(Flts!F$82:F$111,UDs!$B44,Flts!$AS$82:$AS$111)</f>
        <v>0</v>
      </c>
      <c r="J18" s="158">
        <f>SUMIF(Flts!E$116:E$146,UDs!$B44,Flts!$AS$116:$AS$146)</f>
        <v>0</v>
      </c>
      <c r="K18" s="157">
        <f ca="1">SUMIF(Flts!F$116:F$146,UDs!$B44,Flts!$AS$116:$AS$146)</f>
        <v>0</v>
      </c>
      <c r="L18" s="156">
        <f>SUMIF(Flts!E$150:E$180,UDs!$B44,Flts!$AS$150:$AS$180)</f>
        <v>4</v>
      </c>
      <c r="M18" s="157">
        <f ca="1">SUMIF(Flts!F$150:F$180,UDs!$B44,Flts!$AS$150:$AS$180)</f>
        <v>4</v>
      </c>
      <c r="N18" s="158">
        <f>SUMIF(Flts!E$184:E$212,UDs!$B44,Flts!$AS$184:$AS$212)</f>
        <v>0</v>
      </c>
      <c r="O18" s="157">
        <f ca="1">SUMIF(Flts!F$184:F$212,UDs!$B44,Flts!$AS$184:$AS$212)</f>
        <v>0</v>
      </c>
      <c r="P18" s="158">
        <f>SUMIF(Flts!E$218:E$248,UDs!$B44,Flts!$AS$218:$AS$248)</f>
        <v>19</v>
      </c>
      <c r="Q18" s="157">
        <f ca="1">SUMIF(Flts!F$218:F$248,UDs!$B44,Flts!$AS$218:$AS$248)</f>
        <v>12</v>
      </c>
      <c r="R18" s="156">
        <f>IF(NTri&gt;=$R$30,SUMIF(Flts!E$252:E$281,UDs!$B44,Flts!$AS$252:$AS$281),0)</f>
        <v>16</v>
      </c>
      <c r="S18" s="157">
        <f ca="1">IF(NTri&gt;=$R$30,SUMIF(Flts!F$252:F$281,UDs!$B44,Flts!$AS$252:$AS$281),0)</f>
        <v>0</v>
      </c>
      <c r="T18" s="158">
        <f>IF(NTri&gt;=$R$30,SUMIF(Flts!E$286:E$316,UDs!$B44,Flts!$AS$286:$AS$316),0)</f>
        <v>20</v>
      </c>
      <c r="U18" s="157">
        <f ca="1">IF(NTri&gt;=$R$30,SUMIF(Flts!F$286:F$316,UDs!$B44,Flts!$AS$286:$AS$316),0)</f>
        <v>0</v>
      </c>
      <c r="V18" s="158">
        <f>IF(NTri&gt;=$R$30,SUMIF(Flts!E$320:E$349,UDs!$B44,Flts!$AS$320:$AS$349),0)</f>
        <v>0</v>
      </c>
      <c r="W18" s="157">
        <f ca="1">IF(NTri&gt;=$R$30,SUMIF(Flts!F$320:F$349,UDs!$B44,Flts!$AS$320:$AS$349),0)</f>
        <v>0</v>
      </c>
      <c r="X18" s="159">
        <f t="shared" ca="1" si="0"/>
        <v>16</v>
      </c>
      <c r="Y18" s="2">
        <f>IF(AND(FechaInicio1Tri&lt;=UDs!$F44, FechaFin1Tri&gt;=UDs!$F44),(E18+G18+I18+K18)/(D18+F18+H18+J18),0%)</f>
        <v>0</v>
      </c>
      <c r="Z18" s="2">
        <f>IF(AND(FechaInicio2Tri&lt;=UDs!$F44, FechaFin2Tri&gt;=UDs!$F44),(M18+O18+Q18)/(L18+N18+P18),0%)</f>
        <v>0</v>
      </c>
      <c r="AA18" s="2">
        <f>IF(AND(FechaInicio3Tri&lt;=UDs!$F44, FechaFin3Tri&gt;=UDs!$F44),(S18+U18+W18)/(R18+T18+V18),0%)</f>
        <v>0</v>
      </c>
      <c r="AB18" s="7"/>
    </row>
    <row r="19" spans="1:28" ht="15.6" x14ac:dyDescent="0.3">
      <c r="A19" s="7"/>
      <c r="B19" s="223">
        <f>IF(UDs!C45&lt;&gt;0,UDs!B45,IF(C19&lt;&gt;0,CoUDCM,0))</f>
        <v>0</v>
      </c>
      <c r="C19" s="141">
        <f>IFERROR(IF(C18+UDs!C44&gt;C18,C18+UDs!C44,0),0)</f>
        <v>0</v>
      </c>
      <c r="D19" s="161">
        <f>SUMIF(Flts!E$14:E$43,UDs!$B45,Flts!$AS$14:$AS$43)</f>
        <v>0</v>
      </c>
      <c r="E19" s="162">
        <f ca="1">SUMIF(Flts!F$14:F$43,UDs!$B45,Flts!$AS$14:$AS$43)</f>
        <v>0</v>
      </c>
      <c r="F19" s="163">
        <f>SUMIF(Flts!E$48:E$78,UDs!$B45,Flts!$AS$48:$AS$78)</f>
        <v>0</v>
      </c>
      <c r="G19" s="162">
        <f ca="1">SUMIF(Flts!F$48:F$78,UDs!$B45,Flts!$AS$48:$AS$78)</f>
        <v>0</v>
      </c>
      <c r="H19" s="163">
        <f>SUMIF(Flts!E$82:E$111,UDs!$B45,Flts!$AS$82:$AS$111)</f>
        <v>0</v>
      </c>
      <c r="I19" s="162">
        <f ca="1">SUMIF(Flts!F$82:F$111,UDs!$B45,Flts!$AS$82:$AS$111)</f>
        <v>0</v>
      </c>
      <c r="J19" s="163">
        <f>SUMIF(Flts!E$116:E$146,UDs!$B45,Flts!$AS$116:$AS$146)</f>
        <v>0</v>
      </c>
      <c r="K19" s="162">
        <f ca="1">SUMIF(Flts!F$116:F$146,UDs!$B45,Flts!$AS$116:$AS$146)</f>
        <v>0</v>
      </c>
      <c r="L19" s="161">
        <f>SUMIF(Flts!E$150:E$180,UDs!$B45,Flts!$AS$150:$AS$180)</f>
        <v>4</v>
      </c>
      <c r="M19" s="162">
        <f ca="1">SUMIF(Flts!F$150:F$180,UDs!$B45,Flts!$AS$150:$AS$180)</f>
        <v>4</v>
      </c>
      <c r="N19" s="163">
        <f>SUMIF(Flts!E$184:E$212,UDs!$B45,Flts!$AS$184:$AS$212)</f>
        <v>0</v>
      </c>
      <c r="O19" s="162">
        <f ca="1">SUMIF(Flts!F$184:F$212,UDs!$B45,Flts!$AS$184:$AS$212)</f>
        <v>0</v>
      </c>
      <c r="P19" s="163">
        <f>SUMIF(Flts!E$218:E$248,UDs!$B45,Flts!$AS$218:$AS$248)</f>
        <v>19</v>
      </c>
      <c r="Q19" s="162">
        <f ca="1">SUMIF(Flts!F$218:F$248,UDs!$B45,Flts!$AS$218:$AS$248)</f>
        <v>12</v>
      </c>
      <c r="R19" s="161">
        <f>IF(NTri&gt;=$R$30,SUMIF(Flts!E$252:E$281,UDs!$B45,Flts!$AS$252:$AS$281),0)</f>
        <v>16</v>
      </c>
      <c r="S19" s="162">
        <f ca="1">IF(NTri&gt;=$R$30,SUMIF(Flts!F$252:F$281,UDs!$B45,Flts!$AS$252:$AS$281),0)</f>
        <v>0</v>
      </c>
      <c r="T19" s="163">
        <f>IF(NTri&gt;=$R$30,SUMIF(Flts!E$286:E$316,UDs!$B45,Flts!$AS$286:$AS$316),0)</f>
        <v>20</v>
      </c>
      <c r="U19" s="162">
        <f ca="1">IF(NTri&gt;=$R$30,SUMIF(Flts!F$286:F$316,UDs!$B45,Flts!$AS$286:$AS$316),0)</f>
        <v>0</v>
      </c>
      <c r="V19" s="163">
        <f>IF(NTri&gt;=$R$30,SUMIF(Flts!E$320:E$349,UDs!$B45,Flts!$AS$320:$AS$349),0)</f>
        <v>0</v>
      </c>
      <c r="W19" s="162">
        <f ca="1">IF(NTri&gt;=$R$30,SUMIF(Flts!F$320:F$349,UDs!$B45,Flts!$AS$320:$AS$349),0)</f>
        <v>0</v>
      </c>
      <c r="X19" s="165">
        <f t="shared" ca="1" si="0"/>
        <v>16</v>
      </c>
      <c r="Y19" s="3">
        <f>IF(AND(FechaInicio1Tri&lt;=UDs!$F45, FechaFin1Tri&gt;=UDs!$F45),(E19+G19+I19+K19)/(D19+F19+H19+J19),0%)</f>
        <v>0</v>
      </c>
      <c r="Z19" s="3">
        <f>IF(AND(FechaInicio2Tri&lt;=UDs!$F45, FechaFin2Tri&gt;=UDs!$F45),(M19+O19+Q19)/(L19+N19+P19),0%)</f>
        <v>0</v>
      </c>
      <c r="AA19" s="3">
        <f>IF(AND(FechaInicio3Tri&lt;=UDs!$F45, FechaFin3Tri&gt;=UDs!$F45),(S19+U19+W19)/(R19+T19+V19),0%)</f>
        <v>0</v>
      </c>
      <c r="AB19" s="7"/>
    </row>
    <row r="20" spans="1:28" ht="15.6" x14ac:dyDescent="0.3">
      <c r="A20" s="7"/>
      <c r="B20" s="221">
        <f>IF(UDs!C46&lt;&gt;0,UDs!B46,IF(C20&lt;&gt;0,CoUDCM,0))</f>
        <v>0</v>
      </c>
      <c r="C20" s="138">
        <f>IFERROR(IF(C19+UDs!C45&gt;C19,C19+UDs!C45,0),0)</f>
        <v>0</v>
      </c>
      <c r="D20" s="156">
        <f>SUMIF(Flts!E$14:E$43,UDs!$B46,Flts!$AS$14:$AS$43)</f>
        <v>0</v>
      </c>
      <c r="E20" s="157">
        <f ca="1">SUMIF(Flts!F$14:F$43,UDs!$B46,Flts!$AS$14:$AS$43)</f>
        <v>0</v>
      </c>
      <c r="F20" s="158">
        <f>SUMIF(Flts!E$48:E$78,UDs!$B46,Flts!$AS$48:$AS$78)</f>
        <v>0</v>
      </c>
      <c r="G20" s="157">
        <f ca="1">SUMIF(Flts!F$48:F$78,UDs!$B46,Flts!$AS$48:$AS$78)</f>
        <v>0</v>
      </c>
      <c r="H20" s="158">
        <f>SUMIF(Flts!E$82:E$111,UDs!$B46,Flts!$AS$82:$AS$111)</f>
        <v>0</v>
      </c>
      <c r="I20" s="157">
        <f ca="1">SUMIF(Flts!F$82:F$111,UDs!$B46,Flts!$AS$82:$AS$111)</f>
        <v>0</v>
      </c>
      <c r="J20" s="158">
        <f>SUMIF(Flts!E$116:E$146,UDs!$B46,Flts!$AS$116:$AS$146)</f>
        <v>0</v>
      </c>
      <c r="K20" s="157">
        <f ca="1">SUMIF(Flts!F$116:F$146,UDs!$B46,Flts!$AS$116:$AS$146)</f>
        <v>0</v>
      </c>
      <c r="L20" s="156">
        <f>SUMIF(Flts!E$150:E$180,UDs!$B46,Flts!$AS$150:$AS$180)</f>
        <v>4</v>
      </c>
      <c r="M20" s="157">
        <f ca="1">SUMIF(Flts!F$150:F$180,UDs!$B46,Flts!$AS$150:$AS$180)</f>
        <v>4</v>
      </c>
      <c r="N20" s="158">
        <f>SUMIF(Flts!E$184:E$212,UDs!$B46,Flts!$AS$184:$AS$212)</f>
        <v>0</v>
      </c>
      <c r="O20" s="157">
        <f ca="1">SUMIF(Flts!F$184:F$212,UDs!$B46,Flts!$AS$184:$AS$212)</f>
        <v>0</v>
      </c>
      <c r="P20" s="158">
        <f>SUMIF(Flts!E$218:E$248,UDs!$B46,Flts!$AS$218:$AS$248)</f>
        <v>19</v>
      </c>
      <c r="Q20" s="157">
        <f ca="1">SUMIF(Flts!F$218:F$248,UDs!$B46,Flts!$AS$218:$AS$248)</f>
        <v>12</v>
      </c>
      <c r="R20" s="156">
        <f>IF(NTri&gt;=$R$30,SUMIF(Flts!E$252:E$281,UDs!$B46,Flts!$AS$252:$AS$281),0)</f>
        <v>16</v>
      </c>
      <c r="S20" s="157">
        <f ca="1">IF(NTri&gt;=$R$30,SUMIF(Flts!F$252:F$281,UDs!$B46,Flts!$AS$252:$AS$281),0)</f>
        <v>0</v>
      </c>
      <c r="T20" s="158">
        <f>IF(NTri&gt;=$R$30,SUMIF(Flts!E$286:E$316,UDs!$B46,Flts!$AS$286:$AS$316),0)</f>
        <v>20</v>
      </c>
      <c r="U20" s="157">
        <f ca="1">IF(NTri&gt;=$R$30,SUMIF(Flts!F$286:F$316,UDs!$B46,Flts!$AS$286:$AS$316),0)</f>
        <v>0</v>
      </c>
      <c r="V20" s="158">
        <f>IF(NTri&gt;=$R$30,SUMIF(Flts!E$320:E$349,UDs!$B46,Flts!$AS$320:$AS$349),0)</f>
        <v>0</v>
      </c>
      <c r="W20" s="157">
        <f ca="1">IF(NTri&gt;=$R$30,SUMIF(Flts!F$320:F$349,UDs!$B46,Flts!$AS$320:$AS$349),0)</f>
        <v>0</v>
      </c>
      <c r="X20" s="159">
        <f t="shared" ca="1" si="0"/>
        <v>16</v>
      </c>
      <c r="Y20" s="2">
        <f>IF(AND(FechaInicio1Tri&lt;=UDs!$F46, FechaFin1Tri&gt;=UDs!$F46),(E20+G20+I20+K20)/(D20+F20+H20+J20),0%)</f>
        <v>0</v>
      </c>
      <c r="Z20" s="2">
        <f>IF(AND(FechaInicio2Tri&lt;=UDs!$F46, FechaFin2Tri&gt;=UDs!$F46),(M20+O20+Q20)/(L20+N20+P20),0%)</f>
        <v>0</v>
      </c>
      <c r="AA20" s="2">
        <f>IF(AND(FechaInicio3Tri&lt;=UDs!$F46, FechaFin3Tri&gt;=UDs!$F46),(S20+U20+W20)/(R20+T20+V20),0%)</f>
        <v>0</v>
      </c>
      <c r="AB20" s="7"/>
    </row>
    <row r="21" spans="1:28" ht="15.6" x14ac:dyDescent="0.3">
      <c r="A21" s="7"/>
      <c r="B21" s="221">
        <f>IF(UDs!C47&lt;&gt;0,UDs!B47,IF(C21&lt;&gt;0,CoUDCM,0))</f>
        <v>0</v>
      </c>
      <c r="C21" s="138">
        <f>IFERROR(IF(C20+UDs!C46&gt;C20,C20+UDs!C46,0),0)</f>
        <v>0</v>
      </c>
      <c r="D21" s="156">
        <f>SUMIF(Flts!E$14:E$43,UDs!$B47,Flts!$AS$14:$AS$43)</f>
        <v>0</v>
      </c>
      <c r="E21" s="157">
        <f ca="1">SUMIF(Flts!F$14:F$43,UDs!$B47,Flts!$AS$14:$AS$43)</f>
        <v>0</v>
      </c>
      <c r="F21" s="158">
        <f>SUMIF(Flts!E$48:E$78,UDs!$B47,Flts!$AS$48:$AS$78)</f>
        <v>0</v>
      </c>
      <c r="G21" s="157">
        <f ca="1">SUMIF(Flts!F$48:F$78,UDs!$B47,Flts!$AS$48:$AS$78)</f>
        <v>0</v>
      </c>
      <c r="H21" s="158">
        <f>SUMIF(Flts!E$82:E$111,UDs!$B47,Flts!$AS$82:$AS$111)</f>
        <v>0</v>
      </c>
      <c r="I21" s="157">
        <f ca="1">SUMIF(Flts!F$82:F$111,UDs!$B47,Flts!$AS$82:$AS$111)</f>
        <v>0</v>
      </c>
      <c r="J21" s="158">
        <f>SUMIF(Flts!E$116:E$146,UDs!$B47,Flts!$AS$116:$AS$146)</f>
        <v>0</v>
      </c>
      <c r="K21" s="157">
        <f ca="1">SUMIF(Flts!F$116:F$146,UDs!$B47,Flts!$AS$116:$AS$146)</f>
        <v>0</v>
      </c>
      <c r="L21" s="156">
        <f>SUMIF(Flts!E$150:E$180,UDs!$B47,Flts!$AS$150:$AS$180)</f>
        <v>4</v>
      </c>
      <c r="M21" s="157">
        <f ca="1">SUMIF(Flts!F$150:F$180,UDs!$B47,Flts!$AS$150:$AS$180)</f>
        <v>4</v>
      </c>
      <c r="N21" s="158">
        <f>SUMIF(Flts!E$184:E$212,UDs!$B47,Flts!$AS$184:$AS$212)</f>
        <v>0</v>
      </c>
      <c r="O21" s="157">
        <f ca="1">SUMIF(Flts!F$184:F$212,UDs!$B47,Flts!$AS$184:$AS$212)</f>
        <v>0</v>
      </c>
      <c r="P21" s="158">
        <f>SUMIF(Flts!E$218:E$248,UDs!$B47,Flts!$AS$218:$AS$248)</f>
        <v>19</v>
      </c>
      <c r="Q21" s="157">
        <f ca="1">SUMIF(Flts!F$218:F$248,UDs!$B47,Flts!$AS$218:$AS$248)</f>
        <v>12</v>
      </c>
      <c r="R21" s="156">
        <f>IF(NTri&gt;=$R$30,SUMIF(Flts!E$252:E$281,UDs!$B47,Flts!$AS$252:$AS$281),0)</f>
        <v>16</v>
      </c>
      <c r="S21" s="157">
        <f ca="1">IF(NTri&gt;=$R$30,SUMIF(Flts!F$252:F$281,UDs!$B47,Flts!$AS$252:$AS$281),0)</f>
        <v>0</v>
      </c>
      <c r="T21" s="158">
        <f>IF(NTri&gt;=$R$30,SUMIF(Flts!E$286:E$316,UDs!$B47,Flts!$AS$286:$AS$316),0)</f>
        <v>20</v>
      </c>
      <c r="U21" s="157">
        <f ca="1">IF(NTri&gt;=$R$30,SUMIF(Flts!F$286:F$316,UDs!$B47,Flts!$AS$286:$AS$316),0)</f>
        <v>0</v>
      </c>
      <c r="V21" s="158">
        <f>IF(NTri&gt;=$R$30,SUMIF(Flts!E$320:E$349,UDs!$B47,Flts!$AS$320:$AS$349),0)</f>
        <v>0</v>
      </c>
      <c r="W21" s="157">
        <f ca="1">IF(NTri&gt;=$R$30,SUMIF(Flts!F$320:F$349,UDs!$B47,Flts!$AS$320:$AS$349),0)</f>
        <v>0</v>
      </c>
      <c r="X21" s="159">
        <f t="shared" ca="1" si="0"/>
        <v>16</v>
      </c>
      <c r="Y21" s="2">
        <f>IF(AND(FechaInicio1Tri&lt;=UDs!$F47, FechaFin1Tri&gt;=UDs!$F47),(E21+G21+I21+K21)/(D21+F21+H21+J21),0%)</f>
        <v>0</v>
      </c>
      <c r="Z21" s="2">
        <f>IF(AND(FechaInicio2Tri&lt;=UDs!$F47, FechaFin2Tri&gt;=UDs!$F47),(M21+O21+Q21)/(L21+N21+P21),0%)</f>
        <v>0</v>
      </c>
      <c r="AA21" s="2">
        <f>IF(AND(FechaInicio3Tri&lt;=UDs!$F47, FechaFin3Tri&gt;=UDs!$F47),(S21+U21+W21)/(R21+T21+V21),0%)</f>
        <v>0</v>
      </c>
      <c r="AB21" s="7"/>
    </row>
    <row r="22" spans="1:28" ht="15.6" x14ac:dyDescent="0.3">
      <c r="A22" s="7"/>
      <c r="B22" s="223">
        <f>IF(UDs!C48&lt;&gt;0,UDs!B48,IF(C22&lt;&gt;0,CoUDCM,0))</f>
        <v>0</v>
      </c>
      <c r="C22" s="141">
        <f>IFERROR(IF(C21+UDs!C47&gt;C21,C21+UDs!C47,0),0)</f>
        <v>0</v>
      </c>
      <c r="D22" s="161">
        <f>SUMIF(Flts!E$14:E$43,UDs!$B48,Flts!$AS$14:$AS$43)</f>
        <v>0</v>
      </c>
      <c r="E22" s="162">
        <f ca="1">SUMIF(Flts!F$14:F$43,UDs!$B48,Flts!$AS$14:$AS$43)</f>
        <v>0</v>
      </c>
      <c r="F22" s="163">
        <f>SUMIF(Flts!E$48:E$78,UDs!$B48,Flts!$AS$48:$AS$78)</f>
        <v>0</v>
      </c>
      <c r="G22" s="162">
        <f ca="1">SUMIF(Flts!F$48:F$78,UDs!$B48,Flts!$AS$48:$AS$78)</f>
        <v>0</v>
      </c>
      <c r="H22" s="163">
        <f>SUMIF(Flts!E$82:E$111,UDs!$B48,Flts!$AS$82:$AS$111)</f>
        <v>0</v>
      </c>
      <c r="I22" s="162">
        <f ca="1">SUMIF(Flts!F$82:F$111,UDs!$B48,Flts!$AS$82:$AS$111)</f>
        <v>0</v>
      </c>
      <c r="J22" s="163">
        <f>SUMIF(Flts!E$116:E$146,UDs!$B48,Flts!$AS$116:$AS$146)</f>
        <v>0</v>
      </c>
      <c r="K22" s="162">
        <f ca="1">SUMIF(Flts!F$116:F$146,UDs!$B48,Flts!$AS$116:$AS$146)</f>
        <v>0</v>
      </c>
      <c r="L22" s="161">
        <f>SUMIF(Flts!E$150:E$180,UDs!$B48,Flts!$AS$150:$AS$180)</f>
        <v>4</v>
      </c>
      <c r="M22" s="162">
        <f ca="1">SUMIF(Flts!F$150:F$180,UDs!$B48,Flts!$AS$150:$AS$180)</f>
        <v>4</v>
      </c>
      <c r="N22" s="163">
        <f>SUMIF(Flts!E$184:E$212,UDs!$B48,Flts!$AS$184:$AS$212)</f>
        <v>0</v>
      </c>
      <c r="O22" s="162">
        <f ca="1">SUMIF(Flts!F$184:F$212,UDs!$B48,Flts!$AS$184:$AS$212)</f>
        <v>0</v>
      </c>
      <c r="P22" s="163">
        <f>SUMIF(Flts!E$218:E$248,UDs!$B48,Flts!$AS$218:$AS$248)</f>
        <v>19</v>
      </c>
      <c r="Q22" s="162">
        <f ca="1">SUMIF(Flts!F$218:F$248,UDs!$B48,Flts!$AS$218:$AS$248)</f>
        <v>12</v>
      </c>
      <c r="R22" s="161">
        <f>IF(NTri&gt;=$R$30,SUMIF(Flts!E$252:E$281,UDs!$B48,Flts!$AS$252:$AS$281),0)</f>
        <v>16</v>
      </c>
      <c r="S22" s="162">
        <f ca="1">IF(NTri&gt;=$R$30,SUMIF(Flts!F$252:F$281,UDs!$B48,Flts!$AS$252:$AS$281),0)</f>
        <v>0</v>
      </c>
      <c r="T22" s="163">
        <f>IF(NTri&gt;=$R$30,SUMIF(Flts!E$286:E$316,UDs!$B48,Flts!$AS$286:$AS$316),0)</f>
        <v>20</v>
      </c>
      <c r="U22" s="162">
        <f ca="1">IF(NTri&gt;=$R$30,SUMIF(Flts!F$286:F$316,UDs!$B48,Flts!$AS$286:$AS$316),0)</f>
        <v>0</v>
      </c>
      <c r="V22" s="163">
        <f>IF(NTri&gt;=$R$30,SUMIF(Flts!E$320:E$349,UDs!$B48,Flts!$AS$320:$AS$349),0)</f>
        <v>0</v>
      </c>
      <c r="W22" s="162">
        <f ca="1">IF(NTri&gt;=$R$30,SUMIF(Flts!F$320:F$349,UDs!$B48,Flts!$AS$320:$AS$349),0)</f>
        <v>0</v>
      </c>
      <c r="X22" s="165">
        <f t="shared" ca="1" si="0"/>
        <v>16</v>
      </c>
      <c r="Y22" s="3">
        <f>IF(AND(FechaInicio1Tri&lt;=UDs!$F48, FechaFin1Tri&gt;=UDs!$F48),(E22+G22+I22+K22)/(D22+F22+H22+J22),0%)</f>
        <v>0</v>
      </c>
      <c r="Z22" s="3">
        <f>IF(AND(FechaInicio2Tri&lt;=UDs!$F48, FechaFin2Tri&gt;=UDs!$F48),(M22+O22+Q22)/(L22+N22+P22),0%)</f>
        <v>0</v>
      </c>
      <c r="AA22" s="3">
        <f>IF(AND(FechaInicio3Tri&lt;=UDs!$F48, FechaFin3Tri&gt;=UDs!$F48),(S22+U22+W22)/(R22+T22+V22),0%)</f>
        <v>0</v>
      </c>
      <c r="AB22" s="7"/>
    </row>
    <row r="23" spans="1:28" ht="15.6" x14ac:dyDescent="0.3">
      <c r="A23" s="7"/>
      <c r="B23" s="221">
        <f>IF(UDs!C49&lt;&gt;0,UDs!B49,IF(C23&lt;&gt;0,CoUDCM,0))</f>
        <v>0</v>
      </c>
      <c r="C23" s="138">
        <f>IFERROR(IF(C22+UDs!C48&gt;C22,C22+UDs!C48,0),0)</f>
        <v>0</v>
      </c>
      <c r="D23" s="156">
        <f>SUMIF(Flts!E$14:E$43,UDs!$B49,Flts!$AS$14:$AS$43)</f>
        <v>0</v>
      </c>
      <c r="E23" s="157">
        <f ca="1">SUMIF(Flts!F$14:F$43,UDs!$B49,Flts!$AS$14:$AS$43)</f>
        <v>0</v>
      </c>
      <c r="F23" s="158">
        <f>SUMIF(Flts!E$48:E$78,UDs!$B49,Flts!$AS$48:$AS$78)</f>
        <v>0</v>
      </c>
      <c r="G23" s="157">
        <f ca="1">SUMIF(Flts!F$48:F$78,UDs!$B49,Flts!$AS$48:$AS$78)</f>
        <v>0</v>
      </c>
      <c r="H23" s="158">
        <f>SUMIF(Flts!E$82:E$111,UDs!$B49,Flts!$AS$82:$AS$111)</f>
        <v>0</v>
      </c>
      <c r="I23" s="157">
        <f ca="1">SUMIF(Flts!F$82:F$111,UDs!$B49,Flts!$AS$82:$AS$111)</f>
        <v>0</v>
      </c>
      <c r="J23" s="158">
        <f>SUMIF(Flts!E$116:E$146,UDs!$B49,Flts!$AS$116:$AS$146)</f>
        <v>0</v>
      </c>
      <c r="K23" s="157">
        <f ca="1">SUMIF(Flts!F$116:F$146,UDs!$B49,Flts!$AS$116:$AS$146)</f>
        <v>0</v>
      </c>
      <c r="L23" s="156">
        <f>SUMIF(Flts!E$150:E$180,UDs!$B49,Flts!$AS$150:$AS$180)</f>
        <v>4</v>
      </c>
      <c r="M23" s="157">
        <f ca="1">SUMIF(Flts!F$150:F$180,UDs!$B49,Flts!$AS$150:$AS$180)</f>
        <v>4</v>
      </c>
      <c r="N23" s="158">
        <f>SUMIF(Flts!E$184:E$212,UDs!$B49,Flts!$AS$184:$AS$212)</f>
        <v>0</v>
      </c>
      <c r="O23" s="157">
        <f ca="1">SUMIF(Flts!F$184:F$212,UDs!$B49,Flts!$AS$184:$AS$212)</f>
        <v>0</v>
      </c>
      <c r="P23" s="158">
        <f>SUMIF(Flts!E$218:E$248,UDs!$B49,Flts!$AS$218:$AS$248)</f>
        <v>19</v>
      </c>
      <c r="Q23" s="157">
        <f ca="1">SUMIF(Flts!F$218:F$248,UDs!$B49,Flts!$AS$218:$AS$248)</f>
        <v>12</v>
      </c>
      <c r="R23" s="156">
        <f>IF(NTri&gt;=$R$30,SUMIF(Flts!E$252:E$281,UDs!$B49,Flts!$AS$252:$AS$281),0)</f>
        <v>16</v>
      </c>
      <c r="S23" s="157">
        <f ca="1">IF(NTri&gt;=$R$30,SUMIF(Flts!F$252:F$281,UDs!$B49,Flts!$AS$252:$AS$281),0)</f>
        <v>0</v>
      </c>
      <c r="T23" s="158">
        <f>IF(NTri&gt;=$R$30,SUMIF(Flts!E$286:E$316,UDs!$B49,Flts!$AS$286:$AS$316),0)</f>
        <v>20</v>
      </c>
      <c r="U23" s="157">
        <f ca="1">IF(NTri&gt;=$R$30,SUMIF(Flts!F$286:F$316,UDs!$B49,Flts!$AS$286:$AS$316),0)</f>
        <v>0</v>
      </c>
      <c r="V23" s="158">
        <f>IF(NTri&gt;=$R$30,SUMIF(Flts!E$320:E$349,UDs!$B49,Flts!$AS$320:$AS$349),0)</f>
        <v>0</v>
      </c>
      <c r="W23" s="157">
        <f ca="1">IF(NTri&gt;=$R$30,SUMIF(Flts!F$320:F$349,UDs!$B49,Flts!$AS$320:$AS$349),0)</f>
        <v>0</v>
      </c>
      <c r="X23" s="159">
        <f t="shared" ca="1" si="0"/>
        <v>16</v>
      </c>
      <c r="Y23" s="2">
        <f>IF(AND(FechaInicio1Tri&lt;=UDs!$F49, FechaFin1Tri&gt;=UDs!$F49),(E23+G23+I23+K23)/(D23+F23+H23+J23),0%)</f>
        <v>0</v>
      </c>
      <c r="Z23" s="2">
        <f>IF(AND(FechaInicio2Tri&lt;=UDs!$F49, FechaFin2Tri&gt;=UDs!$F49),(M23+O23+Q23)/(L23+N23+P23),0%)</f>
        <v>0</v>
      </c>
      <c r="AA23" s="2">
        <f>IF(AND(FechaInicio3Tri&lt;=UDs!$F49, FechaFin3Tri&gt;=UDs!$F49),(S23+U23+W23)/(R23+T23+V23),0%)</f>
        <v>0</v>
      </c>
      <c r="AB23" s="7"/>
    </row>
    <row r="24" spans="1:28" ht="15.6" x14ac:dyDescent="0.3">
      <c r="A24" s="7"/>
      <c r="B24" s="221">
        <f>IF(UDs!C50&lt;&gt;0,UDs!B50,IF(C24&lt;&gt;0,CoUDCM,0))</f>
        <v>0</v>
      </c>
      <c r="C24" s="138">
        <f>IFERROR(IF(C23+UDs!C49&gt;C23,C23+UDs!C49,0),0)</f>
        <v>0</v>
      </c>
      <c r="D24" s="156">
        <f>SUMIF(Flts!E$14:E$43,UDs!$B50,Flts!$AS$14:$AS$43)</f>
        <v>0</v>
      </c>
      <c r="E24" s="157">
        <f ca="1">SUMIF(Flts!F$14:F$43,UDs!$B50,Flts!$AS$14:$AS$43)</f>
        <v>0</v>
      </c>
      <c r="F24" s="158">
        <f>SUMIF(Flts!E$48:E$78,UDs!$B50,Flts!$AS$48:$AS$78)</f>
        <v>0</v>
      </c>
      <c r="G24" s="157">
        <f ca="1">SUMIF(Flts!F$48:F$78,UDs!$B50,Flts!$AS$48:$AS$78)</f>
        <v>0</v>
      </c>
      <c r="H24" s="158">
        <f>SUMIF(Flts!E$82:E$111,UDs!$B50,Flts!$AS$82:$AS$111)</f>
        <v>0</v>
      </c>
      <c r="I24" s="157">
        <f ca="1">SUMIF(Flts!F$82:F$111,UDs!$B50,Flts!$AS$82:$AS$111)</f>
        <v>0</v>
      </c>
      <c r="J24" s="158">
        <f>SUMIF(Flts!E$116:E$146,UDs!$B50,Flts!$AS$116:$AS$146)</f>
        <v>0</v>
      </c>
      <c r="K24" s="157">
        <f ca="1">SUMIF(Flts!F$116:F$146,UDs!$B50,Flts!$AS$116:$AS$146)</f>
        <v>0</v>
      </c>
      <c r="L24" s="156">
        <f>SUMIF(Flts!E$150:E$180,UDs!$B50,Flts!$AS$150:$AS$180)</f>
        <v>4</v>
      </c>
      <c r="M24" s="157">
        <f ca="1">SUMIF(Flts!F$150:F$180,UDs!$B50,Flts!$AS$150:$AS$180)</f>
        <v>4</v>
      </c>
      <c r="N24" s="158">
        <f>SUMIF(Flts!E$184:E$212,UDs!$B50,Flts!$AS$184:$AS$212)</f>
        <v>0</v>
      </c>
      <c r="O24" s="157">
        <f ca="1">SUMIF(Flts!F$184:F$212,UDs!$B50,Flts!$AS$184:$AS$212)</f>
        <v>0</v>
      </c>
      <c r="P24" s="158">
        <f>SUMIF(Flts!E$218:E$248,UDs!$B50,Flts!$AS$218:$AS$248)</f>
        <v>19</v>
      </c>
      <c r="Q24" s="157">
        <f ca="1">SUMIF(Flts!F$218:F$248,UDs!$B50,Flts!$AS$218:$AS$248)</f>
        <v>12</v>
      </c>
      <c r="R24" s="156">
        <f>IF(NTri&gt;=$R$30,SUMIF(Flts!E$252:E$281,UDs!$B50,Flts!$AS$252:$AS$281),0)</f>
        <v>16</v>
      </c>
      <c r="S24" s="157">
        <f ca="1">IF(NTri&gt;=$R$30,SUMIF(Flts!F$252:F$281,UDs!$B50,Flts!$AS$252:$AS$281),0)</f>
        <v>0</v>
      </c>
      <c r="T24" s="158">
        <f>IF(NTri&gt;=$R$30,SUMIF(Flts!E$286:E$316,UDs!$B50,Flts!$AS$286:$AS$316),0)</f>
        <v>20</v>
      </c>
      <c r="U24" s="157">
        <f ca="1">IF(NTri&gt;=$R$30,SUMIF(Flts!F$286:F$316,UDs!$B50,Flts!$AS$286:$AS$316),0)</f>
        <v>0</v>
      </c>
      <c r="V24" s="158">
        <f>IF(NTri&gt;=$R$30,SUMIF(Flts!E$320:E$349,UDs!$B50,Flts!$AS$320:$AS$349),0)</f>
        <v>0</v>
      </c>
      <c r="W24" s="157">
        <f ca="1">IF(NTri&gt;=$R$30,SUMIF(Flts!F$320:F$349,UDs!$B50,Flts!$AS$320:$AS$349),0)</f>
        <v>0</v>
      </c>
      <c r="X24" s="159">
        <f t="shared" ca="1" si="0"/>
        <v>16</v>
      </c>
      <c r="Y24" s="2">
        <f>IF(AND(FechaInicio1Tri&lt;=UDs!$F50, FechaFin1Tri&gt;=UDs!$F50),(E24+G24+I24+K24)/(D24+F24+H24+J24),0%)</f>
        <v>0</v>
      </c>
      <c r="Z24" s="2">
        <f>IF(AND(FechaInicio2Tri&lt;=UDs!$F50, FechaFin2Tri&gt;=UDs!$F50),(M24+O24+Q24)/(L24+N24+P24),0%)</f>
        <v>0</v>
      </c>
      <c r="AA24" s="2">
        <f>IF(AND(FechaInicio3Tri&lt;=UDs!$F50, FechaFin3Tri&gt;=UDs!$F50),(S24+U24+W24)/(R24+T24+V24),0%)</f>
        <v>0</v>
      </c>
      <c r="AB24" s="7"/>
    </row>
    <row r="25" spans="1:28" ht="15.6" x14ac:dyDescent="0.3">
      <c r="A25" s="7"/>
      <c r="B25" s="223">
        <f>IF(UDs!C51&lt;&gt;0,UDs!B51,IF(C25&lt;&gt;0,CoUDCM,0))</f>
        <v>0</v>
      </c>
      <c r="C25" s="141">
        <f>IFERROR(IF(C24+UDs!C50&gt;C24,C24+UDs!C50,0),0)</f>
        <v>0</v>
      </c>
      <c r="D25" s="161">
        <f>SUMIF(Flts!E$14:E$43,UDs!$B51,Flts!$AS$14:$AS$43)</f>
        <v>0</v>
      </c>
      <c r="E25" s="162">
        <f ca="1">SUMIF(Flts!F$14:F$43,UDs!$B51,Flts!$AS$14:$AS$43)</f>
        <v>0</v>
      </c>
      <c r="F25" s="163">
        <f>SUMIF(Flts!E$48:E$78,UDs!$B51,Flts!$AS$48:$AS$78)</f>
        <v>0</v>
      </c>
      <c r="G25" s="162">
        <f ca="1">SUMIF(Flts!F$48:F$78,UDs!$B51,Flts!$AS$48:$AS$78)</f>
        <v>0</v>
      </c>
      <c r="H25" s="163">
        <f>SUMIF(Flts!E$82:E$111,UDs!$B51,Flts!$AS$82:$AS$111)</f>
        <v>0</v>
      </c>
      <c r="I25" s="162">
        <f ca="1">SUMIF(Flts!F$82:F$111,UDs!$B51,Flts!$AS$82:$AS$111)</f>
        <v>0</v>
      </c>
      <c r="J25" s="163">
        <f>SUMIF(Flts!E$116:E$146,UDs!$B51,Flts!$AS$116:$AS$146)</f>
        <v>0</v>
      </c>
      <c r="K25" s="162">
        <f ca="1">SUMIF(Flts!F$116:F$146,UDs!$B51,Flts!$AS$116:$AS$146)</f>
        <v>0</v>
      </c>
      <c r="L25" s="161">
        <f>SUMIF(Flts!E$150:E$180,UDs!$B51,Flts!$AS$150:$AS$180)</f>
        <v>4</v>
      </c>
      <c r="M25" s="162">
        <f ca="1">SUMIF(Flts!F$150:F$180,UDs!$B51,Flts!$AS$150:$AS$180)</f>
        <v>4</v>
      </c>
      <c r="N25" s="163">
        <f>SUMIF(Flts!E$184:E$212,UDs!$B51,Flts!$AS$184:$AS$212)</f>
        <v>0</v>
      </c>
      <c r="O25" s="162">
        <f ca="1">SUMIF(Flts!F$184:F$212,UDs!$B51,Flts!$AS$184:$AS$212)</f>
        <v>0</v>
      </c>
      <c r="P25" s="163">
        <f>SUMIF(Flts!E$218:E$248,UDs!$B51,Flts!$AS$218:$AS$248)</f>
        <v>19</v>
      </c>
      <c r="Q25" s="162">
        <f ca="1">SUMIF(Flts!F$218:F$248,UDs!$B51,Flts!$AS$218:$AS$248)</f>
        <v>12</v>
      </c>
      <c r="R25" s="161">
        <f>IF(NTri&gt;=$R$30,SUMIF(Flts!E$252:E$281,UDs!$B51,Flts!$AS$252:$AS$281),0)</f>
        <v>16</v>
      </c>
      <c r="S25" s="162">
        <f ca="1">IF(NTri&gt;=$R$30,SUMIF(Flts!F$252:F$281,UDs!$B51,Flts!$AS$252:$AS$281),0)</f>
        <v>0</v>
      </c>
      <c r="T25" s="163">
        <f>IF(NTri&gt;=$R$30,SUMIF(Flts!E$286:E$316,UDs!$B51,Flts!$AS$286:$AS$316),0)</f>
        <v>20</v>
      </c>
      <c r="U25" s="162">
        <f ca="1">IF(NTri&gt;=$R$30,SUMIF(Flts!F$286:F$316,UDs!$B51,Flts!$AS$286:$AS$316),0)</f>
        <v>0</v>
      </c>
      <c r="V25" s="163">
        <f>IF(NTri&gt;=$R$30,SUMIF(Flts!E$320:E$349,UDs!$B51,Flts!$AS$320:$AS$349),0)</f>
        <v>0</v>
      </c>
      <c r="W25" s="162">
        <f ca="1">IF(NTri&gt;=$R$30,SUMIF(Flts!F$320:F$349,UDs!$B51,Flts!$AS$320:$AS$349),0)</f>
        <v>0</v>
      </c>
      <c r="X25" s="165">
        <f t="shared" ca="1" si="0"/>
        <v>16</v>
      </c>
      <c r="Y25" s="3">
        <f>IF(AND(FechaInicio1Tri&lt;=UDs!$F51, FechaFin1Tri&gt;=UDs!$F51),(E25+G25+I25+K25)/(D25+F25+H25+J25),0%)</f>
        <v>0</v>
      </c>
      <c r="Z25" s="3">
        <f>IF(AND(FechaInicio2Tri&lt;=UDs!$F51, FechaFin2Tri&gt;=UDs!$F51),(M25+O25+Q25)/(L25+N25+P25),0%)</f>
        <v>0</v>
      </c>
      <c r="AA25" s="3">
        <f>IF(AND(FechaInicio3Tri&lt;=UDs!$F51, FechaFin3Tri&gt;=UDs!$F51),(S25+U25+W25)/(R25+T25+V25),0%)</f>
        <v>0</v>
      </c>
      <c r="AB25" s="7"/>
    </row>
    <row r="26" spans="1:28" ht="15.6" x14ac:dyDescent="0.3">
      <c r="A26" s="7"/>
      <c r="B26" s="221">
        <f>IF(UDs!C52&lt;&gt;0,UDs!B52,IF(C26&lt;&gt;0,CoUDCM,0))</f>
        <v>0</v>
      </c>
      <c r="C26" s="138">
        <f>IFERROR(IF(C25+UDs!C51&gt;C25,C25+UDs!C51,0),0)</f>
        <v>0</v>
      </c>
      <c r="D26" s="156">
        <f>SUMIF(Flts!E$14:E$43,UDs!$B52,Flts!$AS$14:$AS$43)</f>
        <v>0</v>
      </c>
      <c r="E26" s="157">
        <f ca="1">SUMIF(Flts!F$14:F$43,UDs!$B52,Flts!$AS$14:$AS$43)</f>
        <v>0</v>
      </c>
      <c r="F26" s="158">
        <f>SUMIF(Flts!E$48:E$78,UDs!$B52,Flts!$AS$48:$AS$78)</f>
        <v>0</v>
      </c>
      <c r="G26" s="157">
        <f ca="1">SUMIF(Flts!F$48:F$78,UDs!$B52,Flts!$AS$48:$AS$78)</f>
        <v>0</v>
      </c>
      <c r="H26" s="158">
        <f>SUMIF(Flts!E$82:E$111,UDs!$B52,Flts!$AS$82:$AS$111)</f>
        <v>0</v>
      </c>
      <c r="I26" s="157">
        <f ca="1">SUMIF(Flts!F$82:F$111,UDs!$B52,Flts!$AS$82:$AS$111)</f>
        <v>0</v>
      </c>
      <c r="J26" s="158">
        <f>SUMIF(Flts!E$116:E$146,UDs!$B52,Flts!$AS$116:$AS$146)</f>
        <v>0</v>
      </c>
      <c r="K26" s="157">
        <f ca="1">SUMIF(Flts!F$116:F$146,UDs!$B52,Flts!$AS$116:$AS$146)</f>
        <v>0</v>
      </c>
      <c r="L26" s="156">
        <f>SUMIF(Flts!E$150:E$180,UDs!$B52,Flts!$AS$150:$AS$180)</f>
        <v>4</v>
      </c>
      <c r="M26" s="157">
        <f ca="1">SUMIF(Flts!F$150:F$180,UDs!$B52,Flts!$AS$150:$AS$180)</f>
        <v>4</v>
      </c>
      <c r="N26" s="158">
        <f>SUMIF(Flts!E$184:E$212,UDs!$B52,Flts!$AS$184:$AS$212)</f>
        <v>0</v>
      </c>
      <c r="O26" s="157">
        <f ca="1">SUMIF(Flts!F$184:F$212,UDs!$B52,Flts!$AS$184:$AS$212)</f>
        <v>0</v>
      </c>
      <c r="P26" s="158">
        <f>SUMIF(Flts!E$218:E$248,UDs!$B52,Flts!$AS$218:$AS$248)</f>
        <v>19</v>
      </c>
      <c r="Q26" s="157">
        <f ca="1">SUMIF(Flts!F$218:F$248,UDs!$B52,Flts!$AS$218:$AS$248)</f>
        <v>12</v>
      </c>
      <c r="R26" s="156">
        <f>IF(NTri&gt;=$R$30,SUMIF(Flts!E$252:E$281,UDs!$B52,Flts!$AS$252:$AS$281),0)</f>
        <v>16</v>
      </c>
      <c r="S26" s="157">
        <f ca="1">IF(NTri&gt;=$R$30,SUMIF(Flts!F$252:F$281,UDs!$B52,Flts!$AS$252:$AS$281),0)</f>
        <v>0</v>
      </c>
      <c r="T26" s="158">
        <f>IF(NTri&gt;=$R$30,SUMIF(Flts!E$286:E$316,UDs!$B52,Flts!$AS$286:$AS$316),0)</f>
        <v>20</v>
      </c>
      <c r="U26" s="157">
        <f ca="1">IF(NTri&gt;=$R$30,SUMIF(Flts!F$286:F$316,UDs!$B52,Flts!$AS$286:$AS$316),0)</f>
        <v>0</v>
      </c>
      <c r="V26" s="158">
        <f>IF(NTri&gt;=$R$30,SUMIF(Flts!E$320:E$349,UDs!$B52,Flts!$AS$320:$AS$349),0)</f>
        <v>0</v>
      </c>
      <c r="W26" s="157">
        <f ca="1">IF(NTri&gt;=$R$30,SUMIF(Flts!F$320:F$349,UDs!$B52,Flts!$AS$320:$AS$349),0)</f>
        <v>0</v>
      </c>
      <c r="X26" s="159">
        <f t="shared" ca="1" si="0"/>
        <v>16</v>
      </c>
      <c r="Y26" s="2">
        <f>IF(AND(FechaInicio1Tri&lt;=UDs!$F52, FechaFin1Tri&gt;=UDs!$F52),(E26+G26+I26+K26)/(D26+F26+H26+J26),0%)</f>
        <v>0</v>
      </c>
      <c r="Z26" s="2">
        <f>IF(AND(FechaInicio2Tri&lt;=UDs!$F52, FechaFin2Tri&gt;=UDs!$F52),(M26+O26+Q26)/(L26+N26+P26),0%)</f>
        <v>0</v>
      </c>
      <c r="AA26" s="2">
        <f>IF(AND(FechaInicio3Tri&lt;=UDs!$F52, FechaFin3Tri&gt;=UDs!$F52),(S26+U26+W26)/(R26+T26+V26),0%)</f>
        <v>0</v>
      </c>
      <c r="AB26" s="7"/>
    </row>
    <row r="27" spans="1:28" ht="15.6" x14ac:dyDescent="0.3">
      <c r="A27" s="7"/>
      <c r="B27" s="221">
        <f>IF(UDs!C53&lt;&gt;0,UDs!B53,IF(C27&lt;&gt;0,CoUDCM,0))</f>
        <v>0</v>
      </c>
      <c r="C27" s="138">
        <f>IFERROR(IF(C26+UDs!C52&gt;C26,C26+UDs!C52,0),0)</f>
        <v>0</v>
      </c>
      <c r="D27" s="156">
        <f>SUMIF(Flts!E$14:E$43,UDs!$B53,Flts!$AS$14:$AS$43)</f>
        <v>0</v>
      </c>
      <c r="E27" s="157">
        <f ca="1">SUMIF(Flts!F$14:F$43,UDs!$B53,Flts!$AS$14:$AS$43)</f>
        <v>0</v>
      </c>
      <c r="F27" s="158">
        <f>SUMIF(Flts!E$48:E$78,UDs!$B53,Flts!$AS$48:$AS$78)</f>
        <v>0</v>
      </c>
      <c r="G27" s="157">
        <f ca="1">SUMIF(Flts!F$48:F$78,UDs!$B53,Flts!$AS$48:$AS$78)</f>
        <v>0</v>
      </c>
      <c r="H27" s="158">
        <f>SUMIF(Flts!E$82:E$111,UDs!$B53,Flts!$AS$82:$AS$111)</f>
        <v>0</v>
      </c>
      <c r="I27" s="157">
        <f ca="1">SUMIF(Flts!F$82:F$111,UDs!$B53,Flts!$AS$82:$AS$111)</f>
        <v>0</v>
      </c>
      <c r="J27" s="158">
        <f>SUMIF(Flts!E$116:E$146,UDs!$B53,Flts!$AS$116:$AS$146)</f>
        <v>0</v>
      </c>
      <c r="K27" s="157">
        <f ca="1">SUMIF(Flts!F$116:F$146,UDs!$B53,Flts!$AS$116:$AS$146)</f>
        <v>0</v>
      </c>
      <c r="L27" s="156">
        <f>SUMIF(Flts!E$150:E$180,UDs!$B53,Flts!$AS$150:$AS$180)</f>
        <v>4</v>
      </c>
      <c r="M27" s="157">
        <f ca="1">SUMIF(Flts!F$150:F$180,UDs!$B53,Flts!$AS$150:$AS$180)</f>
        <v>4</v>
      </c>
      <c r="N27" s="158">
        <f>SUMIF(Flts!E$184:E$212,UDs!$B53,Flts!$AS$184:$AS$212)</f>
        <v>0</v>
      </c>
      <c r="O27" s="157">
        <f ca="1">SUMIF(Flts!F$184:F$212,UDs!$B53,Flts!$AS$184:$AS$212)</f>
        <v>0</v>
      </c>
      <c r="P27" s="158">
        <f>SUMIF(Flts!E$218:E$248,UDs!$B53,Flts!$AS$218:$AS$248)</f>
        <v>19</v>
      </c>
      <c r="Q27" s="157">
        <f ca="1">SUMIF(Flts!F$218:F$248,UDs!$B53,Flts!$AS$218:$AS$248)</f>
        <v>12</v>
      </c>
      <c r="R27" s="156">
        <f>IF(NTri&gt;=$R$30,SUMIF(Flts!E$252:E$281,UDs!$B53,Flts!$AS$252:$AS$281),0)</f>
        <v>16</v>
      </c>
      <c r="S27" s="157">
        <f ca="1">IF(NTri&gt;=$R$30,SUMIF(Flts!F$252:F$281,UDs!$B53,Flts!$AS$252:$AS$281),0)</f>
        <v>0</v>
      </c>
      <c r="T27" s="158">
        <f>IF(NTri&gt;=$R$30,SUMIF(Flts!E$286:E$316,UDs!$B53,Flts!$AS$286:$AS$316),0)</f>
        <v>20</v>
      </c>
      <c r="U27" s="157">
        <f ca="1">IF(NTri&gt;=$R$30,SUMIF(Flts!F$286:F$316,UDs!$B53,Flts!$AS$286:$AS$316),0)</f>
        <v>0</v>
      </c>
      <c r="V27" s="158">
        <f>IF(NTri&gt;=$R$30,SUMIF(Flts!E$320:E$349,UDs!$B53,Flts!$AS$320:$AS$349),0)</f>
        <v>0</v>
      </c>
      <c r="W27" s="157">
        <f ca="1">IF(NTri&gt;=$R$30,SUMIF(Flts!F$320:F$349,UDs!$B53,Flts!$AS$320:$AS$349),0)</f>
        <v>0</v>
      </c>
      <c r="X27" s="159">
        <f t="shared" ca="1" si="0"/>
        <v>16</v>
      </c>
      <c r="Y27" s="2">
        <f>IF(AND(FechaInicio1Tri&lt;=UDs!$F53, FechaFin1Tri&gt;=UDs!$F53),(E27+G27+I27+K27)/(D27+F27+H27+J27),0%)</f>
        <v>0</v>
      </c>
      <c r="Z27" s="2">
        <f>IF(AND(FechaInicio2Tri&lt;=UDs!$F53, FechaFin2Tri&gt;=UDs!$F53),(M27+O27+Q27)/(L27+N27+P27),0%)</f>
        <v>0</v>
      </c>
      <c r="AA27" s="2">
        <f>IF(AND(FechaInicio3Tri&lt;=UDs!$F53, FechaFin3Tri&gt;=UDs!$F53),(S27+U27+W27)/(R27+T27+V27),0%)</f>
        <v>0</v>
      </c>
      <c r="AB27" s="7"/>
    </row>
    <row r="28" spans="1:28" ht="15.6" x14ac:dyDescent="0.3">
      <c r="A28" s="7"/>
      <c r="B28" s="223">
        <f>IF(UDs!C54&lt;&gt;0,UDs!B54,IF(C28&lt;&gt;0,CoUDCM,0))</f>
        <v>0</v>
      </c>
      <c r="C28" s="141">
        <f>IFERROR(IF(C27+UDs!C53&gt;C27,C27+UDs!C53,0),0)</f>
        <v>0</v>
      </c>
      <c r="D28" s="161">
        <f>SUMIF(Flts!E$14:E$43,UDs!$B54,Flts!$AS$14:$AS$43)</f>
        <v>0</v>
      </c>
      <c r="E28" s="162">
        <f ca="1">SUMIF(Flts!F$14:F$43,UDs!$B54,Flts!$AS$14:$AS$43)</f>
        <v>0</v>
      </c>
      <c r="F28" s="163">
        <f>SUMIF(Flts!E$48:E$78,UDs!$B54,Flts!$AS$48:$AS$78)</f>
        <v>0</v>
      </c>
      <c r="G28" s="162">
        <f ca="1">SUMIF(Flts!F$48:F$78,UDs!$B54,Flts!$AS$48:$AS$78)</f>
        <v>0</v>
      </c>
      <c r="H28" s="163">
        <f>SUMIF(Flts!E$82:E$111,UDs!$B54,Flts!$AS$82:$AS$111)</f>
        <v>0</v>
      </c>
      <c r="I28" s="162">
        <f ca="1">SUMIF(Flts!F$82:F$111,UDs!$B54,Flts!$AS$82:$AS$111)</f>
        <v>0</v>
      </c>
      <c r="J28" s="163">
        <f>SUMIF(Flts!E$116:E$146,UDs!$B54,Flts!$AS$116:$AS$146)</f>
        <v>0</v>
      </c>
      <c r="K28" s="162">
        <f ca="1">SUMIF(Flts!F$116:F$146,UDs!$B54,Flts!$AS$116:$AS$146)</f>
        <v>0</v>
      </c>
      <c r="L28" s="161">
        <f>SUMIF(Flts!E$150:E$180,UDs!$B54,Flts!$AS$150:$AS$180)</f>
        <v>4</v>
      </c>
      <c r="M28" s="162">
        <f ca="1">SUMIF(Flts!F$150:F$180,UDs!$B54,Flts!$AS$150:$AS$180)</f>
        <v>4</v>
      </c>
      <c r="N28" s="163">
        <f>SUMIF(Flts!E$184:E$212,UDs!$B54,Flts!$AS$184:$AS$212)</f>
        <v>0</v>
      </c>
      <c r="O28" s="162">
        <f ca="1">SUMIF(Flts!F$184:F$212,UDs!$B54,Flts!$AS$184:$AS$212)</f>
        <v>0</v>
      </c>
      <c r="P28" s="163">
        <f>SUMIF(Flts!E$218:E$248,UDs!$B54,Flts!$AS$218:$AS$248)</f>
        <v>19</v>
      </c>
      <c r="Q28" s="162">
        <f ca="1">SUMIF(Flts!F$218:F$248,UDs!$B54,Flts!$AS$218:$AS$248)</f>
        <v>12</v>
      </c>
      <c r="R28" s="161">
        <f>IF(NTri&gt;=$R$30,SUMIF(Flts!E$252:E$281,UDs!$B54,Flts!$AS$252:$AS$281),0)</f>
        <v>16</v>
      </c>
      <c r="S28" s="162">
        <f ca="1">IF(NTri&gt;=$R$30,SUMIF(Flts!F$252:F$281,UDs!$B54,Flts!$AS$252:$AS$281),0)</f>
        <v>0</v>
      </c>
      <c r="T28" s="163">
        <f>IF(NTri&gt;=$R$30,SUMIF(Flts!E$286:E$316,UDs!$B54,Flts!$AS$286:$AS$316),0)</f>
        <v>20</v>
      </c>
      <c r="U28" s="162">
        <f ca="1">IF(NTri&gt;=$R$30,SUMIF(Flts!F$286:F$316,UDs!$B54,Flts!$AS$286:$AS$316),0)</f>
        <v>0</v>
      </c>
      <c r="V28" s="163">
        <f>IF(NTri&gt;=$R$30,SUMIF(Flts!E$320:E$349,UDs!$B54,Flts!$AS$320:$AS$349),0)</f>
        <v>0</v>
      </c>
      <c r="W28" s="162">
        <f ca="1">IF(NTri&gt;=$R$30,SUMIF(Flts!F$320:F$349,UDs!$B54,Flts!$AS$320:$AS$349),0)</f>
        <v>0</v>
      </c>
      <c r="X28" s="165">
        <f t="shared" ca="1" si="0"/>
        <v>16</v>
      </c>
      <c r="Y28" s="3">
        <f>IF(AND(FechaInicio1Tri&lt;=UDs!$F54, FechaFin1Tri&gt;=UDs!$F54),(E28+G28+I28+K28)/(D28+F28+H28+J28),0%)</f>
        <v>0</v>
      </c>
      <c r="Z28" s="3">
        <f>IF(AND(FechaInicio2Tri&lt;=UDs!$F54, FechaFin2Tri&gt;=UDs!$F54),(M28+O28+Q28)/(L28+N28+P28),0%)</f>
        <v>0</v>
      </c>
      <c r="AA28" s="3">
        <f>IF(AND(FechaInicio3Tri&lt;=UDs!$F54, FechaFin3Tri&gt;=UDs!$F54),(S28+U28+W28)/(R28+T28+V28),0%)</f>
        <v>0</v>
      </c>
      <c r="AB28" s="7"/>
    </row>
    <row r="29" spans="1:28" ht="15.6" x14ac:dyDescent="0.3">
      <c r="A29" s="7"/>
      <c r="B29" s="7"/>
      <c r="C29" s="264" t="s">
        <v>204</v>
      </c>
      <c r="D29" s="166">
        <f t="shared" ref="D29:X29" si="1">SUM(D8:D28)</f>
        <v>12</v>
      </c>
      <c r="E29" s="167">
        <f t="shared" ca="1" si="1"/>
        <v>12</v>
      </c>
      <c r="F29" s="166">
        <f t="shared" si="1"/>
        <v>21</v>
      </c>
      <c r="G29" s="167">
        <f t="shared" ca="1" si="1"/>
        <v>21</v>
      </c>
      <c r="H29" s="166">
        <f t="shared" si="1"/>
        <v>19</v>
      </c>
      <c r="I29" s="167">
        <f t="shared" ca="1" si="1"/>
        <v>19</v>
      </c>
      <c r="J29" s="166">
        <f t="shared" si="1"/>
        <v>14</v>
      </c>
      <c r="K29" s="167">
        <f t="shared" ca="1" si="1"/>
        <v>14</v>
      </c>
      <c r="L29" s="166">
        <f t="shared" si="1"/>
        <v>85</v>
      </c>
      <c r="M29" s="167">
        <f t="shared" ca="1" si="1"/>
        <v>85</v>
      </c>
      <c r="N29" s="166">
        <f t="shared" si="1"/>
        <v>0</v>
      </c>
      <c r="O29" s="167">
        <f t="shared" ca="1" si="1"/>
        <v>0</v>
      </c>
      <c r="P29" s="166">
        <f t="shared" si="1"/>
        <v>342</v>
      </c>
      <c r="Q29" s="167">
        <f t="shared" ca="1" si="1"/>
        <v>216</v>
      </c>
      <c r="R29" s="166">
        <f t="shared" si="1"/>
        <v>288</v>
      </c>
      <c r="S29" s="167">
        <f t="shared" ca="1" si="1"/>
        <v>0</v>
      </c>
      <c r="T29" s="166">
        <f t="shared" si="1"/>
        <v>360</v>
      </c>
      <c r="U29" s="167">
        <f t="shared" ca="1" si="1"/>
        <v>0</v>
      </c>
      <c r="V29" s="166">
        <f t="shared" si="1"/>
        <v>0</v>
      </c>
      <c r="W29" s="167">
        <f t="shared" ca="1" si="1"/>
        <v>0</v>
      </c>
      <c r="X29" s="168">
        <f t="shared" ca="1" si="1"/>
        <v>367</v>
      </c>
      <c r="Y29" s="7"/>
      <c r="Z29" s="7"/>
      <c r="AA29" s="7"/>
      <c r="AB29" s="7"/>
    </row>
    <row r="30" spans="1:28" ht="15.6" x14ac:dyDescent="0.3">
      <c r="A30" s="7"/>
      <c r="B30" s="7"/>
      <c r="C30" s="7"/>
      <c r="D30" s="155">
        <v>1</v>
      </c>
      <c r="E30" s="7"/>
      <c r="F30" s="7"/>
      <c r="G30" s="7"/>
      <c r="H30" s="7"/>
      <c r="I30" s="7"/>
      <c r="J30" s="7"/>
      <c r="K30" s="7"/>
      <c r="L30" s="155">
        <v>2</v>
      </c>
      <c r="M30" s="7"/>
      <c r="N30" s="7"/>
      <c r="O30" s="7"/>
      <c r="P30" s="7"/>
      <c r="Q30" s="7"/>
      <c r="R30" s="155">
        <v>3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6" x14ac:dyDescent="0.3">
      <c r="A31" s="7"/>
      <c r="B31" s="4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46"/>
      <c r="AA31" s="46"/>
      <c r="AB31" s="7"/>
    </row>
    <row r="32" spans="1:28" ht="21" thickBot="1" x14ac:dyDescent="0.4">
      <c r="B32" s="300" t="s">
        <v>196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2"/>
      <c r="Y32" s="302"/>
      <c r="Z32" s="302"/>
      <c r="AA32" s="302"/>
      <c r="AB32" s="7"/>
    </row>
    <row r="33" spans="1:28" ht="20.399999999999999" x14ac:dyDescent="0.35">
      <c r="A33" s="40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33"/>
      <c r="Y33" s="33"/>
      <c r="Z33" s="33"/>
      <c r="AA33" s="33"/>
      <c r="AB33" s="7"/>
    </row>
    <row r="34" spans="1:28" ht="15.6" x14ac:dyDescent="0.3">
      <c r="A34" s="20"/>
      <c r="B34" s="7"/>
      <c r="C34" s="7"/>
      <c r="D34" s="255" t="s">
        <v>200</v>
      </c>
      <c r="E34" s="277"/>
      <c r="F34" s="278"/>
      <c r="G34" s="278"/>
      <c r="H34" s="256"/>
      <c r="I34" s="256"/>
      <c r="J34" s="256"/>
      <c r="K34" s="256"/>
      <c r="L34" s="257" t="s">
        <v>181</v>
      </c>
      <c r="M34" s="279"/>
      <c r="N34" s="258"/>
      <c r="O34" s="258"/>
      <c r="P34" s="258"/>
      <c r="Q34" s="258"/>
      <c r="R34" s="259" t="s">
        <v>208</v>
      </c>
      <c r="S34" s="280"/>
      <c r="T34" s="281"/>
      <c r="U34" s="281"/>
      <c r="V34" s="281"/>
      <c r="W34" s="281"/>
      <c r="X34" s="7"/>
      <c r="Y34" s="7"/>
      <c r="Z34" s="7"/>
      <c r="AA34" s="7"/>
      <c r="AB34" s="20"/>
    </row>
    <row r="35" spans="1:28" ht="15.6" x14ac:dyDescent="0.3">
      <c r="A35" s="20"/>
      <c r="B35" s="11" t="str">
        <f>Info!AD2</f>
        <v>Cód.MD</v>
      </c>
      <c r="C35" s="10" t="s">
        <v>194</v>
      </c>
      <c r="D35" s="27" t="s">
        <v>5</v>
      </c>
      <c r="E35" s="32"/>
      <c r="F35" s="32" t="s">
        <v>6</v>
      </c>
      <c r="G35" s="32"/>
      <c r="H35" s="32" t="s">
        <v>7</v>
      </c>
      <c r="I35" s="32"/>
      <c r="J35" s="32" t="s">
        <v>8</v>
      </c>
      <c r="K35" s="32"/>
      <c r="L35" s="27" t="s">
        <v>9</v>
      </c>
      <c r="M35" s="32"/>
      <c r="N35" s="32" t="s">
        <v>10</v>
      </c>
      <c r="O35" s="32"/>
      <c r="P35" s="32" t="s">
        <v>1</v>
      </c>
      <c r="Q35" s="32"/>
      <c r="R35" s="27" t="s">
        <v>11</v>
      </c>
      <c r="S35" s="32"/>
      <c r="T35" s="32" t="s">
        <v>12</v>
      </c>
      <c r="U35" s="32"/>
      <c r="V35" s="32" t="s">
        <v>13</v>
      </c>
      <c r="W35" s="32"/>
      <c r="X35" s="27" t="str">
        <f>Info!AE2</f>
        <v>Desviación</v>
      </c>
      <c r="Y35" s="6"/>
      <c r="Z35" s="6"/>
      <c r="AA35" s="33"/>
      <c r="AB35" s="20"/>
    </row>
    <row r="36" spans="1:28" ht="15.6" x14ac:dyDescent="0.3">
      <c r="A36" s="7"/>
      <c r="B36" s="861" t="str">
        <f>Info!AD4</f>
        <v>D1</v>
      </c>
      <c r="C36" s="862">
        <f>SUM(D36,F36,H36,J36,L36,N36,P36,R36,T36,V36)</f>
        <v>0</v>
      </c>
      <c r="D36" s="863">
        <f>SUMIF(Flts!$J$14:$J$43,$X36,Flts!$AS$14:$AS$43)</f>
        <v>0</v>
      </c>
      <c r="E36" s="864"/>
      <c r="F36" s="863">
        <f>SUMIF(Flts!$J$48:$J$78,$X36,Flts!$AS$48:$AS$78)</f>
        <v>0</v>
      </c>
      <c r="G36" s="864"/>
      <c r="H36" s="863">
        <f>SUMIF(Flts!$J$82:$J$111,$X36,Flts!$AS$82:$AS$111)</f>
        <v>0</v>
      </c>
      <c r="I36" s="864"/>
      <c r="J36" s="863">
        <f>SUMIF(Flts!$J$116:$J$146,$X36,Flts!$AS$116:$AS$146)</f>
        <v>0</v>
      </c>
      <c r="K36" s="864"/>
      <c r="L36" s="863">
        <f>SUMIF(Flts!$J$150:$J$180,$X36,Flts!$AS$150:$AS$180)</f>
        <v>0</v>
      </c>
      <c r="M36" s="864"/>
      <c r="N36" s="863">
        <f>SUMIF(Flts!$J$184:$J$212,$X36,Flts!$AS$184:$AS$212)</f>
        <v>0</v>
      </c>
      <c r="O36" s="864"/>
      <c r="P36" s="863">
        <f>SUMIF(Flts!$J$218:$J$248,$X36,Flts!$AS$218:$AS$248)</f>
        <v>0</v>
      </c>
      <c r="Q36" s="864"/>
      <c r="R36" s="863">
        <f>SUMIF(Flts!$J$252:$J$281,$X36,Flts!$AS$252:$AS$281)</f>
        <v>0</v>
      </c>
      <c r="S36" s="864"/>
      <c r="T36" s="863">
        <f>SUMIF(Flts!$J$286:$J$316,$X36,Flts!$AS$286:$AS$316)</f>
        <v>0</v>
      </c>
      <c r="U36" s="864"/>
      <c r="V36" s="863">
        <f>SUMIF(Flts!$J$320:$J$349,$X36,Flts!$AS$320:$AS$349)</f>
        <v>0</v>
      </c>
      <c r="W36" s="864"/>
      <c r="X36" s="865" t="str">
        <f>Info!AE4</f>
        <v>Baja laboral</v>
      </c>
      <c r="Y36" s="866"/>
      <c r="Z36" s="866"/>
      <c r="AA36" s="33"/>
      <c r="AB36" s="7"/>
    </row>
    <row r="37" spans="1:28" ht="15.6" x14ac:dyDescent="0.3">
      <c r="A37" s="7"/>
      <c r="B37" s="861" t="str">
        <f>Info!AD5</f>
        <v>D2</v>
      </c>
      <c r="C37" s="867">
        <f>SUM(D37,F37,H37,J37,L37,N37,P37,R37,T37,V37)</f>
        <v>0</v>
      </c>
      <c r="D37" s="868">
        <f>SUMIF(Flts!$J$14:$J$43,$X37,Flts!$AS$14:$AS$43)</f>
        <v>0</v>
      </c>
      <c r="E37" s="869"/>
      <c r="F37" s="868">
        <f>SUMIF(Flts!$J$48:$J$78,$X37,Flts!$AS$48:$AS$78)</f>
        <v>0</v>
      </c>
      <c r="G37" s="869"/>
      <c r="H37" s="868">
        <f>SUMIF(Flts!$J$82:$J$111,$X37,Flts!$AS$82:$AS$111)</f>
        <v>0</v>
      </c>
      <c r="I37" s="869"/>
      <c r="J37" s="868">
        <f>SUMIF(Flts!$J$116:$J$146,$X37,Flts!$AS$116:$AS$146)</f>
        <v>0</v>
      </c>
      <c r="K37" s="869"/>
      <c r="L37" s="868">
        <f>SUMIF(Flts!$J$150:$J$180,$X37,Flts!$AS$150:$AS$180)</f>
        <v>0</v>
      </c>
      <c r="M37" s="869"/>
      <c r="N37" s="868">
        <f>SUMIF(Flts!$J$184:$J$212,$X37,Flts!$AS$184:$AS$212)</f>
        <v>0</v>
      </c>
      <c r="O37" s="869"/>
      <c r="P37" s="868">
        <f>SUMIF(Flts!$J$218:$J$248,$X37,Flts!$AS$218:$AS$248)</f>
        <v>0</v>
      </c>
      <c r="Q37" s="869"/>
      <c r="R37" s="868">
        <f>SUMIF(Flts!$J$252:$J$281,$X37,Flts!$AS$252:$AS$281)</f>
        <v>0</v>
      </c>
      <c r="S37" s="869"/>
      <c r="T37" s="868">
        <f>SUMIF(Flts!$J$286:$J$316,$X37,Flts!$AS$286:$AS$316)</f>
        <v>0</v>
      </c>
      <c r="U37" s="869"/>
      <c r="V37" s="868">
        <f>SUMIF(Flts!$J$320:$J$349,$X37,Flts!$AS$320:$AS$349)</f>
        <v>0</v>
      </c>
      <c r="W37" s="869"/>
      <c r="X37" s="870" t="str">
        <f>Info!AE5</f>
        <v>Actitud</v>
      </c>
      <c r="Y37" s="871"/>
      <c r="Z37" s="871"/>
      <c r="AA37" s="33"/>
      <c r="AB37" s="7"/>
    </row>
    <row r="38" spans="1:28" ht="15.6" x14ac:dyDescent="0.3">
      <c r="A38" s="7"/>
      <c r="B38" s="861" t="str">
        <f>Info!AD6</f>
        <v>D3</v>
      </c>
      <c r="C38" s="862">
        <f>SUM(D38,F38,H38,J38,L38,N38,P38,R38,T38,V38)</f>
        <v>0</v>
      </c>
      <c r="D38" s="863">
        <f>SUMIF(Flts!$J$14:$J$43,$X38,Flts!$AS$14:$AS$43)</f>
        <v>0</v>
      </c>
      <c r="E38" s="864"/>
      <c r="F38" s="863">
        <f>SUMIF(Flts!$J$48:$J$78,$X38,Flts!$AS$48:$AS$78)</f>
        <v>0</v>
      </c>
      <c r="G38" s="864"/>
      <c r="H38" s="863">
        <f>SUMIF(Flts!$J$82:$J$111,$X38,Flts!$AS$82:$AS$111)</f>
        <v>0</v>
      </c>
      <c r="I38" s="864"/>
      <c r="J38" s="863">
        <f>SUMIF(Flts!$J$116:$J$146,$X38,Flts!$AS$116:$AS$146)</f>
        <v>0</v>
      </c>
      <c r="K38" s="864"/>
      <c r="L38" s="863">
        <f>SUMIF(Flts!$J$150:$J$180,$X38,Flts!$AS$150:$AS$180)</f>
        <v>0</v>
      </c>
      <c r="M38" s="864"/>
      <c r="N38" s="863">
        <f>SUMIF(Flts!$J$184:$J$212,$X38,Flts!$AS$184:$AS$212)</f>
        <v>0</v>
      </c>
      <c r="O38" s="864"/>
      <c r="P38" s="863">
        <f>SUMIF(Flts!$J$218:$J$248,$X38,Flts!$AS$218:$AS$248)</f>
        <v>0</v>
      </c>
      <c r="Q38" s="864"/>
      <c r="R38" s="863">
        <f>SUMIF(Flts!$J$252:$J$281,$X38,Flts!$AS$252:$AS$281)</f>
        <v>0</v>
      </c>
      <c r="S38" s="864"/>
      <c r="T38" s="863">
        <f>SUMIF(Flts!$J$286:$J$316,$X38,Flts!$AS$286:$AS$316)</f>
        <v>0</v>
      </c>
      <c r="U38" s="864"/>
      <c r="V38" s="863">
        <f>SUMIF(Flts!$J$320:$J$349,$X38,Flts!$AS$320:$AS$349)</f>
        <v>0</v>
      </c>
      <c r="W38" s="864"/>
      <c r="X38" s="870" t="str">
        <f>Info!AE6</f>
        <v>Ampliación</v>
      </c>
      <c r="Y38" s="866"/>
      <c r="Z38" s="866"/>
      <c r="AA38" s="33"/>
      <c r="AB38" s="7"/>
    </row>
    <row r="39" spans="1:28" ht="15.6" x14ac:dyDescent="0.3">
      <c r="A39" s="7"/>
      <c r="B39" s="872" t="str">
        <f>Info!AD7</f>
        <v>D4</v>
      </c>
      <c r="C39" s="867">
        <f>SUM(D39,F39,H39,J39,L39,N39,P39,R39,T39,V39)</f>
        <v>0</v>
      </c>
      <c r="D39" s="868">
        <f>SUMIF(Flts!$J$14:$J$43,$X39,Flts!$AS$14:$AS$43)</f>
        <v>0</v>
      </c>
      <c r="E39" s="869"/>
      <c r="F39" s="868">
        <f>SUMIF(Flts!$J$48:$J$78,$X39,Flts!$AS$48:$AS$78)</f>
        <v>0</v>
      </c>
      <c r="G39" s="869"/>
      <c r="H39" s="868">
        <f>SUMIF(Flts!$J$82:$J$111,$X39,Flts!$AS$82:$AS$111)</f>
        <v>0</v>
      </c>
      <c r="I39" s="869"/>
      <c r="J39" s="868">
        <f>SUMIF(Flts!$J$116:$J$146,$X39,Flts!$AS$116:$AS$146)</f>
        <v>0</v>
      </c>
      <c r="K39" s="869"/>
      <c r="L39" s="868">
        <f>SUMIF(Flts!$J$150:$J$180,$X39,Flts!$AS$150:$AS$180)</f>
        <v>0</v>
      </c>
      <c r="M39" s="869"/>
      <c r="N39" s="868">
        <f>SUMIF(Flts!$J$184:$J$212,$X39,Flts!$AS$184:$AS$212)</f>
        <v>0</v>
      </c>
      <c r="O39" s="869"/>
      <c r="P39" s="868">
        <f>SUMIF(Flts!$J$218:$J$248,$X39,Flts!$AS$218:$AS$248)</f>
        <v>0</v>
      </c>
      <c r="Q39" s="869"/>
      <c r="R39" s="868">
        <f>SUMIF(Flts!$J$252:$J$281,$X39,Flts!$AS$252:$AS$281)</f>
        <v>0</v>
      </c>
      <c r="S39" s="869"/>
      <c r="T39" s="868">
        <f>SUMIF(Flts!$J$286:$J$316,$X39,Flts!$AS$286:$AS$316)</f>
        <v>0</v>
      </c>
      <c r="U39" s="869"/>
      <c r="V39" s="868">
        <f>SUMIF(Flts!$J$320:$J$349,$X39,Flts!$AS$320:$AS$349)</f>
        <v>0</v>
      </c>
      <c r="W39" s="869"/>
      <c r="X39" s="870" t="str">
        <f>Info!AE7</f>
        <v>Retraso</v>
      </c>
      <c r="Y39" s="871"/>
      <c r="Z39" s="871"/>
      <c r="AA39" s="33"/>
      <c r="AB39" s="7"/>
    </row>
    <row r="40" spans="1:28" ht="15.6" x14ac:dyDescent="0.3">
      <c r="A40" s="7"/>
      <c r="B40" s="7"/>
      <c r="C40" s="7"/>
      <c r="D40" s="282"/>
      <c r="E40" s="7"/>
      <c r="F40" s="7"/>
      <c r="G40" s="7"/>
      <c r="H40" s="7"/>
      <c r="I40" s="7"/>
      <c r="J40" s="7"/>
      <c r="K40" s="7"/>
      <c r="L40" s="282"/>
      <c r="M40" s="7"/>
      <c r="N40" s="7"/>
      <c r="O40" s="7"/>
      <c r="P40" s="7"/>
      <c r="Q40" s="7"/>
      <c r="R40" s="282"/>
      <c r="S40" s="7"/>
      <c r="T40" s="7"/>
      <c r="U40" s="7"/>
      <c r="V40" s="7"/>
      <c r="W40" s="7"/>
      <c r="X40" s="282"/>
      <c r="Y40" s="7"/>
      <c r="Z40" s="7"/>
      <c r="AA40" s="33"/>
      <c r="AB40" s="7"/>
    </row>
    <row r="41" spans="1:28" ht="15.6" x14ac:dyDescent="0.3">
      <c r="A41" s="7"/>
      <c r="B41" s="24"/>
      <c r="C41" s="28"/>
      <c r="D41" s="29"/>
      <c r="E41" s="30"/>
      <c r="F41" s="30"/>
      <c r="G41" s="30"/>
      <c r="H41" s="30"/>
      <c r="I41" s="30"/>
      <c r="J41" s="30"/>
      <c r="K41" s="30"/>
      <c r="L41" s="29"/>
      <c r="M41" s="30"/>
      <c r="N41" s="30"/>
      <c r="O41" s="30"/>
      <c r="P41" s="30"/>
      <c r="Q41" s="30"/>
      <c r="R41" s="29"/>
      <c r="S41" s="30"/>
      <c r="T41" s="30"/>
      <c r="U41" s="30"/>
      <c r="V41" s="30"/>
      <c r="W41" s="30"/>
      <c r="X41" s="31"/>
      <c r="Y41" s="7"/>
      <c r="Z41" s="7"/>
      <c r="AA41" s="33"/>
      <c r="AB41" s="7"/>
    </row>
    <row r="42" spans="1:28" ht="15.6" x14ac:dyDescent="0.3">
      <c r="A42" s="7"/>
      <c r="B42" s="11" t="str">
        <f>Info!AG2</f>
        <v>Cód.MC</v>
      </c>
      <c r="C42" s="10" t="s">
        <v>195</v>
      </c>
      <c r="D42" s="27" t="s">
        <v>5</v>
      </c>
      <c r="E42" s="32"/>
      <c r="F42" s="32" t="s">
        <v>6</v>
      </c>
      <c r="G42" s="32"/>
      <c r="H42" s="32" t="s">
        <v>7</v>
      </c>
      <c r="I42" s="32"/>
      <c r="J42" s="32" t="s">
        <v>8</v>
      </c>
      <c r="K42" s="32"/>
      <c r="L42" s="27" t="s">
        <v>9</v>
      </c>
      <c r="M42" s="32"/>
      <c r="N42" s="32" t="s">
        <v>10</v>
      </c>
      <c r="O42" s="32"/>
      <c r="P42" s="32" t="s">
        <v>1</v>
      </c>
      <c r="Q42" s="32"/>
      <c r="R42" s="27" t="s">
        <v>11</v>
      </c>
      <c r="S42" s="32"/>
      <c r="T42" s="32" t="s">
        <v>12</v>
      </c>
      <c r="U42" s="32"/>
      <c r="V42" s="32" t="s">
        <v>13</v>
      </c>
      <c r="W42" s="32"/>
      <c r="X42" s="27" t="str">
        <f>Info!AH2</f>
        <v>Corrección</v>
      </c>
      <c r="Y42" s="6"/>
      <c r="Z42" s="6"/>
      <c r="AA42" s="33"/>
      <c r="AB42" s="7"/>
    </row>
    <row r="43" spans="1:28" ht="15.6" x14ac:dyDescent="0.3">
      <c r="A43" s="7"/>
      <c r="B43" s="861" t="str">
        <f>Info!AG3</f>
        <v>M1</v>
      </c>
      <c r="C43" s="862">
        <f>SUM(D43,F43,H43,J43,L43,N43,P43,R43,T43,V43)</f>
        <v>0</v>
      </c>
      <c r="D43" s="863">
        <f>SUMIF(Flts!$K$14:$K$43,$X43,Flts!$AS$14:$AS$43)</f>
        <v>0</v>
      </c>
      <c r="E43" s="864"/>
      <c r="F43" s="863">
        <f>SUMIF(Flts!$K$48:$K$78,$X43,Flts!$AS$48:$AS$78)</f>
        <v>0</v>
      </c>
      <c r="G43" s="864"/>
      <c r="H43" s="863">
        <f>SUMIF(Flts!$K$82:$K$111,$X43,Flts!$AS$82:$AS$111)</f>
        <v>0</v>
      </c>
      <c r="I43" s="864"/>
      <c r="J43" s="863">
        <f>SUMIF(Flts!$K$116:$K$146,$X43,Flts!$AS$116:$AS$146)</f>
        <v>0</v>
      </c>
      <c r="K43" s="864"/>
      <c r="L43" s="863">
        <f>SUMIF(Flts!$K$150:$K$180,$X43,Flts!$AS$150:$AS$180)</f>
        <v>0</v>
      </c>
      <c r="M43" s="864"/>
      <c r="N43" s="863">
        <f>SUMIF(Flts!$K$184:$K$212,$X43,Flts!$AS$184:$AS$212)</f>
        <v>0</v>
      </c>
      <c r="O43" s="864"/>
      <c r="P43" s="863">
        <f>SUMIF(Flts!$K$218:$K$248,$X43,Flts!$AS$218:$AS$248)</f>
        <v>0</v>
      </c>
      <c r="Q43" s="864"/>
      <c r="R43" s="863">
        <f>SUMIF(Flts!$K$252:$K$281,$X43,Flts!$AS$252:$AS$281)</f>
        <v>0</v>
      </c>
      <c r="S43" s="864"/>
      <c r="T43" s="863">
        <f>SUMIF(Flts!$K$286:$K$316,$X43,Flts!$AS$286:$AS$316)</f>
        <v>0</v>
      </c>
      <c r="U43" s="864"/>
      <c r="V43" s="863">
        <f>SUMIF(Flts!$K$320:$K$349,$X43,Flts!$AS$320:$AS$349)</f>
        <v>0</v>
      </c>
      <c r="W43" s="864"/>
      <c r="X43" s="873" t="str">
        <f>Info!AH3</f>
        <v>Trabajo personal</v>
      </c>
      <c r="Y43" s="866"/>
      <c r="Z43" s="866"/>
      <c r="AA43" s="33"/>
      <c r="AB43" s="7"/>
    </row>
    <row r="44" spans="1:28" ht="15.6" x14ac:dyDescent="0.3">
      <c r="A44" s="7"/>
      <c r="B44" s="861" t="str">
        <f>Info!AG4</f>
        <v>M2</v>
      </c>
      <c r="C44" s="867">
        <f>SUM(D44,F44,H44,J44,L44,N44,P44,R44,T44,V44)</f>
        <v>0</v>
      </c>
      <c r="D44" s="868">
        <f>SUMIF(Flts!$K$14:$K$43,$X44,Flts!$AS$14:$AS$43)</f>
        <v>0</v>
      </c>
      <c r="E44" s="869"/>
      <c r="F44" s="868">
        <f>SUMIF(Flts!$K$48:$K$78,$X44,Flts!$AS$48:$AS$78)</f>
        <v>0</v>
      </c>
      <c r="G44" s="869"/>
      <c r="H44" s="868">
        <f>SUMIF(Flts!$K$82:$K$111,$X44,Flts!$AS$82:$AS$111)</f>
        <v>0</v>
      </c>
      <c r="I44" s="869"/>
      <c r="J44" s="868">
        <f>SUMIF(Flts!$K$116:$K$146,$X44,Flts!$AS$116:$AS$146)</f>
        <v>0</v>
      </c>
      <c r="K44" s="869"/>
      <c r="L44" s="868">
        <f>SUMIF(Flts!$K$150:$K$180,$X44,Flts!$AS$150:$AS$180)</f>
        <v>0</v>
      </c>
      <c r="M44" s="869"/>
      <c r="N44" s="868">
        <f>SUMIF(Flts!$K$184:$K$212,$X44,Flts!$AS$184:$AS$212)</f>
        <v>0</v>
      </c>
      <c r="O44" s="869"/>
      <c r="P44" s="868">
        <f>SUMIF(Flts!$K$218:$K$248,$X44,Flts!$AS$218:$AS$248)</f>
        <v>0</v>
      </c>
      <c r="Q44" s="869"/>
      <c r="R44" s="868">
        <f>SUMIF(Flts!$K$252:$K$281,$X44,Flts!$AS$252:$AS$281)</f>
        <v>0</v>
      </c>
      <c r="S44" s="869"/>
      <c r="T44" s="868">
        <f>SUMIF(Flts!$K$286:$K$316,$X44,Flts!$AS$286:$AS$316)</f>
        <v>0</v>
      </c>
      <c r="U44" s="869"/>
      <c r="V44" s="868">
        <f>SUMIF(Flts!$K$320:$K$349,$X44,Flts!$AS$320:$AS$349)</f>
        <v>0</v>
      </c>
      <c r="W44" s="869"/>
      <c r="X44" s="873" t="str">
        <f>Info!AH4</f>
        <v>Contenido mínimo</v>
      </c>
      <c r="Y44" s="871"/>
      <c r="Z44" s="871"/>
      <c r="AA44" s="33"/>
      <c r="AB44" s="7"/>
    </row>
    <row r="45" spans="1:28" ht="15.6" x14ac:dyDescent="0.3">
      <c r="A45" s="7"/>
      <c r="B45" s="872" t="str">
        <f>Info!AG5</f>
        <v>M3</v>
      </c>
      <c r="C45" s="862">
        <f>SUM(D45,F45,H45,J45,L45,N45,P45,R45,T45,V45)</f>
        <v>0</v>
      </c>
      <c r="D45" s="863">
        <f>SUMIF(Flts!$K$14:$K$43,$X45,Flts!$AS$14:$AS$43)</f>
        <v>0</v>
      </c>
      <c r="E45" s="864"/>
      <c r="F45" s="863">
        <f>SUMIF(Flts!$K$48:$K$78,$X45,Flts!$AS$48:$AS$78)</f>
        <v>0</v>
      </c>
      <c r="G45" s="864"/>
      <c r="H45" s="863">
        <f>SUMIF(Flts!$K$82:$K$111,$X45,Flts!$AS$82:$AS$111)</f>
        <v>0</v>
      </c>
      <c r="I45" s="864"/>
      <c r="J45" s="863">
        <f>SUMIF(Flts!$K$116:$K$146,$X45,Flts!$AS$116:$AS$146)</f>
        <v>0</v>
      </c>
      <c r="K45" s="864"/>
      <c r="L45" s="863">
        <f>SUMIF(Flts!$K$150:$K$180,$X45,Flts!$AS$150:$AS$180)</f>
        <v>0</v>
      </c>
      <c r="M45" s="864"/>
      <c r="N45" s="863">
        <f>SUMIF(Flts!$K$184:$K$212,$X45,Flts!$AS$184:$AS$212)</f>
        <v>0</v>
      </c>
      <c r="O45" s="864"/>
      <c r="P45" s="863">
        <f>SUMIF(Flts!$K$218:$K$248,$X45,Flts!$AS$218:$AS$248)</f>
        <v>0</v>
      </c>
      <c r="Q45" s="864"/>
      <c r="R45" s="863">
        <f>SUMIF(Flts!$K$252:$K$281,$X45,Flts!$AS$252:$AS$281)</f>
        <v>0</v>
      </c>
      <c r="S45" s="864"/>
      <c r="T45" s="863">
        <f>SUMIF(Flts!$K$286:$K$316,$X45,Flts!$AS$286:$AS$316)</f>
        <v>0</v>
      </c>
      <c r="U45" s="864"/>
      <c r="V45" s="863">
        <f>SUMIF(Flts!$K$320:$K$349,$X45,Flts!$AS$320:$AS$349)</f>
        <v>0</v>
      </c>
      <c r="W45" s="864"/>
      <c r="X45" s="873" t="str">
        <f>Info!AH5</f>
        <v>Encaje futuro</v>
      </c>
      <c r="Y45" s="866"/>
      <c r="Z45" s="866"/>
      <c r="AA45" s="33"/>
      <c r="AB45" s="7"/>
    </row>
    <row r="46" spans="1:28" ht="15.6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6.2" thickBot="1" x14ac:dyDescent="0.35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 t="str">
        <f>IModulo&amp;" ("&amp;IProfesor&amp;")"</f>
        <v>FPM-it-1-0237 Infra. comunes de teleco en viviendas y edificios (Rafa Sanz)</v>
      </c>
      <c r="AB47" s="481"/>
    </row>
    <row r="48" spans="1:28" s="13" customFormat="1" ht="16.2" thickBot="1" x14ac:dyDescent="0.35">
      <c r="A48" s="481"/>
      <c r="B48" s="481"/>
      <c r="C48" s="1131"/>
      <c r="D48" s="481"/>
      <c r="E48" s="481"/>
      <c r="F48" s="481"/>
      <c r="G48" s="481"/>
      <c r="H48" s="481"/>
      <c r="I48" s="1131"/>
      <c r="J48" s="481"/>
      <c r="K48" s="481"/>
      <c r="L48" s="481"/>
      <c r="M48" s="481"/>
      <c r="N48" s="481"/>
      <c r="P48" s="500"/>
      <c r="Q48" s="1110"/>
    </row>
    <row r="49" spans="1:28" ht="15.6" x14ac:dyDescent="0.3">
      <c r="A49" s="7"/>
      <c r="B49" s="7"/>
      <c r="C49" s="7"/>
      <c r="D49" s="7"/>
      <c r="E49" s="7"/>
      <c r="F49" s="7"/>
      <c r="G49" s="7"/>
      <c r="H49" s="7"/>
      <c r="I49" s="380"/>
      <c r="J49" s="158"/>
      <c r="K49" s="380"/>
      <c r="L49" s="158"/>
      <c r="M49" s="380"/>
      <c r="N49" s="158"/>
      <c r="O49" s="380"/>
      <c r="P49" s="158"/>
      <c r="Q49" s="380"/>
      <c r="R49" s="158"/>
      <c r="S49" s="380"/>
      <c r="T49" s="158"/>
      <c r="U49" s="380"/>
      <c r="V49" s="158"/>
      <c r="W49" s="380"/>
      <c r="X49" s="263"/>
      <c r="Y49" s="381"/>
      <c r="Z49" s="381"/>
      <c r="AA49" s="381"/>
      <c r="AB49" s="7"/>
    </row>
    <row r="50" spans="1:28" ht="15.6" x14ac:dyDescent="0.3">
      <c r="A50" s="7"/>
      <c r="B50" s="7"/>
      <c r="C50" s="7"/>
      <c r="D50" s="7"/>
      <c r="E50" s="7"/>
      <c r="F50" s="7"/>
      <c r="G50" s="7"/>
      <c r="H50" s="7"/>
      <c r="I50" s="380"/>
      <c r="J50" s="158"/>
      <c r="K50" s="380"/>
      <c r="L50" s="158"/>
      <c r="M50" s="380"/>
      <c r="N50" s="158"/>
      <c r="O50" s="380"/>
      <c r="P50" s="158"/>
      <c r="Q50" s="380"/>
      <c r="R50" s="158"/>
      <c r="S50" s="380"/>
      <c r="T50" s="158"/>
      <c r="U50" s="380"/>
      <c r="V50" s="158"/>
      <c r="W50" s="380"/>
      <c r="X50" s="263"/>
      <c r="Y50" s="381"/>
      <c r="Z50" s="381"/>
      <c r="AA50" s="381"/>
      <c r="AB50" s="7"/>
    </row>
    <row r="51" spans="1:28" ht="15.6" x14ac:dyDescent="0.3">
      <c r="A51" s="7"/>
      <c r="B51" s="7"/>
      <c r="C51" s="7"/>
      <c r="D51" s="7"/>
      <c r="E51" s="7"/>
      <c r="F51" s="7"/>
      <c r="G51" s="7"/>
      <c r="H51" s="7"/>
      <c r="I51" s="380"/>
      <c r="J51" s="158"/>
      <c r="K51" s="380"/>
      <c r="L51" s="158"/>
      <c r="M51" s="380"/>
      <c r="N51" s="158"/>
      <c r="O51" s="380"/>
      <c r="P51" s="158"/>
      <c r="Q51" s="380"/>
      <c r="R51" s="158"/>
      <c r="S51" s="380"/>
      <c r="T51" s="158"/>
      <c r="U51" s="380"/>
      <c r="V51" s="158"/>
      <c r="W51" s="380"/>
      <c r="X51" s="263"/>
      <c r="Y51" s="381"/>
      <c r="Z51" s="381"/>
      <c r="AA51" s="381"/>
      <c r="AB51" s="7"/>
    </row>
    <row r="52" spans="1:28" ht="15.6" x14ac:dyDescent="0.3">
      <c r="A52" s="7"/>
      <c r="B52" s="7"/>
      <c r="C52" s="7"/>
      <c r="D52" s="7"/>
      <c r="E52" s="7"/>
      <c r="F52" s="7"/>
      <c r="G52" s="7"/>
      <c r="H52" s="7"/>
      <c r="I52" s="380"/>
      <c r="J52" s="158"/>
      <c r="K52" s="380"/>
      <c r="L52" s="158"/>
      <c r="M52" s="380"/>
      <c r="N52" s="158"/>
      <c r="O52" s="380"/>
      <c r="P52" s="158"/>
      <c r="Q52" s="380"/>
      <c r="R52" s="158"/>
      <c r="S52" s="380"/>
      <c r="T52" s="158"/>
      <c r="U52" s="380"/>
      <c r="V52" s="158"/>
      <c r="W52" s="380"/>
      <c r="X52" s="263"/>
      <c r="Y52" s="381"/>
      <c r="Z52" s="381"/>
      <c r="AA52" s="381"/>
      <c r="AB52" s="7"/>
    </row>
    <row r="551" spans="2:2" x14ac:dyDescent="0.3">
      <c r="B551" s="1" t="s">
        <v>145</v>
      </c>
    </row>
  </sheetData>
  <protectedRanges>
    <protectedRange sqref="AD6" name="FechaSimulada_2"/>
    <protectedRange sqref="AD7" name="RA_2"/>
  </protectedRanges>
  <mergeCells count="4">
    <mergeCell ref="Y1:AA1"/>
    <mergeCell ref="V5:W5"/>
    <mergeCell ref="P5:Q5"/>
    <mergeCell ref="J5:K5"/>
  </mergeCells>
  <conditionalFormatting sqref="E29 G29 I29 K29 M29 O29 Q29 S29 U29 W29">
    <cfRule type="cellIs" dxfId="83" priority="9" stopIfTrue="1" operator="lessThan">
      <formula>D29*0.9</formula>
    </cfRule>
  </conditionalFormatting>
  <conditionalFormatting sqref="I5">
    <cfRule type="cellIs" dxfId="82" priority="8" stopIfTrue="1" operator="lessThan">
      <formula>H5*0.9</formula>
    </cfRule>
  </conditionalFormatting>
  <conditionalFormatting sqref="J5">
    <cfRule type="cellIs" dxfId="81" priority="5" stopIfTrue="1" operator="greaterThan">
      <formula>0.9</formula>
    </cfRule>
  </conditionalFormatting>
  <conditionalFormatting sqref="O5">
    <cfRule type="cellIs" dxfId="80" priority="7" stopIfTrue="1" operator="lessThan">
      <formula>N5*0.9</formula>
    </cfRule>
  </conditionalFormatting>
  <conditionalFormatting sqref="P5">
    <cfRule type="cellIs" dxfId="79" priority="4" stopIfTrue="1" operator="greaterThan">
      <formula>0.9</formula>
    </cfRule>
  </conditionalFormatting>
  <conditionalFormatting sqref="U5">
    <cfRule type="cellIs" dxfId="78" priority="6" stopIfTrue="1" operator="lessThan">
      <formula>T5*0.9</formula>
    </cfRule>
  </conditionalFormatting>
  <conditionalFormatting sqref="V5">
    <cfRule type="cellIs" dxfId="77" priority="3" stopIfTrue="1" operator="greaterThan">
      <formula>0.9</formula>
    </cfRule>
  </conditionalFormatting>
  <conditionalFormatting sqref="AD7">
    <cfRule type="cellIs" dxfId="76" priority="1" operator="equal">
      <formula>"X"</formula>
    </cfRule>
  </conditionalFormatting>
  <pageMargins left="0.51181102362204722" right="0.51181102362204722" top="0.55118110236220474" bottom="0.55118110236220474" header="0.31496062992125984" footer="0.31496062992125984"/>
  <pageSetup scale="65" orientation="landscape" horizontalDpi="1200" verticalDpi="1200" r:id="rId1"/>
  <ignoredErrors>
    <ignoredError sqref="D8:W28 D36:V45 X9:X2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7ACA64D-1008-4BE2-AD3D-A3B46F9CE77B}">
            <xm:f>$G$22=Info!$W$4</xm:f>
            <x14:dxf>
              <fill>
                <patternFill>
                  <bgColor rgb="FFFFFF00"/>
                </patternFill>
              </fill>
            </x14:dxf>
          </x14:cfRule>
          <xm:sqref>AD8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D7DF4294-0080-4DDE-9246-DCC7D213CB9F}">
          <x14:formula1>
            <xm:f>Info!$W$3:$W$4</xm:f>
          </x14:formula1>
          <xm:sqref>AD7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theme="0"/>
    <pageSetUpPr autoPageBreaks="0" fitToPage="1"/>
  </sheetPr>
  <dimension ref="A1:AT146"/>
  <sheetViews>
    <sheetView showGridLines="0" showZeros="0" view="pageBreakPreview" zoomScale="55" zoomScaleNormal="25" zoomScaleSheetLayoutView="55" workbookViewId="0">
      <pane ySplit="1" topLeftCell="A65" activePane="bottomLeft" state="frozen"/>
      <selection pane="bottomLeft" activeCell="N135" sqref="N135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9" width="18.21875" style="99" customWidth="1"/>
    <col min="10" max="10" width="7.21875" style="99" customWidth="1"/>
    <col min="11" max="11" width="5.5546875" style="727" customWidth="1"/>
    <col min="12" max="18" width="18.21875" style="99" customWidth="1"/>
    <col min="19" max="19" width="2.5546875" style="99" customWidth="1"/>
    <col min="20" max="20" width="12.21875" style="99" customWidth="1"/>
    <col min="21" max="21" width="9.5546875" style="99" customWidth="1"/>
    <col min="22" max="16384" width="8.5546875" style="99"/>
  </cols>
  <sheetData>
    <row r="1" spans="1:46" s="736" customFormat="1" ht="24" customHeight="1" thickBot="1" x14ac:dyDescent="0.5">
      <c r="A1" s="489" t="str">
        <f>"Calendario académico. "&amp;AñoInicioCurso&amp;" - "&amp;AñoInicioCurso+1</f>
        <v>Calendario académico. 2025 - 2026</v>
      </c>
      <c r="B1" s="737"/>
      <c r="C1" s="491"/>
      <c r="D1" s="491"/>
      <c r="E1" s="491"/>
      <c r="F1" s="491"/>
      <c r="G1" s="491"/>
      <c r="H1" s="491"/>
      <c r="I1" s="491"/>
      <c r="J1" s="491"/>
      <c r="K1" s="743"/>
      <c r="L1" s="735"/>
      <c r="M1" s="735"/>
      <c r="N1" s="735"/>
      <c r="O1" s="735"/>
      <c r="P1" s="735"/>
      <c r="Q1" s="735"/>
      <c r="R1" s="479">
        <f ca="1">FechaHoy</f>
        <v>46099</v>
      </c>
      <c r="S1" s="487"/>
    </row>
    <row r="2" spans="1:46" s="1200" customFormat="1" x14ac:dyDescent="0.3">
      <c r="A2" s="685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201"/>
      <c r="R2" s="1201"/>
      <c r="S2" s="1201"/>
      <c r="U2" s="1202"/>
      <c r="V2" s="1202"/>
      <c r="W2" s="1202"/>
      <c r="X2" s="1202"/>
      <c r="Y2" s="1202"/>
      <c r="Z2" s="1202"/>
      <c r="AA2" s="1202"/>
      <c r="AB2" s="1202"/>
      <c r="AC2" s="1202"/>
      <c r="AD2" s="1202"/>
      <c r="AE2" s="1202"/>
      <c r="AF2" s="1202"/>
      <c r="AG2" s="1202"/>
      <c r="AH2" s="1202"/>
      <c r="AI2" s="1202"/>
      <c r="AJ2" s="1202"/>
      <c r="AK2" s="1202"/>
      <c r="AL2" s="1202"/>
      <c r="AM2" s="1202"/>
      <c r="AN2" s="1202"/>
      <c r="AO2" s="1202"/>
      <c r="AP2" s="1202"/>
      <c r="AQ2" s="1202"/>
      <c r="AR2" s="1202"/>
      <c r="AS2" s="1202"/>
      <c r="AT2" s="1202"/>
    </row>
    <row r="3" spans="1:46" s="7" customFormat="1" x14ac:dyDescent="0.3">
      <c r="A3" s="578"/>
      <c r="B3" s="667"/>
      <c r="C3" s="667"/>
      <c r="E3" s="1105"/>
      <c r="F3" s="1105"/>
      <c r="G3" s="1105"/>
      <c r="H3" s="1105"/>
      <c r="I3" s="1105"/>
      <c r="J3" s="1105"/>
      <c r="K3" s="1105"/>
      <c r="L3" s="1105"/>
      <c r="M3" s="1105"/>
      <c r="N3" s="1106"/>
      <c r="O3" s="1105"/>
      <c r="P3" s="1105"/>
      <c r="Q3" s="1107"/>
      <c r="R3" s="1107"/>
      <c r="S3" s="1107"/>
      <c r="U3" s="672"/>
      <c r="V3" s="672"/>
      <c r="W3" s="672"/>
      <c r="X3" s="672"/>
      <c r="Y3" s="672"/>
      <c r="Z3" s="672"/>
      <c r="AA3" s="672"/>
      <c r="AB3" s="672"/>
      <c r="AC3" s="672"/>
      <c r="AD3" s="672"/>
      <c r="AE3" s="672"/>
      <c r="AF3" s="672"/>
      <c r="AG3" s="672"/>
      <c r="AH3" s="672"/>
      <c r="AI3" s="672"/>
      <c r="AJ3" s="672"/>
      <c r="AK3" s="672"/>
      <c r="AL3" s="672"/>
      <c r="AM3" s="672"/>
      <c r="AN3" s="672"/>
      <c r="AO3" s="672"/>
      <c r="AP3" s="672"/>
      <c r="AQ3" s="672"/>
      <c r="AR3" s="672"/>
      <c r="AS3" s="672"/>
      <c r="AT3" s="672"/>
    </row>
    <row r="4" spans="1:46" s="727" customFormat="1" ht="50.1" customHeight="1" x14ac:dyDescent="0.3">
      <c r="A4" s="71"/>
      <c r="B4" s="726" t="s">
        <v>198</v>
      </c>
      <c r="C4" s="1208">
        <f>DATE(YEAR(FechaInicio1Tri),B4,1)</f>
        <v>45901</v>
      </c>
      <c r="D4" s="1208"/>
      <c r="E4" s="1208"/>
      <c r="F4" s="1208"/>
      <c r="G4" s="1208"/>
      <c r="H4" s="1208"/>
      <c r="I4" s="855">
        <f>YEAR(FechaInicio1Tri)</f>
        <v>2025</v>
      </c>
      <c r="J4" s="71"/>
      <c r="K4" s="726">
        <v>10</v>
      </c>
      <c r="L4" s="1208">
        <f>DATE(YEAR(FechaInicio1Tri),K4,1)</f>
        <v>45931</v>
      </c>
      <c r="M4" s="1208"/>
      <c r="N4" s="1208"/>
      <c r="O4" s="1208"/>
      <c r="P4" s="1208"/>
      <c r="Q4" s="1208"/>
      <c r="R4" s="855">
        <f>YEAR(FechaInicio1Tri)</f>
        <v>2025</v>
      </c>
      <c r="S4" s="71"/>
    </row>
    <row r="5" spans="1:46" s="725" customFormat="1" ht="30" customHeight="1" x14ac:dyDescent="0.3">
      <c r="A5" s="466"/>
      <c r="B5" s="975" t="s">
        <v>220</v>
      </c>
      <c r="C5" s="971" t="s">
        <v>0</v>
      </c>
      <c r="D5" s="78" t="s">
        <v>1</v>
      </c>
      <c r="E5" s="78" t="s">
        <v>27</v>
      </c>
      <c r="F5" s="78" t="s">
        <v>2</v>
      </c>
      <c r="G5" s="78" t="s">
        <v>3</v>
      </c>
      <c r="H5" s="78" t="s">
        <v>28</v>
      </c>
      <c r="I5" s="972" t="s">
        <v>29</v>
      </c>
      <c r="J5" s="466"/>
      <c r="K5" s="975" t="s">
        <v>220</v>
      </c>
      <c r="L5" s="971" t="s">
        <v>0</v>
      </c>
      <c r="M5" s="78" t="s">
        <v>1</v>
      </c>
      <c r="N5" s="78" t="s">
        <v>27</v>
      </c>
      <c r="O5" s="78" t="s">
        <v>2</v>
      </c>
      <c r="P5" s="78" t="s">
        <v>3</v>
      </c>
      <c r="Q5" s="78" t="s">
        <v>28</v>
      </c>
      <c r="R5" s="972" t="s">
        <v>29</v>
      </c>
      <c r="S5" s="466"/>
    </row>
    <row r="6" spans="1:46" s="103" customFormat="1" ht="30" customHeight="1" x14ac:dyDescent="0.3">
      <c r="A6" s="15"/>
      <c r="B6" s="975">
        <f>_xlfn.ISOWEEKNUM(C4)</f>
        <v>36</v>
      </c>
      <c r="C6" s="973">
        <f>IF(WEEKDAY(C4,2)=1,C4,0)</f>
        <v>45901</v>
      </c>
      <c r="D6" s="973">
        <f>IF(WEEKDAY(C4,2)=2, C4, IF(WEEKDAY(C4,2)&lt;2, C6+1,0))</f>
        <v>45902</v>
      </c>
      <c r="E6" s="973">
        <f>IF(WEEKDAY(C4,2)=3, C4, IF(WEEKDAY(C4,2)&lt;3, D6+1,0))</f>
        <v>45903</v>
      </c>
      <c r="F6" s="973">
        <f>IF(WEEKDAY(C4,2)=4, C4, IF(WEEKDAY(C4,2)&lt;4, E6+1,0))</f>
        <v>45904</v>
      </c>
      <c r="G6" s="973">
        <f>IF(WEEKDAY(C4,2)=5, C4, IF(WEEKDAY(C4,2)&lt;5, F6+1,0))</f>
        <v>45905</v>
      </c>
      <c r="H6" s="974">
        <f>IF(WEEKDAY(C4,2)=6, C4, IF(WEEKDAY(C4,2)&lt;6, G6+1,0))</f>
        <v>45906</v>
      </c>
      <c r="I6" s="974">
        <f>IF(WEEKDAY(C4,2)=7, C4, IF(WEEKDAY(C4,2)&lt;7, H6+1,0))</f>
        <v>45907</v>
      </c>
      <c r="J6" s="15"/>
      <c r="K6" s="975">
        <f>_xlfn.ISOWEEKNUM(L4)</f>
        <v>40</v>
      </c>
      <c r="L6" s="973">
        <f>IF(WEEKDAY(L4,2)=1,L4,0)</f>
        <v>0</v>
      </c>
      <c r="M6" s="973">
        <f>IF(WEEKDAY(L4,2)=2, L4, IF(WEEKDAY(L4,2)&lt;2, L6+1,0))</f>
        <v>0</v>
      </c>
      <c r="N6" s="973">
        <f>IF(WEEKDAY(L4,2)=3, L4, IF(WEEKDAY(L4,2)&lt;3, M6+1,0))</f>
        <v>45931</v>
      </c>
      <c r="O6" s="973">
        <f>IF(WEEKDAY(L4,2)=4, L4, IF(WEEKDAY(L4,2)&lt;4, N6+1,0))</f>
        <v>45932</v>
      </c>
      <c r="P6" s="973">
        <f>IF(WEEKDAY(L4,2)=5, L4, IF(WEEKDAY(L4,2)&lt;5, O6+1,0))</f>
        <v>45933</v>
      </c>
      <c r="Q6" s="974">
        <f>IF(WEEKDAY(L4,2)=6, L4, IF(WEEKDAY(L4,2)&lt;6, P6+1,0))</f>
        <v>45934</v>
      </c>
      <c r="R6" s="974">
        <f>IF(WEEKDAY(L4,2)=7, L4, IF(WEEKDAY(L4,2)&lt;7, Q6+1,0))</f>
        <v>45935</v>
      </c>
      <c r="S6" s="15"/>
      <c r="T6" s="15"/>
    </row>
    <row r="7" spans="1:46" s="407" customFormat="1" ht="30" customHeight="1" x14ac:dyDescent="0.3">
      <c r="A7" s="138"/>
      <c r="B7" s="738"/>
      <c r="C7" s="427">
        <f>IFERROR(_xlfn.XLOOKUP(C6,Flts!$I$14:$I$349,Flts!$C$14:$C$349),0)</f>
        <v>0</v>
      </c>
      <c r="D7" s="428">
        <f>IFERROR(_xlfn.XLOOKUP(D6,Flts!$I$14:$I$349,Flts!$C$14:$C$349),0)</f>
        <v>0</v>
      </c>
      <c r="E7" s="428">
        <f>IFERROR(_xlfn.XLOOKUP(E6,Flts!$I$14:$I$349,Flts!$C$14:$C$349),0)</f>
        <v>0</v>
      </c>
      <c r="F7" s="428">
        <f>IFERROR(_xlfn.XLOOKUP(F6,Flts!$I$14:$I$349,Flts!$C$14:$C$349),0)</f>
        <v>0</v>
      </c>
      <c r="G7" s="428">
        <f>IFERROR(_xlfn.XLOOKUP(G6,Flts!$I$14:$I$349,Flts!$C$14:$C$349),0)</f>
        <v>0</v>
      </c>
      <c r="H7" s="428">
        <f>IFERROR(_xlfn.XLOOKUP(H6,Flts!$I$14:$I$349,Flts!$C$14:$C$349),0)</f>
        <v>0</v>
      </c>
      <c r="I7" s="428">
        <f>IFERROR(_xlfn.XLOOKUP(I6,Flts!$I$14:$I$349,Flts!$C$14:$C$349),0)</f>
        <v>0</v>
      </c>
      <c r="J7" s="138"/>
      <c r="K7" s="738"/>
      <c r="L7" s="427">
        <f>IFERROR(_xlfn.XLOOKUP(L6,Flts!$I$14:$I$349,Flts!$C$14:$C$349),0)</f>
        <v>0</v>
      </c>
      <c r="M7" s="428">
        <f>IFERROR(_xlfn.XLOOKUP(M6,Flts!$I$14:$I$349,Flts!$C$14:$C$349),0)</f>
        <v>0</v>
      </c>
      <c r="N7" s="428">
        <f>IFERROR(_xlfn.XLOOKUP(N6,Flts!$I$14:$I$349,Flts!$C$14:$C$349),0)</f>
        <v>0</v>
      </c>
      <c r="O7" s="428">
        <f>IFERROR(_xlfn.XLOOKUP(O6,Flts!$I$14:$I$349,Flts!$C$14:$C$349),0)</f>
        <v>0</v>
      </c>
      <c r="P7" s="428">
        <f>IFERROR(_xlfn.XLOOKUP(P6,Flts!$I$14:$I$349,Flts!$C$14:$C$349),0)</f>
        <v>0</v>
      </c>
      <c r="Q7" s="428">
        <f>IFERROR(_xlfn.XLOOKUP(Q6,Flts!$I$14:$I$349,Flts!$C$14:$C$349),0)</f>
        <v>0</v>
      </c>
      <c r="R7" s="422">
        <f>IFERROR(_xlfn.XLOOKUP(R6,Flts!$I$14:$I$349,Flts!$C$14:$C$349),0)</f>
        <v>0</v>
      </c>
      <c r="S7" s="138"/>
      <c r="T7" s="138"/>
    </row>
    <row r="8" spans="1:46" s="408" customFormat="1" ht="30" customHeight="1" x14ac:dyDescent="0.3">
      <c r="A8" s="286"/>
      <c r="B8" s="738"/>
      <c r="C8" s="429">
        <f>IFERROR(_xlfn.XLOOKUP(C6,Flts!$I$14:$I$349,Flts!$D$14:$D$349),0)</f>
        <v>0</v>
      </c>
      <c r="D8" s="430">
        <f>IFERROR(_xlfn.XLOOKUP(D6,Flts!$I$14:$I$349,Flts!$D$14:$D$349),0)</f>
        <v>0</v>
      </c>
      <c r="E8" s="430">
        <f>IFERROR(_xlfn.XLOOKUP(E6,Flts!$I$14:$I$349,Flts!$D$14:$D$349),0)</f>
        <v>0</v>
      </c>
      <c r="F8" s="430" t="str">
        <f>IFERROR(_xlfn.XLOOKUP(F6,Flts!$I$14:$I$349,Flts!$D$14:$D$349),0)</f>
        <v>FCT+Pry. ExtraOrd</v>
      </c>
      <c r="G8" s="430">
        <f>IFERROR(_xlfn.XLOOKUP(G6,Flts!$I$14:$I$349,Flts!$D$14:$D$349),0)</f>
        <v>0</v>
      </c>
      <c r="H8" s="430">
        <f>IFERROR(_xlfn.XLOOKUP(H6,Flts!$I$14:$I$349,Flts!$D$14:$D$349),0)</f>
        <v>0</v>
      </c>
      <c r="I8" s="430">
        <f>IFERROR(_xlfn.XLOOKUP(I6,Flts!$I$14:$I$349,Flts!$D$14:$D$349),0)</f>
        <v>0</v>
      </c>
      <c r="J8" s="421"/>
      <c r="K8" s="738"/>
      <c r="L8" s="429">
        <f>IFERROR(_xlfn.XLOOKUP(L6,Flts!$I$14:$I$349,Flts!$D$14:$D$349),0)</f>
        <v>0</v>
      </c>
      <c r="M8" s="430">
        <f>IFERROR(_xlfn.XLOOKUP(M6,Flts!$I$14:$I$349,Flts!$D$14:$D$349),0)</f>
        <v>0</v>
      </c>
      <c r="N8" s="430">
        <f>IFERROR(_xlfn.XLOOKUP(N6,Flts!$I$14:$I$349,Flts!$D$14:$D$349),0)</f>
        <v>0</v>
      </c>
      <c r="O8" s="430">
        <f>IFERROR(_xlfn.XLOOKUP(O6,Flts!$I$14:$I$349,Flts!$D$14:$D$349),0)</f>
        <v>0</v>
      </c>
      <c r="P8" s="430">
        <f>IFERROR(_xlfn.XLOOKUP(P6,Flts!$I$14:$I$349,Flts!$D$14:$D$349),0)</f>
        <v>0</v>
      </c>
      <c r="Q8" s="430">
        <f>IFERROR(_xlfn.XLOOKUP(Q6,Flts!$I$14:$I$349,Flts!$D$14:$D$349),0)</f>
        <v>0</v>
      </c>
      <c r="R8" s="423">
        <f>IFERROR(_xlfn.XLOOKUP(R6,Flts!$I$14:$I$349,Flts!$D$14:$D$349),0)</f>
        <v>0</v>
      </c>
      <c r="S8" s="286"/>
      <c r="T8" s="421"/>
    </row>
    <row r="9" spans="1:46" s="409" customFormat="1" ht="30" customHeight="1" x14ac:dyDescent="0.3">
      <c r="A9" s="286"/>
      <c r="B9" s="738"/>
      <c r="C9" s="431">
        <f>IFERROR(_xlfn.XLOOKUP(C6,Flts!$I$14:$I$349,Flts!$E$14:$E$349),0)</f>
        <v>0</v>
      </c>
      <c r="D9" s="432">
        <f>IFERROR(_xlfn.XLOOKUP(D6,Flts!$I$14:$I$349,Flts!$E$14:$E$349),0)</f>
        <v>0</v>
      </c>
      <c r="E9" s="432">
        <f>IFERROR(_xlfn.XLOOKUP(E6,Flts!$I$14:$I$349,Flts!$E$14:$E$349),0)</f>
        <v>0</v>
      </c>
      <c r="F9" s="432">
        <f>IFERROR(_xlfn.XLOOKUP(F6,Flts!$I$14:$I$349,Flts!$E$14:$E$349),0)</f>
        <v>0</v>
      </c>
      <c r="G9" s="432">
        <f>IFERROR(_xlfn.XLOOKUP(G6,Flts!$I$14:$I$349,Flts!$E$14:$E$349),0)</f>
        <v>0</v>
      </c>
      <c r="H9" s="433"/>
      <c r="I9" s="432"/>
      <c r="J9" s="366"/>
      <c r="K9" s="738"/>
      <c r="L9" s="431">
        <f>IFERROR(_xlfn.XLOOKUP(L6,Flts!$I$14:$I$349,Flts!$E$14:$E$349),0)</f>
        <v>0</v>
      </c>
      <c r="M9" s="432">
        <f>IFERROR(_xlfn.XLOOKUP(M6,Flts!$I$14:$I$349,Flts!$E$14:$E$349),0)</f>
        <v>0</v>
      </c>
      <c r="N9" s="432" t="str">
        <f>IFERROR(_xlfn.XLOOKUP(N6,Flts!$I$14:$I$349,Flts!$E$14:$E$349),0)</f>
        <v>UD01</v>
      </c>
      <c r="O9" s="432" t="str">
        <f>IFERROR(_xlfn.XLOOKUP(O6,Flts!$I$14:$I$349,Flts!$E$14:$E$349),0)</f>
        <v>UD01</v>
      </c>
      <c r="P9" s="432" t="str">
        <f>IFERROR(_xlfn.XLOOKUP(P6,Flts!$I$14:$I$349,Flts!$E$14:$E$349),0)</f>
        <v>UD01</v>
      </c>
      <c r="Q9" s="433"/>
      <c r="R9" s="424"/>
      <c r="S9" s="286"/>
      <c r="T9" s="366"/>
    </row>
    <row r="10" spans="1:46" s="103" customFormat="1" ht="30" customHeight="1" x14ac:dyDescent="0.3">
      <c r="A10" s="15"/>
      <c r="B10" s="975">
        <f>_xlfn.ISOWEEKNUM(C10)</f>
        <v>37</v>
      </c>
      <c r="C10" s="973">
        <f>I6+1</f>
        <v>45908</v>
      </c>
      <c r="D10" s="973">
        <f t="shared" ref="D10:I10" si="0">C10+1</f>
        <v>45909</v>
      </c>
      <c r="E10" s="973">
        <f t="shared" si="0"/>
        <v>45910</v>
      </c>
      <c r="F10" s="973">
        <f t="shared" si="0"/>
        <v>45911</v>
      </c>
      <c r="G10" s="973">
        <f t="shared" si="0"/>
        <v>45912</v>
      </c>
      <c r="H10" s="974">
        <f t="shared" si="0"/>
        <v>45913</v>
      </c>
      <c r="I10" s="974">
        <f t="shared" si="0"/>
        <v>45914</v>
      </c>
      <c r="J10" s="15"/>
      <c r="K10" s="975">
        <f>_xlfn.ISOWEEKNUM(L10)</f>
        <v>41</v>
      </c>
      <c r="L10" s="973">
        <f>R6+1</f>
        <v>45936</v>
      </c>
      <c r="M10" s="973">
        <f t="shared" ref="M10:R10" si="1">L10+1</f>
        <v>45937</v>
      </c>
      <c r="N10" s="973">
        <f t="shared" si="1"/>
        <v>45938</v>
      </c>
      <c r="O10" s="973">
        <f t="shared" si="1"/>
        <v>45939</v>
      </c>
      <c r="P10" s="973">
        <f t="shared" si="1"/>
        <v>45940</v>
      </c>
      <c r="Q10" s="974">
        <f t="shared" si="1"/>
        <v>45941</v>
      </c>
      <c r="R10" s="974">
        <f t="shared" si="1"/>
        <v>45942</v>
      </c>
      <c r="S10" s="15"/>
      <c r="T10" s="15"/>
    </row>
    <row r="11" spans="1:46" s="101" customFormat="1" ht="30" customHeight="1" x14ac:dyDescent="0.3">
      <c r="A11" s="15"/>
      <c r="B11" s="738"/>
      <c r="C11" s="434">
        <f>IFERROR(_xlfn.XLOOKUP(C10,Flts!$I$14:$I$349,Flts!$C$14:$C$349),0)</f>
        <v>0</v>
      </c>
      <c r="D11" s="435">
        <f>IFERROR(_xlfn.XLOOKUP(D10,Flts!$I$14:$I$349,Flts!$C$14:$C$349),0)</f>
        <v>0</v>
      </c>
      <c r="E11" s="435">
        <f>IFERROR(_xlfn.XLOOKUP(E10,Flts!$I$14:$I$349,Flts!$C$14:$C$349),0)</f>
        <v>0</v>
      </c>
      <c r="F11" s="435">
        <f>IFERROR(_xlfn.XLOOKUP(F10,Flts!$I$14:$I$349,Flts!$C$14:$C$349),0)</f>
        <v>0</v>
      </c>
      <c r="G11" s="435">
        <f>IFERROR(_xlfn.XLOOKUP(G10,Flts!$I$14:$I$349,Flts!$C$14:$C$349),0)</f>
        <v>0</v>
      </c>
      <c r="H11" s="435">
        <f>IFERROR(_xlfn.XLOOKUP(H10,Flts!$I$14:$I$349,Flts!$C$14:$C$349),0)</f>
        <v>0</v>
      </c>
      <c r="I11" s="435">
        <f>IFERROR(_xlfn.XLOOKUP(I10,Flts!$I$14:$I$349,Flts!$C$14:$C$349),0)</f>
        <v>0</v>
      </c>
      <c r="J11" s="15"/>
      <c r="K11" s="738"/>
      <c r="L11" s="434">
        <f>IFERROR(_xlfn.XLOOKUP(L10,Flts!$I$14:$I$349,Flts!$C$14:$C$349),0)</f>
        <v>0</v>
      </c>
      <c r="M11" s="435">
        <f>IFERROR(_xlfn.XLOOKUP(M10,Flts!$I$14:$I$349,Flts!$C$14:$C$349),0)</f>
        <v>0</v>
      </c>
      <c r="N11" s="435">
        <f>IFERROR(_xlfn.XLOOKUP(N10,Flts!$I$14:$I$349,Flts!$C$14:$C$349),0)</f>
        <v>0</v>
      </c>
      <c r="O11" s="435">
        <f>IFERROR(_xlfn.XLOOKUP(O10,Flts!$I$14:$I$349,Flts!$C$14:$C$349),0)</f>
        <v>0</v>
      </c>
      <c r="P11" s="435" t="str">
        <f>IFERROR(_xlfn.XLOOKUP(P10,Flts!$I$14:$I$349,Flts!$C$14:$C$349),0)</f>
        <v>Pilares</v>
      </c>
      <c r="Q11" s="435">
        <f>IFERROR(_xlfn.XLOOKUP(Q10,Flts!$I$14:$I$349,Flts!$C$14:$C$349),0)</f>
        <v>0</v>
      </c>
      <c r="R11" s="425">
        <f>IFERROR(_xlfn.XLOOKUP(R10,Flts!$I$14:$I$349,Flts!$C$14:$C$349),0)</f>
        <v>0</v>
      </c>
      <c r="S11" s="15"/>
      <c r="T11" s="15"/>
    </row>
    <row r="12" spans="1:46" s="320" customFormat="1" ht="30" customHeight="1" x14ac:dyDescent="0.3">
      <c r="A12" s="13"/>
      <c r="B12" s="738"/>
      <c r="C12" s="436">
        <f>IFERROR(_xlfn.XLOOKUP(C10,Flts!$I$14:$I$349,Flts!$D$14:$D$349),0)</f>
        <v>0</v>
      </c>
      <c r="D12" s="437">
        <f>IFERROR(_xlfn.XLOOKUP(D10,Flts!$I$14:$I$349,Flts!$D$14:$D$349),0)</f>
        <v>0</v>
      </c>
      <c r="E12" s="437">
        <f>IFERROR(_xlfn.XLOOKUP(E10,Flts!$I$14:$I$349,Flts!$D$14:$D$349),0)</f>
        <v>0</v>
      </c>
      <c r="F12" s="437" t="str">
        <f>IFERROR(_xlfn.XLOOKUP(F10,Flts!$I$14:$I$349,Flts!$D$14:$D$349),0)</f>
        <v>Presentación</v>
      </c>
      <c r="G12" s="437" t="str">
        <f>IFERROR(_xlfn.XLOOKUP(G10,Flts!$I$14:$I$349,Flts!$D$14:$D$349),0)</f>
        <v>Inicio clases</v>
      </c>
      <c r="H12" s="437">
        <f>IFERROR(_xlfn.XLOOKUP(H10,Flts!$I$14:$I$349,Flts!$D$14:$D$349),0)</f>
        <v>0</v>
      </c>
      <c r="I12" s="437">
        <f>IFERROR(_xlfn.XLOOKUP(I10,Flts!$I$14:$I$349,Flts!$D$14:$D$349),0)</f>
        <v>0</v>
      </c>
      <c r="J12" s="265"/>
      <c r="K12" s="738"/>
      <c r="L12" s="436">
        <f>IFERROR(_xlfn.XLOOKUP(L10,Flts!$I$14:$I$349,Flts!$D$14:$D$349),0)</f>
        <v>0</v>
      </c>
      <c r="M12" s="437">
        <f>IFERROR(_xlfn.XLOOKUP(M10,Flts!$I$14:$I$349,Flts!$D$14:$D$349),0)</f>
        <v>0</v>
      </c>
      <c r="N12" s="437">
        <f>IFERROR(_xlfn.XLOOKUP(N10,Flts!$I$14:$I$349,Flts!$D$14:$D$349),0)</f>
        <v>0</v>
      </c>
      <c r="O12" s="437">
        <f>IFERROR(_xlfn.XLOOKUP(O10,Flts!$I$14:$I$349,Flts!$D$14:$D$349),0)</f>
        <v>0</v>
      </c>
      <c r="P12" s="437">
        <f>IFERROR(_xlfn.XLOOKUP(P10,Flts!$I$14:$I$349,Flts!$D$14:$D$349),0)</f>
        <v>0</v>
      </c>
      <c r="Q12" s="437">
        <f>IFERROR(_xlfn.XLOOKUP(Q10,Flts!$I$14:$I$349,Flts!$D$14:$D$349),0)</f>
        <v>0</v>
      </c>
      <c r="R12" s="426">
        <f>IFERROR(_xlfn.XLOOKUP(R10,Flts!$I$14:$I$349,Flts!$D$14:$D$349),0)</f>
        <v>0</v>
      </c>
      <c r="S12" s="13"/>
      <c r="T12" s="265"/>
    </row>
    <row r="13" spans="1:46" s="409" customFormat="1" ht="30" customHeight="1" x14ac:dyDescent="0.3">
      <c r="A13" s="286"/>
      <c r="B13" s="738"/>
      <c r="C13" s="438">
        <f>IFERROR(_xlfn.XLOOKUP(C10,Flts!$I$14:$I$349,Flts!$E$14:$E$349),0)</f>
        <v>0</v>
      </c>
      <c r="D13" s="432">
        <f>IFERROR(_xlfn.XLOOKUP(D10,Flts!$I$14:$I$349,Flts!$E$14:$E$349),0)</f>
        <v>0</v>
      </c>
      <c r="E13" s="432">
        <f>IFERROR(_xlfn.XLOOKUP(E10,Flts!$I$14:$I$349,Flts!$E$14:$E$349),0)</f>
        <v>0</v>
      </c>
      <c r="F13" s="432">
        <f>IFERROR(_xlfn.XLOOKUP(F10,Flts!$I$14:$I$349,Flts!$E$14:$E$349),0)</f>
        <v>0</v>
      </c>
      <c r="G13" s="432">
        <f>IFERROR(_xlfn.XLOOKUP(G10,Flts!$I$14:$I$349,Flts!$E$14:$E$349),0)</f>
        <v>0</v>
      </c>
      <c r="H13" s="433"/>
      <c r="I13" s="432"/>
      <c r="J13" s="366"/>
      <c r="K13" s="738"/>
      <c r="L13" s="438" t="str">
        <f>IFERROR(_xlfn.XLOOKUP(L10,Flts!$I$14:$I$349,Flts!$E$14:$E$349),0)</f>
        <v>UD01</v>
      </c>
      <c r="M13" s="432" t="str">
        <f>IFERROR(_xlfn.XLOOKUP(M10,Flts!$I$14:$I$349,Flts!$E$14:$E$349),0)</f>
        <v>UD01</v>
      </c>
      <c r="N13" s="432" t="str">
        <f>IFERROR(_xlfn.XLOOKUP(N10,Flts!$I$14:$I$349,Flts!$E$14:$E$349),0)</f>
        <v>UD01</v>
      </c>
      <c r="O13" s="432" t="str">
        <f>IFERROR(_xlfn.XLOOKUP(O10,Flts!$I$14:$I$349,Flts!$E$14:$E$349),0)</f>
        <v>UD01</v>
      </c>
      <c r="P13" s="432">
        <f>IFERROR(_xlfn.XLOOKUP(P10,Flts!$I$14:$I$349,Flts!$E$14:$E$349),0)</f>
        <v>0</v>
      </c>
      <c r="Q13" s="433"/>
      <c r="R13" s="424"/>
      <c r="S13" s="286"/>
      <c r="T13" s="366"/>
    </row>
    <row r="14" spans="1:46" s="103" customFormat="1" ht="30" customHeight="1" x14ac:dyDescent="0.3">
      <c r="A14" s="15"/>
      <c r="B14" s="975">
        <f>B10+1</f>
        <v>38</v>
      </c>
      <c r="C14" s="973">
        <f>I10+1</f>
        <v>45915</v>
      </c>
      <c r="D14" s="973">
        <f t="shared" ref="D14:I14" si="2">C14+1</f>
        <v>45916</v>
      </c>
      <c r="E14" s="973">
        <f t="shared" si="2"/>
        <v>45917</v>
      </c>
      <c r="F14" s="973">
        <f t="shared" si="2"/>
        <v>45918</v>
      </c>
      <c r="G14" s="973">
        <f t="shared" si="2"/>
        <v>45919</v>
      </c>
      <c r="H14" s="974">
        <f t="shared" si="2"/>
        <v>45920</v>
      </c>
      <c r="I14" s="974">
        <f t="shared" si="2"/>
        <v>45921</v>
      </c>
      <c r="J14" s="15"/>
      <c r="K14" s="975">
        <f>K10+1</f>
        <v>42</v>
      </c>
      <c r="L14" s="973">
        <f>R10+1</f>
        <v>45943</v>
      </c>
      <c r="M14" s="973">
        <f t="shared" ref="M14:R14" si="3">L14+1</f>
        <v>45944</v>
      </c>
      <c r="N14" s="973">
        <f t="shared" si="3"/>
        <v>45945</v>
      </c>
      <c r="O14" s="973">
        <f t="shared" si="3"/>
        <v>45946</v>
      </c>
      <c r="P14" s="973">
        <f t="shared" si="3"/>
        <v>45947</v>
      </c>
      <c r="Q14" s="974">
        <f t="shared" si="3"/>
        <v>45948</v>
      </c>
      <c r="R14" s="974">
        <f t="shared" si="3"/>
        <v>45949</v>
      </c>
      <c r="S14" s="15"/>
      <c r="T14" s="15"/>
    </row>
    <row r="15" spans="1:46" s="101" customFormat="1" ht="30" customHeight="1" x14ac:dyDescent="0.3">
      <c r="A15" s="15"/>
      <c r="B15" s="738"/>
      <c r="C15" s="434">
        <f>IFERROR(_xlfn.XLOOKUP(C14,Flts!$I$14:$I$349,Flts!$C$14:$C$349),0)</f>
        <v>0</v>
      </c>
      <c r="D15" s="435">
        <f>IFERROR(_xlfn.XLOOKUP(D14,Flts!$I$14:$I$349,Flts!$C$14:$C$349),0)</f>
        <v>0</v>
      </c>
      <c r="E15" s="435">
        <f>IFERROR(_xlfn.XLOOKUP(E14,Flts!$I$14:$I$349,Flts!$C$14:$C$349),0)</f>
        <v>0</v>
      </c>
      <c r="F15" s="435">
        <f>IFERROR(_xlfn.XLOOKUP(F14,Flts!$I$14:$I$349,Flts!$C$14:$C$349),0)</f>
        <v>0</v>
      </c>
      <c r="G15" s="435">
        <f>IFERROR(_xlfn.XLOOKUP(G14,Flts!$I$14:$I$349,Flts!$C$14:$C$349),0)</f>
        <v>0</v>
      </c>
      <c r="H15" s="435">
        <f>IFERROR(_xlfn.XLOOKUP(H14,Flts!$I$14:$I$349,Flts!$C$14:$C$349),0)</f>
        <v>0</v>
      </c>
      <c r="I15" s="435">
        <f>IFERROR(_xlfn.XLOOKUP(I14,Flts!$I$14:$I$349,Flts!$C$14:$C$349),0)</f>
        <v>0</v>
      </c>
      <c r="J15" s="15"/>
      <c r="K15" s="738"/>
      <c r="L15" s="434" t="str">
        <f>IFERROR(_xlfn.XLOOKUP(L14,Flts!$I$14:$I$349,Flts!$C$14:$C$349),0)</f>
        <v>Pilares</v>
      </c>
      <c r="M15" s="435">
        <f>IFERROR(_xlfn.XLOOKUP(M14,Flts!$I$14:$I$349,Flts!$C$14:$C$349),0)</f>
        <v>0</v>
      </c>
      <c r="N15" s="435">
        <f>IFERROR(_xlfn.XLOOKUP(N14,Flts!$I$14:$I$349,Flts!$C$14:$C$349),0)</f>
        <v>0</v>
      </c>
      <c r="O15" s="435">
        <f>IFERROR(_xlfn.XLOOKUP(O14,Flts!$I$14:$I$349,Flts!$C$14:$C$349),0)</f>
        <v>0</v>
      </c>
      <c r="P15" s="435">
        <f>IFERROR(_xlfn.XLOOKUP(P14,Flts!$I$14:$I$349,Flts!$C$14:$C$349),0)</f>
        <v>0</v>
      </c>
      <c r="Q15" s="435">
        <f>IFERROR(_xlfn.XLOOKUP(Q14,Flts!$I$14:$I$349,Flts!$C$14:$C$349),0)</f>
        <v>0</v>
      </c>
      <c r="R15" s="425">
        <f>IFERROR(_xlfn.XLOOKUP(R14,Flts!$I$14:$I$349,Flts!$C$14:$C$349),0)</f>
        <v>0</v>
      </c>
      <c r="S15" s="15"/>
      <c r="T15" s="15"/>
    </row>
    <row r="16" spans="1:46" s="320" customFormat="1" ht="30" customHeight="1" x14ac:dyDescent="0.3">
      <c r="A16" s="13"/>
      <c r="B16" s="738"/>
      <c r="C16" s="436">
        <f>IFERROR(_xlfn.XLOOKUP(C14,Flts!$I$14:$I$349,Flts!$D$14:$D$349),0)</f>
        <v>0</v>
      </c>
      <c r="D16" s="437">
        <f>IFERROR(_xlfn.XLOOKUP(D14,Flts!$I$14:$I$349,Flts!$D$14:$D$349),0)</f>
        <v>0</v>
      </c>
      <c r="E16" s="437">
        <f>IFERROR(_xlfn.XLOOKUP(E14,Flts!$I$14:$I$349,Flts!$D$14:$D$349),0)</f>
        <v>0</v>
      </c>
      <c r="F16" s="437">
        <f>IFERROR(_xlfn.XLOOKUP(F14,Flts!$I$14:$I$349,Flts!$D$14:$D$349),0)</f>
        <v>0</v>
      </c>
      <c r="G16" s="437">
        <f>IFERROR(_xlfn.XLOOKUP(G14,Flts!$I$14:$I$349,Flts!$D$14:$D$349),0)</f>
        <v>0</v>
      </c>
      <c r="H16" s="437">
        <f>IFERROR(_xlfn.XLOOKUP(H14,Flts!$I$14:$I$349,Flts!$D$14:$D$349),0)</f>
        <v>0</v>
      </c>
      <c r="I16" s="437">
        <f>IFERROR(_xlfn.XLOOKUP(I14,Flts!$I$14:$I$349,Flts!$D$14:$D$349),0)</f>
        <v>0</v>
      </c>
      <c r="J16" s="265"/>
      <c r="K16" s="738"/>
      <c r="L16" s="436">
        <f>IFERROR(_xlfn.XLOOKUP(L14,Flts!$I$14:$I$349,Flts!$D$14:$D$349),0)</f>
        <v>0</v>
      </c>
      <c r="M16" s="437">
        <f>IFERROR(_xlfn.XLOOKUP(M14,Flts!$I$14:$I$349,Flts!$D$14:$D$349),0)</f>
        <v>0</v>
      </c>
      <c r="N16" s="437">
        <f>IFERROR(_xlfn.XLOOKUP(N14,Flts!$I$14:$I$349,Flts!$D$14:$D$349),0)</f>
        <v>0</v>
      </c>
      <c r="O16" s="437">
        <f>IFERROR(_xlfn.XLOOKUP(O14,Flts!$I$14:$I$349,Flts!$D$14:$D$349),0)</f>
        <v>0</v>
      </c>
      <c r="P16" s="437">
        <f>IFERROR(_xlfn.XLOOKUP(P14,Flts!$I$14:$I$349,Flts!$D$14:$D$349),0)</f>
        <v>0</v>
      </c>
      <c r="Q16" s="437">
        <f>IFERROR(_xlfn.XLOOKUP(Q14,Flts!$I$14:$I$349,Flts!$D$14:$D$349),0)</f>
        <v>0</v>
      </c>
      <c r="R16" s="426">
        <f>IFERROR(_xlfn.XLOOKUP(R14,Flts!$I$14:$I$349,Flts!$D$14:$D$349),0)</f>
        <v>0</v>
      </c>
      <c r="S16" s="13"/>
      <c r="T16" s="265"/>
      <c r="V16" s="408"/>
    </row>
    <row r="17" spans="1:46" s="409" customFormat="1" ht="30" customHeight="1" x14ac:dyDescent="0.3">
      <c r="A17" s="286"/>
      <c r="B17" s="738"/>
      <c r="C17" s="438" t="str">
        <f>IFERROR(_xlfn.XLOOKUP(C14,Flts!$I$14:$I$349,Flts!$E$14:$E$349),0)</f>
        <v>UD00</v>
      </c>
      <c r="D17" s="432" t="str">
        <f>IFERROR(_xlfn.XLOOKUP(D14,Flts!$I$14:$I$349,Flts!$E$14:$E$349),0)</f>
        <v>UD01</v>
      </c>
      <c r="E17" s="432" t="str">
        <f>IFERROR(_xlfn.XLOOKUP(E14,Flts!$I$14:$I$349,Flts!$E$14:$E$349),0)</f>
        <v>UD01</v>
      </c>
      <c r="F17" s="432" t="str">
        <f>IFERROR(_xlfn.XLOOKUP(F14,Flts!$I$14:$I$349,Flts!$E$14:$E$349),0)</f>
        <v>UD01</v>
      </c>
      <c r="G17" s="432" t="str">
        <f>IFERROR(_xlfn.XLOOKUP(G14,Flts!$I$14:$I$349,Flts!$E$14:$E$349),0)</f>
        <v>UD01</v>
      </c>
      <c r="H17" s="433"/>
      <c r="I17" s="432"/>
      <c r="J17" s="366"/>
      <c r="K17" s="738"/>
      <c r="L17" s="438">
        <f>IFERROR(_xlfn.XLOOKUP(L14,Flts!$I$14:$I$349,Flts!$E$14:$E$349),0)</f>
        <v>0</v>
      </c>
      <c r="M17" s="432" t="str">
        <f>IFERROR(_xlfn.XLOOKUP(M14,Flts!$I$14:$I$349,Flts!$E$14:$E$349),0)</f>
        <v>UD01</v>
      </c>
      <c r="N17" s="432" t="str">
        <f>IFERROR(_xlfn.XLOOKUP(N14,Flts!$I$14:$I$349,Flts!$E$14:$E$349),0)</f>
        <v>UD01</v>
      </c>
      <c r="O17" s="432" t="str">
        <f>IFERROR(_xlfn.XLOOKUP(O14,Flts!$I$14:$I$349,Flts!$E$14:$E$349),0)</f>
        <v>UD01</v>
      </c>
      <c r="P17" s="432" t="str">
        <f>IFERROR(_xlfn.XLOOKUP(P14,Flts!$I$14:$I$349,Flts!$E$14:$E$349),0)</f>
        <v>UD01</v>
      </c>
      <c r="Q17" s="433"/>
      <c r="R17" s="424"/>
      <c r="S17" s="286"/>
      <c r="T17" s="366"/>
    </row>
    <row r="18" spans="1:46" s="103" customFormat="1" ht="30" customHeight="1" x14ac:dyDescent="0.3">
      <c r="A18" s="15"/>
      <c r="B18" s="975">
        <f>B14+1</f>
        <v>39</v>
      </c>
      <c r="C18" s="973">
        <f>I14+1</f>
        <v>45922</v>
      </c>
      <c r="D18" s="973">
        <f t="shared" ref="D18:I18" si="4">C18+1</f>
        <v>45923</v>
      </c>
      <c r="E18" s="973">
        <f t="shared" si="4"/>
        <v>45924</v>
      </c>
      <c r="F18" s="973">
        <f t="shared" si="4"/>
        <v>45925</v>
      </c>
      <c r="G18" s="973">
        <f t="shared" si="4"/>
        <v>45926</v>
      </c>
      <c r="H18" s="974">
        <f t="shared" si="4"/>
        <v>45927</v>
      </c>
      <c r="I18" s="974">
        <f t="shared" si="4"/>
        <v>45928</v>
      </c>
      <c r="J18" s="15"/>
      <c r="K18" s="975">
        <f>K14+1</f>
        <v>43</v>
      </c>
      <c r="L18" s="973">
        <f>R14+1</f>
        <v>45950</v>
      </c>
      <c r="M18" s="973">
        <f t="shared" ref="M18:R18" si="5">L18+1</f>
        <v>45951</v>
      </c>
      <c r="N18" s="973">
        <f t="shared" si="5"/>
        <v>45952</v>
      </c>
      <c r="O18" s="973">
        <f t="shared" si="5"/>
        <v>45953</v>
      </c>
      <c r="P18" s="973">
        <f t="shared" si="5"/>
        <v>45954</v>
      </c>
      <c r="Q18" s="974">
        <f t="shared" si="5"/>
        <v>45955</v>
      </c>
      <c r="R18" s="974">
        <f t="shared" si="5"/>
        <v>45956</v>
      </c>
      <c r="S18" s="15"/>
      <c r="T18" s="15"/>
    </row>
    <row r="19" spans="1:46" s="101" customFormat="1" ht="30" customHeight="1" x14ac:dyDescent="0.3">
      <c r="A19" s="15"/>
      <c r="B19" s="738"/>
      <c r="C19" s="434">
        <f>IFERROR(_xlfn.XLOOKUP(C18,Flts!$I$14:$I$349,Flts!$C$14:$C$349),0)</f>
        <v>0</v>
      </c>
      <c r="D19" s="435">
        <f>IFERROR(_xlfn.XLOOKUP(D18,Flts!$I$14:$I$349,Flts!$C$14:$C$349),0)</f>
        <v>0</v>
      </c>
      <c r="E19" s="435">
        <f>IFERROR(_xlfn.XLOOKUP(E18,Flts!$I$14:$I$349,Flts!$C$14:$C$349),0)</f>
        <v>0</v>
      </c>
      <c r="F19" s="435">
        <f>IFERROR(_xlfn.XLOOKUP(F18,Flts!$I$14:$I$349,Flts!$C$14:$C$349),0)</f>
        <v>0</v>
      </c>
      <c r="G19" s="435">
        <f>IFERROR(_xlfn.XLOOKUP(G18,Flts!$I$14:$I$349,Flts!$C$14:$C$349),0)</f>
        <v>0</v>
      </c>
      <c r="H19" s="435">
        <f>IFERROR(_xlfn.XLOOKUP(H18,Flts!$I$14:$I$349,Flts!$C$14:$C$349),0)</f>
        <v>0</v>
      </c>
      <c r="I19" s="435">
        <f>IFERROR(_xlfn.XLOOKUP(I18,Flts!$I$14:$I$349,Flts!$C$14:$C$349),0)</f>
        <v>0</v>
      </c>
      <c r="J19" s="15"/>
      <c r="K19" s="738"/>
      <c r="L19" s="434">
        <f>IFERROR(_xlfn.XLOOKUP(L18,Flts!$I$14:$I$349,Flts!$C$14:$C$349),0)</f>
        <v>0</v>
      </c>
      <c r="M19" s="435">
        <f>IFERROR(_xlfn.XLOOKUP(M18,Flts!$I$14:$I$349,Flts!$C$14:$C$349),0)</f>
        <v>0</v>
      </c>
      <c r="N19" s="435">
        <f>IFERROR(_xlfn.XLOOKUP(N18,Flts!$I$14:$I$349,Flts!$C$14:$C$349),0)</f>
        <v>0</v>
      </c>
      <c r="O19" s="435">
        <f>IFERROR(_xlfn.XLOOKUP(O18,Flts!$I$14:$I$349,Flts!$C$14:$C$349),0)</f>
        <v>0</v>
      </c>
      <c r="P19" s="435">
        <f>IFERROR(_xlfn.XLOOKUP(P18,Flts!$I$14:$I$349,Flts!$C$14:$C$349),0)</f>
        <v>0</v>
      </c>
      <c r="Q19" s="435">
        <f>IFERROR(_xlfn.XLOOKUP(Q18,Flts!$I$14:$I$349,Flts!$C$14:$C$349),0)</f>
        <v>0</v>
      </c>
      <c r="R19" s="425">
        <f>IFERROR(_xlfn.XLOOKUP(R18,Flts!$I$14:$I$349,Flts!$C$14:$C$349),0)</f>
        <v>0</v>
      </c>
      <c r="S19" s="15"/>
      <c r="T19" s="15"/>
    </row>
    <row r="20" spans="1:46" s="320" customFormat="1" ht="30" customHeight="1" x14ac:dyDescent="0.3">
      <c r="A20" s="13"/>
      <c r="B20" s="738"/>
      <c r="C20" s="436">
        <f>IFERROR(_xlfn.XLOOKUP(C18,Flts!$I$14:$I$349,Flts!$D$14:$D$349),0)</f>
        <v>0</v>
      </c>
      <c r="D20" s="437">
        <f>IFERROR(_xlfn.XLOOKUP(D18,Flts!$I$14:$I$349,Flts!$D$14:$D$349),0)</f>
        <v>0</v>
      </c>
      <c r="E20" s="437">
        <f>IFERROR(_xlfn.XLOOKUP(E18,Flts!$I$14:$I$349,Flts!$D$14:$D$349),0)</f>
        <v>0</v>
      </c>
      <c r="F20" s="437">
        <f>IFERROR(_xlfn.XLOOKUP(F18,Flts!$I$14:$I$349,Flts!$D$14:$D$349),0)</f>
        <v>0</v>
      </c>
      <c r="G20" s="437">
        <f>IFERROR(_xlfn.XLOOKUP(G18,Flts!$I$14:$I$349,Flts!$D$14:$D$349),0)</f>
        <v>0</v>
      </c>
      <c r="H20" s="437">
        <f>IFERROR(_xlfn.XLOOKUP(H18,Flts!$I$14:$I$349,Flts!$D$14:$D$349),0)</f>
        <v>0</v>
      </c>
      <c r="I20" s="437">
        <f>IFERROR(_xlfn.XLOOKUP(I18,Flts!$I$14:$I$349,Flts!$D$14:$D$349),0)</f>
        <v>0</v>
      </c>
      <c r="J20" s="265"/>
      <c r="K20" s="738"/>
      <c r="L20" s="436">
        <f>IFERROR(_xlfn.XLOOKUP(L18,Flts!$I$14:$I$349,Flts!$D$14:$D$349),0)</f>
        <v>0</v>
      </c>
      <c r="M20" s="437">
        <f>IFERROR(_xlfn.XLOOKUP(M18,Flts!$I$14:$I$349,Flts!$D$14:$D$349),0)</f>
        <v>0</v>
      </c>
      <c r="N20" s="437">
        <f>IFERROR(_xlfn.XLOOKUP(N18,Flts!$I$14:$I$349,Flts!$D$14:$D$349),0)</f>
        <v>0</v>
      </c>
      <c r="O20" s="437">
        <f>IFERROR(_xlfn.XLOOKUP(O18,Flts!$I$14:$I$349,Flts!$D$14:$D$349),0)</f>
        <v>0</v>
      </c>
      <c r="P20" s="437">
        <f>IFERROR(_xlfn.XLOOKUP(P18,Flts!$I$14:$I$349,Flts!$D$14:$D$349),0)</f>
        <v>0</v>
      </c>
      <c r="Q20" s="437">
        <f>IFERROR(_xlfn.XLOOKUP(Q18,Flts!$I$14:$I$349,Flts!$D$14:$D$349),0)</f>
        <v>0</v>
      </c>
      <c r="R20" s="426">
        <f>IFERROR(_xlfn.XLOOKUP(R18,Flts!$I$14:$I$349,Flts!$D$14:$D$349),0)</f>
        <v>0</v>
      </c>
      <c r="S20" s="13"/>
      <c r="T20" s="265"/>
    </row>
    <row r="21" spans="1:46" s="409" customFormat="1" ht="30" customHeight="1" x14ac:dyDescent="0.3">
      <c r="A21" s="286"/>
      <c r="B21" s="738"/>
      <c r="C21" s="438" t="str">
        <f>IFERROR(_xlfn.XLOOKUP(C18,Flts!$I$14:$I$349,Flts!$E$14:$E$349),0)</f>
        <v>UD01</v>
      </c>
      <c r="D21" s="432" t="str">
        <f>IFERROR(_xlfn.XLOOKUP(D18,Flts!$I$14:$I$349,Flts!$E$14:$E$349),0)</f>
        <v>UD01</v>
      </c>
      <c r="E21" s="432" t="str">
        <f>IFERROR(_xlfn.XLOOKUP(E18,Flts!$I$14:$I$349,Flts!$E$14:$E$349),0)</f>
        <v>UD01</v>
      </c>
      <c r="F21" s="432" t="str">
        <f>IFERROR(_xlfn.XLOOKUP(F18,Flts!$I$14:$I$349,Flts!$E$14:$E$349),0)</f>
        <v>UD01</v>
      </c>
      <c r="G21" s="432" t="str">
        <f>IFERROR(_xlfn.XLOOKUP(G18,Flts!$I$14:$I$349,Flts!$E$14:$E$349),0)</f>
        <v>UD01</v>
      </c>
      <c r="H21" s="433"/>
      <c r="I21" s="432"/>
      <c r="J21" s="366"/>
      <c r="K21" s="738"/>
      <c r="L21" s="438" t="str">
        <f>IFERROR(_xlfn.XLOOKUP(L18,Flts!$I$14:$I$349,Flts!$E$14:$E$349),0)</f>
        <v>UD01</v>
      </c>
      <c r="M21" s="432" t="str">
        <f>IFERROR(_xlfn.XLOOKUP(M18,Flts!$I$14:$I$349,Flts!$E$14:$E$349),0)</f>
        <v>UD01</v>
      </c>
      <c r="N21" s="432" t="str">
        <f>IFERROR(_xlfn.XLOOKUP(N18,Flts!$I$14:$I$349,Flts!$E$14:$E$349),0)</f>
        <v>UD01</v>
      </c>
      <c r="O21" s="432" t="str">
        <f>IFERROR(_xlfn.XLOOKUP(O18,Flts!$I$14:$I$349,Flts!$E$14:$E$349),0)</f>
        <v>UD01</v>
      </c>
      <c r="P21" s="432" t="str">
        <f>IFERROR(_xlfn.XLOOKUP(P18,Flts!$I$14:$I$349,Flts!$E$14:$E$349),0)</f>
        <v>UD01</v>
      </c>
      <c r="Q21" s="433"/>
      <c r="R21" s="424"/>
      <c r="S21" s="286"/>
      <c r="T21" s="366"/>
    </row>
    <row r="22" spans="1:46" s="103" customFormat="1" ht="30" customHeight="1" x14ac:dyDescent="0.3">
      <c r="A22" s="15"/>
      <c r="B22" s="975">
        <f>IF(C22&lt;&gt;0,B18+1,0)</f>
        <v>40</v>
      </c>
      <c r="C22" s="973">
        <f t="shared" ref="C22:I22" si="6">IF(MONTH(C14+14)=MONTH(C14), C14+14, 0)</f>
        <v>45929</v>
      </c>
      <c r="D22" s="973">
        <f t="shared" si="6"/>
        <v>45930</v>
      </c>
      <c r="E22" s="973">
        <f t="shared" si="6"/>
        <v>0</v>
      </c>
      <c r="F22" s="973">
        <f t="shared" si="6"/>
        <v>0</v>
      </c>
      <c r="G22" s="973">
        <f t="shared" si="6"/>
        <v>0</v>
      </c>
      <c r="H22" s="974">
        <f t="shared" si="6"/>
        <v>0</v>
      </c>
      <c r="I22" s="974">
        <f t="shared" si="6"/>
        <v>0</v>
      </c>
      <c r="J22" s="15"/>
      <c r="K22" s="975">
        <f>IF(L22&lt;&gt;0,K18+1,0)</f>
        <v>44</v>
      </c>
      <c r="L22" s="973">
        <f t="shared" ref="L22:R22" si="7">IF(MONTH(L14+14)=MONTH(L14), L14+14, 0)</f>
        <v>45957</v>
      </c>
      <c r="M22" s="973">
        <f t="shared" si="7"/>
        <v>45958</v>
      </c>
      <c r="N22" s="973">
        <f t="shared" si="7"/>
        <v>45959</v>
      </c>
      <c r="O22" s="973">
        <f t="shared" si="7"/>
        <v>45960</v>
      </c>
      <c r="P22" s="973">
        <f t="shared" si="7"/>
        <v>45961</v>
      </c>
      <c r="Q22" s="974">
        <f t="shared" si="7"/>
        <v>0</v>
      </c>
      <c r="R22" s="974">
        <f t="shared" si="7"/>
        <v>0</v>
      </c>
      <c r="S22" s="15"/>
      <c r="T22" s="15"/>
    </row>
    <row r="23" spans="1:46" s="407" customFormat="1" ht="30" customHeight="1" x14ac:dyDescent="0.3">
      <c r="A23" s="138"/>
      <c r="B23" s="738"/>
      <c r="C23" s="439">
        <f>IFERROR(_xlfn.XLOOKUP(C22,Flts!$I$14:$I$349,Flts!$C$14:$C$349),0)</f>
        <v>0</v>
      </c>
      <c r="D23" s="428">
        <f>IFERROR(_xlfn.XLOOKUP(D22,Flts!$I$14:$I$349,Flts!$C$14:$C$349),0)</f>
        <v>0</v>
      </c>
      <c r="E23" s="428">
        <f>IFERROR(_xlfn.XLOOKUP(E22,Flts!$I$14:$I$349,Flts!$C$14:$C$349),0)</f>
        <v>0</v>
      </c>
      <c r="F23" s="428">
        <f>IFERROR(_xlfn.XLOOKUP(F22,Flts!$I$14:$I$349,Flts!$C$14:$C$349),0)</f>
        <v>0</v>
      </c>
      <c r="G23" s="428">
        <f>IFERROR(_xlfn.XLOOKUP(G22,Flts!$I$14:$I$349,Flts!$C$14:$C$349),0)</f>
        <v>0</v>
      </c>
      <c r="H23" s="428">
        <f>IFERROR(_xlfn.XLOOKUP(H22,Flts!$I$14:$I$349,Flts!$C$14:$C$349),0)</f>
        <v>0</v>
      </c>
      <c r="I23" s="428">
        <f>IFERROR(_xlfn.XLOOKUP(I22,Flts!$I$14:$I$349,Flts!$C$14:$C$349),0)</f>
        <v>0</v>
      </c>
      <c r="J23" s="138"/>
      <c r="K23" s="738"/>
      <c r="L23" s="439">
        <f>IFERROR(_xlfn.XLOOKUP(L22,Flts!$I$14:$I$349,Flts!$C$14:$C$349),0)</f>
        <v>0</v>
      </c>
      <c r="M23" s="428">
        <f>IFERROR(_xlfn.XLOOKUP(M22,Flts!$I$14:$I$349,Flts!$C$14:$C$349),0)</f>
        <v>0</v>
      </c>
      <c r="N23" s="428">
        <f>IFERROR(_xlfn.XLOOKUP(N22,Flts!$I$14:$I$349,Flts!$C$14:$C$349),0)</f>
        <v>0</v>
      </c>
      <c r="O23" s="428">
        <f>IFERROR(_xlfn.XLOOKUP(O22,Flts!$I$14:$I$349,Flts!$C$14:$C$349),0)</f>
        <v>0</v>
      </c>
      <c r="P23" s="428">
        <f>IFERROR(_xlfn.XLOOKUP(P22,Flts!$I$14:$I$349,Flts!$C$14:$C$349),0)</f>
        <v>0</v>
      </c>
      <c r="Q23" s="428">
        <f>IFERROR(_xlfn.XLOOKUP(Q22,Flts!$I$14:$I$349,Flts!$C$14:$C$349),0)</f>
        <v>0</v>
      </c>
      <c r="R23" s="428">
        <f>IFERROR(_xlfn.XLOOKUP(R22,Flts!$I$14:$I$349,Flts!$C$14:$C$349),0)</f>
        <v>0</v>
      </c>
      <c r="S23" s="138"/>
      <c r="T23" s="138"/>
    </row>
    <row r="24" spans="1:46" s="408" customFormat="1" ht="30" customHeight="1" x14ac:dyDescent="0.3">
      <c r="A24" s="286"/>
      <c r="B24" s="738"/>
      <c r="C24" s="440">
        <f>IFERROR(_xlfn.XLOOKUP(C22,Flts!$I$14:$I$349,Flts!$D$14:$D$349),0)</f>
        <v>0</v>
      </c>
      <c r="D24" s="430">
        <f>IFERROR(_xlfn.XLOOKUP(D22,Flts!$I$14:$I$349,Flts!$D$14:$D$349),0)</f>
        <v>0</v>
      </c>
      <c r="E24" s="430">
        <f>IFERROR(_xlfn.XLOOKUP(E22,Flts!$I$14:$I$349,Flts!$D$14:$D$349),0)</f>
        <v>0</v>
      </c>
      <c r="F24" s="430">
        <f>IFERROR(_xlfn.XLOOKUP(F22,Flts!$I$14:$I$349,Flts!$D$14:$D$349),0)</f>
        <v>0</v>
      </c>
      <c r="G24" s="430">
        <f>IFERROR(_xlfn.XLOOKUP(G22,Flts!$I$14:$I$349,Flts!$D$14:$D$349),0)</f>
        <v>0</v>
      </c>
      <c r="H24" s="430">
        <f>IFERROR(_xlfn.XLOOKUP(H22,Flts!$I$14:$I$349,Flts!$D$14:$D$349),0)</f>
        <v>0</v>
      </c>
      <c r="I24" s="430">
        <f>IFERROR(_xlfn.XLOOKUP(I22,Flts!$I$14:$I$349,Flts!$D$14:$D$349),0)</f>
        <v>0</v>
      </c>
      <c r="J24" s="421"/>
      <c r="K24" s="738"/>
      <c r="L24" s="440">
        <f>IFERROR(_xlfn.XLOOKUP(L22,Flts!$I$14:$I$349,Flts!$D$14:$D$349),0)</f>
        <v>0</v>
      </c>
      <c r="M24" s="430">
        <f>IFERROR(_xlfn.XLOOKUP(M22,Flts!$I$14:$I$349,Flts!$D$14:$D$349),0)</f>
        <v>0</v>
      </c>
      <c r="N24" s="430">
        <f>IFERROR(_xlfn.XLOOKUP(N22,Flts!$I$14:$I$349,Flts!$D$14:$D$349),0)</f>
        <v>0</v>
      </c>
      <c r="O24" s="430">
        <f>IFERROR(_xlfn.XLOOKUP(O22,Flts!$I$14:$I$349,Flts!$D$14:$D$349),0)</f>
        <v>0</v>
      </c>
      <c r="P24" s="430">
        <f>IFERROR(_xlfn.XLOOKUP(P22,Flts!$I$14:$I$349,Flts!$D$14:$D$349),0)</f>
        <v>0</v>
      </c>
      <c r="Q24" s="430">
        <f>IFERROR(_xlfn.XLOOKUP(Q22,Flts!$I$14:$I$349,Flts!$D$14:$D$349),0)</f>
        <v>0</v>
      </c>
      <c r="R24" s="430">
        <f>IFERROR(_xlfn.XLOOKUP(R22,Flts!$I$14:$I$349,Flts!$D$14:$D$349),0)</f>
        <v>0</v>
      </c>
      <c r="S24" s="286"/>
      <c r="T24" s="421"/>
    </row>
    <row r="25" spans="1:46" s="409" customFormat="1" ht="30" customHeight="1" x14ac:dyDescent="0.3">
      <c r="A25" s="286"/>
      <c r="B25" s="738"/>
      <c r="C25" s="438" t="str">
        <f>IFERROR(_xlfn.XLOOKUP(C22,Flts!$I$14:$I$349,Flts!$E$14:$E$349),0)</f>
        <v>UD01</v>
      </c>
      <c r="D25" s="432" t="str">
        <f>IFERROR(_xlfn.XLOOKUP(D22,Flts!$I$14:$I$349,Flts!$E$14:$E$349),0)</f>
        <v>UD01</v>
      </c>
      <c r="E25" s="432">
        <f>IFERROR(_xlfn.XLOOKUP(E22,Flts!$I$14:$I$349,Flts!$E$14:$E$349),0)</f>
        <v>0</v>
      </c>
      <c r="F25" s="432">
        <f>IFERROR(_xlfn.XLOOKUP(F22,Flts!$I$14:$I$349,Flts!$E$14:$E$349),0)</f>
        <v>0</v>
      </c>
      <c r="G25" s="432">
        <f>IFERROR(_xlfn.XLOOKUP(G22,Flts!$I$14:$I$349,Flts!$E$14:$E$349),0)</f>
        <v>0</v>
      </c>
      <c r="H25" s="433"/>
      <c r="I25" s="432"/>
      <c r="J25" s="366"/>
      <c r="K25" s="738"/>
      <c r="L25" s="438" t="str">
        <f>IFERROR(_xlfn.XLOOKUP(L22,Flts!$I$14:$I$349,Flts!$E$14:$E$349),0)</f>
        <v>UD01</v>
      </c>
      <c r="M25" s="432" t="str">
        <f>IFERROR(_xlfn.XLOOKUP(M22,Flts!$I$14:$I$349,Flts!$E$14:$E$349),0)</f>
        <v>UD01</v>
      </c>
      <c r="N25" s="432" t="str">
        <f>IFERROR(_xlfn.XLOOKUP(N22,Flts!$I$14:$I$349,Flts!$E$14:$E$349),0)</f>
        <v>UD01</v>
      </c>
      <c r="O25" s="432" t="str">
        <f>IFERROR(_xlfn.XLOOKUP(O22,Flts!$I$14:$I$349,Flts!$E$14:$E$349),0)</f>
        <v>UD01</v>
      </c>
      <c r="P25" s="432" t="str">
        <f>IFERROR(_xlfn.XLOOKUP(P22,Flts!$I$14:$I$349,Flts!$E$14:$E$349),0)</f>
        <v>UD01</v>
      </c>
      <c r="Q25" s="433"/>
      <c r="R25" s="432"/>
      <c r="S25" s="286"/>
      <c r="T25" s="366"/>
    </row>
    <row r="26" spans="1:46" s="103" customFormat="1" ht="30" customHeight="1" x14ac:dyDescent="0.3">
      <c r="A26" s="15"/>
      <c r="B26" s="975">
        <f>IF(C26&lt;&gt;0,B22+1,0)</f>
        <v>0</v>
      </c>
      <c r="C26" s="973">
        <f t="shared" ref="C26:I26" si="8">IF(MONTH(C18+14)=MONTH(C18), C18+14, 0)</f>
        <v>0</v>
      </c>
      <c r="D26" s="973">
        <f t="shared" si="8"/>
        <v>0</v>
      </c>
      <c r="E26" s="973">
        <f t="shared" si="8"/>
        <v>0</v>
      </c>
      <c r="F26" s="973">
        <f t="shared" si="8"/>
        <v>0</v>
      </c>
      <c r="G26" s="973">
        <f t="shared" si="8"/>
        <v>0</v>
      </c>
      <c r="H26" s="974">
        <f t="shared" si="8"/>
        <v>0</v>
      </c>
      <c r="I26" s="974">
        <f t="shared" si="8"/>
        <v>0</v>
      </c>
      <c r="J26" s="15"/>
      <c r="K26" s="975">
        <f>IF(L26&lt;&gt;0,K22+1,0)</f>
        <v>0</v>
      </c>
      <c r="L26" s="973">
        <f t="shared" ref="L26:R26" si="9">IF(MONTH(L18+14)=MONTH(L18), L18+14, 0)</f>
        <v>0</v>
      </c>
      <c r="M26" s="973">
        <f t="shared" si="9"/>
        <v>0</v>
      </c>
      <c r="N26" s="973">
        <f t="shared" si="9"/>
        <v>0</v>
      </c>
      <c r="O26" s="973">
        <f t="shared" si="9"/>
        <v>0</v>
      </c>
      <c r="P26" s="973">
        <f t="shared" si="9"/>
        <v>0</v>
      </c>
      <c r="Q26" s="974">
        <f t="shared" si="9"/>
        <v>0</v>
      </c>
      <c r="R26" s="974">
        <f t="shared" si="9"/>
        <v>0</v>
      </c>
      <c r="S26" s="15"/>
      <c r="T26" s="15"/>
    </row>
    <row r="27" spans="1:46" s="101" customFormat="1" ht="30" customHeight="1" x14ac:dyDescent="0.3">
      <c r="A27" s="15"/>
      <c r="B27" s="738"/>
      <c r="C27" s="434">
        <f>IFERROR(_xlfn.XLOOKUP(C26,Flts!$I$14:$I$349,Flts!$C$14:$C$349),0)</f>
        <v>0</v>
      </c>
      <c r="D27" s="435">
        <f>IFERROR(_xlfn.XLOOKUP(D26,Flts!$I$14:$I$349,Flts!$C$14:$C$349),0)</f>
        <v>0</v>
      </c>
      <c r="E27" s="435">
        <f>IFERROR(_xlfn.XLOOKUP(E26,Flts!$I$14:$I$349,Flts!$C$14:$C$349),0)</f>
        <v>0</v>
      </c>
      <c r="F27" s="435">
        <f>IFERROR(_xlfn.XLOOKUP(F26,Flts!$I$14:$I$349,Flts!$C$14:$C$349),0)</f>
        <v>0</v>
      </c>
      <c r="G27" s="435">
        <f>IFERROR(_xlfn.XLOOKUP(G26,Flts!$I$14:$I$349,Flts!$C$14:$C$349),0)</f>
        <v>0</v>
      </c>
      <c r="H27" s="435">
        <f>IFERROR(_xlfn.XLOOKUP(H26,Flts!$I$14:$I$349,Flts!$C$14:$C$349),0)</f>
        <v>0</v>
      </c>
      <c r="I27" s="435">
        <f>IFERROR(_xlfn.XLOOKUP(I26,Flts!$I$14:$I$349,Flts!$C$14:$C$349),0)</f>
        <v>0</v>
      </c>
      <c r="J27" s="15"/>
      <c r="K27" s="738"/>
      <c r="L27" s="434">
        <f>IFERROR(_xlfn.XLOOKUP(L26,Flts!$I$14:$I$349,Flts!$C$14:$C$349),0)</f>
        <v>0</v>
      </c>
      <c r="M27" s="435">
        <f>IFERROR(_xlfn.XLOOKUP(M26,Flts!$I$14:$I$349,Flts!$C$14:$C$349),0)</f>
        <v>0</v>
      </c>
      <c r="N27" s="435">
        <f>IFERROR(_xlfn.XLOOKUP(N26,Flts!$I$14:$I$349,Flts!$C$14:$C$349),0)</f>
        <v>0</v>
      </c>
      <c r="O27" s="435">
        <f>IFERROR(_xlfn.XLOOKUP(O26,Flts!$I$14:$I$349,Flts!$C$14:$C$349),0)</f>
        <v>0</v>
      </c>
      <c r="P27" s="435">
        <f>IFERROR(_xlfn.XLOOKUP(P26,Flts!$I$14:$I$349,Flts!$C$14:$C$349),0)</f>
        <v>0</v>
      </c>
      <c r="Q27" s="435">
        <f>IFERROR(_xlfn.XLOOKUP(Q26,Flts!$I$14:$I$349,Flts!$C$14:$C$349),0)</f>
        <v>0</v>
      </c>
      <c r="R27" s="435">
        <f>IFERROR(_xlfn.XLOOKUP(R26,Flts!$I$14:$I$349,Flts!$C$14:$C$349),0)</f>
        <v>0</v>
      </c>
      <c r="S27" s="15"/>
      <c r="T27" s="15"/>
    </row>
    <row r="28" spans="1:46" s="320" customFormat="1" ht="30" customHeight="1" x14ac:dyDescent="0.3">
      <c r="A28" s="13"/>
      <c r="B28" s="738"/>
      <c r="C28" s="436">
        <f>IFERROR(_xlfn.XLOOKUP(C26,Flts!$I$14:$I$349,Flts!$D$14:$D$349),0)</f>
        <v>0</v>
      </c>
      <c r="D28" s="437">
        <f>IFERROR(_xlfn.XLOOKUP(D26,Flts!$I$14:$I$349,Flts!$D$14:$D$349),0)</f>
        <v>0</v>
      </c>
      <c r="E28" s="437">
        <f>IFERROR(_xlfn.XLOOKUP(E26,Flts!$I$14:$I$349,Flts!$D$14:$D$349),0)</f>
        <v>0</v>
      </c>
      <c r="F28" s="437">
        <f>IFERROR(_xlfn.XLOOKUP(F26,Flts!$I$14:$I$349,Flts!$D$14:$D$349),0)</f>
        <v>0</v>
      </c>
      <c r="G28" s="437">
        <f>IFERROR(_xlfn.XLOOKUP(G26,Flts!$I$14:$I$349,Flts!$D$14:$D$349),0)</f>
        <v>0</v>
      </c>
      <c r="H28" s="437">
        <f>IFERROR(_xlfn.XLOOKUP(H26,Flts!$I$14:$I$349,Flts!$D$14:$D$349),0)</f>
        <v>0</v>
      </c>
      <c r="I28" s="437">
        <f>IFERROR(_xlfn.XLOOKUP(I26,Flts!$I$14:$I$349,Flts!$D$14:$D$349),0)</f>
        <v>0</v>
      </c>
      <c r="J28" s="265"/>
      <c r="K28" s="738"/>
      <c r="L28" s="436">
        <f>IFERROR(_xlfn.XLOOKUP(L26,Flts!$I$14:$I$349,Flts!$D$14:$D$349),0)</f>
        <v>0</v>
      </c>
      <c r="M28" s="437">
        <f>IFERROR(_xlfn.XLOOKUP(M26,Flts!$I$14:$I$349,Flts!$D$14:$D$349),0)</f>
        <v>0</v>
      </c>
      <c r="N28" s="437">
        <f>IFERROR(_xlfn.XLOOKUP(N26,Flts!$I$14:$I$349,Flts!$D$14:$D$349),0)</f>
        <v>0</v>
      </c>
      <c r="O28" s="437">
        <f>IFERROR(_xlfn.XLOOKUP(O26,Flts!$I$14:$I$349,Flts!$D$14:$D$349),0)</f>
        <v>0</v>
      </c>
      <c r="P28" s="437">
        <f>IFERROR(_xlfn.XLOOKUP(P26,Flts!$I$14:$I$349,Flts!$D$14:$D$349),0)</f>
        <v>0</v>
      </c>
      <c r="Q28" s="437">
        <f>IFERROR(_xlfn.XLOOKUP(Q26,Flts!$I$14:$I$349,Flts!$D$14:$D$349),0)</f>
        <v>0</v>
      </c>
      <c r="R28" s="437">
        <f>IFERROR(_xlfn.XLOOKUP(R26,Flts!$I$14:$I$349,Flts!$D$14:$D$349),0)</f>
        <v>0</v>
      </c>
      <c r="S28" s="13"/>
      <c r="T28" s="265"/>
    </row>
    <row r="29" spans="1:46" s="409" customFormat="1" ht="30" customHeight="1" x14ac:dyDescent="0.3">
      <c r="A29" s="286"/>
      <c r="B29" s="738"/>
      <c r="C29" s="438">
        <f>IFERROR(_xlfn.XLOOKUP(C26,Flts!$I$14:$I$349,Flts!$E$14:$E$349),0)</f>
        <v>0</v>
      </c>
      <c r="D29" s="432">
        <f>IFERROR(_xlfn.XLOOKUP(D26,Flts!$I$14:$I$349,Flts!$E$14:$E$349),0)</f>
        <v>0</v>
      </c>
      <c r="E29" s="432">
        <f>IFERROR(_xlfn.XLOOKUP(E26,Flts!$I$14:$I$349,Flts!$E$14:$E$349),0)</f>
        <v>0</v>
      </c>
      <c r="F29" s="432">
        <f>IFERROR(_xlfn.XLOOKUP(F26,Flts!$I$14:$I$349,Flts!$E$14:$E$349),0)</f>
        <v>0</v>
      </c>
      <c r="G29" s="432">
        <f>IFERROR(_xlfn.XLOOKUP(G26,Flts!$I$14:$I$349,Flts!$E$14:$E$349),0)</f>
        <v>0</v>
      </c>
      <c r="H29" s="433"/>
      <c r="I29" s="432"/>
      <c r="J29" s="366"/>
      <c r="K29" s="738"/>
      <c r="L29" s="438">
        <f>IFERROR(_xlfn.XLOOKUP(L26,Flts!$I$14:$I$349,Flts!$E$14:$E$349),0)</f>
        <v>0</v>
      </c>
      <c r="M29" s="432">
        <f>IFERROR(_xlfn.XLOOKUP(M26,Flts!$I$14:$I$349,Flts!$E$14:$E$349),0)</f>
        <v>0</v>
      </c>
      <c r="N29" s="432">
        <f>IFERROR(_xlfn.XLOOKUP(N26,Flts!$I$14:$I$349,Flts!$E$14:$E$349),0)</f>
        <v>0</v>
      </c>
      <c r="O29" s="432">
        <f>IFERROR(_xlfn.XLOOKUP(O26,Flts!$I$14:$I$349,Flts!$E$14:$E$349),0)</f>
        <v>0</v>
      </c>
      <c r="P29" s="432">
        <f>IFERROR(_xlfn.XLOOKUP(P26,Flts!$I$14:$I$349,Flts!$E$14:$E$349),0)</f>
        <v>0</v>
      </c>
      <c r="Q29" s="433"/>
      <c r="R29" s="432"/>
      <c r="S29" s="286"/>
      <c r="T29" s="366"/>
    </row>
    <row r="30" spans="1:46" ht="30" customHeight="1" x14ac:dyDescent="0.3">
      <c r="A30" s="13"/>
      <c r="B30" s="526"/>
      <c r="C30" s="323"/>
      <c r="D30" s="323"/>
      <c r="E30" s="323"/>
      <c r="F30" s="323"/>
      <c r="G30" s="323"/>
      <c r="H30" s="323"/>
      <c r="I30" s="323"/>
      <c r="J30" s="13"/>
      <c r="K30" s="71"/>
      <c r="L30" s="323"/>
      <c r="M30" s="323"/>
      <c r="N30" s="323"/>
      <c r="O30" s="323"/>
      <c r="P30" s="323"/>
      <c r="Q30" s="323"/>
      <c r="R30" s="323"/>
      <c r="S30" s="13"/>
    </row>
    <row r="31" spans="1:46" s="1200" customFormat="1" ht="14.4" customHeight="1" x14ac:dyDescent="0.3">
      <c r="A31" s="685"/>
      <c r="B31" s="667" t="str">
        <f>IModulo&amp;" ("&amp;IProfesor&amp;")"</f>
        <v>FPM-it-1-0237 Infra. comunes de teleco en viviendas y edificios (Rafa Sanz)</v>
      </c>
      <c r="C31" s="667"/>
      <c r="E31" s="1105"/>
      <c r="F31" s="1105"/>
      <c r="G31" s="1105"/>
      <c r="H31" s="1105"/>
      <c r="I31" s="1105"/>
      <c r="J31" s="1105"/>
      <c r="K31" s="1105"/>
      <c r="L31" s="1105"/>
      <c r="M31" s="1105"/>
      <c r="N31" s="1106"/>
      <c r="O31" s="1105"/>
      <c r="P31" s="1105"/>
      <c r="Q31" s="1201"/>
      <c r="R31" s="1201"/>
      <c r="S31" s="1201"/>
      <c r="U31" s="1202"/>
      <c r="V31" s="1202"/>
      <c r="W31" s="1202"/>
      <c r="X31" s="1202"/>
      <c r="Y31" s="1202"/>
      <c r="Z31" s="1202"/>
      <c r="AA31" s="1202"/>
      <c r="AB31" s="1202"/>
      <c r="AC31" s="1202"/>
      <c r="AD31" s="1202"/>
      <c r="AE31" s="1202"/>
      <c r="AF31" s="1202"/>
      <c r="AG31" s="1202"/>
      <c r="AH31" s="1202"/>
      <c r="AI31" s="1202"/>
      <c r="AJ31" s="1202"/>
      <c r="AK31" s="1202"/>
      <c r="AL31" s="1202"/>
      <c r="AM31" s="1202"/>
      <c r="AN31" s="1202"/>
      <c r="AO31" s="1202"/>
      <c r="AP31" s="1202"/>
      <c r="AQ31" s="1202"/>
      <c r="AR31" s="1202"/>
      <c r="AS31" s="1202"/>
      <c r="AT31" s="1202"/>
    </row>
    <row r="32" spans="1:46" s="7" customFormat="1" x14ac:dyDescent="0.3">
      <c r="A32" s="578"/>
      <c r="B32" s="667"/>
      <c r="C32" s="667"/>
      <c r="E32" s="1105"/>
      <c r="F32" s="1105"/>
      <c r="G32" s="1105"/>
      <c r="H32" s="1105"/>
      <c r="I32" s="1105"/>
      <c r="J32" s="1105"/>
      <c r="K32" s="1105"/>
      <c r="L32" s="1105"/>
      <c r="M32" s="1105"/>
      <c r="N32" s="1106"/>
      <c r="O32" s="1105"/>
      <c r="P32" s="1105"/>
      <c r="Q32" s="1107"/>
      <c r="R32" s="1107"/>
      <c r="S32" s="1107"/>
      <c r="U32" s="672"/>
      <c r="V32" s="672"/>
      <c r="W32" s="672"/>
      <c r="X32" s="672"/>
      <c r="Y32" s="672"/>
      <c r="Z32" s="672"/>
      <c r="AA32" s="672"/>
      <c r="AB32" s="672"/>
      <c r="AC32" s="672"/>
      <c r="AD32" s="672"/>
      <c r="AE32" s="672"/>
      <c r="AF32" s="672"/>
      <c r="AG32" s="672"/>
      <c r="AH32" s="672"/>
      <c r="AI32" s="672"/>
      <c r="AJ32" s="672"/>
      <c r="AK32" s="672"/>
      <c r="AL32" s="672"/>
      <c r="AM32" s="672"/>
      <c r="AN32" s="672"/>
      <c r="AO32" s="672"/>
      <c r="AP32" s="672"/>
      <c r="AQ32" s="672"/>
      <c r="AR32" s="672"/>
      <c r="AS32" s="672"/>
      <c r="AT32" s="672"/>
    </row>
    <row r="33" spans="1:20" s="727" customFormat="1" ht="50.1" customHeight="1" x14ac:dyDescent="0.3">
      <c r="A33" s="71"/>
      <c r="B33" s="726">
        <v>11</v>
      </c>
      <c r="C33" s="1208">
        <f>DATE(YEAR(FechaInicio1Tri),B33,1)</f>
        <v>45962</v>
      </c>
      <c r="D33" s="1208"/>
      <c r="E33" s="1208"/>
      <c r="F33" s="1208"/>
      <c r="G33" s="1208"/>
      <c r="H33" s="1208"/>
      <c r="I33" s="855">
        <f>YEAR(FechaInicio1Tri)</f>
        <v>2025</v>
      </c>
      <c r="J33" s="71"/>
      <c r="K33" s="726">
        <v>12</v>
      </c>
      <c r="L33" s="1208">
        <f>DATE(YEAR(FechaInicio1Tri),K33,1)</f>
        <v>45992</v>
      </c>
      <c r="M33" s="1208"/>
      <c r="N33" s="1208"/>
      <c r="O33" s="1208"/>
      <c r="P33" s="1208"/>
      <c r="Q33" s="1208"/>
      <c r="R33" s="855">
        <f>YEAR(FechaInicio1Tri)</f>
        <v>2025</v>
      </c>
      <c r="S33" s="71"/>
    </row>
    <row r="34" spans="1:20" s="725" customFormat="1" ht="30" customHeight="1" x14ac:dyDescent="0.3">
      <c r="A34" s="466"/>
      <c r="B34" s="975" t="s">
        <v>220</v>
      </c>
      <c r="C34" s="971" t="s">
        <v>0</v>
      </c>
      <c r="D34" s="78" t="s">
        <v>1</v>
      </c>
      <c r="E34" s="78" t="s">
        <v>27</v>
      </c>
      <c r="F34" s="78" t="s">
        <v>2</v>
      </c>
      <c r="G34" s="78" t="s">
        <v>3</v>
      </c>
      <c r="H34" s="78" t="s">
        <v>28</v>
      </c>
      <c r="I34" s="972" t="s">
        <v>29</v>
      </c>
      <c r="J34" s="466"/>
      <c r="K34" s="975" t="s">
        <v>220</v>
      </c>
      <c r="L34" s="971" t="s">
        <v>0</v>
      </c>
      <c r="M34" s="78" t="s">
        <v>1</v>
      </c>
      <c r="N34" s="78" t="s">
        <v>27</v>
      </c>
      <c r="O34" s="78" t="s">
        <v>2</v>
      </c>
      <c r="P34" s="78" t="s">
        <v>3</v>
      </c>
      <c r="Q34" s="78" t="s">
        <v>28</v>
      </c>
      <c r="R34" s="972" t="s">
        <v>29</v>
      </c>
      <c r="S34" s="466"/>
    </row>
    <row r="35" spans="1:20" s="101" customFormat="1" ht="30" customHeight="1" x14ac:dyDescent="0.3">
      <c r="A35" s="15"/>
      <c r="B35" s="975">
        <f>_xlfn.ISOWEEKNUM(C33)</f>
        <v>44</v>
      </c>
      <c r="C35" s="973">
        <f>IF(WEEKDAY(C33,2)=1,C33,0)</f>
        <v>0</v>
      </c>
      <c r="D35" s="973">
        <f>IF(WEEKDAY(C33,2)=2, C33, IF(WEEKDAY(C33,2)&lt;2, C35+1,0))</f>
        <v>0</v>
      </c>
      <c r="E35" s="973">
        <f>IF(WEEKDAY(C33,2)=3, C33, IF(WEEKDAY(C33,2)&lt;3, D35+1,0))</f>
        <v>0</v>
      </c>
      <c r="F35" s="973">
        <f>IF(WEEKDAY(C33,2)=4, C33, IF(WEEKDAY(C33,2)&lt;4, E35+1,0))</f>
        <v>0</v>
      </c>
      <c r="G35" s="973">
        <f>IF(WEEKDAY(C33,2)=5, C33, IF(WEEKDAY(C33,2)&lt;5, F35+1,0))</f>
        <v>0</v>
      </c>
      <c r="H35" s="974">
        <f>IF(WEEKDAY(C33,2)=6, C33, IF(WEEKDAY(C33,2)&lt;6, G35+1,0))</f>
        <v>45962</v>
      </c>
      <c r="I35" s="974">
        <f>IF(WEEKDAY(C33,2)=7, C33, IF(WEEKDAY(C33,2)&lt;7, H35+1,0))</f>
        <v>45963</v>
      </c>
      <c r="J35" s="15"/>
      <c r="K35" s="975">
        <f>_xlfn.ISOWEEKNUM(L33)</f>
        <v>49</v>
      </c>
      <c r="L35" s="973">
        <f>IF(WEEKDAY(L33,2)=1,L33,0)</f>
        <v>45992</v>
      </c>
      <c r="M35" s="973">
        <f>IF(WEEKDAY(L33,2)=2, L33, IF(WEEKDAY(L33,2)&lt;2, L35+1,0))</f>
        <v>45993</v>
      </c>
      <c r="N35" s="973">
        <f>IF(WEEKDAY(L33,2)=3, L33, IF(WEEKDAY(L33,2)&lt;3, M35+1,0))</f>
        <v>45994</v>
      </c>
      <c r="O35" s="973">
        <f>IF(WEEKDAY(L33,2)=4, L33, IF(WEEKDAY(L33,2)&lt;4, N35+1,0))</f>
        <v>45995</v>
      </c>
      <c r="P35" s="973">
        <f>IF(WEEKDAY(L33,2)=5, L33, IF(WEEKDAY(L33,2)&lt;5, O35+1,0))</f>
        <v>45996</v>
      </c>
      <c r="Q35" s="974">
        <f>IF(WEEKDAY(L33,2)=6, L33, IF(WEEKDAY(L33,2)&lt;6, P35+1,0))</f>
        <v>45997</v>
      </c>
      <c r="R35" s="974">
        <f>IF(WEEKDAY(L33,2)=7, L33, IF(WEEKDAY(L33,2)&lt;7, Q35+1,0))</f>
        <v>45998</v>
      </c>
      <c r="S35" s="15"/>
      <c r="T35" s="15"/>
    </row>
    <row r="36" spans="1:20" s="101" customFormat="1" ht="30" customHeight="1" x14ac:dyDescent="0.3">
      <c r="A36" s="15"/>
      <c r="B36" s="738"/>
      <c r="C36" s="427">
        <f>IFERROR(_xlfn.XLOOKUP(C35,Flts!$I$14:$I$349,Flts!$C$14:$C$349),0)</f>
        <v>0</v>
      </c>
      <c r="D36" s="428">
        <f>IFERROR(_xlfn.XLOOKUP(D35,Flts!$I$14:$I$349,Flts!$C$14:$C$349),0)</f>
        <v>0</v>
      </c>
      <c r="E36" s="428">
        <f>IFERROR(_xlfn.XLOOKUP(E35,Flts!$I$14:$I$349,Flts!$C$14:$C$349),0)</f>
        <v>0</v>
      </c>
      <c r="F36" s="428">
        <f>IFERROR(_xlfn.XLOOKUP(F35,Flts!$I$14:$I$349,Flts!$C$14:$C$349),0)</f>
        <v>0</v>
      </c>
      <c r="G36" s="428">
        <f>IFERROR(_xlfn.XLOOKUP(G35,Flts!$I$14:$I$349,Flts!$C$14:$C$349),0)</f>
        <v>0</v>
      </c>
      <c r="H36" s="428">
        <f>IFERROR(_xlfn.XLOOKUP(H35,Flts!$I$14:$I$349,Flts!$C$14:$C$349),0)</f>
        <v>0</v>
      </c>
      <c r="I36" s="428">
        <f>IFERROR(_xlfn.XLOOKUP(I35,Flts!$I$14:$I$349,Flts!$C$14:$C$349),0)</f>
        <v>0</v>
      </c>
      <c r="J36" s="138"/>
      <c r="K36" s="738"/>
      <c r="L36" s="427">
        <f>IFERROR(_xlfn.XLOOKUP(L35,Flts!$I$14:$I$349,Flts!$C$14:$C$349),0)</f>
        <v>0</v>
      </c>
      <c r="M36" s="428">
        <f>IFERROR(_xlfn.XLOOKUP(M35,Flts!$I$14:$I$349,Flts!$C$14:$C$349),0)</f>
        <v>0</v>
      </c>
      <c r="N36" s="428">
        <f>IFERROR(_xlfn.XLOOKUP(N35,Flts!$I$14:$I$349,Flts!$C$14:$C$349),0)</f>
        <v>0</v>
      </c>
      <c r="O36" s="428">
        <f>IFERROR(_xlfn.XLOOKUP(O35,Flts!$I$14:$I$349,Flts!$C$14:$C$349),0)</f>
        <v>0</v>
      </c>
      <c r="P36" s="428">
        <f>IFERROR(_xlfn.XLOOKUP(P35,Flts!$I$14:$I$349,Flts!$C$14:$C$349),0)</f>
        <v>0</v>
      </c>
      <c r="Q36" s="428">
        <f>IFERROR(_xlfn.XLOOKUP(Q35,Flts!$I$14:$I$349,Flts!$C$14:$C$349),0)</f>
        <v>0</v>
      </c>
      <c r="R36" s="428">
        <f>IFERROR(_xlfn.XLOOKUP(R35,Flts!$I$14:$I$349,Flts!$C$14:$C$349),0)</f>
        <v>0</v>
      </c>
      <c r="S36" s="15"/>
      <c r="T36" s="15"/>
    </row>
    <row r="37" spans="1:20" s="320" customFormat="1" ht="30" customHeight="1" x14ac:dyDescent="0.3">
      <c r="A37" s="13"/>
      <c r="B37" s="738"/>
      <c r="C37" s="429">
        <f>IFERROR(_xlfn.XLOOKUP(C35,Flts!$I$14:$I$349,Flts!$D$14:$D$349),0)</f>
        <v>0</v>
      </c>
      <c r="D37" s="430">
        <f>IFERROR(_xlfn.XLOOKUP(D35,Flts!$I$14:$I$349,Flts!$D$14:$D$349),0)</f>
        <v>0</v>
      </c>
      <c r="E37" s="430">
        <f>IFERROR(_xlfn.XLOOKUP(E35,Flts!$I$14:$I$349,Flts!$D$14:$D$349),0)</f>
        <v>0</v>
      </c>
      <c r="F37" s="430">
        <f>IFERROR(_xlfn.XLOOKUP(F35,Flts!$I$14:$I$349,Flts!$D$14:$D$349),0)</f>
        <v>0</v>
      </c>
      <c r="G37" s="430">
        <f>IFERROR(_xlfn.XLOOKUP(G35,Flts!$I$14:$I$349,Flts!$D$14:$D$349),0)</f>
        <v>0</v>
      </c>
      <c r="H37" s="430">
        <f>IFERROR(_xlfn.XLOOKUP(H35,Flts!$I$14:$I$349,Flts!$D$14:$D$349),0)</f>
        <v>0</v>
      </c>
      <c r="I37" s="430">
        <f>IFERROR(_xlfn.XLOOKUP(I35,Flts!$I$14:$I$349,Flts!$D$14:$D$349),0)</f>
        <v>0</v>
      </c>
      <c r="J37" s="421"/>
      <c r="K37" s="738"/>
      <c r="L37" s="429">
        <f>IFERROR(_xlfn.XLOOKUP(L35,Flts!$I$14:$I$349,Flts!$D$14:$D$349),0)</f>
        <v>0</v>
      </c>
      <c r="M37" s="430">
        <f>IFERROR(_xlfn.XLOOKUP(M35,Flts!$I$14:$I$349,Flts!$D$14:$D$349),0)</f>
        <v>0</v>
      </c>
      <c r="N37" s="430" t="str">
        <f>IFERROR(_xlfn.XLOOKUP(N35,Flts!$I$14:$I$349,Flts!$D$14:$D$349),0)</f>
        <v>2ºGx-Junta 1ªEv.</v>
      </c>
      <c r="O37" s="430">
        <f>IFERROR(_xlfn.XLOOKUP(O35,Flts!$I$14:$I$349,Flts!$D$14:$D$349),0)</f>
        <v>0</v>
      </c>
      <c r="P37" s="430" t="str">
        <f>IFERROR(_xlfn.XLOOKUP(P35,Flts!$I$14:$I$349,Flts!$D$14:$D$349),0)</f>
        <v>2ºGx-Boletín 1ªEv.</v>
      </c>
      <c r="Q37" s="430">
        <f>IFERROR(_xlfn.XLOOKUP(Q35,Flts!$I$14:$I$349,Flts!$D$14:$D$349),0)</f>
        <v>0</v>
      </c>
      <c r="R37" s="430">
        <f>IFERROR(_xlfn.XLOOKUP(R35,Flts!$I$14:$I$349,Flts!$D$14:$D$349),0)</f>
        <v>0</v>
      </c>
      <c r="S37" s="13"/>
      <c r="T37" s="265"/>
    </row>
    <row r="38" spans="1:20" s="409" customFormat="1" ht="30" customHeight="1" x14ac:dyDescent="0.3">
      <c r="A38" s="286"/>
      <c r="B38" s="738"/>
      <c r="C38" s="431">
        <f>IFERROR(_xlfn.XLOOKUP(C35,Flts!$I$14:$I$349,Flts!$E$14:$E$349),0)</f>
        <v>0</v>
      </c>
      <c r="D38" s="432">
        <f>IFERROR(_xlfn.XLOOKUP(D35,Flts!$I$14:$I$349,Flts!$E$14:$E$349),0)</f>
        <v>0</v>
      </c>
      <c r="E38" s="432">
        <f>IFERROR(_xlfn.XLOOKUP(E35,Flts!$I$14:$I$349,Flts!$E$14:$E$349),0)</f>
        <v>0</v>
      </c>
      <c r="F38" s="432">
        <f>IFERROR(_xlfn.XLOOKUP(F35,Flts!$I$14:$I$349,Flts!$E$14:$E$349),0)</f>
        <v>0</v>
      </c>
      <c r="G38" s="432">
        <f>IFERROR(_xlfn.XLOOKUP(G35,Flts!$I$14:$I$349,Flts!$E$14:$E$349),0)</f>
        <v>0</v>
      </c>
      <c r="H38" s="433"/>
      <c r="I38" s="432"/>
      <c r="J38" s="366"/>
      <c r="K38" s="738"/>
      <c r="L38" s="431" t="str">
        <f>IFERROR(_xlfn.XLOOKUP(L35,Flts!$I$14:$I$349,Flts!$E$14:$E$349),0)</f>
        <v>UD02</v>
      </c>
      <c r="M38" s="432" t="str">
        <f>IFERROR(_xlfn.XLOOKUP(M35,Flts!$I$14:$I$349,Flts!$E$14:$E$349),0)</f>
        <v>UD02</v>
      </c>
      <c r="N38" s="432" t="str">
        <f>IFERROR(_xlfn.XLOOKUP(N35,Flts!$I$14:$I$349,Flts!$E$14:$E$349),0)</f>
        <v>UD02</v>
      </c>
      <c r="O38" s="432" t="str">
        <f>IFERROR(_xlfn.XLOOKUP(O35,Flts!$I$14:$I$349,Flts!$E$14:$E$349),0)</f>
        <v>UD02</v>
      </c>
      <c r="P38" s="432" t="str">
        <f>IFERROR(_xlfn.XLOOKUP(P35,Flts!$I$14:$I$349,Flts!$E$14:$E$349),0)</f>
        <v>UD02</v>
      </c>
      <c r="Q38" s="433"/>
      <c r="R38" s="432"/>
      <c r="S38" s="286"/>
      <c r="T38" s="366"/>
    </row>
    <row r="39" spans="1:20" s="101" customFormat="1" ht="30" customHeight="1" x14ac:dyDescent="0.3">
      <c r="A39" s="15"/>
      <c r="B39" s="975">
        <f>_xlfn.ISOWEEKNUM(C39)</f>
        <v>45</v>
      </c>
      <c r="C39" s="973">
        <f>I35+1</f>
        <v>45964</v>
      </c>
      <c r="D39" s="973">
        <f>C39+1</f>
        <v>45965</v>
      </c>
      <c r="E39" s="973">
        <f t="shared" ref="E39:I39" si="10">D39+1</f>
        <v>45966</v>
      </c>
      <c r="F39" s="973">
        <f t="shared" si="10"/>
        <v>45967</v>
      </c>
      <c r="G39" s="973">
        <f t="shared" si="10"/>
        <v>45968</v>
      </c>
      <c r="H39" s="974">
        <f t="shared" si="10"/>
        <v>45969</v>
      </c>
      <c r="I39" s="974">
        <f t="shared" si="10"/>
        <v>45970</v>
      </c>
      <c r="J39" s="15"/>
      <c r="K39" s="975">
        <f>_xlfn.ISOWEEKNUM(L39)</f>
        <v>50</v>
      </c>
      <c r="L39" s="973">
        <f>R35+1</f>
        <v>45999</v>
      </c>
      <c r="M39" s="973">
        <f>L39+1</f>
        <v>46000</v>
      </c>
      <c r="N39" s="973">
        <f t="shared" ref="N39:R39" si="11">M39+1</f>
        <v>46001</v>
      </c>
      <c r="O39" s="973">
        <f t="shared" si="11"/>
        <v>46002</v>
      </c>
      <c r="P39" s="973">
        <f t="shared" si="11"/>
        <v>46003</v>
      </c>
      <c r="Q39" s="974">
        <f t="shared" si="11"/>
        <v>46004</v>
      </c>
      <c r="R39" s="974">
        <f t="shared" si="11"/>
        <v>46005</v>
      </c>
      <c r="S39" s="15"/>
      <c r="T39" s="15"/>
    </row>
    <row r="40" spans="1:20" s="101" customFormat="1" ht="30" customHeight="1" x14ac:dyDescent="0.3">
      <c r="A40" s="15"/>
      <c r="B40" s="738"/>
      <c r="C40" s="434" t="str">
        <f>IFERROR(_xlfn.XLOOKUP(C39,Flts!$I$14:$I$349,Flts!$C$14:$C$349),0)</f>
        <v>TodosSantos</v>
      </c>
      <c r="D40" s="435">
        <f>IFERROR(_xlfn.XLOOKUP(D39,Flts!$I$14:$I$349,Flts!$C$14:$C$349),0)</f>
        <v>0</v>
      </c>
      <c r="E40" s="435">
        <f>IFERROR(_xlfn.XLOOKUP(E39,Flts!$I$14:$I$349,Flts!$C$14:$C$349),0)</f>
        <v>0</v>
      </c>
      <c r="F40" s="435">
        <f>IFERROR(_xlfn.XLOOKUP(F39,Flts!$I$14:$I$349,Flts!$C$14:$C$349),0)</f>
        <v>0</v>
      </c>
      <c r="G40" s="435">
        <f>IFERROR(_xlfn.XLOOKUP(G39,Flts!$I$14:$I$349,Flts!$C$14:$C$349),0)</f>
        <v>0</v>
      </c>
      <c r="H40" s="435">
        <f>IFERROR(_xlfn.XLOOKUP(H39,Flts!$I$14:$I$349,Flts!$C$14:$C$349),0)</f>
        <v>0</v>
      </c>
      <c r="I40" s="435">
        <f>IFERROR(_xlfn.XLOOKUP(I39,Flts!$I$14:$I$349,Flts!$C$14:$C$349),0)</f>
        <v>0</v>
      </c>
      <c r="J40" s="15"/>
      <c r="K40" s="738"/>
      <c r="L40" s="434" t="str">
        <f>IFERROR(_xlfn.XLOOKUP(L39,Flts!$I$14:$I$349,Flts!$C$14:$C$349),0)</f>
        <v>Constitución</v>
      </c>
      <c r="M40" s="435">
        <f>IFERROR(_xlfn.XLOOKUP(M39,Flts!$I$14:$I$349,Flts!$C$14:$C$349),0)</f>
        <v>0</v>
      </c>
      <c r="N40" s="435">
        <f>IFERROR(_xlfn.XLOOKUP(N39,Flts!$I$14:$I$349,Flts!$C$14:$C$349),0)</f>
        <v>0</v>
      </c>
      <c r="O40" s="435">
        <f>IFERROR(_xlfn.XLOOKUP(O39,Flts!$I$14:$I$349,Flts!$C$14:$C$349),0)</f>
        <v>0</v>
      </c>
      <c r="P40" s="435">
        <f>IFERROR(_xlfn.XLOOKUP(P39,Flts!$I$14:$I$349,Flts!$C$14:$C$349),0)</f>
        <v>0</v>
      </c>
      <c r="Q40" s="435">
        <f>IFERROR(_xlfn.XLOOKUP(Q39,Flts!$I$14:$I$349,Flts!$C$14:$C$349),0)</f>
        <v>0</v>
      </c>
      <c r="R40" s="435">
        <f>IFERROR(_xlfn.XLOOKUP(R39,Flts!$I$14:$I$349,Flts!$C$14:$C$349),0)</f>
        <v>0</v>
      </c>
      <c r="S40" s="15"/>
      <c r="T40" s="15"/>
    </row>
    <row r="41" spans="1:20" s="320" customFormat="1" ht="30" customHeight="1" x14ac:dyDescent="0.3">
      <c r="A41" s="13"/>
      <c r="B41" s="738"/>
      <c r="C41" s="436">
        <f>IFERROR(_xlfn.XLOOKUP(C39,Flts!$I$14:$I$349,Flts!$D$14:$D$349),0)</f>
        <v>0</v>
      </c>
      <c r="D41" s="437">
        <f>IFERROR(_xlfn.XLOOKUP(D39,Flts!$I$14:$I$349,Flts!$D$14:$D$349),0)</f>
        <v>0</v>
      </c>
      <c r="E41" s="437">
        <f>IFERROR(_xlfn.XLOOKUP(E39,Flts!$I$14:$I$349,Flts!$D$14:$D$349),0)</f>
        <v>0</v>
      </c>
      <c r="F41" s="437">
        <f>IFERROR(_xlfn.XLOOKUP(F39,Flts!$I$14:$I$349,Flts!$D$14:$D$349),0)</f>
        <v>0</v>
      </c>
      <c r="G41" s="437">
        <f>IFERROR(_xlfn.XLOOKUP(G39,Flts!$I$14:$I$349,Flts!$D$14:$D$349),0)</f>
        <v>0</v>
      </c>
      <c r="H41" s="437">
        <f>IFERROR(_xlfn.XLOOKUP(H39,Flts!$I$14:$I$349,Flts!$D$14:$D$349),0)</f>
        <v>0</v>
      </c>
      <c r="I41" s="437">
        <f>IFERROR(_xlfn.XLOOKUP(I39,Flts!$I$14:$I$349,Flts!$D$14:$D$349),0)</f>
        <v>0</v>
      </c>
      <c r="J41" s="265"/>
      <c r="K41" s="738"/>
      <c r="L41" s="436">
        <f>IFERROR(_xlfn.XLOOKUP(L39,Flts!$I$14:$I$349,Flts!$D$14:$D$349),0)</f>
        <v>0</v>
      </c>
      <c r="M41" s="437" t="str">
        <f>IFERROR(_xlfn.XLOOKUP(M39,Flts!$I$14:$I$349,Flts!$D$14:$D$349),0)</f>
        <v>2ºGS-S.Pry. ExOrd</v>
      </c>
      <c r="N41" s="437" t="str">
        <f>IFERROR(_xlfn.XLOOKUP(N39,Flts!$I$14:$I$349,Flts!$D$14:$D$349),0)</f>
        <v>2ºGS-S.Pry. ExOrd</v>
      </c>
      <c r="O41" s="437" t="str">
        <f>IFERROR(_xlfn.XLOOKUP(O39,Flts!$I$14:$I$349,Flts!$D$14:$D$349),0)</f>
        <v>2ºGS-S.Pry. ExOrd</v>
      </c>
      <c r="P41" s="437" t="str">
        <f>IFERROR(_xlfn.XLOOKUP(P39,Flts!$I$14:$I$349,Flts!$D$14:$D$349),0)</f>
        <v>2ºGS-S.Pry. ExOrd</v>
      </c>
      <c r="Q41" s="437">
        <f>IFERROR(_xlfn.XLOOKUP(Q39,Flts!$I$14:$I$349,Flts!$D$14:$D$349),0)</f>
        <v>0</v>
      </c>
      <c r="R41" s="437">
        <f>IFERROR(_xlfn.XLOOKUP(R39,Flts!$I$14:$I$349,Flts!$D$14:$D$349),0)</f>
        <v>0</v>
      </c>
      <c r="S41" s="13"/>
      <c r="T41" s="265"/>
    </row>
    <row r="42" spans="1:20" s="409" customFormat="1" ht="30" customHeight="1" x14ac:dyDescent="0.3">
      <c r="A42" s="286"/>
      <c r="B42" s="738"/>
      <c r="C42" s="438">
        <f>IFERROR(_xlfn.XLOOKUP(C39,Flts!$I$14:$I$349,Flts!$E$14:$E$349),0)</f>
        <v>0</v>
      </c>
      <c r="D42" s="432" t="str">
        <f>IFERROR(_xlfn.XLOOKUP(D39,Flts!$I$14:$I$349,Flts!$E$14:$E$349),0)</f>
        <v>UD01</v>
      </c>
      <c r="E42" s="432" t="str">
        <f>IFERROR(_xlfn.XLOOKUP(E39,Flts!$I$14:$I$349,Flts!$E$14:$E$349),0)</f>
        <v>UD01</v>
      </c>
      <c r="F42" s="432" t="str">
        <f>IFERROR(_xlfn.XLOOKUP(F39,Flts!$I$14:$I$349,Flts!$E$14:$E$349),0)</f>
        <v>UD02</v>
      </c>
      <c r="G42" s="432" t="str">
        <f>IFERROR(_xlfn.XLOOKUP(G39,Flts!$I$14:$I$349,Flts!$E$14:$E$349),0)</f>
        <v>UD02</v>
      </c>
      <c r="H42" s="433"/>
      <c r="I42" s="432"/>
      <c r="J42" s="366"/>
      <c r="K42" s="738"/>
      <c r="L42" s="438">
        <f>IFERROR(_xlfn.XLOOKUP(L39,Flts!$I$14:$I$349,Flts!$E$14:$E$349),0)</f>
        <v>0</v>
      </c>
      <c r="M42" s="432" t="str">
        <f>IFERROR(_xlfn.XLOOKUP(M39,Flts!$I$14:$I$349,Flts!$E$14:$E$349),0)</f>
        <v>UD02</v>
      </c>
      <c r="N42" s="432" t="str">
        <f>IFERROR(_xlfn.XLOOKUP(N39,Flts!$I$14:$I$349,Flts!$E$14:$E$349),0)</f>
        <v>UD02</v>
      </c>
      <c r="O42" s="432" t="str">
        <f>IFERROR(_xlfn.XLOOKUP(O39,Flts!$I$14:$I$349,Flts!$E$14:$E$349),0)</f>
        <v>UD02</v>
      </c>
      <c r="P42" s="432" t="str">
        <f>IFERROR(_xlfn.XLOOKUP(P39,Flts!$I$14:$I$349,Flts!$E$14:$E$349),0)</f>
        <v>UD02</v>
      </c>
      <c r="Q42" s="433"/>
      <c r="R42" s="432"/>
      <c r="S42" s="286"/>
      <c r="T42" s="366"/>
    </row>
    <row r="43" spans="1:20" s="101" customFormat="1" ht="30" customHeight="1" x14ac:dyDescent="0.3">
      <c r="A43" s="15"/>
      <c r="B43" s="975">
        <f>B39+1</f>
        <v>46</v>
      </c>
      <c r="C43" s="973">
        <f>I39+1</f>
        <v>45971</v>
      </c>
      <c r="D43" s="973">
        <f>C43+1</f>
        <v>45972</v>
      </c>
      <c r="E43" s="973">
        <f t="shared" ref="E43:I43" si="12">D43+1</f>
        <v>45973</v>
      </c>
      <c r="F43" s="973">
        <f t="shared" si="12"/>
        <v>45974</v>
      </c>
      <c r="G43" s="973">
        <f t="shared" si="12"/>
        <v>45975</v>
      </c>
      <c r="H43" s="974">
        <f t="shared" si="12"/>
        <v>45976</v>
      </c>
      <c r="I43" s="974">
        <f t="shared" si="12"/>
        <v>45977</v>
      </c>
      <c r="J43" s="15"/>
      <c r="K43" s="975">
        <f>K39+1</f>
        <v>51</v>
      </c>
      <c r="L43" s="973">
        <f>R39+1</f>
        <v>46006</v>
      </c>
      <c r="M43" s="973">
        <f>L43+1</f>
        <v>46007</v>
      </c>
      <c r="N43" s="973">
        <f t="shared" ref="N43:R43" si="13">M43+1</f>
        <v>46008</v>
      </c>
      <c r="O43" s="973">
        <f t="shared" si="13"/>
        <v>46009</v>
      </c>
      <c r="P43" s="973">
        <f t="shared" si="13"/>
        <v>46010</v>
      </c>
      <c r="Q43" s="974">
        <f t="shared" si="13"/>
        <v>46011</v>
      </c>
      <c r="R43" s="974">
        <f t="shared" si="13"/>
        <v>46012</v>
      </c>
      <c r="S43" s="15"/>
      <c r="T43" s="15"/>
    </row>
    <row r="44" spans="1:20" s="320" customFormat="1" ht="30" customHeight="1" x14ac:dyDescent="0.3">
      <c r="A44" s="13"/>
      <c r="B44" s="738"/>
      <c r="C44" s="436">
        <f>IFERROR(_xlfn.XLOOKUP(C43,Flts!$I$14:$I$349,Flts!$C$14:$C$349),0)</f>
        <v>0</v>
      </c>
      <c r="D44" s="437">
        <f>IFERROR(_xlfn.XLOOKUP(D43,Flts!$I$14:$I$349,Flts!$C$14:$C$349),0)</f>
        <v>0</v>
      </c>
      <c r="E44" s="437">
        <f>IFERROR(_xlfn.XLOOKUP(E43,Flts!$I$14:$I$349,Flts!$C$14:$C$349),0)</f>
        <v>0</v>
      </c>
      <c r="F44" s="437">
        <f>IFERROR(_xlfn.XLOOKUP(F43,Flts!$I$14:$I$349,Flts!$C$14:$C$349),0)</f>
        <v>0</v>
      </c>
      <c r="G44" s="437">
        <f>IFERROR(_xlfn.XLOOKUP(G43,Flts!$I$14:$I$349,Flts!$C$14:$C$349),0)</f>
        <v>0</v>
      </c>
      <c r="H44" s="437">
        <f>IFERROR(_xlfn.XLOOKUP(H43,Flts!$I$14:$I$349,Flts!$C$14:$C$349),0)</f>
        <v>0</v>
      </c>
      <c r="I44" s="437">
        <f>IFERROR(_xlfn.XLOOKUP(I43,Flts!$I$14:$I$349,Flts!$C$14:$C$349),0)</f>
        <v>0</v>
      </c>
      <c r="J44" s="265"/>
      <c r="K44" s="738"/>
      <c r="L44" s="436">
        <f>IFERROR(_xlfn.XLOOKUP(L43,Flts!$I$14:$I$349,Flts!$C$14:$C$349),0)</f>
        <v>0</v>
      </c>
      <c r="M44" s="437">
        <f>IFERROR(_xlfn.XLOOKUP(M43,Flts!$I$14:$I$349,Flts!$C$14:$C$349),0)</f>
        <v>0</v>
      </c>
      <c r="N44" s="430">
        <f>IFERROR(_xlfn.XLOOKUP(N43,Flts!$I$14:$I$349,Flts!$C$14:$C$349 ),"")</f>
        <v>0</v>
      </c>
      <c r="O44" s="437">
        <f>IFERROR(_xlfn.XLOOKUP(O43,Flts!$I$14:$I$349,Flts!$C$14:$C$349),0)</f>
        <v>0</v>
      </c>
      <c r="P44" s="437">
        <f>IFERROR(_xlfn.XLOOKUP(P43,Flts!$I$14:$I$349,Flts!$C$14:$C$349),0)</f>
        <v>0</v>
      </c>
      <c r="Q44" s="437">
        <f>IFERROR(_xlfn.XLOOKUP(Q43,Flts!$I$14:$I$349,Flts!$C$14:$C$349),0)</f>
        <v>0</v>
      </c>
      <c r="R44" s="437">
        <f>IFERROR(_xlfn.XLOOKUP(R43,Flts!$I$14:$I$349,Flts!$C$14:$C$349),0)</f>
        <v>0</v>
      </c>
      <c r="S44" s="13"/>
      <c r="T44" s="265"/>
    </row>
    <row r="45" spans="1:20" s="320" customFormat="1" ht="30" customHeight="1" x14ac:dyDescent="0.3">
      <c r="A45" s="13"/>
      <c r="B45" s="738"/>
      <c r="C45" s="436">
        <f>IFERROR(_xlfn.XLOOKUP(C43,Flts!$I$14:$I$349,Flts!$D$14:$D$349),0)</f>
        <v>0</v>
      </c>
      <c r="D45" s="437">
        <f>IFERROR(_xlfn.XLOOKUP(D43,Flts!$I$14:$I$349,Flts!$D$14:$D$349),0)</f>
        <v>0</v>
      </c>
      <c r="E45" s="437">
        <f>IFERROR(_xlfn.XLOOKUP(E43,Flts!$I$14:$I$349,Flts!$D$14:$D$349),0)</f>
        <v>0</v>
      </c>
      <c r="F45" s="437">
        <f>IFERROR(_xlfn.XLOOKUP(F43,Flts!$I$14:$I$349,Flts!$D$14:$D$349),0)</f>
        <v>0</v>
      </c>
      <c r="G45" s="437">
        <f>IFERROR(_xlfn.XLOOKUP(G43,Flts!$I$14:$I$349,Flts!$D$14:$D$349),0)</f>
        <v>0</v>
      </c>
      <c r="H45" s="437">
        <f>IFERROR(_xlfn.XLOOKUP(H43,Flts!$I$14:$I$349,Flts!$D$14:$D$349),0)</f>
        <v>0</v>
      </c>
      <c r="I45" s="437">
        <f>IFERROR(_xlfn.XLOOKUP(I43,Flts!$I$14:$I$349,Flts!$D$14:$D$349),0)</f>
        <v>0</v>
      </c>
      <c r="J45" s="265"/>
      <c r="K45" s="738"/>
      <c r="L45" s="436" t="str">
        <f>IFERROR(_xlfn.XLOOKUP(L43,Flts!$I$14:$I$349,Flts!$D$14:$D$349),0)</f>
        <v>2ºGS-Ev.FCT-PRY</v>
      </c>
      <c r="M45" s="437" t="str">
        <f>IFERROR(_xlfn.XLOOKUP(M43,Flts!$I$14:$I$349,Flts!$D$14:$D$349),0)</f>
        <v>2ºGS-Boletines FCT</v>
      </c>
      <c r="N45" s="430" t="str">
        <f>IFERROR(_xlfn.XLOOKUP(N43,Flts!$I$14:$I$349,Flts!$D$14:$D$349),0)</f>
        <v>2ºGx-Reclama+1d</v>
      </c>
      <c r="O45" s="437">
        <f>IFERROR(_xlfn.XLOOKUP(O43,Flts!$I$14:$I$349,Flts!$D$14:$D$349),0)</f>
        <v>0</v>
      </c>
      <c r="P45" s="437">
        <f>IFERROR(_xlfn.XLOOKUP(P43,Flts!$I$14:$I$349,Flts!$D$14:$D$349),0)</f>
        <v>0</v>
      </c>
      <c r="Q45" s="437">
        <f>IFERROR(_xlfn.XLOOKUP(Q43,Flts!$I$14:$I$349,Flts!$D$14:$D$349),0)</f>
        <v>0</v>
      </c>
      <c r="R45" s="437">
        <f>IFERROR(_xlfn.XLOOKUP(R43,Flts!$I$14:$I$349,Flts!$D$14:$D$349),0)</f>
        <v>0</v>
      </c>
      <c r="S45" s="13"/>
      <c r="T45" s="265"/>
    </row>
    <row r="46" spans="1:20" s="409" customFormat="1" ht="30" customHeight="1" x14ac:dyDescent="0.3">
      <c r="A46" s="286"/>
      <c r="B46" s="738"/>
      <c r="C46" s="438" t="str">
        <f>IFERROR(_xlfn.XLOOKUP(C43,Flts!$I$14:$I$349,Flts!$E$14:$E$349),0)</f>
        <v>UD02</v>
      </c>
      <c r="D46" s="432" t="str">
        <f>IFERROR(_xlfn.XLOOKUP(D43,Flts!$I$14:$I$349,Flts!$E$14:$E$349),0)</f>
        <v>UD02</v>
      </c>
      <c r="E46" s="432" t="str">
        <f>IFERROR(_xlfn.XLOOKUP(E43,Flts!$I$14:$I$349,Flts!$E$14:$E$349),0)</f>
        <v>UD02</v>
      </c>
      <c r="F46" s="432" t="str">
        <f>IFERROR(_xlfn.XLOOKUP(F43,Flts!$I$14:$I$349,Flts!$E$14:$E$349),0)</f>
        <v>UD02</v>
      </c>
      <c r="G46" s="432" t="str">
        <f>IFERROR(_xlfn.XLOOKUP(G43,Flts!$I$14:$I$349,Flts!$E$14:$E$349),0)</f>
        <v>UD02</v>
      </c>
      <c r="H46" s="433"/>
      <c r="I46" s="432"/>
      <c r="J46" s="366"/>
      <c r="K46" s="738"/>
      <c r="L46" s="438" t="str">
        <f>IFERROR(_xlfn.XLOOKUP(L43,Flts!$I$14:$I$349,Flts!$E$14:$E$349),0)</f>
        <v>UD02</v>
      </c>
      <c r="M46" s="432" t="str">
        <f>IFERROR(_xlfn.XLOOKUP(M43,Flts!$I$14:$I$349,Flts!$E$14:$E$349),0)</f>
        <v>UD02</v>
      </c>
      <c r="N46" s="432" t="str">
        <f>IFERROR(_xlfn.XLOOKUP(N43,Flts!$I$14:$I$349,Flts!$E$14:$E$349),0)</f>
        <v>UD02</v>
      </c>
      <c r="O46" s="432" t="str">
        <f>IFERROR(_xlfn.XLOOKUP(O43,Flts!$I$14:$I$349,Flts!$E$14:$E$349),0)</f>
        <v>UD02</v>
      </c>
      <c r="P46" s="432" t="str">
        <f>IFERROR(_xlfn.XLOOKUP(P43,Flts!$I$14:$I$349,Flts!$E$14:$E$349),0)</f>
        <v>UD02</v>
      </c>
      <c r="Q46" s="433"/>
      <c r="R46" s="432"/>
      <c r="S46" s="286"/>
      <c r="T46" s="366"/>
    </row>
    <row r="47" spans="1:20" s="101" customFormat="1" ht="30" customHeight="1" x14ac:dyDescent="0.3">
      <c r="A47" s="15"/>
      <c r="B47" s="975">
        <f>B43+1</f>
        <v>47</v>
      </c>
      <c r="C47" s="973">
        <f>I43+1</f>
        <v>45978</v>
      </c>
      <c r="D47" s="973">
        <f>C47+1</f>
        <v>45979</v>
      </c>
      <c r="E47" s="973">
        <f t="shared" ref="E47:I47" si="14">D47+1</f>
        <v>45980</v>
      </c>
      <c r="F47" s="973">
        <f t="shared" si="14"/>
        <v>45981</v>
      </c>
      <c r="G47" s="973">
        <f t="shared" si="14"/>
        <v>45982</v>
      </c>
      <c r="H47" s="974">
        <f t="shared" si="14"/>
        <v>45983</v>
      </c>
      <c r="I47" s="974">
        <f t="shared" si="14"/>
        <v>45984</v>
      </c>
      <c r="J47" s="15"/>
      <c r="K47" s="975">
        <f>K43+1</f>
        <v>52</v>
      </c>
      <c r="L47" s="973">
        <f>R43+1</f>
        <v>46013</v>
      </c>
      <c r="M47" s="973">
        <f>L47+1</f>
        <v>46014</v>
      </c>
      <c r="N47" s="973">
        <f t="shared" ref="N47:R47" si="15">M47+1</f>
        <v>46015</v>
      </c>
      <c r="O47" s="973">
        <f t="shared" si="15"/>
        <v>46016</v>
      </c>
      <c r="P47" s="973">
        <f t="shared" si="15"/>
        <v>46017</v>
      </c>
      <c r="Q47" s="974">
        <f t="shared" si="15"/>
        <v>46018</v>
      </c>
      <c r="R47" s="974">
        <f t="shared" si="15"/>
        <v>46019</v>
      </c>
      <c r="S47" s="15"/>
      <c r="T47" s="15"/>
    </row>
    <row r="48" spans="1:20" s="101" customFormat="1" ht="30" customHeight="1" x14ac:dyDescent="0.3">
      <c r="A48" s="15"/>
      <c r="B48" s="738"/>
      <c r="C48" s="434">
        <f>IFERROR(_xlfn.XLOOKUP(C47,Flts!$I$14:$I$349,Flts!$C$14:$C$349),0)</f>
        <v>0</v>
      </c>
      <c r="D48" s="435">
        <f>IFERROR(_xlfn.XLOOKUP(D47,Flts!$I$14:$I$349,Flts!$C$14:$C$349),0)</f>
        <v>0</v>
      </c>
      <c r="E48" s="435">
        <f>IFERROR(_xlfn.XLOOKUP(E47,Flts!$I$14:$I$349,Flts!$C$14:$C$349),0)</f>
        <v>0</v>
      </c>
      <c r="F48" s="435">
        <f>IFERROR(_xlfn.XLOOKUP(F47,Flts!$I$14:$I$349,Flts!$C$14:$C$349),0)</f>
        <v>0</v>
      </c>
      <c r="G48" s="435">
        <f>IFERROR(_xlfn.XLOOKUP(G47,Flts!$I$14:$I$349,Flts!$C$14:$C$349),0)</f>
        <v>0</v>
      </c>
      <c r="H48" s="435">
        <f>IFERROR(_xlfn.XLOOKUP(H47,Flts!$I$14:$I$349,Flts!$C$14:$C$349),0)</f>
        <v>0</v>
      </c>
      <c r="I48" s="435">
        <f>IFERROR(_xlfn.XLOOKUP(I47,Flts!$I$14:$I$349,Flts!$C$14:$C$349),0)</f>
        <v>0</v>
      </c>
      <c r="J48" s="15"/>
      <c r="K48" s="738"/>
      <c r="L48" s="434" t="str">
        <f>IFERROR(_xlfn.XLOOKUP(L47,Flts!$I$14:$I$349,Flts!$C$14:$C$349),0)</f>
        <v>Navidad</v>
      </c>
      <c r="M48" s="435" t="str">
        <f>IFERROR(_xlfn.XLOOKUP(M47,Flts!$I$14:$I$349,Flts!$C$14:$C$349),0)</f>
        <v>Navidad</v>
      </c>
      <c r="N48" s="435" t="str">
        <f>IFERROR(_xlfn.XLOOKUP(N47,Flts!$I$14:$I$349,Flts!$C$14:$C$349),0)</f>
        <v>Navidad</v>
      </c>
      <c r="O48" s="435" t="str">
        <f>IFERROR(_xlfn.XLOOKUP(O47,Flts!$I$14:$I$349,Flts!$C$14:$C$349),0)</f>
        <v>Navidad</v>
      </c>
      <c r="P48" s="435" t="str">
        <f>IFERROR(_xlfn.XLOOKUP(P47,Flts!$I$14:$I$349,Flts!$C$14:$C$349),0)</f>
        <v>Navidad</v>
      </c>
      <c r="Q48" s="435">
        <f>IFERROR(_xlfn.XLOOKUP(Q47,Flts!$I$14:$I$349,Flts!$C$14:$C$349),0)</f>
        <v>0</v>
      </c>
      <c r="R48" s="435">
        <f>IFERROR(_xlfn.XLOOKUP(R47,Flts!$I$14:$I$349,Flts!$C$14:$C$349),0)</f>
        <v>0</v>
      </c>
      <c r="S48" s="15"/>
      <c r="T48" s="15"/>
    </row>
    <row r="49" spans="1:46" s="320" customFormat="1" ht="30" customHeight="1" x14ac:dyDescent="0.3">
      <c r="A49" s="13"/>
      <c r="B49" s="738"/>
      <c r="C49" s="436" t="str">
        <f>IFERROR(_xlfn.XLOOKUP(C47,Flts!$I$14:$I$349,Flts!$D$14:$D$349),0)</f>
        <v>1ºGx-Exam.1ªEv.</v>
      </c>
      <c r="D49" s="437">
        <f>IFERROR(_xlfn.XLOOKUP(D47,Flts!$I$14:$I$349,Flts!$D$14:$D$349),0)</f>
        <v>0</v>
      </c>
      <c r="E49" s="437">
        <f>IFERROR(_xlfn.XLOOKUP(E47,Flts!$I$14:$I$349,Flts!$D$14:$D$349),0)</f>
        <v>0</v>
      </c>
      <c r="F49" s="437">
        <f>IFERROR(_xlfn.XLOOKUP(F47,Flts!$I$14:$I$349,Flts!$D$14:$D$349),0)</f>
        <v>0</v>
      </c>
      <c r="G49" s="437">
        <f>IFERROR(_xlfn.XLOOKUP(G47,Flts!$I$14:$I$349,Flts!$D$14:$D$349),0)</f>
        <v>0</v>
      </c>
      <c r="H49" s="437">
        <f>IFERROR(_xlfn.XLOOKUP(H47,Flts!$I$14:$I$349,Flts!$D$14:$D$349),0)</f>
        <v>0</v>
      </c>
      <c r="I49" s="437">
        <f>IFERROR(_xlfn.XLOOKUP(I47,Flts!$I$14:$I$349,Flts!$D$14:$D$349),0)</f>
        <v>0</v>
      </c>
      <c r="J49" s="265"/>
      <c r="K49" s="738"/>
      <c r="L49" s="436">
        <f>IFERROR(_xlfn.XLOOKUP(L47,Flts!$I$14:$I$349,Flts!$D$14:$D$349),0)</f>
        <v>0</v>
      </c>
      <c r="M49" s="437">
        <f>IFERROR(_xlfn.XLOOKUP(M47,Flts!$I$14:$I$349,Flts!$D$14:$D$349),0)</f>
        <v>0</v>
      </c>
      <c r="N49" s="437">
        <f>IFERROR(_xlfn.XLOOKUP(N47,Flts!$I$14:$I$349,Flts!$D$14:$D$349),0)</f>
        <v>0</v>
      </c>
      <c r="O49" s="437">
        <f>IFERROR(_xlfn.XLOOKUP(O47,Flts!$I$14:$I$349,Flts!$D$14:$D$349),0)</f>
        <v>0</v>
      </c>
      <c r="P49" s="437">
        <f>IFERROR(_xlfn.XLOOKUP(P47,Flts!$I$14:$I$349,Flts!$D$14:$D$349),0)</f>
        <v>0</v>
      </c>
      <c r="Q49" s="437">
        <f>IFERROR(_xlfn.XLOOKUP(Q47,Flts!$I$14:$I$349,Flts!$D$14:$D$349),0)</f>
        <v>0</v>
      </c>
      <c r="R49" s="437">
        <f>IFERROR(_xlfn.XLOOKUP(R47,Flts!$I$14:$I$349,Flts!$D$14:$D$349),0)</f>
        <v>0</v>
      </c>
      <c r="S49" s="13"/>
      <c r="T49" s="265"/>
    </row>
    <row r="50" spans="1:46" s="409" customFormat="1" ht="30" customHeight="1" x14ac:dyDescent="0.3">
      <c r="A50" s="286"/>
      <c r="B50" s="738"/>
      <c r="C50" s="438" t="str">
        <f>IFERROR(_xlfn.XLOOKUP(C47,Flts!$I$14:$I$349,Flts!$E$14:$E$349),0)</f>
        <v>UD02</v>
      </c>
      <c r="D50" s="432" t="str">
        <f>IFERROR(_xlfn.XLOOKUP(D47,Flts!$I$14:$I$349,Flts!$E$14:$E$349),0)</f>
        <v>UD02</v>
      </c>
      <c r="E50" s="432" t="str">
        <f>IFERROR(_xlfn.XLOOKUP(E47,Flts!$I$14:$I$349,Flts!$E$14:$E$349),0)</f>
        <v>UD02</v>
      </c>
      <c r="F50" s="432" t="str">
        <f>IFERROR(_xlfn.XLOOKUP(F47,Flts!$I$14:$I$349,Flts!$E$14:$E$349),0)</f>
        <v>UD02</v>
      </c>
      <c r="G50" s="432" t="str">
        <f>IFERROR(_xlfn.XLOOKUP(G47,Flts!$I$14:$I$349,Flts!$E$14:$E$349),0)</f>
        <v>UD02</v>
      </c>
      <c r="H50" s="433"/>
      <c r="I50" s="432"/>
      <c r="J50" s="366"/>
      <c r="K50" s="738"/>
      <c r="L50" s="438">
        <f>IFERROR(_xlfn.XLOOKUP(L47,Flts!$I$14:$I$349,Flts!$E$14:$E$349),0)</f>
        <v>0</v>
      </c>
      <c r="M50" s="432">
        <f>IFERROR(_xlfn.XLOOKUP(M47,Flts!$I$14:$I$349,Flts!$E$14:$E$349),0)</f>
        <v>0</v>
      </c>
      <c r="N50" s="432">
        <f>IFERROR(_xlfn.XLOOKUP(N47,Flts!$I$14:$I$349,Flts!$E$14:$E$349),0)</f>
        <v>0</v>
      </c>
      <c r="O50" s="432">
        <f>IFERROR(_xlfn.XLOOKUP(O47,Flts!$I$14:$I$349,Flts!$E$14:$E$349),0)</f>
        <v>0</v>
      </c>
      <c r="P50" s="432">
        <f>IFERROR(_xlfn.XLOOKUP(P47,Flts!$I$14:$I$349,Flts!$E$14:$E$349),0)</f>
        <v>0</v>
      </c>
      <c r="Q50" s="433"/>
      <c r="R50" s="432"/>
      <c r="S50" s="286"/>
      <c r="T50" s="366"/>
    </row>
    <row r="51" spans="1:46" s="101" customFormat="1" ht="30" customHeight="1" x14ac:dyDescent="0.3">
      <c r="A51" s="15"/>
      <c r="B51" s="975">
        <f>IF(C51&lt;&gt;0,B47+1,0)</f>
        <v>48</v>
      </c>
      <c r="C51" s="973">
        <f t="shared" ref="C51:I51" si="16">IF(MONTH(C43+14)=MONTH(C43), C43+14, 0)</f>
        <v>45985</v>
      </c>
      <c r="D51" s="973">
        <f t="shared" si="16"/>
        <v>45986</v>
      </c>
      <c r="E51" s="973">
        <f t="shared" si="16"/>
        <v>45987</v>
      </c>
      <c r="F51" s="973">
        <f t="shared" si="16"/>
        <v>45988</v>
      </c>
      <c r="G51" s="973">
        <f t="shared" si="16"/>
        <v>45989</v>
      </c>
      <c r="H51" s="974">
        <f t="shared" si="16"/>
        <v>45990</v>
      </c>
      <c r="I51" s="974">
        <f t="shared" si="16"/>
        <v>45991</v>
      </c>
      <c r="J51" s="15"/>
      <c r="K51" s="975">
        <f>IF(L51&lt;&gt;0,K47+1,0)</f>
        <v>53</v>
      </c>
      <c r="L51" s="973">
        <f t="shared" ref="L51:R51" si="17">IF(MONTH(L43+14)=MONTH(L43), L43+14, 0)</f>
        <v>46020</v>
      </c>
      <c r="M51" s="973">
        <f t="shared" si="17"/>
        <v>46021</v>
      </c>
      <c r="N51" s="973">
        <f t="shared" si="17"/>
        <v>46022</v>
      </c>
      <c r="O51" s="973">
        <f t="shared" si="17"/>
        <v>0</v>
      </c>
      <c r="P51" s="973">
        <f t="shared" si="17"/>
        <v>0</v>
      </c>
      <c r="Q51" s="974">
        <f t="shared" si="17"/>
        <v>0</v>
      </c>
      <c r="R51" s="974">
        <f t="shared" si="17"/>
        <v>0</v>
      </c>
      <c r="S51" s="15"/>
      <c r="T51" s="15"/>
    </row>
    <row r="52" spans="1:46" s="101" customFormat="1" ht="30" customHeight="1" x14ac:dyDescent="0.3">
      <c r="A52" s="15"/>
      <c r="B52" s="738"/>
      <c r="C52" s="439">
        <f>IFERROR(_xlfn.XLOOKUP(C51,Flts!$I$14:$I$349,Flts!$C$14:$C$349),0)</f>
        <v>0</v>
      </c>
      <c r="D52" s="428">
        <f>IFERROR(_xlfn.XLOOKUP(D51,Flts!$I$14:$I$349,Flts!$C$14:$C$349),0)</f>
        <v>0</v>
      </c>
      <c r="E52" s="428">
        <f>IFERROR(_xlfn.XLOOKUP(E51,Flts!$I$14:$I$349,Flts!$C$14:$C$349),0)</f>
        <v>0</v>
      </c>
      <c r="F52" s="428">
        <f>IFERROR(_xlfn.XLOOKUP(F51,Flts!$I$14:$I$349,Flts!$C$14:$C$349),0)</f>
        <v>0</v>
      </c>
      <c r="G52" s="428">
        <f>IFERROR(_xlfn.XLOOKUP(G51,Flts!$I$14:$I$349,Flts!$C$14:$C$349),0)</f>
        <v>0</v>
      </c>
      <c r="H52" s="428">
        <f>IFERROR(_xlfn.XLOOKUP(H51,Flts!$I$14:$I$349,Flts!$C$14:$C$349),0)</f>
        <v>0</v>
      </c>
      <c r="I52" s="428">
        <f>IFERROR(_xlfn.XLOOKUP(I51,Flts!$I$14:$I$349,Flts!$C$14:$C$349),0)</f>
        <v>0</v>
      </c>
      <c r="J52" s="138"/>
      <c r="K52" s="738"/>
      <c r="L52" s="439" t="str">
        <f>IFERROR(_xlfn.XLOOKUP(L51,Flts!$I$14:$I$349,Flts!$C$14:$C$349),0)</f>
        <v>Navidad</v>
      </c>
      <c r="M52" s="428" t="str">
        <f>IFERROR(_xlfn.XLOOKUP(M51,Flts!$I$14:$I$349,Flts!$C$14:$C$349),0)</f>
        <v>Navidad</v>
      </c>
      <c r="N52" s="428" t="str">
        <f>IFERROR(_xlfn.XLOOKUP(N51,Flts!$I$14:$I$349,Flts!$C$14:$C$349),0)</f>
        <v>Navidad</v>
      </c>
      <c r="O52" s="428">
        <f>IFERROR(_xlfn.XLOOKUP(O51,Flts!$I$14:$I$349,Flts!$C$14:$C$349),0)</f>
        <v>0</v>
      </c>
      <c r="P52" s="428">
        <f>IFERROR(_xlfn.XLOOKUP(P51,Flts!$I$14:$I$349,Flts!$C$14:$C$349),0)</f>
        <v>0</v>
      </c>
      <c r="Q52" s="428">
        <f>IFERROR(_xlfn.XLOOKUP(Q51,Flts!$I$14:$I$349,Flts!$C$14:$C$349),0)</f>
        <v>0</v>
      </c>
      <c r="R52" s="428">
        <f>IFERROR(_xlfn.XLOOKUP(R51,Flts!$I$14:$I$349,Flts!$C$14:$C$349),0)</f>
        <v>0</v>
      </c>
      <c r="S52" s="15"/>
      <c r="T52" s="15"/>
    </row>
    <row r="53" spans="1:46" s="320" customFormat="1" ht="30" customHeight="1" x14ac:dyDescent="0.3">
      <c r="A53" s="13"/>
      <c r="B53" s="738"/>
      <c r="C53" s="440">
        <f>IFERROR(_xlfn.XLOOKUP(C51,Flts!$I$14:$I$349,Flts!$D$14:$D$349),0)</f>
        <v>0</v>
      </c>
      <c r="D53" s="430">
        <f>IFERROR(_xlfn.XLOOKUP(D51,Flts!$I$14:$I$349,Flts!$D$14:$D$349),0)</f>
        <v>0</v>
      </c>
      <c r="E53" s="430" t="str">
        <f>IFERROR(_xlfn.XLOOKUP(E51,Flts!$I$14:$I$349,Flts!$D$14:$D$349),0)</f>
        <v>1ºGx-Junta 1ªEv.</v>
      </c>
      <c r="F53" s="430">
        <f>IFERROR(_xlfn.XLOOKUP(F51,Flts!$I$14:$I$349,Flts!$D$14:$D$349),0)</f>
        <v>0</v>
      </c>
      <c r="G53" s="430" t="str">
        <f>IFERROR(_xlfn.XLOOKUP(G51,Flts!$I$14:$I$349,Flts!$D$14:$D$349),0)</f>
        <v>1ºGx-Boletín 1ªEv.</v>
      </c>
      <c r="H53" s="430">
        <f>IFERROR(_xlfn.XLOOKUP(H51,Flts!$I$14:$I$349,Flts!$D$14:$D$349),0)</f>
        <v>0</v>
      </c>
      <c r="I53" s="430">
        <f>IFERROR(_xlfn.XLOOKUP(I51,Flts!$I$14:$I$349,Flts!$D$14:$D$349),0)</f>
        <v>0</v>
      </c>
      <c r="J53" s="421"/>
      <c r="K53" s="738"/>
      <c r="L53" s="440">
        <f>IFERROR(_xlfn.XLOOKUP(L51,Flts!$I$14:$I$349,Flts!$D$14:$D$349),0)</f>
        <v>0</v>
      </c>
      <c r="M53" s="430">
        <f>IFERROR(_xlfn.XLOOKUP(M51,Flts!$I$14:$I$349,Flts!$D$14:$D$349),0)</f>
        <v>0</v>
      </c>
      <c r="N53" s="430">
        <f>IFERROR(_xlfn.XLOOKUP(N51,Flts!$I$14:$I$349,Flts!$D$14:$D$349),0)</f>
        <v>0</v>
      </c>
      <c r="O53" s="430">
        <f>IFERROR(_xlfn.XLOOKUP(O51,Flts!$I$14:$I$349,Flts!$D$14:$D$349),0)</f>
        <v>0</v>
      </c>
      <c r="P53" s="430">
        <f>IFERROR(_xlfn.XLOOKUP(P51,Flts!$I$14:$I$349,Flts!$D$14:$D$349),0)</f>
        <v>0</v>
      </c>
      <c r="Q53" s="430">
        <f>IFERROR(_xlfn.XLOOKUP(Q51,Flts!$I$14:$I$349,Flts!$D$14:$D$349),0)</f>
        <v>0</v>
      </c>
      <c r="R53" s="430">
        <f>IFERROR(_xlfn.XLOOKUP(R51,Flts!$I$14:$I$349,Flts!$D$14:$D$349),0)</f>
        <v>0</v>
      </c>
      <c r="S53" s="13"/>
      <c r="T53" s="265"/>
    </row>
    <row r="54" spans="1:46" s="409" customFormat="1" ht="30" customHeight="1" x14ac:dyDescent="0.3">
      <c r="A54" s="286"/>
      <c r="B54" s="738"/>
      <c r="C54" s="438" t="str">
        <f>IFERROR(_xlfn.XLOOKUP(C51,Flts!$I$14:$I$349,Flts!$E$14:$E$349),0)</f>
        <v>UD02</v>
      </c>
      <c r="D54" s="432" t="str">
        <f>IFERROR(_xlfn.XLOOKUP(D51,Flts!$I$14:$I$349,Flts!$E$14:$E$349),0)</f>
        <v>UD02</v>
      </c>
      <c r="E54" s="432" t="str">
        <f>IFERROR(_xlfn.XLOOKUP(E51,Flts!$I$14:$I$349,Flts!$E$14:$E$349),0)</f>
        <v>UD02</v>
      </c>
      <c r="F54" s="432" t="str">
        <f>IFERROR(_xlfn.XLOOKUP(F51,Flts!$I$14:$I$349,Flts!$E$14:$E$349),0)</f>
        <v>UD02</v>
      </c>
      <c r="G54" s="432" t="str">
        <f>IFERROR(_xlfn.XLOOKUP(G51,Flts!$I$14:$I$349,Flts!$E$14:$E$349),0)</f>
        <v>UD02</v>
      </c>
      <c r="H54" s="433"/>
      <c r="I54" s="432"/>
      <c r="J54" s="366"/>
      <c r="K54" s="738"/>
      <c r="L54" s="438">
        <f>IFERROR(_xlfn.XLOOKUP(L51,Flts!$I$14:$I$349,Flts!$E$14:$E$349),0)</f>
        <v>0</v>
      </c>
      <c r="M54" s="432">
        <f>IFERROR(_xlfn.XLOOKUP(M51,Flts!$I$14:$I$349,Flts!$E$14:$E$349),0)</f>
        <v>0</v>
      </c>
      <c r="N54" s="432">
        <f>IFERROR(_xlfn.XLOOKUP(N51,Flts!$I$14:$I$349,Flts!$E$14:$E$349),0)</f>
        <v>0</v>
      </c>
      <c r="O54" s="432">
        <f>IFERROR(_xlfn.XLOOKUP(O51,Flts!$I$14:$I$349,Flts!$E$14:$E$349),0)</f>
        <v>0</v>
      </c>
      <c r="P54" s="432">
        <f>IFERROR(_xlfn.XLOOKUP(P51,Flts!$I$14:$I$349,Flts!$E$14:$E$349),0)</f>
        <v>0</v>
      </c>
      <c r="Q54" s="433"/>
      <c r="R54" s="432"/>
      <c r="S54" s="286"/>
      <c r="T54" s="366"/>
    </row>
    <row r="55" spans="1:46" s="101" customFormat="1" ht="30" customHeight="1" x14ac:dyDescent="0.3">
      <c r="A55" s="15"/>
      <c r="B55" s="975">
        <f>IF(C55&lt;&gt;0,B51+1,0)</f>
        <v>0</v>
      </c>
      <c r="C55" s="973">
        <f t="shared" ref="C55:I55" si="18">IF(MONTH(C47+14)=MONTH(C47), C47+14, 0)</f>
        <v>0</v>
      </c>
      <c r="D55" s="973">
        <f t="shared" si="18"/>
        <v>0</v>
      </c>
      <c r="E55" s="973">
        <f t="shared" si="18"/>
        <v>0</v>
      </c>
      <c r="F55" s="973">
        <f t="shared" si="18"/>
        <v>0</v>
      </c>
      <c r="G55" s="973">
        <f t="shared" si="18"/>
        <v>0</v>
      </c>
      <c r="H55" s="974">
        <f t="shared" si="18"/>
        <v>0</v>
      </c>
      <c r="I55" s="974">
        <f t="shared" si="18"/>
        <v>0</v>
      </c>
      <c r="J55" s="15"/>
      <c r="K55" s="975">
        <f>IF(L55&lt;&gt;0,K51+1,0)</f>
        <v>0</v>
      </c>
      <c r="L55" s="973">
        <f t="shared" ref="L55:R55" si="19">IF(MONTH(L47+14)=MONTH(L47), L47+14, 0)</f>
        <v>0</v>
      </c>
      <c r="M55" s="973">
        <f t="shared" si="19"/>
        <v>0</v>
      </c>
      <c r="N55" s="973">
        <f t="shared" si="19"/>
        <v>0</v>
      </c>
      <c r="O55" s="973">
        <f t="shared" si="19"/>
        <v>0</v>
      </c>
      <c r="P55" s="973">
        <f t="shared" si="19"/>
        <v>0</v>
      </c>
      <c r="Q55" s="974">
        <f t="shared" si="19"/>
        <v>0</v>
      </c>
      <c r="R55" s="974">
        <f t="shared" si="19"/>
        <v>0</v>
      </c>
      <c r="S55" s="15"/>
      <c r="T55" s="15"/>
    </row>
    <row r="56" spans="1:46" s="101" customFormat="1" ht="30" customHeight="1" x14ac:dyDescent="0.3">
      <c r="A56" s="15"/>
      <c r="B56" s="738"/>
      <c r="C56" s="434">
        <f>IFERROR(_xlfn.XLOOKUP(C55,Flts!$I$14:$I$349,Flts!$C$14:$C$349),0)</f>
        <v>0</v>
      </c>
      <c r="D56" s="435">
        <f>IFERROR(_xlfn.XLOOKUP(D55,Flts!$I$14:$I$349,Flts!$C$14:$C$349),0)</f>
        <v>0</v>
      </c>
      <c r="E56" s="435">
        <f>IFERROR(_xlfn.XLOOKUP(E55,Flts!$I$14:$I$349,Flts!$C$14:$C$349),0)</f>
        <v>0</v>
      </c>
      <c r="F56" s="435">
        <f>IFERROR(_xlfn.XLOOKUP(F55,Flts!$I$14:$I$349,Flts!$C$14:$C$349),0)</f>
        <v>0</v>
      </c>
      <c r="G56" s="435">
        <f>IFERROR(_xlfn.XLOOKUP(G55,Flts!$I$14:$I$349,Flts!$C$14:$C$349),0)</f>
        <v>0</v>
      </c>
      <c r="H56" s="435">
        <f>IFERROR(_xlfn.XLOOKUP(H55,Flts!$I$14:$I$349,Flts!$C$14:$C$349),0)</f>
        <v>0</v>
      </c>
      <c r="I56" s="435">
        <f>IFERROR(_xlfn.XLOOKUP(I55,Flts!$I$14:$I$349,Flts!$C$14:$C$349),0)</f>
        <v>0</v>
      </c>
      <c r="J56" s="15"/>
      <c r="K56" s="738"/>
      <c r="L56" s="434">
        <f>IFERROR(_xlfn.XLOOKUP(L55,Flts!$I$14:$I$349,Flts!$C$14:$C$349),0)</f>
        <v>0</v>
      </c>
      <c r="M56" s="435">
        <f>IFERROR(_xlfn.XLOOKUP(M55,Flts!$I$14:$I$349,Flts!$C$14:$C$349),0)</f>
        <v>0</v>
      </c>
      <c r="N56" s="435">
        <f>IFERROR(_xlfn.XLOOKUP(N55,Flts!$I$14:$I$349,Flts!$C$14:$C$349),0)</f>
        <v>0</v>
      </c>
      <c r="O56" s="435">
        <f>IFERROR(_xlfn.XLOOKUP(O55,Flts!$I$14:$I$349,Flts!$C$14:$C$349),0)</f>
        <v>0</v>
      </c>
      <c r="P56" s="435">
        <f>IFERROR(_xlfn.XLOOKUP(P55,Flts!$I$14:$I$349,Flts!$C$14:$C$349),0)</f>
        <v>0</v>
      </c>
      <c r="Q56" s="435">
        <f>IFERROR(_xlfn.XLOOKUP(Q55,Flts!$I$14:$I$349,Flts!$C$14:$C$349),0)</f>
        <v>0</v>
      </c>
      <c r="R56" s="435">
        <f>IFERROR(_xlfn.XLOOKUP(R55,Flts!$I$14:$I$349,Flts!$C$14:$C$349),0)</f>
        <v>0</v>
      </c>
      <c r="S56" s="15"/>
      <c r="T56" s="15"/>
    </row>
    <row r="57" spans="1:46" s="320" customFormat="1" ht="30" customHeight="1" x14ac:dyDescent="0.3">
      <c r="A57" s="13"/>
      <c r="B57" s="738"/>
      <c r="C57" s="436">
        <f>IFERROR(_xlfn.XLOOKUP(C55,Flts!$I$14:$I$349,Flts!$D$14:$D$349),0)</f>
        <v>0</v>
      </c>
      <c r="D57" s="437">
        <f>IFERROR(_xlfn.XLOOKUP(D55,Flts!$I$14:$I$349,Flts!$D$14:$D$349),0)</f>
        <v>0</v>
      </c>
      <c r="E57" s="437">
        <f>IFERROR(_xlfn.XLOOKUP(E55,Flts!$I$14:$I$349,Flts!$D$14:$D$349),0)</f>
        <v>0</v>
      </c>
      <c r="F57" s="437">
        <f>IFERROR(_xlfn.XLOOKUP(F55,Flts!$I$14:$I$349,Flts!$D$14:$D$349),0)</f>
        <v>0</v>
      </c>
      <c r="G57" s="437">
        <f>IFERROR(_xlfn.XLOOKUP(G55,Flts!$I$14:$I$349,Flts!$D$14:$D$349),0)</f>
        <v>0</v>
      </c>
      <c r="H57" s="437">
        <f>IFERROR(_xlfn.XLOOKUP(H55,Flts!$I$14:$I$349,Flts!$D$14:$D$349),0)</f>
        <v>0</v>
      </c>
      <c r="I57" s="437">
        <f>IFERROR(_xlfn.XLOOKUP(I55,Flts!$I$14:$I$349,Flts!$D$14:$D$349),0)</f>
        <v>0</v>
      </c>
      <c r="J57" s="265"/>
      <c r="K57" s="738"/>
      <c r="L57" s="436">
        <f>IFERROR(_xlfn.XLOOKUP(L55,Flts!$I$14:$I$349,Flts!$D$14:$D$349),0)</f>
        <v>0</v>
      </c>
      <c r="M57" s="437">
        <f>IFERROR(_xlfn.XLOOKUP(M55,Flts!$I$14:$I$349,Flts!$D$14:$D$349),0)</f>
        <v>0</v>
      </c>
      <c r="N57" s="437">
        <f>IFERROR(_xlfn.XLOOKUP(N55,Flts!$I$14:$I$349,Flts!$D$14:$D$349),0)</f>
        <v>0</v>
      </c>
      <c r="O57" s="437">
        <f>IFERROR(_xlfn.XLOOKUP(O55,Flts!$I$14:$I$349,Flts!$D$14:$D$349),0)</f>
        <v>0</v>
      </c>
      <c r="P57" s="437">
        <f>IFERROR(_xlfn.XLOOKUP(P55,Flts!$I$14:$I$349,Flts!$D$14:$D$349),0)</f>
        <v>0</v>
      </c>
      <c r="Q57" s="437">
        <f>IFERROR(_xlfn.XLOOKUP(Q55,Flts!$I$14:$I$349,Flts!$D$14:$D$349),0)</f>
        <v>0</v>
      </c>
      <c r="R57" s="437">
        <f>IFERROR(_xlfn.XLOOKUP(R55,Flts!$I$14:$I$349,Flts!$D$14:$D$349),0)</f>
        <v>0</v>
      </c>
      <c r="S57" s="13"/>
      <c r="T57" s="265"/>
    </row>
    <row r="58" spans="1:46" s="409" customFormat="1" ht="30" customHeight="1" x14ac:dyDescent="0.3">
      <c r="A58" s="286"/>
      <c r="B58" s="738"/>
      <c r="C58" s="438">
        <f>IFERROR(_xlfn.XLOOKUP(C55,Flts!$I$14:$I$349,Flts!$E$14:$E$349),0)</f>
        <v>0</v>
      </c>
      <c r="D58" s="432">
        <f>IFERROR(_xlfn.XLOOKUP(D55,Flts!$I$14:$I$349,Flts!$E$14:$E$349),0)</f>
        <v>0</v>
      </c>
      <c r="E58" s="432">
        <f>IFERROR(_xlfn.XLOOKUP(E55,Flts!$I$14:$I$349,Flts!$E$14:$E$349),0)</f>
        <v>0</v>
      </c>
      <c r="F58" s="432">
        <f>IFERROR(_xlfn.XLOOKUP(F55,Flts!$I$14:$I$349,Flts!$E$14:$E$349),0)</f>
        <v>0</v>
      </c>
      <c r="G58" s="432">
        <f>IFERROR(_xlfn.XLOOKUP(G55,Flts!$I$14:$I$349,Flts!$E$14:$E$349),0)</f>
        <v>0</v>
      </c>
      <c r="H58" s="433"/>
      <c r="I58" s="432"/>
      <c r="J58" s="366"/>
      <c r="K58" s="738"/>
      <c r="L58" s="438">
        <f>IFERROR(_xlfn.XLOOKUP(L55,Flts!$I$14:$I$349,Flts!$E$14:$E$349),0)</f>
        <v>0</v>
      </c>
      <c r="M58" s="432">
        <f>IFERROR(_xlfn.XLOOKUP(M55,Flts!$I$14:$I$349,Flts!$E$14:$E$349),0)</f>
        <v>0</v>
      </c>
      <c r="N58" s="432">
        <f>IFERROR(_xlfn.XLOOKUP(N55,Flts!$I$14:$I$349,Flts!$E$14:$E$349),0)</f>
        <v>0</v>
      </c>
      <c r="O58" s="432">
        <f>IFERROR(_xlfn.XLOOKUP(O55,Flts!$I$14:$I$349,Flts!$E$14:$E$349),0)</f>
        <v>0</v>
      </c>
      <c r="P58" s="432">
        <f>IFERROR(_xlfn.XLOOKUP(P55,Flts!$I$14:$I$349,Flts!$E$14:$E$349),0)</f>
        <v>0</v>
      </c>
      <c r="Q58" s="433"/>
      <c r="R58" s="432"/>
      <c r="S58" s="286"/>
      <c r="T58" s="366"/>
    </row>
    <row r="59" spans="1:46" ht="30" customHeight="1" x14ac:dyDescent="0.3">
      <c r="A59" s="13"/>
      <c r="B59" s="526"/>
      <c r="C59" s="324"/>
      <c r="D59" s="324"/>
      <c r="E59" s="324"/>
      <c r="F59" s="324"/>
      <c r="G59" s="324"/>
      <c r="H59" s="324"/>
      <c r="I59" s="324"/>
      <c r="J59" s="13"/>
      <c r="K59" s="71"/>
      <c r="L59" s="324"/>
      <c r="M59" s="324"/>
      <c r="N59" s="324"/>
      <c r="O59" s="324"/>
      <c r="P59" s="324"/>
      <c r="Q59" s="324"/>
      <c r="R59" s="324"/>
      <c r="S59" s="13"/>
    </row>
    <row r="60" spans="1:46" s="1200" customFormat="1" x14ac:dyDescent="0.3">
      <c r="A60" s="685"/>
      <c r="B60" s="667" t="str">
        <f>IModulo&amp;" ("&amp;IProfesor&amp;")"</f>
        <v>FPM-it-1-0237 Infra. comunes de teleco en viviendas y edificios (Rafa Sanz)</v>
      </c>
      <c r="C60" s="667"/>
      <c r="E60" s="1105"/>
      <c r="F60" s="1105"/>
      <c r="G60" s="1105"/>
      <c r="H60" s="1105"/>
      <c r="I60" s="1105"/>
      <c r="J60" s="1105"/>
      <c r="K60" s="1105"/>
      <c r="L60" s="1105"/>
      <c r="M60" s="1105"/>
      <c r="N60" s="1106"/>
      <c r="O60" s="1105"/>
      <c r="P60" s="1105"/>
      <c r="Q60" s="1201"/>
      <c r="R60" s="1201"/>
      <c r="S60" s="1201"/>
      <c r="U60" s="1202"/>
      <c r="V60" s="1202"/>
      <c r="W60" s="1202"/>
      <c r="X60" s="1202"/>
      <c r="Y60" s="1202"/>
      <c r="Z60" s="1202"/>
      <c r="AA60" s="1202"/>
      <c r="AB60" s="1202"/>
      <c r="AC60" s="1202"/>
      <c r="AD60" s="1202"/>
      <c r="AE60" s="1202"/>
      <c r="AF60" s="1202"/>
      <c r="AG60" s="1202"/>
      <c r="AH60" s="1202"/>
      <c r="AI60" s="1202"/>
      <c r="AJ60" s="1202"/>
      <c r="AK60" s="1202"/>
      <c r="AL60" s="1202"/>
      <c r="AM60" s="1202"/>
      <c r="AN60" s="1202"/>
      <c r="AO60" s="1202"/>
      <c r="AP60" s="1202"/>
      <c r="AQ60" s="1202"/>
      <c r="AR60" s="1202"/>
      <c r="AS60" s="1202"/>
      <c r="AT60" s="1202"/>
    </row>
    <row r="61" spans="1:46" s="7" customFormat="1" x14ac:dyDescent="0.3">
      <c r="A61" s="578"/>
      <c r="B61" s="667"/>
      <c r="C61" s="667"/>
      <c r="E61" s="1105"/>
      <c r="F61" s="1105"/>
      <c r="G61" s="1105"/>
      <c r="H61" s="1105"/>
      <c r="I61" s="1105"/>
      <c r="J61" s="1105"/>
      <c r="K61" s="1105"/>
      <c r="L61" s="1105"/>
      <c r="M61" s="1105"/>
      <c r="N61" s="1106"/>
      <c r="O61" s="1105"/>
      <c r="P61" s="1105"/>
      <c r="Q61" s="1107"/>
      <c r="R61" s="1107"/>
      <c r="S61" s="1107"/>
      <c r="U61" s="672"/>
      <c r="V61" s="672"/>
      <c r="W61" s="672"/>
      <c r="X61" s="672"/>
      <c r="Y61" s="672"/>
      <c r="Z61" s="672"/>
      <c r="AA61" s="672"/>
      <c r="AB61" s="672"/>
      <c r="AC61" s="672"/>
      <c r="AD61" s="672"/>
      <c r="AE61" s="672"/>
      <c r="AF61" s="672"/>
      <c r="AG61" s="672"/>
      <c r="AH61" s="672"/>
      <c r="AI61" s="672"/>
      <c r="AJ61" s="672"/>
      <c r="AK61" s="672"/>
      <c r="AL61" s="672"/>
      <c r="AM61" s="672"/>
      <c r="AN61" s="672"/>
      <c r="AO61" s="672"/>
      <c r="AP61" s="672"/>
      <c r="AQ61" s="672"/>
      <c r="AR61" s="672"/>
      <c r="AS61" s="672"/>
      <c r="AT61" s="672"/>
    </row>
    <row r="62" spans="1:46" s="727" customFormat="1" ht="50.1" customHeight="1" x14ac:dyDescent="0.3">
      <c r="A62" s="71"/>
      <c r="B62" s="730">
        <v>1</v>
      </c>
      <c r="C62" s="1208">
        <f>DATE(YEAR(FechaInicio1Tri)+1,B62,1)</f>
        <v>46023</v>
      </c>
      <c r="D62" s="1208"/>
      <c r="E62" s="1208"/>
      <c r="F62" s="1208"/>
      <c r="G62" s="1208"/>
      <c r="H62" s="1208"/>
      <c r="I62" s="855">
        <f>YEAR(FechaInicio1Tri)+1</f>
        <v>2026</v>
      </c>
      <c r="J62" s="71"/>
      <c r="K62" s="730">
        <v>2</v>
      </c>
      <c r="L62" s="1208">
        <f>DATE(YEAR(FechaInicio1Tri)+1,K62,1)</f>
        <v>46054</v>
      </c>
      <c r="M62" s="1208"/>
      <c r="N62" s="1208"/>
      <c r="O62" s="1208"/>
      <c r="P62" s="1208"/>
      <c r="Q62" s="1208"/>
      <c r="R62" s="855">
        <f>YEAR(FechaInicio1Tri)+1</f>
        <v>2026</v>
      </c>
      <c r="S62" s="71"/>
    </row>
    <row r="63" spans="1:46" s="365" customFormat="1" ht="30" customHeight="1" x14ac:dyDescent="0.3">
      <c r="A63" s="466"/>
      <c r="B63" s="976" t="s">
        <v>220</v>
      </c>
      <c r="C63" s="971" t="s">
        <v>0</v>
      </c>
      <c r="D63" s="78" t="s">
        <v>1</v>
      </c>
      <c r="E63" s="78" t="s">
        <v>27</v>
      </c>
      <c r="F63" s="78" t="s">
        <v>2</v>
      </c>
      <c r="G63" s="78" t="s">
        <v>3</v>
      </c>
      <c r="H63" s="78" t="s">
        <v>28</v>
      </c>
      <c r="I63" s="972" t="s">
        <v>29</v>
      </c>
      <c r="J63" s="466"/>
      <c r="K63" s="976" t="s">
        <v>220</v>
      </c>
      <c r="L63" s="971" t="s">
        <v>0</v>
      </c>
      <c r="M63" s="78" t="s">
        <v>1</v>
      </c>
      <c r="N63" s="78" t="s">
        <v>27</v>
      </c>
      <c r="O63" s="78" t="s">
        <v>2</v>
      </c>
      <c r="P63" s="78" t="s">
        <v>3</v>
      </c>
      <c r="Q63" s="78" t="s">
        <v>28</v>
      </c>
      <c r="R63" s="972" t="s">
        <v>29</v>
      </c>
      <c r="S63" s="466"/>
      <c r="T63" s="725"/>
    </row>
    <row r="64" spans="1:46" s="103" customFormat="1" ht="30" customHeight="1" x14ac:dyDescent="0.3">
      <c r="A64" s="15"/>
      <c r="B64" s="976">
        <f>_xlfn.ISOWEEKNUM(C62)</f>
        <v>1</v>
      </c>
      <c r="C64" s="973">
        <f>IF(WEEKDAY(C62,2)=1,C62,0)</f>
        <v>0</v>
      </c>
      <c r="D64" s="973">
        <f>IF(WEEKDAY(C62,2)=2, C62, IF(WEEKDAY(C62,2)&lt;2, C64+1,0))</f>
        <v>0</v>
      </c>
      <c r="E64" s="973">
        <f>IF(WEEKDAY(C62,2)=3, C62, IF(WEEKDAY(C62,2)&lt;3, D64+1,0))</f>
        <v>0</v>
      </c>
      <c r="F64" s="973">
        <f>IF(WEEKDAY(C62,2)=4, C62, IF(WEEKDAY(C62,2)&lt;4, E64+1,0))</f>
        <v>46023</v>
      </c>
      <c r="G64" s="973">
        <f>IF(WEEKDAY(C62,2)=5, C62, IF(WEEKDAY(C62,2)&lt;5, F64+1,0))</f>
        <v>46024</v>
      </c>
      <c r="H64" s="974">
        <f>IF(WEEKDAY(C62,2)=6, C62, IF(WEEKDAY(C62,2)&lt;6, G64+1,0))</f>
        <v>46025</v>
      </c>
      <c r="I64" s="974">
        <f>IF(WEEKDAY(C62,2)=7, C62, IF(WEEKDAY(C62,2)&lt;7, H64+1,0))</f>
        <v>46026</v>
      </c>
      <c r="J64" s="15"/>
      <c r="K64" s="976">
        <f>_xlfn.ISOWEEKNUM(L62)</f>
        <v>5</v>
      </c>
      <c r="L64" s="973">
        <f>IF(WEEKDAY(L62,2)=1,L62,0)</f>
        <v>0</v>
      </c>
      <c r="M64" s="973">
        <f>IF(WEEKDAY(L62,2)=2, L62, IF(WEEKDAY(L62,2)&lt;2, L64+1,0))</f>
        <v>0</v>
      </c>
      <c r="N64" s="973">
        <f>IF(WEEKDAY(L62,2)=3, L62, IF(WEEKDAY(L62,2)&lt;3, M64+1,0))</f>
        <v>0</v>
      </c>
      <c r="O64" s="973">
        <f>IF(WEEKDAY(L62,2)=4, L62, IF(WEEKDAY(L62,2)&lt;4, N64+1,0))</f>
        <v>0</v>
      </c>
      <c r="P64" s="973">
        <f>IF(WEEKDAY(L62,2)=5, L62, IF(WEEKDAY(L62,2)&lt;5, O64+1,0))</f>
        <v>0</v>
      </c>
      <c r="Q64" s="974">
        <f>IF(WEEKDAY(L62,2)=6, L62, IF(WEEKDAY(L62,2)&lt;6, P64+1,0))</f>
        <v>0</v>
      </c>
      <c r="R64" s="974">
        <f>IF(WEEKDAY(L62,2)=7, L62, IF(WEEKDAY(L62,2)&lt;7, Q64+1,0))</f>
        <v>46054</v>
      </c>
      <c r="S64" s="15"/>
      <c r="T64" s="15"/>
    </row>
    <row r="65" spans="1:20" s="101" customFormat="1" ht="30" customHeight="1" x14ac:dyDescent="0.3">
      <c r="A65" s="15"/>
      <c r="B65" s="739"/>
      <c r="C65" s="427">
        <f>IFERROR(_xlfn.XLOOKUP(C64,Flts!$I$14:$I$349,Flts!$C$14:$C$349),0)</f>
        <v>0</v>
      </c>
      <c r="D65" s="428">
        <f>IFERROR(_xlfn.XLOOKUP(D64,Flts!$I$14:$I$349,Flts!$C$14:$C$349),0)</f>
        <v>0</v>
      </c>
      <c r="E65" s="428">
        <f>IFERROR(_xlfn.XLOOKUP(E64,Flts!$I$14:$I$349,Flts!$C$14:$C$349),0)</f>
        <v>0</v>
      </c>
      <c r="F65" s="428" t="str">
        <f>IFERROR(_xlfn.XLOOKUP(F64,Flts!$I$14:$I$349,Flts!$C$14:$C$349),0)</f>
        <v>Navidad</v>
      </c>
      <c r="G65" s="428" t="str">
        <f>IFERROR(_xlfn.XLOOKUP(G64,Flts!$I$14:$I$349,Flts!$C$14:$C$349),0)</f>
        <v>Navidad</v>
      </c>
      <c r="H65" s="428">
        <f>IFERROR(_xlfn.XLOOKUP(H64,Flts!$I$14:$I$349,Flts!$C$14:$C$349),0)</f>
        <v>0</v>
      </c>
      <c r="I65" s="428">
        <f>IFERROR(_xlfn.XLOOKUP(I64,Flts!$I$14:$I$349,Flts!$C$14:$C$349),0)</f>
        <v>0</v>
      </c>
      <c r="J65" s="138"/>
      <c r="K65" s="739"/>
      <c r="L65" s="439">
        <f>IFERROR(_xlfn.XLOOKUP(L64,Flts!$I$14:$I$349,Flts!$C$14:$C$349),0)</f>
        <v>0</v>
      </c>
      <c r="M65" s="428">
        <f>IFERROR(_xlfn.XLOOKUP(M64,Flts!$I$14:$I$349,Flts!$C$14:$C$349),0)</f>
        <v>0</v>
      </c>
      <c r="N65" s="428">
        <f>IFERROR(_xlfn.XLOOKUP(N64,Flts!$I$14:$I$349,Flts!$C$14:$C$349),0)</f>
        <v>0</v>
      </c>
      <c r="O65" s="428">
        <f>IFERROR(_xlfn.XLOOKUP(O64,Flts!$I$14:$I$349,Flts!$C$14:$C$349),0)</f>
        <v>0</v>
      </c>
      <c r="P65" s="428">
        <f>IFERROR(_xlfn.XLOOKUP(P64,Flts!$I$14:$I$349,Flts!$C$14:$C$349),0)</f>
        <v>0</v>
      </c>
      <c r="Q65" s="428">
        <f>IFERROR(_xlfn.XLOOKUP(Q64,Flts!$I$14:$I$349,Flts!$C$14:$C$349),0)</f>
        <v>0</v>
      </c>
      <c r="R65" s="428">
        <f>IFERROR(_xlfn.XLOOKUP(R64,Flts!$I$14:$I$349,Flts!$C$14:$C$349),0)</f>
        <v>0</v>
      </c>
      <c r="S65" s="15"/>
      <c r="T65" s="15"/>
    </row>
    <row r="66" spans="1:20" s="320" customFormat="1" ht="30" customHeight="1" x14ac:dyDescent="0.3">
      <c r="A66" s="13"/>
      <c r="B66" s="739"/>
      <c r="C66" s="429">
        <f>IFERROR(_xlfn.XLOOKUP(C64,Flts!$I$14:$I$349,Flts!$D$14:$D$349),0)</f>
        <v>0</v>
      </c>
      <c r="D66" s="430">
        <f>IFERROR(_xlfn.XLOOKUP(D64,Flts!$I$14:$I$349,Flts!$D$14:$D$349),0)</f>
        <v>0</v>
      </c>
      <c r="E66" s="430">
        <f>IFERROR(_xlfn.XLOOKUP(E64,Flts!$I$14:$I$349,Flts!$D$14:$D$349),0)</f>
        <v>0</v>
      </c>
      <c r="F66" s="430">
        <f>IFERROR(_xlfn.XLOOKUP(F64,Flts!$I$14:$I$349,Flts!$D$14:$D$349),0)</f>
        <v>0</v>
      </c>
      <c r="G66" s="430">
        <f>IFERROR(_xlfn.XLOOKUP(G64,Flts!$I$14:$I$349,Flts!$D$14:$D$349),0)</f>
        <v>0</v>
      </c>
      <c r="H66" s="430">
        <f>IFERROR(_xlfn.XLOOKUP(H64,Flts!$I$14:$I$349,Flts!$D$14:$D$349),0)</f>
        <v>0</v>
      </c>
      <c r="I66" s="430">
        <f>IFERROR(_xlfn.XLOOKUP(I64,Flts!$I$14:$I$349,Flts!$D$14:$D$349),0)</f>
        <v>0</v>
      </c>
      <c r="J66" s="421"/>
      <c r="K66" s="739"/>
      <c r="L66" s="440">
        <f>IFERROR(_xlfn.XLOOKUP(L64,Flts!$I$14:$I$349,Flts!$D$14:$D$349),0)</f>
        <v>0</v>
      </c>
      <c r="M66" s="430">
        <f>IFERROR(_xlfn.XLOOKUP(M64,Flts!$I$14:$I$349,Flts!$D$14:$D$349),0)</f>
        <v>0</v>
      </c>
      <c r="N66" s="430">
        <f>IFERROR(_xlfn.XLOOKUP(N64,Flts!$I$14:$I$349,Flts!$D$14:$D$349),0)</f>
        <v>0</v>
      </c>
      <c r="O66" s="430">
        <f>IFERROR(_xlfn.XLOOKUP(O64,Flts!$I$14:$I$349,Flts!$D$14:$D$349),0)</f>
        <v>0</v>
      </c>
      <c r="P66" s="430">
        <f>IFERROR(_xlfn.XLOOKUP(P64,Flts!$I$14:$I$349,Flts!$D$14:$D$349),0)</f>
        <v>0</v>
      </c>
      <c r="Q66" s="430">
        <f>IFERROR(_xlfn.XLOOKUP(Q64,Flts!$I$14:$I$349,Flts!$D$14:$D$349),0)</f>
        <v>0</v>
      </c>
      <c r="R66" s="430">
        <f>IFERROR(_xlfn.XLOOKUP(R64,Flts!$I$14:$I$349,Flts!$D$14:$D$349),0)</f>
        <v>0</v>
      </c>
      <c r="S66" s="13"/>
      <c r="T66" s="265"/>
    </row>
    <row r="67" spans="1:20" s="409" customFormat="1" ht="30" customHeight="1" x14ac:dyDescent="0.3">
      <c r="A67" s="286"/>
      <c r="B67" s="739"/>
      <c r="C67" s="431">
        <f>IFERROR(_xlfn.XLOOKUP(C64,Flts!$I$14:$I$349,Flts!$E$14:$E$349),0)</f>
        <v>0</v>
      </c>
      <c r="D67" s="432">
        <f>IFERROR(_xlfn.XLOOKUP(D64,Flts!$I$14:$I$349,Flts!$E$14:$E$349),0)</f>
        <v>0</v>
      </c>
      <c r="E67" s="432">
        <f>IFERROR(_xlfn.XLOOKUP(E64,Flts!$I$14:$I$349,Flts!$E$14:$E$349),0)</f>
        <v>0</v>
      </c>
      <c r="F67" s="432">
        <f>IFERROR(_xlfn.XLOOKUP(F64,Flts!$I$14:$I$349,Flts!$E$14:$E$349),0)</f>
        <v>0</v>
      </c>
      <c r="G67" s="432">
        <f>IFERROR(_xlfn.XLOOKUP(G64,Flts!$I$14:$I$349,Flts!$E$14:$E$349),0)</f>
        <v>0</v>
      </c>
      <c r="H67" s="433"/>
      <c r="I67" s="432"/>
      <c r="J67" s="366"/>
      <c r="K67" s="739"/>
      <c r="L67" s="438">
        <f>IFERROR(_xlfn.XLOOKUP(L64,Flts!$I$14:$I$349,Flts!$E$14:$E$349),0)</f>
        <v>0</v>
      </c>
      <c r="M67" s="432">
        <f>IFERROR(_xlfn.XLOOKUP(M64,Flts!$I$14:$I$349,Flts!$E$14:$E$349),0)</f>
        <v>0</v>
      </c>
      <c r="N67" s="432">
        <f>IFERROR(_xlfn.XLOOKUP(N64,Flts!$I$14:$I$349,Flts!$E$14:$E$349),0)</f>
        <v>0</v>
      </c>
      <c r="O67" s="432">
        <f>IFERROR(_xlfn.XLOOKUP(O64,Flts!$I$14:$I$349,Flts!$E$14:$E$349),0)</f>
        <v>0</v>
      </c>
      <c r="P67" s="432">
        <f>IFERROR(_xlfn.XLOOKUP(P64,Flts!$I$14:$I$349,Flts!$E$14:$E$349),0)</f>
        <v>0</v>
      </c>
      <c r="Q67" s="433"/>
      <c r="R67" s="432"/>
      <c r="S67" s="286"/>
      <c r="T67" s="366"/>
    </row>
    <row r="68" spans="1:20" s="103" customFormat="1" ht="30" customHeight="1" x14ac:dyDescent="0.3">
      <c r="A68" s="15"/>
      <c r="B68" s="976">
        <f>_xlfn.ISOWEEKNUM(C68)</f>
        <v>2</v>
      </c>
      <c r="C68" s="973">
        <f>I64+1</f>
        <v>46027</v>
      </c>
      <c r="D68" s="973">
        <f>C68+1</f>
        <v>46028</v>
      </c>
      <c r="E68" s="973">
        <f t="shared" ref="E68:I68" si="20">D68+1</f>
        <v>46029</v>
      </c>
      <c r="F68" s="973">
        <f t="shared" si="20"/>
        <v>46030</v>
      </c>
      <c r="G68" s="973">
        <f t="shared" si="20"/>
        <v>46031</v>
      </c>
      <c r="H68" s="974">
        <f t="shared" si="20"/>
        <v>46032</v>
      </c>
      <c r="I68" s="974">
        <f t="shared" si="20"/>
        <v>46033</v>
      </c>
      <c r="J68" s="15"/>
      <c r="K68" s="976">
        <f>_xlfn.ISOWEEKNUM(L68)</f>
        <v>6</v>
      </c>
      <c r="L68" s="973">
        <f>R64+1</f>
        <v>46055</v>
      </c>
      <c r="M68" s="973">
        <f>L68+1</f>
        <v>46056</v>
      </c>
      <c r="N68" s="973">
        <f t="shared" ref="N68:R68" si="21">M68+1</f>
        <v>46057</v>
      </c>
      <c r="O68" s="973">
        <f t="shared" si="21"/>
        <v>46058</v>
      </c>
      <c r="P68" s="973">
        <f t="shared" si="21"/>
        <v>46059</v>
      </c>
      <c r="Q68" s="974">
        <f t="shared" si="21"/>
        <v>46060</v>
      </c>
      <c r="R68" s="974">
        <f t="shared" si="21"/>
        <v>46061</v>
      </c>
      <c r="S68" s="15"/>
      <c r="T68" s="15"/>
    </row>
    <row r="69" spans="1:20" s="101" customFormat="1" ht="30" customHeight="1" x14ac:dyDescent="0.3">
      <c r="A69" s="15"/>
      <c r="B69" s="739"/>
      <c r="C69" s="434" t="str">
        <f>IFERROR(_xlfn.XLOOKUP(C68,Flts!$I$14:$I$349,Flts!$C$14:$C$349),0)</f>
        <v>Navidad</v>
      </c>
      <c r="D69" s="435" t="str">
        <f>IFERROR(_xlfn.XLOOKUP(D68,Flts!$I$14:$I$349,Flts!$C$14:$C$349),0)</f>
        <v>Navidad</v>
      </c>
      <c r="E69" s="435">
        <f>IFERROR(_xlfn.XLOOKUP(E68,Flts!$I$14:$I$349,Flts!$C$14:$C$349),0)</f>
        <v>0</v>
      </c>
      <c r="F69" s="435">
        <f>IFERROR(_xlfn.XLOOKUP(F68,Flts!$I$14:$I$349,Flts!$C$14:$C$349),0)</f>
        <v>0</v>
      </c>
      <c r="G69" s="435">
        <f>IFERROR(_xlfn.XLOOKUP(G68,Flts!$I$14:$I$349,Flts!$C$14:$C$349),0)</f>
        <v>0</v>
      </c>
      <c r="H69" s="435">
        <f>IFERROR(_xlfn.XLOOKUP(H68,Flts!$I$14:$I$349,Flts!$C$14:$C$349),0)</f>
        <v>0</v>
      </c>
      <c r="I69" s="435">
        <f>IFERROR(_xlfn.XLOOKUP(I68,Flts!$I$14:$I$349,Flts!$C$14:$C$349),0)</f>
        <v>0</v>
      </c>
      <c r="J69" s="15"/>
      <c r="K69" s="739"/>
      <c r="L69" s="434" t="str">
        <f>IFERROR(_xlfn.XLOOKUP(L68,Flts!$I$14:$I$349,Flts!$C$14:$C$349),0)</f>
        <v>1ºGx Prácticas</v>
      </c>
      <c r="M69" s="435" t="str">
        <f>IFERROR(_xlfn.XLOOKUP(M68,Flts!$I$14:$I$349,Flts!$C$14:$C$349),0)</f>
        <v>1ºGx Prácticas</v>
      </c>
      <c r="N69" s="435" t="str">
        <f>IFERROR(_xlfn.XLOOKUP(N68,Flts!$I$14:$I$349,Flts!$C$14:$C$349),0)</f>
        <v>1ºGx Prácticas</v>
      </c>
      <c r="O69" s="435" t="str">
        <f>IFERROR(_xlfn.XLOOKUP(O68,Flts!$I$14:$I$349,Flts!$C$14:$C$349),0)</f>
        <v>1ºGx Prácticas</v>
      </c>
      <c r="P69" s="435" t="str">
        <f>IFERROR(_xlfn.XLOOKUP(P68,Flts!$I$14:$I$349,Flts!$C$14:$C$349),0)</f>
        <v>1ºGx Prácticas</v>
      </c>
      <c r="Q69" s="435">
        <f>IFERROR(_xlfn.XLOOKUP(Q68,Flts!$I$14:$I$349,Flts!$C$14:$C$349),0)</f>
        <v>0</v>
      </c>
      <c r="R69" s="435">
        <f>IFERROR(_xlfn.XLOOKUP(R68,Flts!$I$14:$I$349,Flts!$C$14:$C$349),0)</f>
        <v>0</v>
      </c>
      <c r="S69" s="15"/>
      <c r="T69" s="15"/>
    </row>
    <row r="70" spans="1:20" s="320" customFormat="1" ht="30" customHeight="1" x14ac:dyDescent="0.3">
      <c r="A70" s="13"/>
      <c r="B70" s="739"/>
      <c r="C70" s="436">
        <f>IFERROR(_xlfn.XLOOKUP(C68,Flts!$I$14:$I$349,Flts!$D$14:$D$349),0)</f>
        <v>0</v>
      </c>
      <c r="D70" s="437">
        <f>IFERROR(_xlfn.XLOOKUP(D68,Flts!$I$14:$I$349,Flts!$D$14:$D$349),0)</f>
        <v>0</v>
      </c>
      <c r="E70" s="437">
        <f>IFERROR(_xlfn.XLOOKUP(E68,Flts!$I$14:$I$349,Flts!$D$14:$D$349),0)</f>
        <v>0</v>
      </c>
      <c r="F70" s="437">
        <f>IFERROR(_xlfn.XLOOKUP(F68,Flts!$I$14:$I$349,Flts!$D$14:$D$349),0)</f>
        <v>0</v>
      </c>
      <c r="G70" s="437">
        <f>IFERROR(_xlfn.XLOOKUP(G68,Flts!$I$14:$I$349,Flts!$D$14:$D$349),0)</f>
        <v>0</v>
      </c>
      <c r="H70" s="437">
        <f>IFERROR(_xlfn.XLOOKUP(H68,Flts!$I$14:$I$349,Flts!$D$14:$D$349),0)</f>
        <v>0</v>
      </c>
      <c r="I70" s="437">
        <f>IFERROR(_xlfn.XLOOKUP(I68,Flts!$I$14:$I$349,Flts!$D$14:$D$349),0)</f>
        <v>0</v>
      </c>
      <c r="J70" s="265"/>
      <c r="K70" s="739"/>
      <c r="L70" s="436">
        <f>IFERROR(_xlfn.XLOOKUP(L68,Flts!$I$14:$I$349,Flts!$D$14:$D$349),0)</f>
        <v>0</v>
      </c>
      <c r="M70" s="437">
        <f>IFERROR(_xlfn.XLOOKUP(M68,Flts!$I$14:$I$349,Flts!$D$14:$D$349),0)</f>
        <v>0</v>
      </c>
      <c r="N70" s="437">
        <f>IFERROR(_xlfn.XLOOKUP(N68,Flts!$I$14:$I$349,Flts!$D$14:$D$349),0)</f>
        <v>0</v>
      </c>
      <c r="O70" s="437">
        <f>IFERROR(_xlfn.XLOOKUP(O68,Flts!$I$14:$I$349,Flts!$D$14:$D$349),0)</f>
        <v>0</v>
      </c>
      <c r="P70" s="437">
        <f>IFERROR(_xlfn.XLOOKUP(P68,Flts!$I$14:$I$349,Flts!$D$14:$D$349),0)</f>
        <v>0</v>
      </c>
      <c r="Q70" s="437">
        <f>IFERROR(_xlfn.XLOOKUP(Q68,Flts!$I$14:$I$349,Flts!$D$14:$D$349),0)</f>
        <v>0</v>
      </c>
      <c r="R70" s="437">
        <f>IFERROR(_xlfn.XLOOKUP(R68,Flts!$I$14:$I$349,Flts!$D$14:$D$349),0)</f>
        <v>0</v>
      </c>
      <c r="S70" s="13"/>
      <c r="T70" s="265"/>
    </row>
    <row r="71" spans="1:20" s="409" customFormat="1" ht="30" customHeight="1" x14ac:dyDescent="0.3">
      <c r="A71" s="286"/>
      <c r="B71" s="739"/>
      <c r="C71" s="438">
        <f>IFERROR(_xlfn.XLOOKUP(C68,Flts!$I$14:$I$349,Flts!$E$14:$E$349),0)</f>
        <v>0</v>
      </c>
      <c r="D71" s="432">
        <f>IFERROR(_xlfn.XLOOKUP(D68,Flts!$I$14:$I$349,Flts!$E$14:$E$349),0)</f>
        <v>0</v>
      </c>
      <c r="E71" s="432" t="str">
        <f>IFERROR(_xlfn.XLOOKUP(E68,Flts!$I$14:$I$349,Flts!$E$14:$E$349),0)</f>
        <v>UD02</v>
      </c>
      <c r="F71" s="432" t="str">
        <f>IFERROR(_xlfn.XLOOKUP(F68,Flts!$I$14:$I$349,Flts!$E$14:$E$349),0)</f>
        <v>UD02</v>
      </c>
      <c r="G71" s="432" t="str">
        <f>IFERROR(_xlfn.XLOOKUP(G68,Flts!$I$14:$I$349,Flts!$E$14:$E$349),0)</f>
        <v>UD02</v>
      </c>
      <c r="H71" s="433"/>
      <c r="I71" s="432"/>
      <c r="J71" s="366"/>
      <c r="K71" s="739"/>
      <c r="L71" s="438">
        <f>IFERROR(_xlfn.XLOOKUP(L68,Flts!$I$14:$I$349,Flts!$E$14:$E$349),0)</f>
        <v>0</v>
      </c>
      <c r="M71" s="432">
        <f>IFERROR(_xlfn.XLOOKUP(M68,Flts!$I$14:$I$349,Flts!$E$14:$E$349),0)</f>
        <v>0</v>
      </c>
      <c r="N71" s="432">
        <f>IFERROR(_xlfn.XLOOKUP(N68,Flts!$I$14:$I$349,Flts!$E$14:$E$349),0)</f>
        <v>0</v>
      </c>
      <c r="O71" s="432">
        <f>IFERROR(_xlfn.XLOOKUP(O68,Flts!$I$14:$I$349,Flts!$E$14:$E$349),0)</f>
        <v>0</v>
      </c>
      <c r="P71" s="432">
        <f>IFERROR(_xlfn.XLOOKUP(P68,Flts!$I$14:$I$349,Flts!$E$14:$E$349),0)</f>
        <v>0</v>
      </c>
      <c r="Q71" s="433"/>
      <c r="R71" s="432"/>
      <c r="S71" s="286"/>
      <c r="T71" s="366"/>
    </row>
    <row r="72" spans="1:20" s="103" customFormat="1" ht="30" customHeight="1" x14ac:dyDescent="0.3">
      <c r="A72" s="15"/>
      <c r="B72" s="976">
        <f>B68+1</f>
        <v>3</v>
      </c>
      <c r="C72" s="973">
        <f>I68+1</f>
        <v>46034</v>
      </c>
      <c r="D72" s="973">
        <f>C72+1</f>
        <v>46035</v>
      </c>
      <c r="E72" s="973">
        <f t="shared" ref="E72:I72" si="22">D72+1</f>
        <v>46036</v>
      </c>
      <c r="F72" s="973">
        <f t="shared" si="22"/>
        <v>46037</v>
      </c>
      <c r="G72" s="973">
        <f t="shared" si="22"/>
        <v>46038</v>
      </c>
      <c r="H72" s="974">
        <f t="shared" si="22"/>
        <v>46039</v>
      </c>
      <c r="I72" s="974">
        <f t="shared" si="22"/>
        <v>46040</v>
      </c>
      <c r="J72" s="15"/>
      <c r="K72" s="976">
        <f>K68+1</f>
        <v>7</v>
      </c>
      <c r="L72" s="973">
        <f>R68+1</f>
        <v>46062</v>
      </c>
      <c r="M72" s="973">
        <f>L72+1</f>
        <v>46063</v>
      </c>
      <c r="N72" s="973">
        <f t="shared" ref="N72:R72" si="23">M72+1</f>
        <v>46064</v>
      </c>
      <c r="O72" s="973">
        <f t="shared" si="23"/>
        <v>46065</v>
      </c>
      <c r="P72" s="973">
        <f t="shared" si="23"/>
        <v>46066</v>
      </c>
      <c r="Q72" s="974">
        <f t="shared" si="23"/>
        <v>46067</v>
      </c>
      <c r="R72" s="974">
        <f t="shared" si="23"/>
        <v>46068</v>
      </c>
      <c r="S72" s="15"/>
      <c r="T72" s="15"/>
    </row>
    <row r="73" spans="1:20" s="101" customFormat="1" ht="30" customHeight="1" x14ac:dyDescent="0.3">
      <c r="A73" s="15"/>
      <c r="B73" s="739"/>
      <c r="C73" s="434">
        <f>IFERROR(_xlfn.XLOOKUP(C72,Flts!$I$14:$I$349,Flts!$C$14:$C$349),0)</f>
        <v>0</v>
      </c>
      <c r="D73" s="435">
        <f>IFERROR(_xlfn.XLOOKUP(D72,Flts!$I$14:$I$349,Flts!$C$14:$C$349),0)</f>
        <v>0</v>
      </c>
      <c r="E73" s="435">
        <f>IFERROR(_xlfn.XLOOKUP(E72,Flts!$I$14:$I$349,Flts!$C$14:$C$349),0)</f>
        <v>0</v>
      </c>
      <c r="F73" s="435">
        <f>IFERROR(_xlfn.XLOOKUP(F72,Flts!$I$14:$I$349,Flts!$C$14:$C$349),0)</f>
        <v>0</v>
      </c>
      <c r="G73" s="435">
        <f>IFERROR(_xlfn.XLOOKUP(G72,Flts!$I$14:$I$349,Flts!$C$14:$C$349),0)</f>
        <v>0</v>
      </c>
      <c r="H73" s="435">
        <f>IFERROR(_xlfn.XLOOKUP(H72,Flts!$I$14:$I$349,Flts!$C$14:$C$349),0)</f>
        <v>0</v>
      </c>
      <c r="I73" s="435">
        <f>IFERROR(_xlfn.XLOOKUP(I72,Flts!$I$14:$I$349,Flts!$C$14:$C$349),0)</f>
        <v>0</v>
      </c>
      <c r="J73" s="15"/>
      <c r="K73" s="739"/>
      <c r="L73" s="434" t="str">
        <f>IFERROR(_xlfn.XLOOKUP(L72,Flts!$I$14:$I$349,Flts!$C$14:$C$349),0)</f>
        <v>1ºGx Prácticas</v>
      </c>
      <c r="M73" s="435" t="str">
        <f>IFERROR(_xlfn.XLOOKUP(M72,Flts!$I$14:$I$349,Flts!$C$14:$C$349),0)</f>
        <v>1ºGx Prácticas</v>
      </c>
      <c r="N73" s="435" t="str">
        <f>IFERROR(_xlfn.XLOOKUP(N72,Flts!$I$14:$I$349,Flts!$C$14:$C$349),0)</f>
        <v>1ºGx Prácticas</v>
      </c>
      <c r="O73" s="435" t="str">
        <f>IFERROR(_xlfn.XLOOKUP(O72,Flts!$I$14:$I$349,Flts!$C$14:$C$349),0)</f>
        <v>1ºGx Prácticas</v>
      </c>
      <c r="P73" s="435" t="str">
        <f>IFERROR(_xlfn.XLOOKUP(P72,Flts!$I$14:$I$349,Flts!$C$14:$C$349),0)</f>
        <v>1ºGx Prácticas</v>
      </c>
      <c r="Q73" s="435">
        <f>IFERROR(_xlfn.XLOOKUP(Q72,Flts!$I$14:$I$349,Flts!$C$14:$C$349),0)</f>
        <v>0</v>
      </c>
      <c r="R73" s="435">
        <f>IFERROR(_xlfn.XLOOKUP(R72,Flts!$I$14:$I$349,Flts!$C$14:$C$349),0)</f>
        <v>0</v>
      </c>
      <c r="S73" s="15"/>
      <c r="T73" s="15"/>
    </row>
    <row r="74" spans="1:20" s="320" customFormat="1" ht="30" customHeight="1" x14ac:dyDescent="0.3">
      <c r="A74" s="13"/>
      <c r="B74" s="739"/>
      <c r="C74" s="436">
        <f>IFERROR(_xlfn.XLOOKUP(C72,Flts!$I$14:$I$349,Flts!$D$14:$D$349),0)</f>
        <v>0</v>
      </c>
      <c r="D74" s="437">
        <f>IFERROR(_xlfn.XLOOKUP(D72,Flts!$I$14:$I$349,Flts!$D$14:$D$349),0)</f>
        <v>0</v>
      </c>
      <c r="E74" s="437">
        <f>IFERROR(_xlfn.XLOOKUP(E72,Flts!$I$14:$I$349,Flts!$D$14:$D$349),0)</f>
        <v>0</v>
      </c>
      <c r="F74" s="437">
        <f>IFERROR(_xlfn.XLOOKUP(F72,Flts!$I$14:$I$349,Flts!$D$14:$D$349),0)</f>
        <v>0</v>
      </c>
      <c r="G74" s="437">
        <f>IFERROR(_xlfn.XLOOKUP(G72,Flts!$I$14:$I$349,Flts!$D$14:$D$349),0)</f>
        <v>0</v>
      </c>
      <c r="H74" s="437">
        <f>IFERROR(_xlfn.XLOOKUP(H72,Flts!$I$14:$I$349,Flts!$D$14:$D$349),0)</f>
        <v>0</v>
      </c>
      <c r="I74" s="437">
        <f>IFERROR(_xlfn.XLOOKUP(I72,Flts!$I$14:$I$349,Flts!$D$14:$D$349),0)</f>
        <v>0</v>
      </c>
      <c r="J74" s="265"/>
      <c r="K74" s="739"/>
      <c r="L74" s="436">
        <f>IFERROR(_xlfn.XLOOKUP(L72,Flts!$I$14:$I$349,Flts!$D$14:$D$349),0)</f>
        <v>0</v>
      </c>
      <c r="M74" s="437">
        <f>IFERROR(_xlfn.XLOOKUP(M72,Flts!$I$14:$I$349,Flts!$D$14:$D$349),0)</f>
        <v>0</v>
      </c>
      <c r="N74" s="437">
        <f>IFERROR(_xlfn.XLOOKUP(N72,Flts!$I$14:$I$349,Flts!$D$14:$D$349),0)</f>
        <v>0</v>
      </c>
      <c r="O74" s="437">
        <f>IFERROR(_xlfn.XLOOKUP(O72,Flts!$I$14:$I$349,Flts!$D$14:$D$349),0)</f>
        <v>0</v>
      </c>
      <c r="P74" s="437">
        <f>IFERROR(_xlfn.XLOOKUP(P72,Flts!$I$14:$I$349,Flts!$D$14:$D$349),0)</f>
        <v>0</v>
      </c>
      <c r="Q74" s="437">
        <f>IFERROR(_xlfn.XLOOKUP(Q72,Flts!$I$14:$I$349,Flts!$D$14:$D$349),0)</f>
        <v>0</v>
      </c>
      <c r="R74" s="437">
        <f>IFERROR(_xlfn.XLOOKUP(R72,Flts!$I$14:$I$349,Flts!$D$14:$D$349),0)</f>
        <v>0</v>
      </c>
      <c r="S74" s="13"/>
      <c r="T74" s="265"/>
    </row>
    <row r="75" spans="1:20" s="409" customFormat="1" ht="30" customHeight="1" x14ac:dyDescent="0.3">
      <c r="A75" s="286"/>
      <c r="B75" s="739"/>
      <c r="C75" s="438" t="str">
        <f>IFERROR(_xlfn.XLOOKUP(C72,Flts!$I$14:$I$349,Flts!$E$14:$E$349),0)</f>
        <v>UD02</v>
      </c>
      <c r="D75" s="432" t="str">
        <f>IFERROR(_xlfn.XLOOKUP(D72,Flts!$I$14:$I$349,Flts!$E$14:$E$349),0)</f>
        <v>UD02</v>
      </c>
      <c r="E75" s="432" t="str">
        <f>IFERROR(_xlfn.XLOOKUP(E72,Flts!$I$14:$I$349,Flts!$E$14:$E$349),0)</f>
        <v>UD02</v>
      </c>
      <c r="F75" s="432" t="str">
        <f>IFERROR(_xlfn.XLOOKUP(F72,Flts!$I$14:$I$349,Flts!$E$14:$E$349),0)</f>
        <v>UD02</v>
      </c>
      <c r="G75" s="432" t="str">
        <f>IFERROR(_xlfn.XLOOKUP(G72,Flts!$I$14:$I$349,Flts!$E$14:$E$349),0)</f>
        <v>UD02</v>
      </c>
      <c r="H75" s="433"/>
      <c r="I75" s="432"/>
      <c r="J75" s="366"/>
      <c r="K75" s="739"/>
      <c r="L75" s="438">
        <f>IFERROR(_xlfn.XLOOKUP(L72,Flts!$I$14:$I$349,Flts!$E$14:$E$349),0)</f>
        <v>0</v>
      </c>
      <c r="M75" s="432">
        <f>IFERROR(_xlfn.XLOOKUP(M72,Flts!$I$14:$I$349,Flts!$E$14:$E$349),0)</f>
        <v>0</v>
      </c>
      <c r="N75" s="432">
        <f>IFERROR(_xlfn.XLOOKUP(N72,Flts!$I$14:$I$349,Flts!$E$14:$E$349),0)</f>
        <v>0</v>
      </c>
      <c r="O75" s="432">
        <f>IFERROR(_xlfn.XLOOKUP(O72,Flts!$I$14:$I$349,Flts!$E$14:$E$349),0)</f>
        <v>0</v>
      </c>
      <c r="P75" s="432">
        <f>IFERROR(_xlfn.XLOOKUP(P72,Flts!$I$14:$I$349,Flts!$E$14:$E$349),0)</f>
        <v>0</v>
      </c>
      <c r="Q75" s="433"/>
      <c r="R75" s="432"/>
      <c r="S75" s="286"/>
      <c r="T75" s="366"/>
    </row>
    <row r="76" spans="1:20" s="103" customFormat="1" ht="30" customHeight="1" x14ac:dyDescent="0.3">
      <c r="A76" s="46"/>
      <c r="B76" s="976">
        <f>B72+1</f>
        <v>4</v>
      </c>
      <c r="C76" s="973">
        <f>I72+1</f>
        <v>46041</v>
      </c>
      <c r="D76" s="973">
        <f>C76+1</f>
        <v>46042</v>
      </c>
      <c r="E76" s="973">
        <f t="shared" ref="E76:I76" si="24">D76+1</f>
        <v>46043</v>
      </c>
      <c r="F76" s="973">
        <f t="shared" si="24"/>
        <v>46044</v>
      </c>
      <c r="G76" s="973">
        <f t="shared" si="24"/>
        <v>46045</v>
      </c>
      <c r="H76" s="974">
        <f t="shared" si="24"/>
        <v>46046</v>
      </c>
      <c r="I76" s="974">
        <f t="shared" si="24"/>
        <v>46047</v>
      </c>
      <c r="J76" s="15"/>
      <c r="K76" s="976">
        <f>K72+1</f>
        <v>8</v>
      </c>
      <c r="L76" s="973">
        <f>R72+1</f>
        <v>46069</v>
      </c>
      <c r="M76" s="973">
        <f>L76+1</f>
        <v>46070</v>
      </c>
      <c r="N76" s="973">
        <f t="shared" ref="N76:R76" si="25">M76+1</f>
        <v>46071</v>
      </c>
      <c r="O76" s="973">
        <f t="shared" si="25"/>
        <v>46072</v>
      </c>
      <c r="P76" s="973">
        <f t="shared" si="25"/>
        <v>46073</v>
      </c>
      <c r="Q76" s="974">
        <f t="shared" si="25"/>
        <v>46074</v>
      </c>
      <c r="R76" s="974">
        <f t="shared" si="25"/>
        <v>46075</v>
      </c>
      <c r="S76" s="46"/>
      <c r="T76" s="46"/>
    </row>
    <row r="77" spans="1:20" s="103" customFormat="1" ht="30" customHeight="1" x14ac:dyDescent="0.3">
      <c r="A77" s="15"/>
      <c r="B77" s="739"/>
      <c r="C77" s="434">
        <f>IFERROR(_xlfn.XLOOKUP(C76,Flts!$I$14:$I$349,Flts!$C$14:$C$349),0)</f>
        <v>0</v>
      </c>
      <c r="D77" s="435">
        <f>IFERROR(_xlfn.XLOOKUP(D76,Flts!$I$14:$I$349,Flts!$C$14:$C$349),0)</f>
        <v>0</v>
      </c>
      <c r="E77" s="435">
        <f>IFERROR(_xlfn.XLOOKUP(E76,Flts!$I$14:$I$349,Flts!$C$14:$C$349),0)</f>
        <v>0</v>
      </c>
      <c r="F77" s="435">
        <f>IFERROR(_xlfn.XLOOKUP(F76,Flts!$I$14:$I$349,Flts!$C$14:$C$349),0)</f>
        <v>0</v>
      </c>
      <c r="G77" s="435">
        <f>IFERROR(_xlfn.XLOOKUP(G76,Flts!$I$14:$I$349,Flts!$C$14:$C$349),0)</f>
        <v>0</v>
      </c>
      <c r="H77" s="435">
        <f>IFERROR(_xlfn.XLOOKUP(H76,Flts!$I$14:$I$349,Flts!$C$14:$C$349),0)</f>
        <v>0</v>
      </c>
      <c r="I77" s="435">
        <f>IFERROR(_xlfn.XLOOKUP(I76,Flts!$I$14:$I$349,Flts!$C$14:$C$349),0)</f>
        <v>0</v>
      </c>
      <c r="J77" s="15"/>
      <c r="K77" s="739"/>
      <c r="L77" s="434" t="str">
        <f>IFERROR(_xlfn.XLOOKUP(L76,Flts!$I$14:$I$349,Flts!$C$14:$C$349),0)</f>
        <v>1ºGx Prácticas</v>
      </c>
      <c r="M77" s="435" t="str">
        <f>IFERROR(_xlfn.XLOOKUP(M76,Flts!$I$14:$I$349,Flts!$C$14:$C$349),0)</f>
        <v>1ºGx Prácticas</v>
      </c>
      <c r="N77" s="435" t="str">
        <f>IFERROR(_xlfn.XLOOKUP(N76,Flts!$I$14:$I$349,Flts!$C$14:$C$349),0)</f>
        <v>1ºGx Prácticas</v>
      </c>
      <c r="O77" s="435" t="str">
        <f>IFERROR(_xlfn.XLOOKUP(O76,Flts!$I$14:$I$349,Flts!$C$14:$C$349),0)</f>
        <v>1ºGx Prácticas</v>
      </c>
      <c r="P77" s="435" t="str">
        <f>IFERROR(_xlfn.XLOOKUP(P76,Flts!$I$14:$I$349,Flts!$C$14:$C$349),0)</f>
        <v>1ºGx Prácticas</v>
      </c>
      <c r="Q77" s="435">
        <f>IFERROR(_xlfn.XLOOKUP(Q76,Flts!$I$14:$I$349,Flts!$C$14:$C$349),0)</f>
        <v>0</v>
      </c>
      <c r="R77" s="435">
        <f>IFERROR(_xlfn.XLOOKUP(R76,Flts!$I$14:$I$349,Flts!$C$14:$C$349),0)</f>
        <v>0</v>
      </c>
      <c r="S77" s="15"/>
      <c r="T77" s="46"/>
    </row>
    <row r="78" spans="1:20" s="322" customFormat="1" ht="30" customHeight="1" x14ac:dyDescent="0.3">
      <c r="A78" s="13"/>
      <c r="B78" s="739"/>
      <c r="C78" s="436">
        <f>IFERROR(_xlfn.XLOOKUP(C76,Flts!$I$14:$I$349,Flts!$D$14:$D$349),0)</f>
        <v>0</v>
      </c>
      <c r="D78" s="437">
        <f>IFERROR(_xlfn.XLOOKUP(D76,Flts!$I$14:$I$349,Flts!$D$14:$D$349),0)</f>
        <v>0</v>
      </c>
      <c r="E78" s="437">
        <f>IFERROR(_xlfn.XLOOKUP(E76,Flts!$I$14:$I$349,Flts!$D$14:$D$349),0)</f>
        <v>0</v>
      </c>
      <c r="F78" s="437">
        <f>IFERROR(_xlfn.XLOOKUP(F76,Flts!$I$14:$I$349,Flts!$D$14:$D$349),0)</f>
        <v>0</v>
      </c>
      <c r="G78" s="437">
        <f>IFERROR(_xlfn.XLOOKUP(G76,Flts!$I$14:$I$349,Flts!$D$14:$D$349),0)</f>
        <v>0</v>
      </c>
      <c r="H78" s="437">
        <f>IFERROR(_xlfn.XLOOKUP(H76,Flts!$I$14:$I$349,Flts!$D$14:$D$349),0)</f>
        <v>0</v>
      </c>
      <c r="I78" s="437">
        <f>IFERROR(_xlfn.XLOOKUP(I76,Flts!$I$14:$I$349,Flts!$D$14:$D$349),0)</f>
        <v>0</v>
      </c>
      <c r="J78" s="265"/>
      <c r="K78" s="739"/>
      <c r="L78" s="436">
        <f>IFERROR(_xlfn.XLOOKUP(L76,Flts!$I$14:$I$349,Flts!$D$14:$D$349),0)</f>
        <v>0</v>
      </c>
      <c r="M78" s="437">
        <f>IFERROR(_xlfn.XLOOKUP(M76,Flts!$I$14:$I$349,Flts!$D$14:$D$349),0)</f>
        <v>0</v>
      </c>
      <c r="N78" s="437">
        <f>IFERROR(_xlfn.XLOOKUP(N76,Flts!$I$14:$I$349,Flts!$D$14:$D$349),0)</f>
        <v>0</v>
      </c>
      <c r="O78" s="437">
        <f>IFERROR(_xlfn.XLOOKUP(O76,Flts!$I$14:$I$349,Flts!$D$14:$D$349),0)</f>
        <v>0</v>
      </c>
      <c r="P78" s="437">
        <f>IFERROR(_xlfn.XLOOKUP(P76,Flts!$I$14:$I$349,Flts!$D$14:$D$349),0)</f>
        <v>0</v>
      </c>
      <c r="Q78" s="437">
        <f>IFERROR(_xlfn.XLOOKUP(Q76,Flts!$I$14:$I$349,Flts!$D$14:$D$349),0)</f>
        <v>0</v>
      </c>
      <c r="R78" s="437">
        <f>IFERROR(_xlfn.XLOOKUP(R76,Flts!$I$14:$I$349,Flts!$D$14:$D$349),0)</f>
        <v>0</v>
      </c>
      <c r="S78" s="13"/>
      <c r="T78" s="443"/>
    </row>
    <row r="79" spans="1:20" s="409" customFormat="1" ht="30" customHeight="1" x14ac:dyDescent="0.3">
      <c r="A79" s="286"/>
      <c r="B79" s="739"/>
      <c r="C79" s="438" t="str">
        <f>IFERROR(_xlfn.XLOOKUP(C76,Flts!$I$14:$I$349,Flts!$E$14:$E$349),0)</f>
        <v>UD02</v>
      </c>
      <c r="D79" s="432" t="str">
        <f>IFERROR(_xlfn.XLOOKUP(D76,Flts!$I$14:$I$349,Flts!$E$14:$E$349),0)</f>
        <v>UD02</v>
      </c>
      <c r="E79" s="432" t="str">
        <f>IFERROR(_xlfn.XLOOKUP(E76,Flts!$I$14:$I$349,Flts!$E$14:$E$349),0)</f>
        <v>UD02</v>
      </c>
      <c r="F79" s="432" t="str">
        <f>IFERROR(_xlfn.XLOOKUP(F76,Flts!$I$14:$I$349,Flts!$E$14:$E$349),0)</f>
        <v>UD02</v>
      </c>
      <c r="G79" s="432" t="str">
        <f>IFERROR(_xlfn.XLOOKUP(G76,Flts!$I$14:$I$349,Flts!$E$14:$E$349),0)</f>
        <v>UD02</v>
      </c>
      <c r="H79" s="433"/>
      <c r="I79" s="432"/>
      <c r="J79" s="366"/>
      <c r="K79" s="739"/>
      <c r="L79" s="438">
        <f>IFERROR(_xlfn.XLOOKUP(L76,Flts!$I$14:$I$349,Flts!$E$14:$E$349),0)</f>
        <v>0</v>
      </c>
      <c r="M79" s="432">
        <f>IFERROR(_xlfn.XLOOKUP(M76,Flts!$I$14:$I$349,Flts!$E$14:$E$349),0)</f>
        <v>0</v>
      </c>
      <c r="N79" s="432">
        <f>IFERROR(_xlfn.XLOOKUP(N76,Flts!$I$14:$I$349,Flts!$E$14:$E$349),0)</f>
        <v>0</v>
      </c>
      <c r="O79" s="432">
        <f>IFERROR(_xlfn.XLOOKUP(O76,Flts!$I$14:$I$349,Flts!$E$14:$E$349),0)</f>
        <v>0</v>
      </c>
      <c r="P79" s="432">
        <f>IFERROR(_xlfn.XLOOKUP(P76,Flts!$I$14:$I$349,Flts!$E$14:$E$349),0)</f>
        <v>0</v>
      </c>
      <c r="Q79" s="433"/>
      <c r="R79" s="432"/>
      <c r="S79" s="286"/>
      <c r="T79" s="366"/>
    </row>
    <row r="80" spans="1:20" s="103" customFormat="1" ht="30" customHeight="1" x14ac:dyDescent="0.3">
      <c r="A80" s="15"/>
      <c r="B80" s="976">
        <f>IF(C80&lt;&gt;0,B76+1,0)</f>
        <v>5</v>
      </c>
      <c r="C80" s="973">
        <f t="shared" ref="C80:I80" si="26">IF(MONTH(C72+14)=MONTH(C72), C72+14, 0)</f>
        <v>46048</v>
      </c>
      <c r="D80" s="973">
        <f t="shared" si="26"/>
        <v>46049</v>
      </c>
      <c r="E80" s="973">
        <f t="shared" si="26"/>
        <v>46050</v>
      </c>
      <c r="F80" s="973">
        <f t="shared" si="26"/>
        <v>46051</v>
      </c>
      <c r="G80" s="973">
        <f t="shared" si="26"/>
        <v>46052</v>
      </c>
      <c r="H80" s="974">
        <f t="shared" si="26"/>
        <v>46053</v>
      </c>
      <c r="I80" s="974">
        <f t="shared" si="26"/>
        <v>0</v>
      </c>
      <c r="J80" s="15"/>
      <c r="K80" s="976">
        <f>IF(L80&lt;&gt;0,K76+1,0)</f>
        <v>9</v>
      </c>
      <c r="L80" s="973">
        <f t="shared" ref="L80:R80" si="27">IF(MONTH(L72+14)=MONTH(L72), L72+14, 0)</f>
        <v>46076</v>
      </c>
      <c r="M80" s="973">
        <f t="shared" si="27"/>
        <v>46077</v>
      </c>
      <c r="N80" s="973">
        <f t="shared" si="27"/>
        <v>46078</v>
      </c>
      <c r="O80" s="973">
        <f t="shared" si="27"/>
        <v>46079</v>
      </c>
      <c r="P80" s="973">
        <f t="shared" si="27"/>
        <v>46080</v>
      </c>
      <c r="Q80" s="974">
        <f t="shared" si="27"/>
        <v>46081</v>
      </c>
      <c r="R80" s="974">
        <f t="shared" si="27"/>
        <v>0</v>
      </c>
      <c r="S80" s="15"/>
      <c r="T80" s="15"/>
    </row>
    <row r="81" spans="1:46" s="101" customFormat="1" ht="30" customHeight="1" x14ac:dyDescent="0.3">
      <c r="A81" s="15"/>
      <c r="B81" s="739"/>
      <c r="C81" s="439">
        <f>IFERROR(_xlfn.XLOOKUP(C80,Flts!$I$14:$I$349,Flts!$C$14:$C$349),0)</f>
        <v>0</v>
      </c>
      <c r="D81" s="428">
        <f>IFERROR(_xlfn.XLOOKUP(D80,Flts!$I$14:$I$349,Flts!$C$14:$C$349),0)</f>
        <v>0</v>
      </c>
      <c r="E81" s="428">
        <f>IFERROR(_xlfn.XLOOKUP(E80,Flts!$I$14:$I$349,Flts!$C$14:$C$349),0)</f>
        <v>0</v>
      </c>
      <c r="F81" s="428" t="str">
        <f>IFERROR(_xlfn.XLOOKUP(F80,Flts!$I$14:$I$349,Flts!$C$14:$C$349),0)</f>
        <v>S.Valero</v>
      </c>
      <c r="G81" s="428">
        <f>IFERROR(_xlfn.XLOOKUP(G80,Flts!$I$14:$I$349,Flts!$C$14:$C$349),0)</f>
        <v>0</v>
      </c>
      <c r="H81" s="428">
        <f>IFERROR(_xlfn.XLOOKUP(H80,Flts!$I$14:$I$349,Flts!$C$14:$C$349),0)</f>
        <v>0</v>
      </c>
      <c r="I81" s="428">
        <f>IFERROR(_xlfn.XLOOKUP(I80,Flts!$I$14:$I$349,Flts!$C$14:$C$349),0)</f>
        <v>0</v>
      </c>
      <c r="J81" s="138"/>
      <c r="K81" s="739"/>
      <c r="L81" s="439" t="str">
        <f>IFERROR(_xlfn.XLOOKUP(L80,Flts!$I$14:$I$349,Flts!$C$14:$C$349),0)</f>
        <v>1ºGx Prácticas</v>
      </c>
      <c r="M81" s="428" t="str">
        <f>IFERROR(_xlfn.XLOOKUP(M80,Flts!$I$14:$I$349,Flts!$C$14:$C$349),0)</f>
        <v>1ºGx Prácticas</v>
      </c>
      <c r="N81" s="428" t="str">
        <f>IFERROR(_xlfn.XLOOKUP(N80,Flts!$I$14:$I$349,Flts!$C$14:$C$349),0)</f>
        <v>1ºGx Prácticas</v>
      </c>
      <c r="O81" s="428" t="str">
        <f>IFERROR(_xlfn.XLOOKUP(O80,Flts!$I$14:$I$349,Flts!$C$14:$C$349),0)</f>
        <v>1ºGx Prácticas</v>
      </c>
      <c r="P81" s="428" t="str">
        <f>IFERROR(_xlfn.XLOOKUP(P80,Flts!$I$14:$I$349,Flts!$C$14:$C$349),0)</f>
        <v>1ºGx Prácticas</v>
      </c>
      <c r="Q81" s="428">
        <f>IFERROR(_xlfn.XLOOKUP(Q80,Flts!$I$14:$I$349,Flts!$C$14:$C$349),0)</f>
        <v>0</v>
      </c>
      <c r="R81" s="428">
        <f>IFERROR(_xlfn.XLOOKUP(R80,Flts!$I$14:$I$349,Flts!$C$14:$C$349),0)</f>
        <v>0</v>
      </c>
      <c r="S81" s="15"/>
      <c r="T81" s="15"/>
    </row>
    <row r="82" spans="1:46" s="320" customFormat="1" ht="30" customHeight="1" x14ac:dyDescent="0.3">
      <c r="A82" s="13"/>
      <c r="B82" s="739"/>
      <c r="C82" s="440">
        <f>IFERROR(_xlfn.XLOOKUP(C80,Flts!$I$14:$I$349,Flts!$D$14:$D$349),0)</f>
        <v>0</v>
      </c>
      <c r="D82" s="430">
        <f>IFERROR(_xlfn.XLOOKUP(D80,Flts!$I$14:$I$349,Flts!$D$14:$D$349),0)</f>
        <v>0</v>
      </c>
      <c r="E82" s="430">
        <f>IFERROR(_xlfn.XLOOKUP(E80,Flts!$I$14:$I$349,Flts!$D$14:$D$349),0)</f>
        <v>0</v>
      </c>
      <c r="F82" s="430">
        <f>IFERROR(_xlfn.XLOOKUP(F80,Flts!$I$14:$I$349,Flts!$D$14:$D$349),0)</f>
        <v>0</v>
      </c>
      <c r="G82" s="430">
        <f>IFERROR(_xlfn.XLOOKUP(G80,Flts!$I$14:$I$349,Flts!$D$14:$D$349),0)</f>
        <v>0</v>
      </c>
      <c r="H82" s="430">
        <f>IFERROR(_xlfn.XLOOKUP(H80,Flts!$I$14:$I$349,Flts!$D$14:$D$349),0)</f>
        <v>0</v>
      </c>
      <c r="I82" s="430">
        <f>IFERROR(_xlfn.XLOOKUP(I80,Flts!$I$14:$I$349,Flts!$D$14:$D$349),0)</f>
        <v>0</v>
      </c>
      <c r="J82" s="421"/>
      <c r="K82" s="739"/>
      <c r="L82" s="440">
        <f>IFERROR(_xlfn.XLOOKUP(L80,Flts!$I$14:$I$349,Flts!$D$14:$D$349),0)</f>
        <v>0</v>
      </c>
      <c r="M82" s="430">
        <f>IFERROR(_xlfn.XLOOKUP(M80,Flts!$I$14:$I$349,Flts!$D$14:$D$349),0)</f>
        <v>0</v>
      </c>
      <c r="N82" s="430" t="str">
        <f>IFERROR(_xlfn.XLOOKUP(N80,Flts!$I$14:$I$349,Flts!$D$14:$D$349),0)</f>
        <v>2ºGx-Junta 2ªEv.</v>
      </c>
      <c r="O82" s="430">
        <f>IFERROR(_xlfn.XLOOKUP(O80,Flts!$I$14:$I$349,Flts!$D$14:$D$349),0)</f>
        <v>0</v>
      </c>
      <c r="P82" s="430" t="str">
        <f>IFERROR(_xlfn.XLOOKUP(P80,Flts!$I$14:$I$349,Flts!$D$14:$D$349),0)</f>
        <v>2ºGx-Boletín 2ªEv.</v>
      </c>
      <c r="Q82" s="430">
        <f>IFERROR(_xlfn.XLOOKUP(Q80,Flts!$I$14:$I$349,Flts!$D$14:$D$349),0)</f>
        <v>0</v>
      </c>
      <c r="R82" s="430">
        <f>IFERROR(_xlfn.XLOOKUP(R80,Flts!$I$14:$I$349,Flts!$D$14:$D$349),0)</f>
        <v>0</v>
      </c>
      <c r="S82" s="13"/>
      <c r="T82" s="265"/>
    </row>
    <row r="83" spans="1:46" s="409" customFormat="1" ht="30" customHeight="1" x14ac:dyDescent="0.3">
      <c r="A83" s="286"/>
      <c r="B83" s="739"/>
      <c r="C83" s="438" t="str">
        <f>IFERROR(_xlfn.XLOOKUP(C80,Flts!$I$14:$I$349,Flts!$E$14:$E$349),0)</f>
        <v/>
      </c>
      <c r="D83" s="432" t="str">
        <f>IFERROR(_xlfn.XLOOKUP(D80,Flts!$I$14:$I$349,Flts!$E$14:$E$349),0)</f>
        <v/>
      </c>
      <c r="E83" s="432" t="str">
        <f>IFERROR(_xlfn.XLOOKUP(E80,Flts!$I$14:$I$349,Flts!$E$14:$E$349),0)</f>
        <v/>
      </c>
      <c r="F83" s="432">
        <f>IFERROR(_xlfn.XLOOKUP(F80,Flts!$I$14:$I$349,Flts!$E$14:$E$349),0)</f>
        <v>0</v>
      </c>
      <c r="G83" s="432" t="str">
        <f>IFERROR(_xlfn.XLOOKUP(G80,Flts!$I$14:$I$349,Flts!$E$14:$E$349),0)</f>
        <v/>
      </c>
      <c r="H83" s="433"/>
      <c r="I83" s="432"/>
      <c r="J83" s="366"/>
      <c r="K83" s="739"/>
      <c r="L83" s="438">
        <f>IFERROR(_xlfn.XLOOKUP(L80,Flts!$I$14:$I$349,Flts!$E$14:$E$349),0)</f>
        <v>0</v>
      </c>
      <c r="M83" s="432">
        <f>IFERROR(_xlfn.XLOOKUP(M80,Flts!$I$14:$I$349,Flts!$E$14:$E$349),0)</f>
        <v>0</v>
      </c>
      <c r="N83" s="432">
        <f>IFERROR(_xlfn.XLOOKUP(N80,Flts!$I$14:$I$349,Flts!$E$14:$E$349),0)</f>
        <v>0</v>
      </c>
      <c r="O83" s="432">
        <f>IFERROR(_xlfn.XLOOKUP(O80,Flts!$I$14:$I$349,Flts!$E$14:$E$349),0)</f>
        <v>0</v>
      </c>
      <c r="P83" s="432">
        <f>IFERROR(_xlfn.XLOOKUP(P80,Flts!$I$14:$I$349,Flts!$E$14:$E$349),0)</f>
        <v>0</v>
      </c>
      <c r="Q83" s="433"/>
      <c r="R83" s="432"/>
      <c r="S83" s="286"/>
      <c r="T83" s="366"/>
    </row>
    <row r="84" spans="1:46" s="103" customFormat="1" ht="30" customHeight="1" x14ac:dyDescent="0.3">
      <c r="A84" s="15"/>
      <c r="B84" s="976">
        <f>IF(C84&lt;&gt;0,B80+1,0)</f>
        <v>0</v>
      </c>
      <c r="C84" s="973">
        <f t="shared" ref="C84:I84" si="28">IF(MONTH(C76+14)=MONTH(C76), C76+14, 0)</f>
        <v>0</v>
      </c>
      <c r="D84" s="973">
        <f t="shared" si="28"/>
        <v>0</v>
      </c>
      <c r="E84" s="973">
        <f t="shared" si="28"/>
        <v>0</v>
      </c>
      <c r="F84" s="973">
        <f t="shared" si="28"/>
        <v>0</v>
      </c>
      <c r="G84" s="973">
        <f t="shared" si="28"/>
        <v>0</v>
      </c>
      <c r="H84" s="974">
        <f t="shared" si="28"/>
        <v>0</v>
      </c>
      <c r="I84" s="974">
        <f t="shared" si="28"/>
        <v>0</v>
      </c>
      <c r="J84" s="15"/>
      <c r="K84" s="976">
        <f>IF(L84&lt;&gt;0,K80+1,0)</f>
        <v>0</v>
      </c>
      <c r="L84" s="973">
        <f t="shared" ref="L84:R84" si="29">IF(MONTH(L76+14)=MONTH(L76), L76+14, 0)</f>
        <v>0</v>
      </c>
      <c r="M84" s="973">
        <f t="shared" si="29"/>
        <v>0</v>
      </c>
      <c r="N84" s="973">
        <f t="shared" si="29"/>
        <v>0</v>
      </c>
      <c r="O84" s="973">
        <f t="shared" si="29"/>
        <v>0</v>
      </c>
      <c r="P84" s="973">
        <f t="shared" si="29"/>
        <v>0</v>
      </c>
      <c r="Q84" s="974">
        <f t="shared" si="29"/>
        <v>0</v>
      </c>
      <c r="R84" s="974">
        <f t="shared" si="29"/>
        <v>0</v>
      </c>
      <c r="S84" s="15"/>
      <c r="T84" s="15"/>
    </row>
    <row r="85" spans="1:46" s="101" customFormat="1" ht="30" customHeight="1" x14ac:dyDescent="0.3">
      <c r="A85" s="15"/>
      <c r="B85" s="739"/>
      <c r="C85" s="434">
        <f>IFERROR(_xlfn.XLOOKUP(C84,Flts!$I$14:$I$349,Flts!$C$14:$C$349),0)</f>
        <v>0</v>
      </c>
      <c r="D85" s="435">
        <f>IFERROR(_xlfn.XLOOKUP(D84,Flts!$I$14:$I$349,Flts!$C$14:$C$349),0)</f>
        <v>0</v>
      </c>
      <c r="E85" s="435">
        <f>IFERROR(_xlfn.XLOOKUP(E84,Flts!$I$14:$I$349,Flts!$C$14:$C$349),0)</f>
        <v>0</v>
      </c>
      <c r="F85" s="435">
        <f>IFERROR(_xlfn.XLOOKUP(F84,Flts!$I$14:$I$349,Flts!$C$14:$C$349),0)</f>
        <v>0</v>
      </c>
      <c r="G85" s="435">
        <f>IFERROR(_xlfn.XLOOKUP(G84,Flts!$I$14:$I$349,Flts!$C$14:$C$349),0)</f>
        <v>0</v>
      </c>
      <c r="H85" s="435">
        <f>IFERROR(_xlfn.XLOOKUP(H84,Flts!$I$14:$I$349,Flts!$C$14:$C$349),0)</f>
        <v>0</v>
      </c>
      <c r="I85" s="435">
        <f>IFERROR(_xlfn.XLOOKUP(I84,Flts!$I$14:$I$349,Flts!$C$14:$C$349),0)</f>
        <v>0</v>
      </c>
      <c r="J85" s="15"/>
      <c r="K85" s="739"/>
      <c r="L85" s="434">
        <f>IFERROR(_xlfn.XLOOKUP(L84,Flts!$I$14:$I$349,Flts!$C$14:$C$349),0)</f>
        <v>0</v>
      </c>
      <c r="M85" s="435">
        <f>IFERROR(_xlfn.XLOOKUP(M84,Flts!$I$14:$I$349,Flts!$C$14:$C$349),0)</f>
        <v>0</v>
      </c>
      <c r="N85" s="435">
        <f>IFERROR(_xlfn.XLOOKUP(N84,Flts!$I$14:$I$349,Flts!$C$14:$C$349),0)</f>
        <v>0</v>
      </c>
      <c r="O85" s="435">
        <f>IFERROR(_xlfn.XLOOKUP(O84,Flts!$I$14:$I$349,Flts!$C$14:$C$349),0)</f>
        <v>0</v>
      </c>
      <c r="P85" s="435">
        <f>IFERROR(_xlfn.XLOOKUP(P84,Flts!$I$14:$I$349,Flts!$C$14:$C$349),0)</f>
        <v>0</v>
      </c>
      <c r="Q85" s="435">
        <f>IFERROR(_xlfn.XLOOKUP(Q84,Flts!$I$14:$I$349,Flts!$C$14:$C$349),0)</f>
        <v>0</v>
      </c>
      <c r="R85" s="435">
        <f>IFERROR(_xlfn.XLOOKUP(R84,Flts!$I$14:$I$349,Flts!$C$14:$C$349),0)</f>
        <v>0</v>
      </c>
      <c r="S85" s="15"/>
      <c r="T85" s="15"/>
    </row>
    <row r="86" spans="1:46" s="320" customFormat="1" ht="30" customHeight="1" x14ac:dyDescent="0.3">
      <c r="A86" s="13"/>
      <c r="B86" s="739"/>
      <c r="C86" s="436">
        <f>IFERROR(_xlfn.XLOOKUP(C84,Flts!$I$14:$I$349,Flts!$D$14:$D$349),0)</f>
        <v>0</v>
      </c>
      <c r="D86" s="437">
        <f>IFERROR(_xlfn.XLOOKUP(D84,Flts!$I$14:$I$349,Flts!$D$14:$D$349),0)</f>
        <v>0</v>
      </c>
      <c r="E86" s="437">
        <f>IFERROR(_xlfn.XLOOKUP(E84,Flts!$I$14:$I$349,Flts!$D$14:$D$349),0)</f>
        <v>0</v>
      </c>
      <c r="F86" s="437">
        <f>IFERROR(_xlfn.XLOOKUP(F84,Flts!$I$14:$I$349,Flts!$D$14:$D$349),0)</f>
        <v>0</v>
      </c>
      <c r="G86" s="437">
        <f>IFERROR(_xlfn.XLOOKUP(G84,Flts!$I$14:$I$349,Flts!$D$14:$D$349),0)</f>
        <v>0</v>
      </c>
      <c r="H86" s="437">
        <f>IFERROR(_xlfn.XLOOKUP(H84,Flts!$I$14:$I$349,Flts!$D$14:$D$349),0)</f>
        <v>0</v>
      </c>
      <c r="I86" s="437">
        <f>IFERROR(_xlfn.XLOOKUP(I84,Flts!$I$14:$I$349,Flts!$D$14:$D$349),0)</f>
        <v>0</v>
      </c>
      <c r="J86" s="265"/>
      <c r="K86" s="739"/>
      <c r="L86" s="436">
        <f>IFERROR(_xlfn.XLOOKUP(L84,Flts!$I$14:$I$349,Flts!$D$14:$D$349),0)</f>
        <v>0</v>
      </c>
      <c r="M86" s="437">
        <f>IFERROR(_xlfn.XLOOKUP(M84,Flts!$I$14:$I$349,Flts!$D$14:$D$349),0)</f>
        <v>0</v>
      </c>
      <c r="N86" s="437">
        <f>IFERROR(_xlfn.XLOOKUP(N84,Flts!$I$14:$I$349,Flts!$D$14:$D$349),0)</f>
        <v>0</v>
      </c>
      <c r="O86" s="437">
        <f>IFERROR(_xlfn.XLOOKUP(O84,Flts!$I$14:$I$349,Flts!$D$14:$D$349),0)</f>
        <v>0</v>
      </c>
      <c r="P86" s="437">
        <f>IFERROR(_xlfn.XLOOKUP(P84,Flts!$I$14:$I$349,Flts!$D$14:$D$349),0)</f>
        <v>0</v>
      </c>
      <c r="Q86" s="437">
        <f>IFERROR(_xlfn.XLOOKUP(Q84,Flts!$I$14:$I$349,Flts!$D$14:$D$349),0)</f>
        <v>0</v>
      </c>
      <c r="R86" s="437">
        <f>IFERROR(_xlfn.XLOOKUP(R84,Flts!$I$14:$I$349,Flts!$D$14:$D$349),0)</f>
        <v>0</v>
      </c>
      <c r="S86" s="13"/>
      <c r="T86" s="265"/>
    </row>
    <row r="87" spans="1:46" s="409" customFormat="1" ht="30" customHeight="1" x14ac:dyDescent="0.3">
      <c r="A87" s="286"/>
      <c r="B87" s="739"/>
      <c r="C87" s="438">
        <f>IFERROR(_xlfn.XLOOKUP(C84,Flts!$I$14:$I$349,Flts!$E$14:$E$349),0)</f>
        <v>0</v>
      </c>
      <c r="D87" s="432">
        <f>IFERROR(_xlfn.XLOOKUP(D84,Flts!$I$14:$I$349,Flts!$E$14:$E$349),0)</f>
        <v>0</v>
      </c>
      <c r="E87" s="432">
        <f>IFERROR(_xlfn.XLOOKUP(E84,Flts!$I$14:$I$349,Flts!$E$14:$E$349),0)</f>
        <v>0</v>
      </c>
      <c r="F87" s="432">
        <f>IFERROR(_xlfn.XLOOKUP(F84,Flts!$I$14:$I$349,Flts!$E$14:$E$349),0)</f>
        <v>0</v>
      </c>
      <c r="G87" s="432">
        <f>IFERROR(_xlfn.XLOOKUP(G84,Flts!$I$14:$I$349,Flts!$E$14:$E$349),0)</f>
        <v>0</v>
      </c>
      <c r="H87" s="433"/>
      <c r="I87" s="432"/>
      <c r="J87" s="366"/>
      <c r="K87" s="739"/>
      <c r="L87" s="438">
        <f>IFERROR(_xlfn.XLOOKUP(L84,Flts!$I$14:$I$349,Flts!$E$14:$E$349),0)</f>
        <v>0</v>
      </c>
      <c r="M87" s="432">
        <f>IFERROR(_xlfn.XLOOKUP(M84,Flts!$I$14:$I$349,Flts!$E$14:$E$349),0)</f>
        <v>0</v>
      </c>
      <c r="N87" s="432">
        <f>IFERROR(_xlfn.XLOOKUP(N84,Flts!$I$14:$I$349,Flts!$E$14:$E$349),0)</f>
        <v>0</v>
      </c>
      <c r="O87" s="432">
        <f>IFERROR(_xlfn.XLOOKUP(O84,Flts!$I$14:$I$349,Flts!$E$14:$E$349),0)</f>
        <v>0</v>
      </c>
      <c r="P87" s="432">
        <f>IFERROR(_xlfn.XLOOKUP(P84,Flts!$I$14:$I$349,Flts!$E$14:$E$349),0)</f>
        <v>0</v>
      </c>
      <c r="Q87" s="433"/>
      <c r="R87" s="432"/>
      <c r="S87" s="286"/>
      <c r="T87" s="366"/>
    </row>
    <row r="88" spans="1:46" s="322" customFormat="1" ht="30" customHeight="1" x14ac:dyDescent="0.3">
      <c r="A88" s="13"/>
      <c r="B88" s="526"/>
      <c r="C88" s="731"/>
      <c r="D88" s="731"/>
      <c r="E88" s="731"/>
      <c r="F88" s="731"/>
      <c r="G88" s="731"/>
      <c r="H88" s="731"/>
      <c r="I88" s="731"/>
      <c r="J88" s="13"/>
      <c r="K88" s="71"/>
      <c r="L88" s="731"/>
      <c r="M88" s="731"/>
      <c r="N88" s="731"/>
      <c r="O88" s="731"/>
      <c r="P88" s="731"/>
      <c r="Q88" s="731"/>
      <c r="R88" s="731"/>
      <c r="S88" s="13"/>
      <c r="T88" s="99"/>
    </row>
    <row r="89" spans="1:46" s="1200" customFormat="1" x14ac:dyDescent="0.3">
      <c r="A89" s="685"/>
      <c r="B89" s="667" t="str">
        <f>IModulo&amp;" ("&amp;IProfesor&amp;")"</f>
        <v>FPM-it-1-0237 Infra. comunes de teleco en viviendas y edificios (Rafa Sanz)</v>
      </c>
      <c r="C89" s="667"/>
      <c r="E89" s="1105"/>
      <c r="F89" s="1105"/>
      <c r="G89" s="1105"/>
      <c r="H89" s="1105"/>
      <c r="I89" s="1105"/>
      <c r="J89" s="1105"/>
      <c r="K89" s="1105"/>
      <c r="L89" s="1105"/>
      <c r="M89" s="1105"/>
      <c r="N89" s="1106"/>
      <c r="O89" s="1105"/>
      <c r="P89" s="1105"/>
      <c r="Q89" s="1201"/>
      <c r="R89" s="1201"/>
      <c r="S89" s="1201"/>
      <c r="U89" s="1202"/>
      <c r="V89" s="1202"/>
      <c r="W89" s="1202"/>
      <c r="X89" s="1202"/>
      <c r="Y89" s="1202"/>
      <c r="Z89" s="1202"/>
      <c r="AA89" s="1202"/>
      <c r="AB89" s="1202"/>
      <c r="AC89" s="1202"/>
      <c r="AD89" s="1202"/>
      <c r="AE89" s="1202"/>
      <c r="AF89" s="1202"/>
      <c r="AG89" s="1202"/>
      <c r="AH89" s="1202"/>
      <c r="AI89" s="1202"/>
      <c r="AJ89" s="1202"/>
      <c r="AK89" s="1202"/>
      <c r="AL89" s="1202"/>
      <c r="AM89" s="1202"/>
      <c r="AN89" s="1202"/>
      <c r="AO89" s="1202"/>
      <c r="AP89" s="1202"/>
      <c r="AQ89" s="1202"/>
      <c r="AR89" s="1202"/>
      <c r="AS89" s="1202"/>
      <c r="AT89" s="1202"/>
    </row>
    <row r="90" spans="1:46" s="7" customFormat="1" x14ac:dyDescent="0.3">
      <c r="A90" s="578"/>
      <c r="B90" s="667"/>
      <c r="C90" s="667"/>
      <c r="E90" s="1105"/>
      <c r="F90" s="1105"/>
      <c r="G90" s="1105"/>
      <c r="H90" s="1105"/>
      <c r="I90" s="1105"/>
      <c r="J90" s="1105"/>
      <c r="K90" s="1105"/>
      <c r="L90" s="1105"/>
      <c r="M90" s="1105"/>
      <c r="N90" s="1106"/>
      <c r="O90" s="1105"/>
      <c r="P90" s="1105"/>
      <c r="Q90" s="1107"/>
      <c r="R90" s="1107"/>
      <c r="S90" s="1107"/>
      <c r="U90" s="672"/>
      <c r="V90" s="672"/>
      <c r="W90" s="672"/>
      <c r="X90" s="672"/>
      <c r="Y90" s="672"/>
      <c r="Z90" s="672"/>
      <c r="AA90" s="672"/>
      <c r="AB90" s="672"/>
      <c r="AC90" s="672"/>
      <c r="AD90" s="672"/>
      <c r="AE90" s="672"/>
      <c r="AF90" s="672"/>
      <c r="AG90" s="672"/>
      <c r="AH90" s="672"/>
      <c r="AI90" s="672"/>
      <c r="AJ90" s="672"/>
      <c r="AK90" s="672"/>
      <c r="AL90" s="672"/>
      <c r="AM90" s="672"/>
      <c r="AN90" s="672"/>
      <c r="AO90" s="672"/>
      <c r="AP90" s="672"/>
      <c r="AQ90" s="672"/>
      <c r="AR90" s="672"/>
      <c r="AS90" s="672"/>
      <c r="AT90" s="672"/>
    </row>
    <row r="91" spans="1:46" s="727" customFormat="1" ht="50.1" customHeight="1" x14ac:dyDescent="0.3">
      <c r="A91" s="71"/>
      <c r="B91" s="730">
        <v>3</v>
      </c>
      <c r="C91" s="1208">
        <f>DATE(YEAR(FechaInicio1Tri)+1,B91,1)</f>
        <v>46082</v>
      </c>
      <c r="D91" s="1208"/>
      <c r="E91" s="1208"/>
      <c r="F91" s="1208"/>
      <c r="G91" s="1208"/>
      <c r="H91" s="1208"/>
      <c r="I91" s="855">
        <f>YEAR(FechaInicio1Tri)+1</f>
        <v>2026</v>
      </c>
      <c r="J91" s="71"/>
      <c r="K91" s="732">
        <v>4</v>
      </c>
      <c r="L91" s="1208">
        <f>DATE(YEAR(FechaInicio1Tri)+1,K91,1)</f>
        <v>46113</v>
      </c>
      <c r="M91" s="1208"/>
      <c r="N91" s="1208"/>
      <c r="O91" s="1208"/>
      <c r="P91" s="1208"/>
      <c r="Q91" s="1208"/>
      <c r="R91" s="855">
        <f>YEAR(FechaInicio1Tri)+1</f>
        <v>2026</v>
      </c>
      <c r="S91" s="71"/>
    </row>
    <row r="92" spans="1:46" s="365" customFormat="1" ht="30" customHeight="1" x14ac:dyDescent="0.3">
      <c r="A92" s="71"/>
      <c r="B92" s="976" t="s">
        <v>220</v>
      </c>
      <c r="C92" s="971" t="s">
        <v>0</v>
      </c>
      <c r="D92" s="78" t="s">
        <v>1</v>
      </c>
      <c r="E92" s="78" t="s">
        <v>27</v>
      </c>
      <c r="F92" s="78" t="s">
        <v>2</v>
      </c>
      <c r="G92" s="78" t="s">
        <v>3</v>
      </c>
      <c r="H92" s="78" t="s">
        <v>28</v>
      </c>
      <c r="I92" s="972" t="s">
        <v>29</v>
      </c>
      <c r="J92" s="466"/>
      <c r="K92" s="977" t="s">
        <v>220</v>
      </c>
      <c r="L92" s="971" t="s">
        <v>0</v>
      </c>
      <c r="M92" s="78" t="s">
        <v>1</v>
      </c>
      <c r="N92" s="78" t="s">
        <v>27</v>
      </c>
      <c r="O92" s="78" t="s">
        <v>2</v>
      </c>
      <c r="P92" s="78" t="s">
        <v>3</v>
      </c>
      <c r="Q92" s="78" t="s">
        <v>28</v>
      </c>
      <c r="R92" s="972" t="s">
        <v>29</v>
      </c>
      <c r="S92" s="71"/>
    </row>
    <row r="93" spans="1:46" s="103" customFormat="1" ht="30" customHeight="1" x14ac:dyDescent="0.3">
      <c r="A93" s="15"/>
      <c r="B93" s="976">
        <f>_xlfn.ISOWEEKNUM(C91)</f>
        <v>9</v>
      </c>
      <c r="C93" s="973">
        <f>IF(WEEKDAY(C91,2)=1,C91,0)</f>
        <v>0</v>
      </c>
      <c r="D93" s="973">
        <f>IF(WEEKDAY(C91,2)=2, C91, IF(WEEKDAY(C91,2)&lt;2, C93+1,0))</f>
        <v>0</v>
      </c>
      <c r="E93" s="973">
        <f>IF(WEEKDAY(C91,2)=3, C91, IF(WEEKDAY(C91,2)&lt;3, D93+1,0))</f>
        <v>0</v>
      </c>
      <c r="F93" s="973">
        <f>IF(WEEKDAY(C91,2)=4, C91, IF(WEEKDAY(C91,2)&lt;4, E93+1,0))</f>
        <v>0</v>
      </c>
      <c r="G93" s="973">
        <f>IF(WEEKDAY(C91,2)=5, C91, IF(WEEKDAY(C91,2)&lt;5, F93+1,0))</f>
        <v>0</v>
      </c>
      <c r="H93" s="974">
        <f>IF(WEEKDAY(C91,2)=6, C91, IF(WEEKDAY(C91,2)&lt;6, G93+1,0))</f>
        <v>0</v>
      </c>
      <c r="I93" s="974">
        <f>IF(WEEKDAY(C91,2)=7, C91, IF(WEEKDAY(C91,2)&lt;7, H93+1,0))</f>
        <v>46082</v>
      </c>
      <c r="J93" s="15"/>
      <c r="K93" s="977">
        <f>_xlfn.ISOWEEKNUM(L91)</f>
        <v>14</v>
      </c>
      <c r="L93" s="973">
        <f>IF(WEEKDAY(L91,2)=1,L91,0)</f>
        <v>0</v>
      </c>
      <c r="M93" s="973">
        <f>IF(WEEKDAY(L91,2)=2, L91, IF(WEEKDAY(L91,2)&lt;2, L93+1,0))</f>
        <v>0</v>
      </c>
      <c r="N93" s="973">
        <f>IF(WEEKDAY(L91,2)=3, L91, IF(WEEKDAY(L91,2)&lt;3, M93+1,0))</f>
        <v>46113</v>
      </c>
      <c r="O93" s="973">
        <f>IF(WEEKDAY(L91,2)=4, L91, IF(WEEKDAY(L91,2)&lt;4, N93+1,0))</f>
        <v>46114</v>
      </c>
      <c r="P93" s="973">
        <f>IF(WEEKDAY(L91,2)=5, L91, IF(WEEKDAY(L91,2)&lt;5, O93+1,0))</f>
        <v>46115</v>
      </c>
      <c r="Q93" s="974">
        <f>IF(WEEKDAY(L91,2)=6, L91, IF(WEEKDAY(L91,2)&lt;6, P93+1,0))</f>
        <v>46116</v>
      </c>
      <c r="R93" s="974">
        <f>IF(WEEKDAY(L91,2)=7, L91, IF(WEEKDAY(L91,2)&lt;7, Q93+1,0))</f>
        <v>46117</v>
      </c>
      <c r="S93" s="15"/>
      <c r="T93" s="15"/>
    </row>
    <row r="94" spans="1:46" s="101" customFormat="1" ht="30" customHeight="1" x14ac:dyDescent="0.3">
      <c r="A94" s="15"/>
      <c r="B94" s="739"/>
      <c r="C94" s="427">
        <f>IFERROR(_xlfn.XLOOKUP(C93,Flts!$I$14:$I$349,Flts!$C$14:$C$349),0)</f>
        <v>0</v>
      </c>
      <c r="D94" s="428">
        <f>IFERROR(_xlfn.XLOOKUP(D93,Flts!$I$14:$I$349,Flts!$C$14:$C$349),0)</f>
        <v>0</v>
      </c>
      <c r="E94" s="428">
        <f>IFERROR(_xlfn.XLOOKUP(E93,Flts!$I$14:$I$349,Flts!$C$14:$C$349),0)</f>
        <v>0</v>
      </c>
      <c r="F94" s="428">
        <f>IFERROR(_xlfn.XLOOKUP(F93,Flts!$I$14:$I$349,Flts!$C$14:$C$349),0)</f>
        <v>0</v>
      </c>
      <c r="G94" s="428">
        <f>IFERROR(_xlfn.XLOOKUP(G93,Flts!$I$14:$I$349,Flts!$C$14:$C$349),0)</f>
        <v>0</v>
      </c>
      <c r="H94" s="428">
        <f>IFERROR(_xlfn.XLOOKUP(H93,Flts!$I$14:$I$349,Flts!$C$14:$C$349),0)</f>
        <v>0</v>
      </c>
      <c r="I94" s="428">
        <f>IFERROR(_xlfn.XLOOKUP(I93,Flts!$I$14:$I$349,Flts!$C$14:$C$349),0)</f>
        <v>0</v>
      </c>
      <c r="J94" s="138"/>
      <c r="K94" s="741"/>
      <c r="L94" s="427">
        <f>IFERROR(_xlfn.XLOOKUP(L93,Flts!$I$14:$I$349,Flts!$C$14:$C$349),0)</f>
        <v>0</v>
      </c>
      <c r="M94" s="428">
        <f>IFERROR(_xlfn.XLOOKUP(M93,Flts!$I$14:$I$349,Flts!$C$14:$C$349),0)</f>
        <v>0</v>
      </c>
      <c r="N94" s="428" t="str">
        <f>IFERROR(_xlfn.XLOOKUP(N93,Flts!$I$14:$I$349,Flts!$C$14:$C$349),0)</f>
        <v>S.Santa</v>
      </c>
      <c r="O94" s="428" t="str">
        <f>IFERROR(_xlfn.XLOOKUP(O93,Flts!$I$14:$I$349,Flts!$C$14:$C$349),0)</f>
        <v>S.Santa</v>
      </c>
      <c r="P94" s="428" t="str">
        <f>IFERROR(_xlfn.XLOOKUP(P93,Flts!$I$14:$I$349,Flts!$C$14:$C$349),0)</f>
        <v>S.Santa</v>
      </c>
      <c r="Q94" s="428">
        <f>IFERROR(_xlfn.XLOOKUP(Q93,Flts!$I$14:$I$349,Flts!$C$14:$C$349),0)</f>
        <v>0</v>
      </c>
      <c r="R94" s="428">
        <f>IFERROR(_xlfn.XLOOKUP(R93,Flts!$I$14:$I$349,Flts!$C$14:$C$349),0)</f>
        <v>0</v>
      </c>
      <c r="S94" s="15"/>
      <c r="T94" s="15"/>
    </row>
    <row r="95" spans="1:46" s="320" customFormat="1" ht="30" customHeight="1" x14ac:dyDescent="0.3">
      <c r="A95" s="13"/>
      <c r="B95" s="739"/>
      <c r="C95" s="429">
        <f>IFERROR(_xlfn.XLOOKUP(C93,Flts!$I$14:$I$349,Flts!$D$14:$D$349),0)</f>
        <v>0</v>
      </c>
      <c r="D95" s="430">
        <f>IFERROR(_xlfn.XLOOKUP(D93,Flts!$I$14:$I$349,Flts!$D$14:$D$349),0)</f>
        <v>0</v>
      </c>
      <c r="E95" s="430">
        <f>IFERROR(_xlfn.XLOOKUP(E93,Flts!$I$14:$I$349,Flts!$D$14:$D$349),0)</f>
        <v>0</v>
      </c>
      <c r="F95" s="430">
        <f>IFERROR(_xlfn.XLOOKUP(F93,Flts!$I$14:$I$349,Flts!$D$14:$D$349),0)</f>
        <v>0</v>
      </c>
      <c r="G95" s="430">
        <f>IFERROR(_xlfn.XLOOKUP(G93,Flts!$I$14:$I$349,Flts!$D$14:$D$349),0)</f>
        <v>0</v>
      </c>
      <c r="H95" s="430">
        <f>IFERROR(_xlfn.XLOOKUP(H93,Flts!$I$14:$I$349,Flts!$D$14:$D$349),0)</f>
        <v>0</v>
      </c>
      <c r="I95" s="430">
        <f>IFERROR(_xlfn.XLOOKUP(I93,Flts!$I$14:$I$349,Flts!$D$14:$D$349),0)</f>
        <v>0</v>
      </c>
      <c r="J95" s="421"/>
      <c r="K95" s="741"/>
      <c r="L95" s="429">
        <f>IFERROR(_xlfn.XLOOKUP(L93,Flts!$I$14:$I$349,Flts!$D$14:$D$349),0)</f>
        <v>0</v>
      </c>
      <c r="M95" s="430">
        <f>IFERROR(_xlfn.XLOOKUP(M93,Flts!$I$14:$I$349,Flts!$D$14:$D$349),0)</f>
        <v>0</v>
      </c>
      <c r="N95" s="430">
        <f>IFERROR(_xlfn.XLOOKUP(N93,Flts!$I$14:$I$349,Flts!$D$14:$D$349),0)</f>
        <v>0</v>
      </c>
      <c r="O95" s="430">
        <f>IFERROR(_xlfn.XLOOKUP(O93,Flts!$I$14:$I$349,Flts!$D$14:$D$349),0)</f>
        <v>0</v>
      </c>
      <c r="P95" s="430">
        <f>IFERROR(_xlfn.XLOOKUP(P93,Flts!$I$14:$I$349,Flts!$D$14:$D$349),0)</f>
        <v>0</v>
      </c>
      <c r="Q95" s="430">
        <f>IFERROR(_xlfn.XLOOKUP(Q93,Flts!$I$14:$I$349,Flts!$D$14:$D$349),0)</f>
        <v>0</v>
      </c>
      <c r="R95" s="430">
        <f>IFERROR(_xlfn.XLOOKUP(R93,Flts!$I$14:$I$349,Flts!$D$14:$D$349),0)</f>
        <v>0</v>
      </c>
      <c r="S95" s="13"/>
      <c r="T95" s="265"/>
    </row>
    <row r="96" spans="1:46" s="409" customFormat="1" ht="30" customHeight="1" x14ac:dyDescent="0.3">
      <c r="A96" s="286"/>
      <c r="B96" s="739"/>
      <c r="C96" s="431">
        <f>IFERROR(_xlfn.XLOOKUP(C93,Flts!$I$14:$I$349,Flts!$E$14:$E$349),0)</f>
        <v>0</v>
      </c>
      <c r="D96" s="432">
        <f>IFERROR(_xlfn.XLOOKUP(D93,Flts!$I$14:$I$349,Flts!$E$14:$E$349),0)</f>
        <v>0</v>
      </c>
      <c r="E96" s="432">
        <f>IFERROR(_xlfn.XLOOKUP(E93,Flts!$I$14:$I$349,Flts!$E$14:$E$349),0)</f>
        <v>0</v>
      </c>
      <c r="F96" s="432">
        <f>IFERROR(_xlfn.XLOOKUP(F93,Flts!$I$14:$I$349,Flts!$E$14:$E$349),0)</f>
        <v>0</v>
      </c>
      <c r="G96" s="432">
        <f>IFERROR(_xlfn.XLOOKUP(G93,Flts!$I$14:$I$349,Flts!$E$14:$E$349),0)</f>
        <v>0</v>
      </c>
      <c r="H96" s="433"/>
      <c r="I96" s="432"/>
      <c r="J96" s="366"/>
      <c r="K96" s="741"/>
      <c r="L96" s="431">
        <f>IFERROR(_xlfn.XLOOKUP(L93,Flts!$I$14:$I$349,Flts!$E$14:$E$349),0)</f>
        <v>0</v>
      </c>
      <c r="M96" s="432">
        <f>IFERROR(_xlfn.XLOOKUP(M93,Flts!$I$14:$I$349,Flts!$E$14:$E$349),0)</f>
        <v>0</v>
      </c>
      <c r="N96" s="432">
        <f>IFERROR(_xlfn.XLOOKUP(N93,Flts!$I$14:$I$349,Flts!$E$14:$E$349),0)</f>
        <v>0</v>
      </c>
      <c r="O96" s="432">
        <f>IFERROR(_xlfn.XLOOKUP(O93,Flts!$I$14:$I$349,Flts!$E$14:$E$349),0)</f>
        <v>0</v>
      </c>
      <c r="P96" s="432">
        <f>IFERROR(_xlfn.XLOOKUP(P93,Flts!$I$14:$I$349,Flts!$E$14:$E$349),0)</f>
        <v>0</v>
      </c>
      <c r="Q96" s="433"/>
      <c r="R96" s="432"/>
      <c r="S96" s="286"/>
      <c r="T96" s="366"/>
    </row>
    <row r="97" spans="1:20" s="103" customFormat="1" ht="30" customHeight="1" x14ac:dyDescent="0.3">
      <c r="A97" s="15"/>
      <c r="B97" s="976">
        <f>_xlfn.ISOWEEKNUM(C97)</f>
        <v>10</v>
      </c>
      <c r="C97" s="973">
        <f>I93+1</f>
        <v>46083</v>
      </c>
      <c r="D97" s="973">
        <f>C97+1</f>
        <v>46084</v>
      </c>
      <c r="E97" s="973">
        <f t="shared" ref="E97:I97" si="30">D97+1</f>
        <v>46085</v>
      </c>
      <c r="F97" s="973">
        <f t="shared" si="30"/>
        <v>46086</v>
      </c>
      <c r="G97" s="973">
        <f t="shared" si="30"/>
        <v>46087</v>
      </c>
      <c r="H97" s="974">
        <f t="shared" si="30"/>
        <v>46088</v>
      </c>
      <c r="I97" s="974">
        <f t="shared" si="30"/>
        <v>46089</v>
      </c>
      <c r="J97" s="15"/>
      <c r="K97" s="977">
        <f>_xlfn.ISOWEEKNUM(L97)</f>
        <v>15</v>
      </c>
      <c r="L97" s="973">
        <f>R93+1</f>
        <v>46118</v>
      </c>
      <c r="M97" s="973">
        <f>L97+1</f>
        <v>46119</v>
      </c>
      <c r="N97" s="973">
        <f t="shared" ref="N97:R97" si="31">M97+1</f>
        <v>46120</v>
      </c>
      <c r="O97" s="973">
        <f t="shared" si="31"/>
        <v>46121</v>
      </c>
      <c r="P97" s="973">
        <f t="shared" si="31"/>
        <v>46122</v>
      </c>
      <c r="Q97" s="974">
        <f t="shared" si="31"/>
        <v>46123</v>
      </c>
      <c r="R97" s="974">
        <f t="shared" si="31"/>
        <v>46124</v>
      </c>
      <c r="S97" s="15"/>
      <c r="T97" s="15"/>
    </row>
    <row r="98" spans="1:20" s="101" customFormat="1" ht="30" customHeight="1" x14ac:dyDescent="0.3">
      <c r="A98" s="15"/>
      <c r="B98" s="739"/>
      <c r="C98" s="434">
        <f>IFERROR(_xlfn.XLOOKUP(C97,Flts!$I$14:$I$349,Flts!$C$14:$C$349),0)</f>
        <v>0</v>
      </c>
      <c r="D98" s="435">
        <f>IFERROR(_xlfn.XLOOKUP(D97,Flts!$I$14:$I$349,Flts!$C$14:$C$349),0)</f>
        <v>0</v>
      </c>
      <c r="E98" s="435">
        <f>IFERROR(_xlfn.XLOOKUP(E97,Flts!$I$14:$I$349,Flts!$C$14:$C$349),0)</f>
        <v>0</v>
      </c>
      <c r="F98" s="435">
        <f>IFERROR(_xlfn.XLOOKUP(F97,Flts!$I$14:$I$349,Flts!$C$14:$C$349),0)</f>
        <v>0</v>
      </c>
      <c r="G98" s="435" t="str">
        <f>IFERROR(_xlfn.XLOOKUP(G97,Flts!$I$14:$I$349,Flts!$C$14:$C$349),0)</f>
        <v>Cincomarzada</v>
      </c>
      <c r="H98" s="435">
        <f>IFERROR(_xlfn.XLOOKUP(H97,Flts!$I$14:$I$349,Flts!$C$14:$C$349),0)</f>
        <v>0</v>
      </c>
      <c r="I98" s="435">
        <f>IFERROR(_xlfn.XLOOKUP(I97,Flts!$I$14:$I$349,Flts!$C$14:$C$349),0)</f>
        <v>0</v>
      </c>
      <c r="J98" s="15"/>
      <c r="K98" s="741"/>
      <c r="L98" s="434" t="str">
        <f>IFERROR(_xlfn.XLOOKUP(L97,Flts!$I$14:$I$349,Flts!$C$14:$C$349),0)</f>
        <v>S.Santa</v>
      </c>
      <c r="M98" s="435">
        <f>IFERROR(_xlfn.XLOOKUP(M97,Flts!$I$14:$I$349,Flts!$C$14:$C$349),0)</f>
        <v>0</v>
      </c>
      <c r="N98" s="435">
        <f>IFERROR(_xlfn.XLOOKUP(N97,Flts!$I$14:$I$349,Flts!$C$14:$C$349),0)</f>
        <v>0</v>
      </c>
      <c r="O98" s="435">
        <f>IFERROR(_xlfn.XLOOKUP(O97,Flts!$I$14:$I$349,Flts!$C$14:$C$349),0)</f>
        <v>0</v>
      </c>
      <c r="P98" s="435">
        <f>IFERROR(_xlfn.XLOOKUP(P97,Flts!$I$14:$I$349,Flts!$C$14:$C$349),0)</f>
        <v>0</v>
      </c>
      <c r="Q98" s="435">
        <f>IFERROR(_xlfn.XLOOKUP(Q97,Flts!$I$14:$I$349,Flts!$C$14:$C$349),0)</f>
        <v>0</v>
      </c>
      <c r="R98" s="435">
        <f>IFERROR(_xlfn.XLOOKUP(R97,Flts!$I$14:$I$349,Flts!$C$14:$C$349),0)</f>
        <v>0</v>
      </c>
      <c r="S98" s="15"/>
      <c r="T98" s="15"/>
    </row>
    <row r="99" spans="1:20" s="320" customFormat="1" ht="30" customHeight="1" x14ac:dyDescent="0.3">
      <c r="A99" s="13"/>
      <c r="B99" s="739"/>
      <c r="C99" s="436" t="str">
        <f>IFERROR(_xlfn.XLOOKUP(C97,Flts!$I$14:$I$349,Flts!$D$14:$D$349),0)</f>
        <v>2ºGx-InicioFE</v>
      </c>
      <c r="D99" s="437" t="str">
        <f>IFERROR(_xlfn.XLOOKUP(D97,Flts!$I$14:$I$349,Flts!$D$14:$D$349),0)</f>
        <v>2ºGx-Reclama+1d</v>
      </c>
      <c r="E99" s="437">
        <f>IFERROR(_xlfn.XLOOKUP(E97,Flts!$I$14:$I$349,Flts!$D$14:$D$349),0)</f>
        <v>0</v>
      </c>
      <c r="F99" s="437">
        <f>IFERROR(_xlfn.XLOOKUP(F97,Flts!$I$14:$I$349,Flts!$D$14:$D$349),0)</f>
        <v>0</v>
      </c>
      <c r="G99" s="437">
        <f>IFERROR(_xlfn.XLOOKUP(G97,Flts!$I$14:$I$349,Flts!$D$14:$D$349),0)</f>
        <v>0</v>
      </c>
      <c r="H99" s="437">
        <f>IFERROR(_xlfn.XLOOKUP(H97,Flts!$I$14:$I$349,Flts!$D$14:$D$349),0)</f>
        <v>0</v>
      </c>
      <c r="I99" s="437">
        <f>IFERROR(_xlfn.XLOOKUP(I97,Flts!$I$14:$I$349,Flts!$D$14:$D$349),0)</f>
        <v>0</v>
      </c>
      <c r="J99" s="265"/>
      <c r="K99" s="741"/>
      <c r="L99" s="436">
        <f>IFERROR(_xlfn.XLOOKUP(L97,Flts!$I$14:$I$349,Flts!$D$14:$D$349),0)</f>
        <v>0</v>
      </c>
      <c r="M99" s="437">
        <f>IFERROR(_xlfn.XLOOKUP(M97,Flts!$I$14:$I$349,Flts!$D$14:$D$349),0)</f>
        <v>0</v>
      </c>
      <c r="N99" s="437">
        <f>IFERROR(_xlfn.XLOOKUP(N97,Flts!$I$14:$I$349,Flts!$D$14:$D$349),0)</f>
        <v>0</v>
      </c>
      <c r="O99" s="437">
        <f>IFERROR(_xlfn.XLOOKUP(O97,Flts!$I$14:$I$349,Flts!$D$14:$D$349),0)</f>
        <v>0</v>
      </c>
      <c r="P99" s="437">
        <f>IFERROR(_xlfn.XLOOKUP(P97,Flts!$I$14:$I$349,Flts!$D$14:$D$349),0)</f>
        <v>0</v>
      </c>
      <c r="Q99" s="437">
        <f>IFERROR(_xlfn.XLOOKUP(Q97,Flts!$I$14:$I$349,Flts!$D$14:$D$349),0)</f>
        <v>0</v>
      </c>
      <c r="R99" s="437">
        <f>IFERROR(_xlfn.XLOOKUP(R97,Flts!$I$14:$I$349,Flts!$D$14:$D$349),0)</f>
        <v>0</v>
      </c>
      <c r="S99" s="13"/>
      <c r="T99" s="265"/>
    </row>
    <row r="100" spans="1:20" s="409" customFormat="1" ht="30" customHeight="1" x14ac:dyDescent="0.3">
      <c r="A100" s="286"/>
      <c r="B100" s="739"/>
      <c r="C100" s="438" t="str">
        <f>IFERROR(_xlfn.XLOOKUP(C97,Flts!$I$14:$I$349,Flts!$E$14:$E$349),0)</f>
        <v/>
      </c>
      <c r="D100" s="432" t="str">
        <f>IFERROR(_xlfn.XLOOKUP(D97,Flts!$I$14:$I$349,Flts!$E$14:$E$349),0)</f>
        <v/>
      </c>
      <c r="E100" s="432" t="str">
        <f>IFERROR(_xlfn.XLOOKUP(E97,Flts!$I$14:$I$349,Flts!$E$14:$E$349),0)</f>
        <v/>
      </c>
      <c r="F100" s="432" t="str">
        <f>IFERROR(_xlfn.XLOOKUP(F97,Flts!$I$14:$I$349,Flts!$E$14:$E$349),0)</f>
        <v/>
      </c>
      <c r="G100" s="432">
        <f>IFERROR(_xlfn.XLOOKUP(G97,Flts!$I$14:$I$349,Flts!$E$14:$E$349),0)</f>
        <v>0</v>
      </c>
      <c r="H100" s="433"/>
      <c r="I100" s="432"/>
      <c r="J100" s="366"/>
      <c r="K100" s="741"/>
      <c r="L100" s="438">
        <f>IFERROR(_xlfn.XLOOKUP(L97,Flts!$I$14:$I$349,Flts!$E$14:$E$349),0)</f>
        <v>0</v>
      </c>
      <c r="M100" s="432" t="str">
        <f>IFERROR(_xlfn.XLOOKUP(M97,Flts!$I$14:$I$349,Flts!$E$14:$E$349),0)</f>
        <v/>
      </c>
      <c r="N100" s="432" t="str">
        <f>IFERROR(_xlfn.XLOOKUP(N97,Flts!$I$14:$I$349,Flts!$E$14:$E$349),0)</f>
        <v/>
      </c>
      <c r="O100" s="432" t="str">
        <f>IFERROR(_xlfn.XLOOKUP(O97,Flts!$I$14:$I$349,Flts!$E$14:$E$349),0)</f>
        <v/>
      </c>
      <c r="P100" s="432" t="str">
        <f>IFERROR(_xlfn.XLOOKUP(P97,Flts!$I$14:$I$349,Flts!$E$14:$E$349),0)</f>
        <v/>
      </c>
      <c r="Q100" s="433"/>
      <c r="R100" s="432"/>
      <c r="S100" s="286"/>
      <c r="T100" s="366"/>
    </row>
    <row r="101" spans="1:20" s="103" customFormat="1" ht="30" customHeight="1" x14ac:dyDescent="0.3">
      <c r="A101" s="15"/>
      <c r="B101" s="976">
        <f>B97+1</f>
        <v>11</v>
      </c>
      <c r="C101" s="973">
        <f>I97+1</f>
        <v>46090</v>
      </c>
      <c r="D101" s="973">
        <f>C101+1</f>
        <v>46091</v>
      </c>
      <c r="E101" s="973">
        <f t="shared" ref="E101:I101" si="32">D101+1</f>
        <v>46092</v>
      </c>
      <c r="F101" s="973">
        <f t="shared" si="32"/>
        <v>46093</v>
      </c>
      <c r="G101" s="973">
        <f t="shared" si="32"/>
        <v>46094</v>
      </c>
      <c r="H101" s="974">
        <f t="shared" si="32"/>
        <v>46095</v>
      </c>
      <c r="I101" s="974">
        <f t="shared" si="32"/>
        <v>46096</v>
      </c>
      <c r="J101" s="15"/>
      <c r="K101" s="977">
        <f>K97+1</f>
        <v>16</v>
      </c>
      <c r="L101" s="973">
        <f>R97+1</f>
        <v>46125</v>
      </c>
      <c r="M101" s="973">
        <f>L101+1</f>
        <v>46126</v>
      </c>
      <c r="N101" s="973">
        <f t="shared" ref="N101:R101" si="33">M101+1</f>
        <v>46127</v>
      </c>
      <c r="O101" s="973">
        <f t="shared" si="33"/>
        <v>46128</v>
      </c>
      <c r="P101" s="973">
        <f t="shared" si="33"/>
        <v>46129</v>
      </c>
      <c r="Q101" s="974">
        <f t="shared" si="33"/>
        <v>46130</v>
      </c>
      <c r="R101" s="974">
        <f t="shared" si="33"/>
        <v>46131</v>
      </c>
      <c r="S101" s="15"/>
      <c r="T101" s="15"/>
    </row>
    <row r="102" spans="1:20" s="101" customFormat="1" ht="30" customHeight="1" x14ac:dyDescent="0.3">
      <c r="A102" s="15"/>
      <c r="B102" s="739"/>
      <c r="C102" s="434">
        <f>IFERROR(_xlfn.XLOOKUP(C101,Flts!$I$14:$I$349,Flts!$C$14:$C$349),0)</f>
        <v>0</v>
      </c>
      <c r="D102" s="435">
        <f>IFERROR(_xlfn.XLOOKUP(D101,Flts!$I$14:$I$349,Flts!$C$14:$C$349),0)</f>
        <v>0</v>
      </c>
      <c r="E102" s="435">
        <f>IFERROR(_xlfn.XLOOKUP(E101,Flts!$I$14:$I$349,Flts!$C$14:$C$349),0)</f>
        <v>0</v>
      </c>
      <c r="F102" s="435">
        <f>IFERROR(_xlfn.XLOOKUP(F101,Flts!$I$14:$I$349,Flts!$C$14:$C$349),0)</f>
        <v>0</v>
      </c>
      <c r="G102" s="435">
        <f>IFERROR(_xlfn.XLOOKUP(G101,Flts!$I$14:$I$349,Flts!$C$14:$C$349),0)</f>
        <v>0</v>
      </c>
      <c r="H102" s="435">
        <f>IFERROR(_xlfn.XLOOKUP(H101,Flts!$I$14:$I$349,Flts!$C$14:$C$349),0)</f>
        <v>0</v>
      </c>
      <c r="I102" s="435">
        <f>IFERROR(_xlfn.XLOOKUP(I101,Flts!$I$14:$I$349,Flts!$C$14:$C$349),0)</f>
        <v>0</v>
      </c>
      <c r="J102" s="15"/>
      <c r="K102" s="741"/>
      <c r="L102" s="434">
        <f>IFERROR(_xlfn.XLOOKUP(L101,Flts!$I$14:$I$349,Flts!$C$14:$C$349),0)</f>
        <v>0</v>
      </c>
      <c r="M102" s="435">
        <f>IFERROR(_xlfn.XLOOKUP(M101,Flts!$I$14:$I$349,Flts!$C$14:$C$349),0)</f>
        <v>0</v>
      </c>
      <c r="N102" s="435">
        <f>IFERROR(_xlfn.XLOOKUP(N101,Flts!$I$14:$I$349,Flts!$C$14:$C$349),0)</f>
        <v>0</v>
      </c>
      <c r="O102" s="435">
        <f>IFERROR(_xlfn.XLOOKUP(O101,Flts!$I$14:$I$349,Flts!$C$14:$C$349),0)</f>
        <v>0</v>
      </c>
      <c r="P102" s="435">
        <f>IFERROR(_xlfn.XLOOKUP(P101,Flts!$I$14:$I$349,Flts!$C$14:$C$349),0)</f>
        <v>0</v>
      </c>
      <c r="Q102" s="435">
        <f>IFERROR(_xlfn.XLOOKUP(Q101,Flts!$I$14:$I$349,Flts!$C$14:$C$349),0)</f>
        <v>0</v>
      </c>
      <c r="R102" s="435">
        <f>IFERROR(_xlfn.XLOOKUP(R101,Flts!$I$14:$I$349,Flts!$C$14:$C$349),0)</f>
        <v>0</v>
      </c>
      <c r="S102" s="15"/>
      <c r="T102" s="15"/>
    </row>
    <row r="103" spans="1:20" s="320" customFormat="1" ht="30" customHeight="1" x14ac:dyDescent="0.3">
      <c r="A103" s="13"/>
      <c r="B103" s="739"/>
      <c r="C103" s="436">
        <f>IFERROR(_xlfn.XLOOKUP(C101,Flts!$I$14:$I$349,Flts!$D$14:$D$349),0)</f>
        <v>0</v>
      </c>
      <c r="D103" s="437">
        <f>IFERROR(_xlfn.XLOOKUP(D101,Flts!$I$14:$I$349,Flts!$D$14:$D$349),0)</f>
        <v>0</v>
      </c>
      <c r="E103" s="437" t="str">
        <f>IFERROR(_xlfn.XLOOKUP(E101,Flts!$I$14:$I$349,Flts!$D$14:$D$349),0)</f>
        <v>1ºGx-Junta 2ªEv.</v>
      </c>
      <c r="F103" s="437">
        <f>IFERROR(_xlfn.XLOOKUP(F101,Flts!$I$14:$I$349,Flts!$D$14:$D$349),0)</f>
        <v>0</v>
      </c>
      <c r="G103" s="437" t="str">
        <f>IFERROR(_xlfn.XLOOKUP(G101,Flts!$I$14:$I$349,Flts!$D$14:$D$349),0)</f>
        <v>1ºGx-Boletín 2ªEv.</v>
      </c>
      <c r="H103" s="437">
        <f>IFERROR(_xlfn.XLOOKUP(H101,Flts!$I$14:$I$349,Flts!$D$14:$D$349),0)</f>
        <v>0</v>
      </c>
      <c r="I103" s="437">
        <f>IFERROR(_xlfn.XLOOKUP(I101,Flts!$I$14:$I$349,Flts!$D$14:$D$349),0)</f>
        <v>0</v>
      </c>
      <c r="J103" s="265"/>
      <c r="K103" s="741"/>
      <c r="L103" s="436">
        <f>IFERROR(_xlfn.XLOOKUP(L101,Flts!$I$14:$I$349,Flts!$D$14:$D$349),0)</f>
        <v>0</v>
      </c>
      <c r="M103" s="437">
        <f>IFERROR(_xlfn.XLOOKUP(M101,Flts!$I$14:$I$349,Flts!$D$14:$D$349),0)</f>
        <v>0</v>
      </c>
      <c r="N103" s="437">
        <f>IFERROR(_xlfn.XLOOKUP(N101,Flts!$I$14:$I$349,Flts!$D$14:$D$349),0)</f>
        <v>0</v>
      </c>
      <c r="O103" s="437">
        <f>IFERROR(_xlfn.XLOOKUP(O101,Flts!$I$14:$I$349,Flts!$D$14:$D$349),0)</f>
        <v>0</v>
      </c>
      <c r="P103" s="437">
        <f>IFERROR(_xlfn.XLOOKUP(P101,Flts!$I$14:$I$349,Flts!$D$14:$D$349),0)</f>
        <v>0</v>
      </c>
      <c r="Q103" s="437">
        <f>IFERROR(_xlfn.XLOOKUP(Q101,Flts!$I$14:$I$349,Flts!$D$14:$D$349),0)</f>
        <v>0</v>
      </c>
      <c r="R103" s="437">
        <f>IFERROR(_xlfn.XLOOKUP(R101,Flts!$I$14:$I$349,Flts!$D$14:$D$349),0)</f>
        <v>0</v>
      </c>
      <c r="S103" s="13"/>
      <c r="T103" s="265"/>
    </row>
    <row r="104" spans="1:20" s="409" customFormat="1" ht="30" customHeight="1" x14ac:dyDescent="0.3">
      <c r="A104" s="286"/>
      <c r="B104" s="739"/>
      <c r="C104" s="438" t="str">
        <f>IFERROR(_xlfn.XLOOKUP(C101,Flts!$I$14:$I$349,Flts!$E$14:$E$349),0)</f>
        <v/>
      </c>
      <c r="D104" s="432" t="str">
        <f>IFERROR(_xlfn.XLOOKUP(D101,Flts!$I$14:$I$349,Flts!$E$14:$E$349),0)</f>
        <v/>
      </c>
      <c r="E104" s="432" t="str">
        <f>IFERROR(_xlfn.XLOOKUP(E101,Flts!$I$14:$I$349,Flts!$E$14:$E$349),0)</f>
        <v/>
      </c>
      <c r="F104" s="432" t="str">
        <f>IFERROR(_xlfn.XLOOKUP(F101,Flts!$I$14:$I$349,Flts!$E$14:$E$349),0)</f>
        <v/>
      </c>
      <c r="G104" s="432" t="str">
        <f>IFERROR(_xlfn.XLOOKUP(G101,Flts!$I$14:$I$349,Flts!$E$14:$E$349),0)</f>
        <v/>
      </c>
      <c r="H104" s="433"/>
      <c r="I104" s="432"/>
      <c r="J104" s="366"/>
      <c r="K104" s="741"/>
      <c r="L104" s="438" t="str">
        <f>IFERROR(_xlfn.XLOOKUP(L101,Flts!$I$14:$I$349,Flts!$E$14:$E$349),0)</f>
        <v/>
      </c>
      <c r="M104" s="432" t="str">
        <f>IFERROR(_xlfn.XLOOKUP(M101,Flts!$I$14:$I$349,Flts!$E$14:$E$349),0)</f>
        <v/>
      </c>
      <c r="N104" s="432" t="str">
        <f>IFERROR(_xlfn.XLOOKUP(N101,Flts!$I$14:$I$349,Flts!$E$14:$E$349),0)</f>
        <v/>
      </c>
      <c r="O104" s="432" t="str">
        <f>IFERROR(_xlfn.XLOOKUP(O101,Flts!$I$14:$I$349,Flts!$E$14:$E$349),0)</f>
        <v/>
      </c>
      <c r="P104" s="432" t="str">
        <f>IFERROR(_xlfn.XLOOKUP(P101,Flts!$I$14:$I$349,Flts!$E$14:$E$349),0)</f>
        <v/>
      </c>
      <c r="Q104" s="433"/>
      <c r="R104" s="432"/>
      <c r="S104" s="286"/>
      <c r="T104" s="366"/>
    </row>
    <row r="105" spans="1:20" s="103" customFormat="1" ht="30" customHeight="1" x14ac:dyDescent="0.3">
      <c r="A105" s="15"/>
      <c r="B105" s="976">
        <f>B101+1</f>
        <v>12</v>
      </c>
      <c r="C105" s="973">
        <f>I101+1</f>
        <v>46097</v>
      </c>
      <c r="D105" s="973">
        <f>C105+1</f>
        <v>46098</v>
      </c>
      <c r="E105" s="973">
        <f t="shared" ref="E105:I105" si="34">D105+1</f>
        <v>46099</v>
      </c>
      <c r="F105" s="973">
        <f t="shared" si="34"/>
        <v>46100</v>
      </c>
      <c r="G105" s="973">
        <f t="shared" si="34"/>
        <v>46101</v>
      </c>
      <c r="H105" s="974">
        <f t="shared" si="34"/>
        <v>46102</v>
      </c>
      <c r="I105" s="974">
        <f t="shared" si="34"/>
        <v>46103</v>
      </c>
      <c r="J105" s="15"/>
      <c r="K105" s="977">
        <f>K101+1</f>
        <v>17</v>
      </c>
      <c r="L105" s="973">
        <f>R101+1</f>
        <v>46132</v>
      </c>
      <c r="M105" s="973">
        <f>L105+1</f>
        <v>46133</v>
      </c>
      <c r="N105" s="973">
        <f t="shared" ref="N105:R105" si="35">M105+1</f>
        <v>46134</v>
      </c>
      <c r="O105" s="973">
        <f t="shared" si="35"/>
        <v>46135</v>
      </c>
      <c r="P105" s="973">
        <f t="shared" si="35"/>
        <v>46136</v>
      </c>
      <c r="Q105" s="974">
        <f t="shared" si="35"/>
        <v>46137</v>
      </c>
      <c r="R105" s="974">
        <f t="shared" si="35"/>
        <v>46138</v>
      </c>
      <c r="S105" s="15"/>
      <c r="T105" s="15"/>
    </row>
    <row r="106" spans="1:20" s="101" customFormat="1" ht="30" customHeight="1" x14ac:dyDescent="0.3">
      <c r="A106" s="15"/>
      <c r="B106" s="739"/>
      <c r="C106" s="434">
        <f>IFERROR(_xlfn.XLOOKUP(C105,Flts!$I$14:$I$349,Flts!$C$14:$C$349),0)</f>
        <v>0</v>
      </c>
      <c r="D106" s="435">
        <f>IFERROR(_xlfn.XLOOKUP(D105,Flts!$I$14:$I$349,Flts!$C$14:$C$349),0)</f>
        <v>0</v>
      </c>
      <c r="E106" s="435">
        <f>IFERROR(_xlfn.XLOOKUP(E105,Flts!$I$14:$I$349,Flts!$C$14:$C$349),0)</f>
        <v>0</v>
      </c>
      <c r="F106" s="435">
        <f>IFERROR(_xlfn.XLOOKUP(F105,Flts!$I$14:$I$349,Flts!$C$14:$C$349),0)</f>
        <v>0</v>
      </c>
      <c r="G106" s="435">
        <f>IFERROR(_xlfn.XLOOKUP(G105,Flts!$I$14:$I$349,Flts!$C$14:$C$349),0)</f>
        <v>0</v>
      </c>
      <c r="H106" s="435">
        <f>IFERROR(_xlfn.XLOOKUP(H105,Flts!$I$14:$I$349,Flts!$C$14:$C$349),0)</f>
        <v>0</v>
      </c>
      <c r="I106" s="435">
        <f>IFERROR(_xlfn.XLOOKUP(I105,Flts!$I$14:$I$349,Flts!$C$14:$C$349),0)</f>
        <v>0</v>
      </c>
      <c r="J106" s="15"/>
      <c r="K106" s="741"/>
      <c r="L106" s="434">
        <f>IFERROR(_xlfn.XLOOKUP(L105,Flts!$I$14:$I$349,Flts!$C$14:$C$349),0)</f>
        <v>0</v>
      </c>
      <c r="M106" s="435">
        <f>IFERROR(_xlfn.XLOOKUP(M105,Flts!$I$14:$I$349,Flts!$C$14:$C$349),0)</f>
        <v>0</v>
      </c>
      <c r="N106" s="435">
        <f>IFERROR(_xlfn.XLOOKUP(N105,Flts!$I$14:$I$349,Flts!$C$14:$C$349),0)</f>
        <v>0</v>
      </c>
      <c r="O106" s="435" t="str">
        <f>IFERROR(_xlfn.XLOOKUP(O105,Flts!$I$14:$I$349,Flts!$C$14:$C$349),0)</f>
        <v>S.Jorge</v>
      </c>
      <c r="P106" s="435" t="str">
        <f>IFERROR(_xlfn.XLOOKUP(P105,Flts!$I$14:$I$349,Flts!$C$14:$C$349),0)</f>
        <v>S.Jorge</v>
      </c>
      <c r="Q106" s="435">
        <f>IFERROR(_xlfn.XLOOKUP(Q105,Flts!$I$14:$I$349,Flts!$C$14:$C$349),0)</f>
        <v>0</v>
      </c>
      <c r="R106" s="435">
        <f>IFERROR(_xlfn.XLOOKUP(R105,Flts!$I$14:$I$349,Flts!$C$14:$C$349),0)</f>
        <v>0</v>
      </c>
      <c r="S106" s="15"/>
      <c r="T106" s="15"/>
    </row>
    <row r="107" spans="1:20" s="320" customFormat="1" ht="30" customHeight="1" x14ac:dyDescent="0.3">
      <c r="A107" s="13"/>
      <c r="B107" s="739"/>
      <c r="C107" s="436">
        <f>IFERROR(_xlfn.XLOOKUP(C105,Flts!$I$14:$I$349,Flts!$D$14:$D$349),0)</f>
        <v>0</v>
      </c>
      <c r="D107" s="437">
        <f>IFERROR(_xlfn.XLOOKUP(D105,Flts!$I$14:$I$349,Flts!$D$14:$D$349),0)</f>
        <v>0</v>
      </c>
      <c r="E107" s="437" t="str">
        <f>IFERROR(_xlfn.XLOOKUP(E105,Flts!$I$14:$I$349,Flts!$D$14:$D$349),0)</f>
        <v>2ºGx-Ini.FCT</v>
      </c>
      <c r="F107" s="437">
        <f>IFERROR(_xlfn.XLOOKUP(F105,Flts!$I$14:$I$349,Flts!$D$14:$D$349),0)</f>
        <v>0</v>
      </c>
      <c r="G107" s="437">
        <f>IFERROR(_xlfn.XLOOKUP(G105,Flts!$I$14:$I$349,Flts!$D$14:$D$349),0)</f>
        <v>0</v>
      </c>
      <c r="H107" s="437">
        <f>IFERROR(_xlfn.XLOOKUP(H105,Flts!$I$14:$I$349,Flts!$D$14:$D$349),0)</f>
        <v>0</v>
      </c>
      <c r="I107" s="437">
        <f>IFERROR(_xlfn.XLOOKUP(I105,Flts!$I$14:$I$349,Flts!$D$14:$D$349),0)</f>
        <v>0</v>
      </c>
      <c r="J107" s="265"/>
      <c r="K107" s="741"/>
      <c r="L107" s="436">
        <f>IFERROR(_xlfn.XLOOKUP(L105,Flts!$I$14:$I$349,Flts!$D$14:$D$349),0)</f>
        <v>0</v>
      </c>
      <c r="M107" s="437">
        <f>IFERROR(_xlfn.XLOOKUP(M105,Flts!$I$14:$I$349,Flts!$D$14:$D$349),0)</f>
        <v>0</v>
      </c>
      <c r="N107" s="437">
        <f>IFERROR(_xlfn.XLOOKUP(N105,Flts!$I$14:$I$349,Flts!$D$14:$D$349),0)</f>
        <v>0</v>
      </c>
      <c r="O107" s="437">
        <f>IFERROR(_xlfn.XLOOKUP(O105,Flts!$I$14:$I$349,Flts!$D$14:$D$349),0)</f>
        <v>0</v>
      </c>
      <c r="P107" s="437">
        <f>IFERROR(_xlfn.XLOOKUP(P105,Flts!$I$14:$I$349,Flts!$D$14:$D$349),0)</f>
        <v>0</v>
      </c>
      <c r="Q107" s="437">
        <f>IFERROR(_xlfn.XLOOKUP(Q105,Flts!$I$14:$I$349,Flts!$D$14:$D$349),0)</f>
        <v>0</v>
      </c>
      <c r="R107" s="437">
        <f>IFERROR(_xlfn.XLOOKUP(R105,Flts!$I$14:$I$349,Flts!$D$14:$D$349),0)</f>
        <v>0</v>
      </c>
      <c r="S107" s="13"/>
      <c r="T107" s="265"/>
    </row>
    <row r="108" spans="1:20" s="409" customFormat="1" ht="30" customHeight="1" x14ac:dyDescent="0.3">
      <c r="A108" s="286"/>
      <c r="B108" s="739"/>
      <c r="C108" s="438" t="str">
        <f>IFERROR(_xlfn.XLOOKUP(C105,Flts!$I$14:$I$349,Flts!$E$14:$E$349),0)</f>
        <v/>
      </c>
      <c r="D108" s="432" t="str">
        <f>IFERROR(_xlfn.XLOOKUP(D105,Flts!$I$14:$I$349,Flts!$E$14:$E$349),0)</f>
        <v/>
      </c>
      <c r="E108" s="432" t="str">
        <f>IFERROR(_xlfn.XLOOKUP(E105,Flts!$I$14:$I$349,Flts!$E$14:$E$349),0)</f>
        <v/>
      </c>
      <c r="F108" s="432" t="str">
        <f>IFERROR(_xlfn.XLOOKUP(F105,Flts!$I$14:$I$349,Flts!$E$14:$E$349),0)</f>
        <v/>
      </c>
      <c r="G108" s="432" t="str">
        <f>IFERROR(_xlfn.XLOOKUP(G105,Flts!$I$14:$I$349,Flts!$E$14:$E$349),0)</f>
        <v/>
      </c>
      <c r="H108" s="433"/>
      <c r="I108" s="432"/>
      <c r="J108" s="366"/>
      <c r="K108" s="741"/>
      <c r="L108" s="438" t="str">
        <f>IFERROR(_xlfn.XLOOKUP(L105,Flts!$I$14:$I$349,Flts!$E$14:$E$349),0)</f>
        <v/>
      </c>
      <c r="M108" s="432" t="str">
        <f>IFERROR(_xlfn.XLOOKUP(M105,Flts!$I$14:$I$349,Flts!$E$14:$E$349),0)</f>
        <v/>
      </c>
      <c r="N108" s="432" t="str">
        <f>IFERROR(_xlfn.XLOOKUP(N105,Flts!$I$14:$I$349,Flts!$E$14:$E$349),0)</f>
        <v/>
      </c>
      <c r="O108" s="432">
        <f>IFERROR(_xlfn.XLOOKUP(O105,Flts!$I$14:$I$349,Flts!$E$14:$E$349),0)</f>
        <v>0</v>
      </c>
      <c r="P108" s="432">
        <f>IFERROR(_xlfn.XLOOKUP(P105,Flts!$I$14:$I$349,Flts!$E$14:$E$349),0)</f>
        <v>0</v>
      </c>
      <c r="Q108" s="433"/>
      <c r="R108" s="432"/>
      <c r="S108" s="286"/>
      <c r="T108" s="366"/>
    </row>
    <row r="109" spans="1:20" s="103" customFormat="1" ht="30" customHeight="1" x14ac:dyDescent="0.3">
      <c r="A109" s="15"/>
      <c r="B109" s="976">
        <f>IF(C109&lt;&gt;0,B105+1,0)</f>
        <v>13</v>
      </c>
      <c r="C109" s="973">
        <f t="shared" ref="C109:I109" si="36">IF(MONTH(C101+14)=MONTH(C101), C101+14, 0)</f>
        <v>46104</v>
      </c>
      <c r="D109" s="973">
        <f t="shared" si="36"/>
        <v>46105</v>
      </c>
      <c r="E109" s="973">
        <f t="shared" si="36"/>
        <v>46106</v>
      </c>
      <c r="F109" s="973">
        <f t="shared" si="36"/>
        <v>46107</v>
      </c>
      <c r="G109" s="973">
        <f t="shared" si="36"/>
        <v>46108</v>
      </c>
      <c r="H109" s="974">
        <f t="shared" si="36"/>
        <v>46109</v>
      </c>
      <c r="I109" s="974">
        <f t="shared" si="36"/>
        <v>46110</v>
      </c>
      <c r="J109" s="15"/>
      <c r="K109" s="977">
        <f>IF(L109&lt;&gt;0,K105+1,0)</f>
        <v>18</v>
      </c>
      <c r="L109" s="973">
        <f t="shared" ref="L109:R109" si="37">IF(MONTH(L101+14)=MONTH(L101), L101+14, 0)</f>
        <v>46139</v>
      </c>
      <c r="M109" s="973">
        <f t="shared" si="37"/>
        <v>46140</v>
      </c>
      <c r="N109" s="973">
        <f t="shared" si="37"/>
        <v>46141</v>
      </c>
      <c r="O109" s="973">
        <f t="shared" si="37"/>
        <v>46142</v>
      </c>
      <c r="P109" s="973">
        <f t="shared" si="37"/>
        <v>0</v>
      </c>
      <c r="Q109" s="974">
        <f t="shared" si="37"/>
        <v>0</v>
      </c>
      <c r="R109" s="974">
        <f t="shared" si="37"/>
        <v>0</v>
      </c>
      <c r="S109" s="15"/>
      <c r="T109" s="15"/>
    </row>
    <row r="110" spans="1:20" s="101" customFormat="1" ht="30" customHeight="1" x14ac:dyDescent="0.3">
      <c r="A110" s="15"/>
      <c r="B110" s="739"/>
      <c r="C110" s="439">
        <f>IFERROR(_xlfn.XLOOKUP(C109,Flts!$I$14:$I$349,Flts!$C$14:$C$349),0)</f>
        <v>0</v>
      </c>
      <c r="D110" s="428">
        <f>IFERROR(_xlfn.XLOOKUP(D109,Flts!$I$14:$I$349,Flts!$C$14:$C$349),0)</f>
        <v>0</v>
      </c>
      <c r="E110" s="428">
        <f>IFERROR(_xlfn.XLOOKUP(E109,Flts!$I$14:$I$349,Flts!$C$14:$C$349),0)</f>
        <v>0</v>
      </c>
      <c r="F110" s="428">
        <f>IFERROR(_xlfn.XLOOKUP(F109,Flts!$I$14:$I$349,Flts!$C$14:$C$349),0)</f>
        <v>0</v>
      </c>
      <c r="G110" s="428">
        <f>IFERROR(_xlfn.XLOOKUP(G109,Flts!$I$14:$I$349,Flts!$C$14:$C$349),0)</f>
        <v>0</v>
      </c>
      <c r="H110" s="428">
        <f>IFERROR(_xlfn.XLOOKUP(H109,Flts!$I$14:$I$349,Flts!$C$14:$C$349),0)</f>
        <v>0</v>
      </c>
      <c r="I110" s="428">
        <f>IFERROR(_xlfn.XLOOKUP(I109,Flts!$I$14:$I$349,Flts!$C$14:$C$349),0)</f>
        <v>0</v>
      </c>
      <c r="J110" s="138"/>
      <c r="K110" s="741"/>
      <c r="L110" s="439">
        <f>IFERROR(_xlfn.XLOOKUP(L109,Flts!$I$14:$I$349,Flts!$C$14:$C$349),0)</f>
        <v>0</v>
      </c>
      <c r="M110" s="428">
        <f>IFERROR(_xlfn.XLOOKUP(M109,Flts!$I$14:$I$349,Flts!$C$14:$C$349),0)</f>
        <v>0</v>
      </c>
      <c r="N110" s="428">
        <f>IFERROR(_xlfn.XLOOKUP(N109,Flts!$I$14:$I$349,Flts!$C$14:$C$349),0)</f>
        <v>0</v>
      </c>
      <c r="O110" s="428">
        <f>IFERROR(_xlfn.XLOOKUP(O109,Flts!$I$14:$I$349,Flts!$C$14:$C$349),0)</f>
        <v>0</v>
      </c>
      <c r="P110" s="428">
        <f>IFERROR(_xlfn.XLOOKUP(P109,Flts!$I$14:$I$349,Flts!$C$14:$C$349),0)</f>
        <v>0</v>
      </c>
      <c r="Q110" s="428">
        <f>IFERROR(_xlfn.XLOOKUP(Q109,Flts!$I$14:$I$349,Flts!$C$14:$C$349),0)</f>
        <v>0</v>
      </c>
      <c r="R110" s="428">
        <f>IFERROR(_xlfn.XLOOKUP(R109,Flts!$I$14:$I$349,Flts!$C$14:$C$349),0)</f>
        <v>0</v>
      </c>
      <c r="S110" s="15"/>
      <c r="T110" s="15"/>
    </row>
    <row r="111" spans="1:20" s="320" customFormat="1" ht="30" customHeight="1" x14ac:dyDescent="0.3">
      <c r="A111" s="13"/>
      <c r="B111" s="739"/>
      <c r="C111" s="440">
        <f>IFERROR(_xlfn.XLOOKUP(C109,Flts!$I$14:$I$349,Flts!$D$14:$D$349),0)</f>
        <v>0</v>
      </c>
      <c r="D111" s="430">
        <f>IFERROR(_xlfn.XLOOKUP(D109,Flts!$I$14:$I$349,Flts!$D$14:$D$349),0)</f>
        <v>0</v>
      </c>
      <c r="E111" s="430" t="str">
        <f>IFERROR(_xlfn.XLOOKUP(E109,Flts!$I$14:$I$349,Flts!$D$14:$D$349),0)</f>
        <v>2ºGx-Ini.FCT</v>
      </c>
      <c r="F111" s="430">
        <f>IFERROR(_xlfn.XLOOKUP(F109,Flts!$I$14:$I$349,Flts!$D$14:$D$349),0)</f>
        <v>0</v>
      </c>
      <c r="G111" s="430">
        <f>IFERROR(_xlfn.XLOOKUP(G109,Flts!$I$14:$I$349,Flts!$D$14:$D$349),0)</f>
        <v>0</v>
      </c>
      <c r="H111" s="430">
        <f>IFERROR(_xlfn.XLOOKUP(H109,Flts!$I$14:$I$349,Flts!$D$14:$D$349),0)</f>
        <v>0</v>
      </c>
      <c r="I111" s="430">
        <f>IFERROR(_xlfn.XLOOKUP(I109,Flts!$I$14:$I$349,Flts!$D$14:$D$349),0)</f>
        <v>0</v>
      </c>
      <c r="J111" s="421"/>
      <c r="K111" s="741"/>
      <c r="L111" s="440">
        <f>IFERROR(_xlfn.XLOOKUP(L109,Flts!$I$14:$I$349,Flts!$D$14:$D$349),0)</f>
        <v>0</v>
      </c>
      <c r="M111" s="430">
        <f>IFERROR(_xlfn.XLOOKUP(M109,Flts!$I$14:$I$349,Flts!$D$14:$D$349),0)</f>
        <v>0</v>
      </c>
      <c r="N111" s="430">
        <f>IFERROR(_xlfn.XLOOKUP(N109,Flts!$I$14:$I$349,Flts!$D$14:$D$349),0)</f>
        <v>0</v>
      </c>
      <c r="O111" s="430">
        <f>IFERROR(_xlfn.XLOOKUP(O109,Flts!$I$14:$I$349,Flts!$D$14:$D$349),0)</f>
        <v>0</v>
      </c>
      <c r="P111" s="430">
        <f>IFERROR(_xlfn.XLOOKUP(P109,Flts!$I$14:$I$349,Flts!$D$14:$D$349),0)</f>
        <v>0</v>
      </c>
      <c r="Q111" s="430">
        <f>IFERROR(_xlfn.XLOOKUP(Q109,Flts!$I$14:$I$349,Flts!$D$14:$D$349),0)</f>
        <v>0</v>
      </c>
      <c r="R111" s="430">
        <f>IFERROR(_xlfn.XLOOKUP(R109,Flts!$I$14:$I$349,Flts!$D$14:$D$349),0)</f>
        <v>0</v>
      </c>
      <c r="S111" s="13"/>
      <c r="T111" s="265"/>
    </row>
    <row r="112" spans="1:20" s="409" customFormat="1" ht="30" customHeight="1" x14ac:dyDescent="0.3">
      <c r="A112" s="286"/>
      <c r="B112" s="739"/>
      <c r="C112" s="438" t="str">
        <f>IFERROR(_xlfn.XLOOKUP(C109,Flts!$I$14:$I$349,Flts!$E$14:$E$349),0)</f>
        <v/>
      </c>
      <c r="D112" s="432" t="str">
        <f>IFERROR(_xlfn.XLOOKUP(D109,Flts!$I$14:$I$349,Flts!$E$14:$E$349),0)</f>
        <v/>
      </c>
      <c r="E112" s="432" t="str">
        <f>IFERROR(_xlfn.XLOOKUP(E109,Flts!$I$14:$I$349,Flts!$E$14:$E$349),0)</f>
        <v/>
      </c>
      <c r="F112" s="432" t="str">
        <f>IFERROR(_xlfn.XLOOKUP(F109,Flts!$I$14:$I$349,Flts!$E$14:$E$349),0)</f>
        <v/>
      </c>
      <c r="G112" s="432" t="str">
        <f>IFERROR(_xlfn.XLOOKUP(G109,Flts!$I$14:$I$349,Flts!$E$14:$E$349),0)</f>
        <v/>
      </c>
      <c r="H112" s="433"/>
      <c r="I112" s="432"/>
      <c r="J112" s="366"/>
      <c r="K112" s="741"/>
      <c r="L112" s="438" t="str">
        <f>IFERROR(_xlfn.XLOOKUP(L109,Flts!$I$14:$I$349,Flts!$E$14:$E$349),0)</f>
        <v/>
      </c>
      <c r="M112" s="432" t="str">
        <f>IFERROR(_xlfn.XLOOKUP(M109,Flts!$I$14:$I$349,Flts!$E$14:$E$349),0)</f>
        <v/>
      </c>
      <c r="N112" s="432" t="str">
        <f>IFERROR(_xlfn.XLOOKUP(N109,Flts!$I$14:$I$349,Flts!$E$14:$E$349),0)</f>
        <v/>
      </c>
      <c r="O112" s="432" t="str">
        <f>IFERROR(_xlfn.XLOOKUP(O109,Flts!$I$14:$I$349,Flts!$E$14:$E$349),0)</f>
        <v/>
      </c>
      <c r="P112" s="432">
        <f>IFERROR(_xlfn.XLOOKUP(P109,Flts!$I$14:$I$349,Flts!$E$14:$E$349),0)</f>
        <v>0</v>
      </c>
      <c r="Q112" s="433"/>
      <c r="R112" s="432"/>
      <c r="S112" s="286"/>
      <c r="T112" s="366"/>
    </row>
    <row r="113" spans="1:46" s="103" customFormat="1" ht="30" customHeight="1" x14ac:dyDescent="0.3">
      <c r="A113" s="15"/>
      <c r="B113" s="393">
        <f>IF(C113&lt;&gt;0,B109+1,0)</f>
        <v>14</v>
      </c>
      <c r="C113" s="728">
        <f t="shared" ref="C113:I113" si="38">IF(MONTH(C105+14)=MONTH(C105), C105+14, 0)</f>
        <v>46111</v>
      </c>
      <c r="D113" s="728">
        <f t="shared" si="38"/>
        <v>46112</v>
      </c>
      <c r="E113" s="728">
        <f t="shared" si="38"/>
        <v>0</v>
      </c>
      <c r="F113" s="728">
        <f t="shared" si="38"/>
        <v>0</v>
      </c>
      <c r="G113" s="728">
        <f t="shared" si="38"/>
        <v>0</v>
      </c>
      <c r="H113" s="729">
        <f t="shared" si="38"/>
        <v>0</v>
      </c>
      <c r="I113" s="729">
        <f t="shared" si="38"/>
        <v>0</v>
      </c>
      <c r="J113" s="15"/>
      <c r="K113" s="733">
        <f>IF(L113&lt;&gt;0,K109+1,0)</f>
        <v>0</v>
      </c>
      <c r="L113" s="728">
        <f t="shared" ref="L113:R113" si="39">IF(MONTH(L105+14)=MONTH(L105), L105+14, 0)</f>
        <v>0</v>
      </c>
      <c r="M113" s="728">
        <f t="shared" si="39"/>
        <v>0</v>
      </c>
      <c r="N113" s="728">
        <f t="shared" si="39"/>
        <v>0</v>
      </c>
      <c r="O113" s="728">
        <f t="shared" si="39"/>
        <v>0</v>
      </c>
      <c r="P113" s="728">
        <f t="shared" si="39"/>
        <v>0</v>
      </c>
      <c r="Q113" s="729">
        <f t="shared" si="39"/>
        <v>0</v>
      </c>
      <c r="R113" s="729">
        <f t="shared" si="39"/>
        <v>0</v>
      </c>
      <c r="S113" s="15"/>
      <c r="T113" s="15"/>
    </row>
    <row r="114" spans="1:46" s="101" customFormat="1" ht="30" customHeight="1" x14ac:dyDescent="0.3">
      <c r="A114" s="15"/>
      <c r="B114" s="739"/>
      <c r="C114" s="434" t="str">
        <f>IFERROR(_xlfn.XLOOKUP(C113,Flts!$I$14:$I$349,Flts!$C$14:$C$349),0)</f>
        <v>S.Santa</v>
      </c>
      <c r="D114" s="435" t="str">
        <f>IFERROR(_xlfn.XLOOKUP(D113,Flts!$I$14:$I$349,Flts!$C$14:$C$349),0)</f>
        <v>S.Santa</v>
      </c>
      <c r="E114" s="435">
        <f>IFERROR(_xlfn.XLOOKUP(E113,Flts!$I$14:$I$349,Flts!$C$14:$C$349),0)</f>
        <v>0</v>
      </c>
      <c r="F114" s="435">
        <f>IFERROR(_xlfn.XLOOKUP(F113,Flts!$I$14:$I$349,Flts!$C$14:$C$349),0)</f>
        <v>0</v>
      </c>
      <c r="G114" s="435">
        <f>IFERROR(_xlfn.XLOOKUP(G113,Flts!$I$14:$I$349,Flts!$C$14:$C$349),0)</f>
        <v>0</v>
      </c>
      <c r="H114" s="435">
        <f>IFERROR(_xlfn.XLOOKUP(H113,Flts!$I$14:$I$349,Flts!$C$14:$C$349),0)</f>
        <v>0</v>
      </c>
      <c r="I114" s="435">
        <f>IFERROR(_xlfn.XLOOKUP(I113,Flts!$I$14:$I$349,Flts!$C$14:$C$349),0)</f>
        <v>0</v>
      </c>
      <c r="J114" s="15"/>
      <c r="K114" s="741"/>
      <c r="L114" s="434">
        <f>IFERROR(_xlfn.XLOOKUP(L113,Flts!$I$14:$I$349,Flts!$C$14:$C$349),0)</f>
        <v>0</v>
      </c>
      <c r="M114" s="435">
        <f>IFERROR(_xlfn.XLOOKUP(M113,Flts!$I$14:$I$349,Flts!$C$14:$C$349),0)</f>
        <v>0</v>
      </c>
      <c r="N114" s="435">
        <f>IFERROR(_xlfn.XLOOKUP(N113,Flts!$I$14:$I$349,Flts!$C$14:$C$349),0)</f>
        <v>0</v>
      </c>
      <c r="O114" s="435">
        <f>IFERROR(_xlfn.XLOOKUP(O113,Flts!$I$14:$I$349,Flts!$C$14:$C$349),0)</f>
        <v>0</v>
      </c>
      <c r="P114" s="435">
        <f>IFERROR(_xlfn.XLOOKUP(P113,Flts!$I$14:$I$349,Flts!$C$14:$C$349),0)</f>
        <v>0</v>
      </c>
      <c r="Q114" s="435">
        <f>IFERROR(_xlfn.XLOOKUP(Q113,Flts!$I$14:$I$349,Flts!$C$14:$C$349),0)</f>
        <v>0</v>
      </c>
      <c r="R114" s="435">
        <f>IFERROR(_xlfn.XLOOKUP(R113,Flts!$I$14:$I$349,Flts!$C$14:$C$349),0)</f>
        <v>0</v>
      </c>
      <c r="S114" s="15"/>
      <c r="T114" s="15"/>
    </row>
    <row r="115" spans="1:46" s="320" customFormat="1" ht="30" customHeight="1" x14ac:dyDescent="0.3">
      <c r="A115" s="13"/>
      <c r="B115" s="739"/>
      <c r="C115" s="436">
        <f>IFERROR(_xlfn.XLOOKUP(C113,Flts!$I$14:$I$349,Flts!$D$14:$D$349),0)</f>
        <v>0</v>
      </c>
      <c r="D115" s="437">
        <f>IFERROR(_xlfn.XLOOKUP(D113,Flts!$I$14:$I$349,Flts!$D$14:$D$349),0)</f>
        <v>0</v>
      </c>
      <c r="E115" s="437">
        <f>IFERROR(_xlfn.XLOOKUP(E113,Flts!$I$14:$I$349,Flts!$D$14:$D$349),0)</f>
        <v>0</v>
      </c>
      <c r="F115" s="437">
        <f>IFERROR(_xlfn.XLOOKUP(F113,Flts!$I$14:$I$349,Flts!$D$14:$D$349),0)</f>
        <v>0</v>
      </c>
      <c r="G115" s="437">
        <f>IFERROR(_xlfn.XLOOKUP(G113,Flts!$I$14:$I$349,Flts!$D$14:$D$349),0)</f>
        <v>0</v>
      </c>
      <c r="H115" s="437">
        <f>IFERROR(_xlfn.XLOOKUP(H113,Flts!$I$14:$I$349,Flts!$D$14:$D$349),0)</f>
        <v>0</v>
      </c>
      <c r="I115" s="437">
        <f>IFERROR(_xlfn.XLOOKUP(I113,Flts!$I$14:$I$349,Flts!$D$14:$D$349),0)</f>
        <v>0</v>
      </c>
      <c r="J115" s="265"/>
      <c r="K115" s="741"/>
      <c r="L115" s="436">
        <f>IFERROR(_xlfn.XLOOKUP(L113,Flts!$I$14:$I$349,Flts!$D$14:$D$349),0)</f>
        <v>0</v>
      </c>
      <c r="M115" s="437">
        <f>IFERROR(_xlfn.XLOOKUP(M113,Flts!$I$14:$I$349,Flts!$D$14:$D$349),0)</f>
        <v>0</v>
      </c>
      <c r="N115" s="437">
        <f>IFERROR(_xlfn.XLOOKUP(N113,Flts!$I$14:$I$349,Flts!$D$14:$D$349),0)</f>
        <v>0</v>
      </c>
      <c r="O115" s="437">
        <f>IFERROR(_xlfn.XLOOKUP(O113,Flts!$I$14:$I$349,Flts!$D$14:$D$349),0)</f>
        <v>0</v>
      </c>
      <c r="P115" s="437">
        <f>IFERROR(_xlfn.XLOOKUP(P113,Flts!$I$14:$I$349,Flts!$D$14:$D$349),0)</f>
        <v>0</v>
      </c>
      <c r="Q115" s="437">
        <f>IFERROR(_xlfn.XLOOKUP(Q113,Flts!$I$14:$I$349,Flts!$D$14:$D$349),0)</f>
        <v>0</v>
      </c>
      <c r="R115" s="437">
        <f>IFERROR(_xlfn.XLOOKUP(R113,Flts!$I$14:$I$349,Flts!$D$14:$D$349),0)</f>
        <v>0</v>
      </c>
      <c r="S115" s="13"/>
      <c r="T115" s="265"/>
    </row>
    <row r="116" spans="1:46" s="409" customFormat="1" ht="30" customHeight="1" x14ac:dyDescent="0.3">
      <c r="A116" s="286"/>
      <c r="B116" s="739"/>
      <c r="C116" s="438">
        <f>IFERROR(_xlfn.XLOOKUP(C113,Flts!$I$14:$I$349,Flts!$E$14:$E$349),0)</f>
        <v>0</v>
      </c>
      <c r="D116" s="432">
        <f>IFERROR(_xlfn.XLOOKUP(D113,Flts!$I$14:$I$349,Flts!$E$14:$E$349),0)</f>
        <v>0</v>
      </c>
      <c r="E116" s="432">
        <f>IFERROR(_xlfn.XLOOKUP(E113,Flts!$I$14:$I$349,Flts!$E$14:$E$349),0)</f>
        <v>0</v>
      </c>
      <c r="F116" s="432">
        <f>IFERROR(_xlfn.XLOOKUP(F113,Flts!$I$14:$I$349,Flts!$E$14:$E$349),0)</f>
        <v>0</v>
      </c>
      <c r="G116" s="432">
        <f>IFERROR(_xlfn.XLOOKUP(G113,Flts!$I$14:$I$349,Flts!$E$14:$E$349),0)</f>
        <v>0</v>
      </c>
      <c r="H116" s="433"/>
      <c r="I116" s="432"/>
      <c r="J116" s="366"/>
      <c r="K116" s="741"/>
      <c r="L116" s="438">
        <f>IFERROR(_xlfn.XLOOKUP(L113,Flts!$I$14:$I$349,Flts!$E$14:$E$349),0)</f>
        <v>0</v>
      </c>
      <c r="M116" s="432">
        <f>IFERROR(_xlfn.XLOOKUP(M113,Flts!$I$14:$I$349,Flts!$E$14:$E$349),0)</f>
        <v>0</v>
      </c>
      <c r="N116" s="432">
        <f>IFERROR(_xlfn.XLOOKUP(N113,Flts!$I$14:$I$349,Flts!$E$14:$E$349),0)</f>
        <v>0</v>
      </c>
      <c r="O116" s="432">
        <f>IFERROR(_xlfn.XLOOKUP(O113,Flts!$I$14:$I$349,Flts!$E$14:$E$349),0)</f>
        <v>0</v>
      </c>
      <c r="P116" s="432">
        <f>IFERROR(_xlfn.XLOOKUP(P113,Flts!$I$14:$I$349,Flts!$E$14:$E$349),0)</f>
        <v>0</v>
      </c>
      <c r="Q116" s="433"/>
      <c r="R116" s="432"/>
      <c r="S116" s="286"/>
      <c r="T116" s="366"/>
    </row>
    <row r="117" spans="1:46" ht="30" customHeight="1" x14ac:dyDescent="0.3">
      <c r="C117" s="734"/>
      <c r="D117" s="734"/>
      <c r="E117" s="734"/>
      <c r="F117" s="734"/>
      <c r="G117" s="734"/>
      <c r="H117" s="734"/>
      <c r="I117" s="734"/>
      <c r="J117" s="13"/>
      <c r="L117" s="734"/>
      <c r="M117" s="734"/>
      <c r="N117" s="734"/>
      <c r="O117" s="734"/>
      <c r="P117" s="734"/>
      <c r="Q117" s="734"/>
      <c r="R117" s="734"/>
      <c r="T117" s="322"/>
    </row>
    <row r="118" spans="1:46" s="1200" customFormat="1" x14ac:dyDescent="0.3">
      <c r="A118" s="685"/>
      <c r="B118" s="667" t="str">
        <f>IModulo&amp;" ("&amp;IProfesor&amp;")"</f>
        <v>FPM-it-1-0237 Infra. comunes de teleco en viviendas y edificios (Rafa Sanz)</v>
      </c>
      <c r="C118" s="667"/>
      <c r="E118" s="1105"/>
      <c r="F118" s="1105"/>
      <c r="G118" s="1105"/>
      <c r="H118" s="1105"/>
      <c r="I118" s="1105"/>
      <c r="J118" s="1105"/>
      <c r="K118" s="1105"/>
      <c r="L118" s="1105"/>
      <c r="M118" s="1105"/>
      <c r="N118" s="1106"/>
      <c r="O118" s="1105"/>
      <c r="P118" s="1105"/>
      <c r="Q118" s="1201"/>
      <c r="R118" s="1201"/>
      <c r="S118" s="1201"/>
      <c r="U118" s="1202"/>
      <c r="V118" s="1202"/>
      <c r="W118" s="1202"/>
      <c r="X118" s="1202"/>
      <c r="Y118" s="1202"/>
      <c r="Z118" s="1202"/>
      <c r="AA118" s="1202"/>
      <c r="AB118" s="1202"/>
      <c r="AC118" s="1202"/>
      <c r="AD118" s="1202"/>
      <c r="AE118" s="1202"/>
      <c r="AF118" s="1202"/>
      <c r="AG118" s="1202"/>
      <c r="AH118" s="1202"/>
      <c r="AI118" s="1202"/>
      <c r="AJ118" s="1202"/>
      <c r="AK118" s="1202"/>
      <c r="AL118" s="1202"/>
      <c r="AM118" s="1202"/>
      <c r="AN118" s="1202"/>
      <c r="AO118" s="1202"/>
      <c r="AP118" s="1202"/>
      <c r="AQ118" s="1202"/>
      <c r="AR118" s="1202"/>
      <c r="AS118" s="1202"/>
      <c r="AT118" s="1202"/>
    </row>
    <row r="119" spans="1:46" s="7" customFormat="1" x14ac:dyDescent="0.3">
      <c r="A119" s="578"/>
      <c r="B119" s="667"/>
      <c r="C119" s="667"/>
      <c r="E119" s="1105"/>
      <c r="F119" s="1105"/>
      <c r="G119" s="1105"/>
      <c r="H119" s="1105"/>
      <c r="I119" s="1105"/>
      <c r="J119" s="1105"/>
      <c r="K119" s="1105"/>
      <c r="L119" s="1105"/>
      <c r="M119" s="1105"/>
      <c r="N119" s="1106"/>
      <c r="O119" s="1105"/>
      <c r="P119" s="1105"/>
      <c r="Q119" s="1107"/>
      <c r="R119" s="1107"/>
      <c r="S119" s="1107"/>
      <c r="U119" s="672"/>
      <c r="V119" s="672"/>
      <c r="W119" s="672"/>
      <c r="X119" s="672"/>
      <c r="Y119" s="672"/>
      <c r="Z119" s="672"/>
      <c r="AA119" s="672"/>
      <c r="AB119" s="672"/>
      <c r="AC119" s="672"/>
      <c r="AD119" s="672"/>
      <c r="AE119" s="672"/>
      <c r="AF119" s="672"/>
      <c r="AG119" s="672"/>
      <c r="AH119" s="672"/>
      <c r="AI119" s="672"/>
      <c r="AJ119" s="672"/>
      <c r="AK119" s="672"/>
      <c r="AL119" s="672"/>
      <c r="AM119" s="672"/>
      <c r="AN119" s="672"/>
      <c r="AO119" s="672"/>
      <c r="AP119" s="672"/>
      <c r="AQ119" s="672"/>
      <c r="AR119" s="672"/>
      <c r="AS119" s="672"/>
      <c r="AT119" s="672"/>
    </row>
    <row r="120" spans="1:46" s="725" customFormat="1" ht="50.1" customHeight="1" x14ac:dyDescent="0.3">
      <c r="B120" s="732">
        <v>5</v>
      </c>
      <c r="C120" s="1208">
        <f>DATE(YEAR(FechaInicio1Tri)+1,B120,1)</f>
        <v>46143</v>
      </c>
      <c r="D120" s="1208"/>
      <c r="E120" s="1208"/>
      <c r="F120" s="1208"/>
      <c r="G120" s="1208"/>
      <c r="H120" s="1208"/>
      <c r="I120" s="855">
        <f>YEAR(FechaInicio1Tri)+1</f>
        <v>2026</v>
      </c>
      <c r="J120" s="466"/>
      <c r="K120" s="732">
        <v>6</v>
      </c>
      <c r="L120" s="1208">
        <f>DATE(YEAR(FechaInicio1Tri)+1,K120,1)</f>
        <v>46174</v>
      </c>
      <c r="M120" s="1208"/>
      <c r="N120" s="1208"/>
      <c r="O120" s="1208"/>
      <c r="P120" s="1208"/>
      <c r="Q120" s="1208"/>
      <c r="R120" s="855">
        <f>YEAR(FechaInicio1Tri)+1</f>
        <v>2026</v>
      </c>
    </row>
    <row r="121" spans="1:46" s="725" customFormat="1" ht="30" customHeight="1" x14ac:dyDescent="0.3">
      <c r="B121" s="977" t="s">
        <v>220</v>
      </c>
      <c r="C121" s="971" t="s">
        <v>0</v>
      </c>
      <c r="D121" s="78" t="s">
        <v>1</v>
      </c>
      <c r="E121" s="78" t="s">
        <v>27</v>
      </c>
      <c r="F121" s="78" t="s">
        <v>2</v>
      </c>
      <c r="G121" s="78" t="s">
        <v>3</v>
      </c>
      <c r="H121" s="78" t="s">
        <v>28</v>
      </c>
      <c r="I121" s="972" t="s">
        <v>29</v>
      </c>
      <c r="J121" s="466"/>
      <c r="K121" s="977" t="s">
        <v>220</v>
      </c>
      <c r="L121" s="971" t="s">
        <v>0</v>
      </c>
      <c r="M121" s="78" t="s">
        <v>1</v>
      </c>
      <c r="N121" s="78" t="s">
        <v>27</v>
      </c>
      <c r="O121" s="78" t="s">
        <v>2</v>
      </c>
      <c r="P121" s="78" t="s">
        <v>3</v>
      </c>
      <c r="Q121" s="78" t="s">
        <v>28</v>
      </c>
      <c r="R121" s="972" t="s">
        <v>29</v>
      </c>
      <c r="T121" s="365"/>
    </row>
    <row r="122" spans="1:46" s="101" customFormat="1" ht="30" customHeight="1" x14ac:dyDescent="0.3">
      <c r="B122" s="977">
        <f>_xlfn.ISOWEEKNUM(C120)</f>
        <v>18</v>
      </c>
      <c r="C122" s="973">
        <f>IF(WEEKDAY(C120,2)=1,C120,0)</f>
        <v>0</v>
      </c>
      <c r="D122" s="973">
        <f>IF(WEEKDAY(C120,2)=2, C120, IF(WEEKDAY(C120,2)&lt;2, C122+1,0))</f>
        <v>0</v>
      </c>
      <c r="E122" s="973">
        <f>IF(WEEKDAY(C120,2)=3, C120, IF(WEEKDAY(C120,2)&lt;3, D122+1,0))</f>
        <v>0</v>
      </c>
      <c r="F122" s="973">
        <f>IF(WEEKDAY(C120,2)=4, C120, IF(WEEKDAY(C120,2)&lt;4, E122+1,0))</f>
        <v>0</v>
      </c>
      <c r="G122" s="973">
        <f>IF(WEEKDAY(C120,2)=5, C120, IF(WEEKDAY(C120,2)&lt;5, F122+1,0))</f>
        <v>46143</v>
      </c>
      <c r="H122" s="974">
        <f>IF(WEEKDAY(C120,2)=6, C120, IF(WEEKDAY(C120,2)&lt;6, G122+1,0))</f>
        <v>46144</v>
      </c>
      <c r="I122" s="974">
        <f>IF(WEEKDAY(C120,2)=7, C120, IF(WEEKDAY(C120,2)&lt;7, H122+1,0))</f>
        <v>46145</v>
      </c>
      <c r="J122" s="15"/>
      <c r="K122" s="977">
        <f>_xlfn.ISOWEEKNUM(L120)</f>
        <v>23</v>
      </c>
      <c r="L122" s="973">
        <f>IF(WEEKDAY(L120,2)=1,L120,0)</f>
        <v>46174</v>
      </c>
      <c r="M122" s="973">
        <f>IF(WEEKDAY(L120,2)=2, L120, IF(WEEKDAY(L120,2)&lt;2, L122+1,0))</f>
        <v>46175</v>
      </c>
      <c r="N122" s="973">
        <f>IF(WEEKDAY(L120,2)=3, L120, IF(WEEKDAY(L120,2)&lt;3, M122+1,0))</f>
        <v>46176</v>
      </c>
      <c r="O122" s="973">
        <f>IF(WEEKDAY(L120,2)=4, L120, IF(WEEKDAY(L120,2)&lt;4, N122+1,0))</f>
        <v>46177</v>
      </c>
      <c r="P122" s="973">
        <f>IF(WEEKDAY(L120,2)=5, L120, IF(WEEKDAY(L120,2)&lt;5, O122+1,0))</f>
        <v>46178</v>
      </c>
      <c r="Q122" s="974">
        <f>IF(WEEKDAY(L120,2)=6, L120, IF(WEEKDAY(L120,2)&lt;6, P122+1,0))</f>
        <v>46179</v>
      </c>
      <c r="R122" s="974">
        <f>IF(WEEKDAY(L120,2)=7, L120, IF(WEEKDAY(L120,2)&lt;7, Q122+1,0))</f>
        <v>46180</v>
      </c>
      <c r="T122" s="103"/>
    </row>
    <row r="123" spans="1:46" s="101" customFormat="1" ht="30" customHeight="1" x14ac:dyDescent="0.3">
      <c r="B123" s="741"/>
      <c r="C123" s="439">
        <f>IFERROR(_xlfn.XLOOKUP(C122,Flts!$I$14:$I$349,Flts!$C$14:$C$349),0)</f>
        <v>0</v>
      </c>
      <c r="D123" s="428">
        <f>IFERROR(_xlfn.XLOOKUP(D122,Flts!$I$14:$I$349,Flts!$C$14:$C$349),0)</f>
        <v>0</v>
      </c>
      <c r="E123" s="428">
        <f>IFERROR(_xlfn.XLOOKUP(E122,Flts!$I$14:$I$349,Flts!$C$14:$C$349),0)</f>
        <v>0</v>
      </c>
      <c r="F123" s="428">
        <f>IFERROR(_xlfn.XLOOKUP(F122,Flts!$I$14:$I$349,Flts!$C$14:$C$349),0)</f>
        <v>0</v>
      </c>
      <c r="G123" s="428" t="str">
        <f>IFERROR(_xlfn.XLOOKUP(G122,Flts!$I$14:$I$349,Flts!$C$14:$C$349),0)</f>
        <v>D. Trabajo</v>
      </c>
      <c r="H123" s="428">
        <f>IFERROR(_xlfn.XLOOKUP(H122,Flts!$I$14:$I$349,Flts!$C$14:$C$349),0)</f>
        <v>0</v>
      </c>
      <c r="I123" s="428">
        <f>IFERROR(_xlfn.XLOOKUP(I122,Flts!$I$14:$I$349,Flts!$C$14:$C$349),0)</f>
        <v>0</v>
      </c>
      <c r="J123" s="138"/>
      <c r="K123" s="741"/>
      <c r="L123" s="439">
        <f>IFERROR(_xlfn.XLOOKUP(L122,Flts!$I$14:$I$349,Flts!$C$14:$C$349),0)</f>
        <v>0</v>
      </c>
      <c r="M123" s="428">
        <f>IFERROR(_xlfn.XLOOKUP(M122,Flts!$I$14:$I$349,Flts!$C$14:$C$349),0)</f>
        <v>0</v>
      </c>
      <c r="N123" s="428">
        <f>IFERROR(_xlfn.XLOOKUP(N122,Flts!$I$14:$I$349,Flts!$C$14:$C$349),0)</f>
        <v>0</v>
      </c>
      <c r="O123" s="428">
        <f>IFERROR(_xlfn.XLOOKUP(O122,Flts!$I$14:$I$349,Flts!$C$14:$C$349),0)</f>
        <v>0</v>
      </c>
      <c r="P123" s="428">
        <f>IFERROR(_xlfn.XLOOKUP(P122,Flts!$I$14:$I$349,Flts!$C$14:$C$349),0)</f>
        <v>0</v>
      </c>
      <c r="Q123" s="428">
        <f>IFERROR(_xlfn.XLOOKUP(Q122,Flts!$I$14:$I$349,Flts!$C$14:$C$349),0)</f>
        <v>0</v>
      </c>
      <c r="R123" s="428">
        <f>IFERROR(_xlfn.XLOOKUP(R122,Flts!$I$14:$I$349,Flts!$C$14:$C$349),0)</f>
        <v>0</v>
      </c>
      <c r="T123" s="15"/>
    </row>
    <row r="124" spans="1:46" ht="30" customHeight="1" x14ac:dyDescent="0.3">
      <c r="B124" s="741"/>
      <c r="C124" s="440">
        <f>IFERROR(_xlfn.XLOOKUP(C122,Flts!$I$14:$I$349,Flts!$D$14:$D$349),0)</f>
        <v>0</v>
      </c>
      <c r="D124" s="430">
        <f>IFERROR(_xlfn.XLOOKUP(D122,Flts!$I$14:$I$349,Flts!$D$14:$D$349),0)</f>
        <v>0</v>
      </c>
      <c r="E124" s="430">
        <f>IFERROR(_xlfn.XLOOKUP(E122,Flts!$I$14:$I$349,Flts!$D$14:$D$349),0)</f>
        <v>0</v>
      </c>
      <c r="F124" s="430">
        <f>IFERROR(_xlfn.XLOOKUP(F122,Flts!$I$14:$I$349,Flts!$D$14:$D$349),0)</f>
        <v>0</v>
      </c>
      <c r="G124" s="430">
        <f>IFERROR(_xlfn.XLOOKUP(G122,Flts!$I$14:$I$349,Flts!$D$14:$D$349),0)</f>
        <v>0</v>
      </c>
      <c r="H124" s="430">
        <f>IFERROR(_xlfn.XLOOKUP(H122,Flts!$I$14:$I$349,Flts!$D$14:$D$349),0)</f>
        <v>0</v>
      </c>
      <c r="I124" s="430">
        <f>IFERROR(_xlfn.XLOOKUP(I122,Flts!$I$14:$I$349,Flts!$D$14:$D$349),0)</f>
        <v>0</v>
      </c>
      <c r="J124" s="421"/>
      <c r="K124" s="741"/>
      <c r="L124" s="440">
        <f>IFERROR(_xlfn.XLOOKUP(L122,Flts!$I$14:$I$349,Flts!$D$14:$D$349),0)</f>
        <v>0</v>
      </c>
      <c r="M124" s="430">
        <f>IFERROR(_xlfn.XLOOKUP(M122,Flts!$I$14:$I$349,Flts!$D$14:$D$349),0)</f>
        <v>0</v>
      </c>
      <c r="N124" s="430">
        <f>IFERROR(_xlfn.XLOOKUP(N122,Flts!$I$14:$I$349,Flts!$D$14:$D$349),0)</f>
        <v>0</v>
      </c>
      <c r="O124" s="430">
        <f>IFERROR(_xlfn.XLOOKUP(O122,Flts!$I$14:$I$349,Flts!$D$14:$D$349),0)</f>
        <v>0</v>
      </c>
      <c r="P124" s="430">
        <f>IFERROR(_xlfn.XLOOKUP(P122,Flts!$I$14:$I$349,Flts!$D$14:$D$349),0)</f>
        <v>0</v>
      </c>
      <c r="Q124" s="430">
        <f>IFERROR(_xlfn.XLOOKUP(Q122,Flts!$I$14:$I$349,Flts!$D$14:$D$349),0)</f>
        <v>0</v>
      </c>
      <c r="R124" s="430">
        <f>IFERROR(_xlfn.XLOOKUP(R122,Flts!$I$14:$I$349,Flts!$D$14:$D$349),0)</f>
        <v>0</v>
      </c>
      <c r="T124" s="265"/>
    </row>
    <row r="125" spans="1:46" s="409" customFormat="1" ht="30" customHeight="1" x14ac:dyDescent="0.3">
      <c r="A125" s="286"/>
      <c r="B125" s="741"/>
      <c r="C125" s="438">
        <f>IFERROR(_xlfn.XLOOKUP(C122,Flts!$I$14:$I$349,Flts!$E$14:$E$349),0)</f>
        <v>0</v>
      </c>
      <c r="D125" s="432">
        <f>IFERROR(_xlfn.XLOOKUP(D122,Flts!$I$14:$I$349,Flts!$E$14:$E$349),0)</f>
        <v>0</v>
      </c>
      <c r="E125" s="432">
        <f>IFERROR(_xlfn.XLOOKUP(E122,Flts!$I$14:$I$349,Flts!$E$14:$E$349),0)</f>
        <v>0</v>
      </c>
      <c r="F125" s="432">
        <f>IFERROR(_xlfn.XLOOKUP(F122,Flts!$I$14:$I$349,Flts!$E$14:$E$349),0)</f>
        <v>0</v>
      </c>
      <c r="G125" s="432">
        <f>IFERROR(_xlfn.XLOOKUP(G122,Flts!$I$14:$I$349,Flts!$E$14:$E$349),0)</f>
        <v>0</v>
      </c>
      <c r="H125" s="433"/>
      <c r="I125" s="432"/>
      <c r="J125" s="366"/>
      <c r="K125" s="741"/>
      <c r="L125" s="424">
        <f>IFERROR(_xlfn.XLOOKUP(L122,Flts!$I$14:$I$349,Flts!$E$14:$E$349),0)</f>
        <v>0</v>
      </c>
      <c r="M125" s="441">
        <f>IFERROR(_xlfn.XLOOKUP(M122,Flts!$I$14:$I$349,Flts!$E$14:$E$349),0)</f>
        <v>0</v>
      </c>
      <c r="N125" s="441">
        <f>IFERROR(_xlfn.XLOOKUP(N122,Flts!$I$14:$I$349,Flts!$E$14:$E$349),0)</f>
        <v>0</v>
      </c>
      <c r="O125" s="441">
        <f>IFERROR(_xlfn.XLOOKUP(O122,Flts!$I$14:$I$349,Flts!$E$14:$E$349),0)</f>
        <v>0</v>
      </c>
      <c r="P125" s="441">
        <f>IFERROR(_xlfn.XLOOKUP(P122,Flts!$I$14:$I$349,Flts!$E$14:$E$349),0)</f>
        <v>0</v>
      </c>
      <c r="Q125" s="442"/>
      <c r="R125" s="441"/>
      <c r="S125" s="286"/>
      <c r="T125" s="366"/>
    </row>
    <row r="126" spans="1:46" s="101" customFormat="1" ht="30" customHeight="1" x14ac:dyDescent="0.3">
      <c r="B126" s="977">
        <f>_xlfn.ISOWEEKNUM(C126)</f>
        <v>19</v>
      </c>
      <c r="C126" s="973">
        <f>I122+1</f>
        <v>46146</v>
      </c>
      <c r="D126" s="973">
        <f>C126+1</f>
        <v>46147</v>
      </c>
      <c r="E126" s="973">
        <f t="shared" ref="E126:I126" si="40">D126+1</f>
        <v>46148</v>
      </c>
      <c r="F126" s="973">
        <f t="shared" si="40"/>
        <v>46149</v>
      </c>
      <c r="G126" s="973">
        <f t="shared" si="40"/>
        <v>46150</v>
      </c>
      <c r="H126" s="974">
        <f t="shared" si="40"/>
        <v>46151</v>
      </c>
      <c r="I126" s="974">
        <f t="shared" si="40"/>
        <v>46152</v>
      </c>
      <c r="J126" s="15"/>
      <c r="K126" s="977">
        <f>_xlfn.ISOWEEKNUM(L126)</f>
        <v>24</v>
      </c>
      <c r="L126" s="973">
        <f>R122+1</f>
        <v>46181</v>
      </c>
      <c r="M126" s="973">
        <f>L126+1</f>
        <v>46182</v>
      </c>
      <c r="N126" s="973">
        <f t="shared" ref="N126:R126" si="41">M126+1</f>
        <v>46183</v>
      </c>
      <c r="O126" s="973">
        <f t="shared" si="41"/>
        <v>46184</v>
      </c>
      <c r="P126" s="973">
        <f t="shared" si="41"/>
        <v>46185</v>
      </c>
      <c r="Q126" s="974">
        <f t="shared" si="41"/>
        <v>46186</v>
      </c>
      <c r="R126" s="974">
        <f t="shared" si="41"/>
        <v>46187</v>
      </c>
      <c r="T126" s="15"/>
    </row>
    <row r="127" spans="1:46" s="101" customFormat="1" ht="30" customHeight="1" x14ac:dyDescent="0.3">
      <c r="B127" s="741"/>
      <c r="C127" s="434">
        <f>IFERROR(_xlfn.XLOOKUP(C126,Flts!$I$14:$I$349,Flts!$C$14:$C$349),0)</f>
        <v>0</v>
      </c>
      <c r="D127" s="435">
        <f>IFERROR(_xlfn.XLOOKUP(D126,Flts!$I$14:$I$349,Flts!$C$14:$C$349),0)</f>
        <v>0</v>
      </c>
      <c r="E127" s="435">
        <f>IFERROR(_xlfn.XLOOKUP(E126,Flts!$I$14:$I$349,Flts!$C$14:$C$349),0)</f>
        <v>0</v>
      </c>
      <c r="F127" s="435">
        <f>IFERROR(_xlfn.XLOOKUP(F126,Flts!$I$14:$I$349,Flts!$C$14:$C$349),0)</f>
        <v>0</v>
      </c>
      <c r="G127" s="435">
        <f>IFERROR(_xlfn.XLOOKUP(G126,Flts!$I$14:$I$349,Flts!$C$14:$C$349),0)</f>
        <v>0</v>
      </c>
      <c r="H127" s="435">
        <f>IFERROR(_xlfn.XLOOKUP(H126,Flts!$I$14:$I$349,Flts!$C$14:$C$349),0)</f>
        <v>0</v>
      </c>
      <c r="I127" s="435">
        <f>IFERROR(_xlfn.XLOOKUP(I126,Flts!$I$14:$I$349,Flts!$C$14:$C$349),0)</f>
        <v>0</v>
      </c>
      <c r="J127" s="15"/>
      <c r="K127" s="741"/>
      <c r="L127" s="434">
        <f>IFERROR(_xlfn.XLOOKUP(L126,Flts!$I$14:$I$349,Flts!$C$14:$C$349),0)</f>
        <v>0</v>
      </c>
      <c r="M127" s="435">
        <f>IFERROR(_xlfn.XLOOKUP(M126,Flts!$I$14:$I$349,Flts!$C$14:$C$349),0)</f>
        <v>0</v>
      </c>
      <c r="N127" s="435">
        <f>IFERROR(_xlfn.XLOOKUP(N126,Flts!$I$14:$I$349,Flts!$C$14:$C$349),0)</f>
        <v>0</v>
      </c>
      <c r="O127" s="435">
        <f>IFERROR(_xlfn.XLOOKUP(O126,Flts!$I$14:$I$349,Flts!$C$14:$C$349),0)</f>
        <v>0</v>
      </c>
      <c r="P127" s="435">
        <f>IFERROR(_xlfn.XLOOKUP(P126,Flts!$I$14:$I$349,Flts!$C$14:$C$349),0)</f>
        <v>0</v>
      </c>
      <c r="Q127" s="435">
        <f>IFERROR(_xlfn.XLOOKUP(Q126,Flts!$I$14:$I$349,Flts!$C$14:$C$349),0)</f>
        <v>0</v>
      </c>
      <c r="R127" s="435">
        <f>IFERROR(_xlfn.XLOOKUP(R126,Flts!$I$14:$I$349,Flts!$C$14:$C$349),0)</f>
        <v>0</v>
      </c>
      <c r="T127" s="15"/>
    </row>
    <row r="128" spans="1:46" ht="30" customHeight="1" x14ac:dyDescent="0.3">
      <c r="B128" s="741"/>
      <c r="C128" s="436">
        <f>IFERROR(_xlfn.XLOOKUP(C126,Flts!$I$14:$I$349,Flts!$D$14:$D$349),0)</f>
        <v>0</v>
      </c>
      <c r="D128" s="437">
        <f>IFERROR(_xlfn.XLOOKUP(D126,Flts!$I$14:$I$349,Flts!$D$14:$D$349),0)</f>
        <v>0</v>
      </c>
      <c r="E128" s="437">
        <f>IFERROR(_xlfn.XLOOKUP(E126,Flts!$I$14:$I$349,Flts!$D$14:$D$349),0)</f>
        <v>0</v>
      </c>
      <c r="F128" s="437">
        <f>IFERROR(_xlfn.XLOOKUP(F126,Flts!$I$14:$I$349,Flts!$D$14:$D$349),0)</f>
        <v>0</v>
      </c>
      <c r="G128" s="437">
        <f>IFERROR(_xlfn.XLOOKUP(G126,Flts!$I$14:$I$349,Flts!$D$14:$D$349),0)</f>
        <v>0</v>
      </c>
      <c r="H128" s="437">
        <f>IFERROR(_xlfn.XLOOKUP(H126,Flts!$I$14:$I$349,Flts!$D$14:$D$349),0)</f>
        <v>0</v>
      </c>
      <c r="I128" s="437">
        <f>IFERROR(_xlfn.XLOOKUP(I126,Flts!$I$14:$I$349,Flts!$D$14:$D$349),0)</f>
        <v>0</v>
      </c>
      <c r="J128" s="265"/>
      <c r="K128" s="741"/>
      <c r="L128" s="436" t="str">
        <f>IFERROR(_xlfn.XLOOKUP(L126,Flts!$I$14:$I$349,Flts!$D$14:$D$349),0)</f>
        <v>xºGx-Junta 3ªEv.</v>
      </c>
      <c r="M128" s="437" t="str">
        <f>IFERROR(_xlfn.XLOOKUP(M126,Flts!$I$14:$I$349,Flts!$D$14:$D$349),0)</f>
        <v>xºGx-Boletín 3ªEv.</v>
      </c>
      <c r="N128" s="437" t="str">
        <f>IFERROR(_xlfn.XLOOKUP(N126,Flts!$I$14:$I$349,Flts!$D$14:$D$349),0)</f>
        <v>xºGx-Reclama+1d</v>
      </c>
      <c r="O128" s="437">
        <f>IFERROR(_xlfn.XLOOKUP(O126,Flts!$I$14:$I$349,Flts!$D$14:$D$349),0)</f>
        <v>0</v>
      </c>
      <c r="P128" s="437">
        <f>IFERROR(_xlfn.XLOOKUP(P126,Flts!$I$14:$I$349,Flts!$D$14:$D$349),0)</f>
        <v>0</v>
      </c>
      <c r="Q128" s="437">
        <f>IFERROR(_xlfn.XLOOKUP(Q126,Flts!$I$14:$I$349,Flts!$D$14:$D$349),0)</f>
        <v>0</v>
      </c>
      <c r="R128" s="437">
        <f>IFERROR(_xlfn.XLOOKUP(R126,Flts!$I$14:$I$349,Flts!$D$14:$D$349),0)</f>
        <v>0</v>
      </c>
      <c r="T128" s="265"/>
    </row>
    <row r="129" spans="1:20" s="409" customFormat="1" ht="30" customHeight="1" x14ac:dyDescent="0.3">
      <c r="A129" s="286"/>
      <c r="B129" s="741"/>
      <c r="C129" s="438" t="str">
        <f>IFERROR(_xlfn.XLOOKUP(C126,Flts!$I$14:$I$349,Flts!$E$14:$E$349),0)</f>
        <v/>
      </c>
      <c r="D129" s="432" t="str">
        <f>IFERROR(_xlfn.XLOOKUP(D126,Flts!$I$14:$I$349,Flts!$E$14:$E$349),0)</f>
        <v/>
      </c>
      <c r="E129" s="432" t="str">
        <f>IFERROR(_xlfn.XLOOKUP(E126,Flts!$I$14:$I$349,Flts!$E$14:$E$349),0)</f>
        <v/>
      </c>
      <c r="F129" s="432" t="str">
        <f>IFERROR(_xlfn.XLOOKUP(F126,Flts!$I$14:$I$349,Flts!$E$14:$E$349),0)</f>
        <v/>
      </c>
      <c r="G129" s="432" t="str">
        <f>IFERROR(_xlfn.XLOOKUP(G126,Flts!$I$14:$I$349,Flts!$E$14:$E$349),0)</f>
        <v/>
      </c>
      <c r="H129" s="433"/>
      <c r="I129" s="432"/>
      <c r="J129" s="366"/>
      <c r="K129" s="741"/>
      <c r="L129" s="438">
        <f>IFERROR(_xlfn.XLOOKUP(L126,Flts!$I$14:$I$349,Flts!$E$14:$E$349),0)</f>
        <v>0</v>
      </c>
      <c r="M129" s="432">
        <f>IFERROR(_xlfn.XLOOKUP(M126,Flts!$I$14:$I$349,Flts!$E$14:$E$349),0)</f>
        <v>0</v>
      </c>
      <c r="N129" s="432">
        <f>IFERROR(_xlfn.XLOOKUP(N126,Flts!$I$14:$I$349,Flts!$E$14:$E$349),0)</f>
        <v>0</v>
      </c>
      <c r="O129" s="432">
        <f>IFERROR(_xlfn.XLOOKUP(O126,Flts!$I$14:$I$349,Flts!$E$14:$E$349),0)</f>
        <v>0</v>
      </c>
      <c r="P129" s="432">
        <f>IFERROR(_xlfn.XLOOKUP(P126,Flts!$I$14:$I$349,Flts!$E$14:$E$349),0)</f>
        <v>0</v>
      </c>
      <c r="Q129" s="433"/>
      <c r="R129" s="432"/>
      <c r="S129" s="286"/>
      <c r="T129" s="366"/>
    </row>
    <row r="130" spans="1:20" s="101" customFormat="1" ht="30" customHeight="1" x14ac:dyDescent="0.3">
      <c r="B130" s="977">
        <f>B126+1</f>
        <v>20</v>
      </c>
      <c r="C130" s="973">
        <f>I126+1</f>
        <v>46153</v>
      </c>
      <c r="D130" s="973">
        <f>C130+1</f>
        <v>46154</v>
      </c>
      <c r="E130" s="973">
        <f t="shared" ref="E130:I130" si="42">D130+1</f>
        <v>46155</v>
      </c>
      <c r="F130" s="973">
        <f t="shared" si="42"/>
        <v>46156</v>
      </c>
      <c r="G130" s="973">
        <f t="shared" si="42"/>
        <v>46157</v>
      </c>
      <c r="H130" s="974">
        <f t="shared" si="42"/>
        <v>46158</v>
      </c>
      <c r="I130" s="974">
        <f t="shared" si="42"/>
        <v>46159</v>
      </c>
      <c r="J130" s="15"/>
      <c r="K130" s="977">
        <f>K126+1</f>
        <v>25</v>
      </c>
      <c r="L130" s="973">
        <f>R126+1</f>
        <v>46188</v>
      </c>
      <c r="M130" s="973">
        <f>L130+1</f>
        <v>46189</v>
      </c>
      <c r="N130" s="973">
        <f t="shared" ref="N130:R130" si="43">M130+1</f>
        <v>46190</v>
      </c>
      <c r="O130" s="973">
        <f t="shared" si="43"/>
        <v>46191</v>
      </c>
      <c r="P130" s="973">
        <f t="shared" si="43"/>
        <v>46192</v>
      </c>
      <c r="Q130" s="974">
        <f t="shared" si="43"/>
        <v>46193</v>
      </c>
      <c r="R130" s="974">
        <f t="shared" si="43"/>
        <v>46194</v>
      </c>
      <c r="T130" s="15"/>
    </row>
    <row r="131" spans="1:20" s="101" customFormat="1" ht="30" customHeight="1" x14ac:dyDescent="0.3">
      <c r="B131" s="741"/>
      <c r="C131" s="434">
        <f>IFERROR(_xlfn.XLOOKUP(C130,Flts!$I$14:$I$349,Flts!$C$14:$C$349),0)</f>
        <v>0</v>
      </c>
      <c r="D131" s="435">
        <f>IFERROR(_xlfn.XLOOKUP(D130,Flts!$I$14:$I$349,Flts!$C$14:$C$349),0)</f>
        <v>0</v>
      </c>
      <c r="E131" s="435">
        <f>IFERROR(_xlfn.XLOOKUP(E130,Flts!$I$14:$I$349,Flts!$C$14:$C$349),0)</f>
        <v>0</v>
      </c>
      <c r="F131" s="435">
        <f>IFERROR(_xlfn.XLOOKUP(F130,Flts!$I$14:$I$349,Flts!$C$14:$C$349),0)</f>
        <v>0</v>
      </c>
      <c r="G131" s="435">
        <f>IFERROR(_xlfn.XLOOKUP(G130,Flts!$I$14:$I$349,Flts!$C$14:$C$349),0)</f>
        <v>0</v>
      </c>
      <c r="H131" s="435">
        <f>IFERROR(_xlfn.XLOOKUP(H130,Flts!$I$14:$I$349,Flts!$C$14:$C$349),0)</f>
        <v>0</v>
      </c>
      <c r="I131" s="435">
        <f>IFERROR(_xlfn.XLOOKUP(I130,Flts!$I$14:$I$349,Flts!$C$14:$C$349),0)</f>
        <v>0</v>
      </c>
      <c r="J131" s="15"/>
      <c r="K131" s="741"/>
      <c r="L131" s="434">
        <f>IFERROR(_xlfn.XLOOKUP(L130,Flts!$I$14:$I$349,Flts!$C$14:$C$349),0)</f>
        <v>0</v>
      </c>
      <c r="M131" s="435">
        <f>IFERROR(_xlfn.XLOOKUP(M130,Flts!$I$14:$I$349,Flts!$C$14:$C$349),0)</f>
        <v>0</v>
      </c>
      <c r="N131" s="435">
        <f>IFERROR(_xlfn.XLOOKUP(N130,Flts!$I$14:$I$349,Flts!$C$14:$C$349),0)</f>
        <v>0</v>
      </c>
      <c r="O131" s="435">
        <f>IFERROR(_xlfn.XLOOKUP(O130,Flts!$I$14:$I$349,Flts!$C$14:$C$349),0)</f>
        <v>0</v>
      </c>
      <c r="P131" s="435">
        <f>IFERROR(_xlfn.XLOOKUP(P130,Flts!$I$14:$I$349,Flts!$C$14:$C$349),0)</f>
        <v>0</v>
      </c>
      <c r="Q131" s="435">
        <f>IFERROR(_xlfn.XLOOKUP(Q130,Flts!$I$14:$I$349,Flts!$C$14:$C$349),0)</f>
        <v>0</v>
      </c>
      <c r="R131" s="435">
        <f>IFERROR(_xlfn.XLOOKUP(R130,Flts!$I$14:$I$349,Flts!$C$14:$C$349),0)</f>
        <v>0</v>
      </c>
      <c r="T131" s="15"/>
    </row>
    <row r="132" spans="1:20" ht="30" customHeight="1" x14ac:dyDescent="0.3">
      <c r="B132" s="741"/>
      <c r="C132" s="436">
        <f>IFERROR(_xlfn.XLOOKUP(C130,Flts!$I$14:$I$349,Flts!$D$14:$D$349),0)</f>
        <v>0</v>
      </c>
      <c r="D132" s="437">
        <f>IFERROR(_xlfn.XLOOKUP(D130,Flts!$I$14:$I$349,Flts!$D$14:$D$349),0)</f>
        <v>0</v>
      </c>
      <c r="E132" s="437">
        <f>IFERROR(_xlfn.XLOOKUP(E130,Flts!$I$14:$I$349,Flts!$D$14:$D$349),0)</f>
        <v>0</v>
      </c>
      <c r="F132" s="437">
        <f>IFERROR(_xlfn.XLOOKUP(F130,Flts!$I$14:$I$349,Flts!$D$14:$D$349),0)</f>
        <v>0</v>
      </c>
      <c r="G132" s="437">
        <f>IFERROR(_xlfn.XLOOKUP(G130,Flts!$I$14:$I$349,Flts!$D$14:$D$349),0)</f>
        <v>0</v>
      </c>
      <c r="H132" s="437">
        <f>IFERROR(_xlfn.XLOOKUP(H130,Flts!$I$14:$I$349,Flts!$D$14:$D$349),0)</f>
        <v>0</v>
      </c>
      <c r="I132" s="437">
        <f>IFERROR(_xlfn.XLOOKUP(I130,Flts!$I$14:$I$349,Flts!$D$14:$D$349),0)</f>
        <v>0</v>
      </c>
      <c r="J132" s="265"/>
      <c r="K132" s="741"/>
      <c r="L132" s="436">
        <f>IFERROR(_xlfn.XLOOKUP(L130,Flts!$I$14:$I$349,Flts!$D$14:$D$349),0)</f>
        <v>0</v>
      </c>
      <c r="M132" s="437">
        <f>IFERROR(_xlfn.XLOOKUP(M130,Flts!$I$14:$I$349,Flts!$D$14:$D$349),0)</f>
        <v>0</v>
      </c>
      <c r="N132" s="437">
        <f>IFERROR(_xlfn.XLOOKUP(N130,Flts!$I$14:$I$349,Flts!$D$14:$D$349),0)</f>
        <v>0</v>
      </c>
      <c r="O132" s="437" t="str">
        <f>IFERROR(_xlfn.XLOOKUP(O130,Flts!$I$14:$I$349,Flts!$D$14:$D$349),0)</f>
        <v>2ºGx-Junta OªEv.</v>
      </c>
      <c r="P132" s="437">
        <f>IFERROR(_xlfn.XLOOKUP(P130,Flts!$I$14:$I$349,Flts!$D$14:$D$349),0)</f>
        <v>0</v>
      </c>
      <c r="Q132" s="437">
        <f>IFERROR(_xlfn.XLOOKUP(Q130,Flts!$I$14:$I$349,Flts!$D$14:$D$349),0)</f>
        <v>0</v>
      </c>
      <c r="R132" s="437">
        <f>IFERROR(_xlfn.XLOOKUP(R130,Flts!$I$14:$I$349,Flts!$D$14:$D$349),0)</f>
        <v>0</v>
      </c>
      <c r="T132" s="265"/>
    </row>
    <row r="133" spans="1:20" s="409" customFormat="1" ht="30" customHeight="1" x14ac:dyDescent="0.3">
      <c r="A133" s="286"/>
      <c r="B133" s="741"/>
      <c r="C133" s="438" t="str">
        <f>IFERROR(_xlfn.XLOOKUP(C130,Flts!$I$14:$I$349,Flts!$E$14:$E$349),0)</f>
        <v/>
      </c>
      <c r="D133" s="432" t="str">
        <f>IFERROR(_xlfn.XLOOKUP(D130,Flts!$I$14:$I$349,Flts!$E$14:$E$349),0)</f>
        <v/>
      </c>
      <c r="E133" s="432" t="str">
        <f>IFERROR(_xlfn.XLOOKUP(E130,Flts!$I$14:$I$349,Flts!$E$14:$E$349),0)</f>
        <v/>
      </c>
      <c r="F133" s="432" t="str">
        <f>IFERROR(_xlfn.XLOOKUP(F130,Flts!$I$14:$I$349,Flts!$E$14:$E$349),0)</f>
        <v/>
      </c>
      <c r="G133" s="432" t="str">
        <f>IFERROR(_xlfn.XLOOKUP(G130,Flts!$I$14:$I$349,Flts!$E$14:$E$349),0)</f>
        <v/>
      </c>
      <c r="H133" s="433"/>
      <c r="I133" s="432"/>
      <c r="J133" s="366"/>
      <c r="K133" s="741"/>
      <c r="L133" s="438">
        <f>IFERROR(_xlfn.XLOOKUP(L130,Flts!$I$14:$I$349,Flts!$E$14:$E$349),0)</f>
        <v>0</v>
      </c>
      <c r="M133" s="432">
        <f>IFERROR(_xlfn.XLOOKUP(M130,Flts!$I$14:$I$349,Flts!$E$14:$E$349),0)</f>
        <v>0</v>
      </c>
      <c r="N133" s="432">
        <f>IFERROR(_xlfn.XLOOKUP(N130,Flts!$I$14:$I$349,Flts!$E$14:$E$349),0)</f>
        <v>0</v>
      </c>
      <c r="O133" s="432">
        <f>IFERROR(_xlfn.XLOOKUP(O130,Flts!$I$14:$I$349,Flts!$E$14:$E$349),0)</f>
        <v>0</v>
      </c>
      <c r="P133" s="432">
        <f>IFERROR(_xlfn.XLOOKUP(P130,Flts!$I$14:$I$349,Flts!$E$14:$E$349),0)</f>
        <v>0</v>
      </c>
      <c r="Q133" s="433"/>
      <c r="R133" s="432"/>
      <c r="S133" s="286"/>
      <c r="T133" s="366"/>
    </row>
    <row r="134" spans="1:20" s="101" customFormat="1" ht="30" customHeight="1" x14ac:dyDescent="0.3">
      <c r="B134" s="977">
        <f>B130+1</f>
        <v>21</v>
      </c>
      <c r="C134" s="973">
        <f>I130+1</f>
        <v>46160</v>
      </c>
      <c r="D134" s="973">
        <f>C134+1</f>
        <v>46161</v>
      </c>
      <c r="E134" s="973">
        <f t="shared" ref="E134:I134" si="44">D134+1</f>
        <v>46162</v>
      </c>
      <c r="F134" s="973">
        <f t="shared" si="44"/>
        <v>46163</v>
      </c>
      <c r="G134" s="973">
        <f t="shared" si="44"/>
        <v>46164</v>
      </c>
      <c r="H134" s="974">
        <f t="shared" si="44"/>
        <v>46165</v>
      </c>
      <c r="I134" s="974">
        <f t="shared" si="44"/>
        <v>46166</v>
      </c>
      <c r="J134" s="15"/>
      <c r="K134" s="977">
        <f>K130+1</f>
        <v>26</v>
      </c>
      <c r="L134" s="973">
        <f>R130+1</f>
        <v>46195</v>
      </c>
      <c r="M134" s="973">
        <f>L134+1</f>
        <v>46196</v>
      </c>
      <c r="N134" s="973">
        <f t="shared" ref="N134:R134" si="45">M134+1</f>
        <v>46197</v>
      </c>
      <c r="O134" s="973">
        <f t="shared" si="45"/>
        <v>46198</v>
      </c>
      <c r="P134" s="973">
        <f t="shared" si="45"/>
        <v>46199</v>
      </c>
      <c r="Q134" s="974">
        <f t="shared" si="45"/>
        <v>46200</v>
      </c>
      <c r="R134" s="974">
        <f t="shared" si="45"/>
        <v>46201</v>
      </c>
      <c r="T134" s="15"/>
    </row>
    <row r="135" spans="1:20" s="101" customFormat="1" ht="30" customHeight="1" x14ac:dyDescent="0.3">
      <c r="B135" s="741"/>
      <c r="C135" s="434">
        <f>IFERROR(_xlfn.XLOOKUP(C134,Flts!$I$14:$I$349,Flts!$C$14:$C$349),0)</f>
        <v>0</v>
      </c>
      <c r="D135" s="435">
        <f>IFERROR(_xlfn.XLOOKUP(D134,Flts!$I$14:$I$349,Flts!$C$14:$C$349),0)</f>
        <v>0</v>
      </c>
      <c r="E135" s="435">
        <f>IFERROR(_xlfn.XLOOKUP(E134,Flts!$I$14:$I$349,Flts!$C$14:$C$349),0)</f>
        <v>0</v>
      </c>
      <c r="F135" s="435">
        <f>IFERROR(_xlfn.XLOOKUP(F134,Flts!$I$14:$I$349,Flts!$C$14:$C$349),0)</f>
        <v>0</v>
      </c>
      <c r="G135" s="435">
        <f>IFERROR(_xlfn.XLOOKUP(G134,Flts!$I$14:$I$349,Flts!$C$14:$C$349),0)</f>
        <v>0</v>
      </c>
      <c r="H135" s="435">
        <f>IFERROR(_xlfn.XLOOKUP(H134,Flts!$I$14:$I$349,Flts!$C$14:$C$349),0)</f>
        <v>0</v>
      </c>
      <c r="I135" s="435">
        <f>IFERROR(_xlfn.XLOOKUP(I134,Flts!$I$14:$I$349,Flts!$C$14:$C$349),0)</f>
        <v>0</v>
      </c>
      <c r="J135" s="15"/>
      <c r="K135" s="741"/>
      <c r="L135" s="434">
        <f>IFERROR(_xlfn.XLOOKUP(L134,Flts!$I$14:$I$349,Flts!$C$14:$C$349),0)</f>
        <v>0</v>
      </c>
      <c r="M135" s="435">
        <f>IFERROR(_xlfn.XLOOKUP(M134,Flts!$I$14:$I$349,Flts!$C$14:$C$349),0)</f>
        <v>0</v>
      </c>
      <c r="N135" s="435">
        <f>IFERROR(_xlfn.XLOOKUP(N134,Flts!$I$14:$I$349,Flts!$C$14:$C$349),0)</f>
        <v>0</v>
      </c>
      <c r="O135" s="435">
        <f>IFERROR(_xlfn.XLOOKUP(O134,Flts!$I$14:$I$349,Flts!$C$14:$C$349),0)</f>
        <v>0</v>
      </c>
      <c r="P135" s="435">
        <f>IFERROR(_xlfn.XLOOKUP(P134,Flts!$I$14:$I$349,Flts!$C$14:$C$349),0)</f>
        <v>0</v>
      </c>
      <c r="Q135" s="435">
        <f>IFERROR(_xlfn.XLOOKUP(Q134,Flts!$I$14:$I$349,Flts!$C$14:$C$349),0)</f>
        <v>0</v>
      </c>
      <c r="R135" s="435">
        <f>IFERROR(_xlfn.XLOOKUP(R134,Flts!$I$14:$I$349,Flts!$C$14:$C$349),0)</f>
        <v>0</v>
      </c>
      <c r="T135" s="15"/>
    </row>
    <row r="136" spans="1:20" ht="30" customHeight="1" x14ac:dyDescent="0.3">
      <c r="B136" s="741"/>
      <c r="C136" s="436">
        <f>IFERROR(_xlfn.XLOOKUP(C134,Flts!$I$14:$I$349,Flts!$D$14:$D$349),0)</f>
        <v>0</v>
      </c>
      <c r="D136" s="437">
        <f>IFERROR(_xlfn.XLOOKUP(D134,Flts!$I$14:$I$349,Flts!$D$14:$D$349),0)</f>
        <v>0</v>
      </c>
      <c r="E136" s="437">
        <f>IFERROR(_xlfn.XLOOKUP(E134,Flts!$I$14:$I$349,Flts!$D$14:$D$349),0)</f>
        <v>0</v>
      </c>
      <c r="F136" s="437">
        <f>IFERROR(_xlfn.XLOOKUP(F134,Flts!$I$14:$I$349,Flts!$D$14:$D$349),0)</f>
        <v>0</v>
      </c>
      <c r="G136" s="437">
        <f>IFERROR(_xlfn.XLOOKUP(G134,Flts!$I$14:$I$349,Flts!$D$14:$D$349),0)</f>
        <v>0</v>
      </c>
      <c r="H136" s="437">
        <f>IFERROR(_xlfn.XLOOKUP(H134,Flts!$I$14:$I$349,Flts!$D$14:$D$349),0)</f>
        <v>0</v>
      </c>
      <c r="I136" s="437">
        <f>IFERROR(_xlfn.XLOOKUP(I134,Flts!$I$14:$I$349,Flts!$D$14:$D$349),0)</f>
        <v>0</v>
      </c>
      <c r="J136" s="265"/>
      <c r="K136" s="741"/>
      <c r="L136" s="436">
        <f>IFERROR(_xlfn.XLOOKUP(L134,Flts!$I$14:$I$349,Flts!$D$14:$D$349),0)</f>
        <v>0</v>
      </c>
      <c r="M136" s="437">
        <f>IFERROR(_xlfn.XLOOKUP(M134,Flts!$I$14:$I$349,Flts!$D$14:$D$349),0)</f>
        <v>0</v>
      </c>
      <c r="N136" s="437">
        <f>IFERROR(_xlfn.XLOOKUP(N134,Flts!$I$14:$I$349,Flts!$D$14:$D$349),0)</f>
        <v>0</v>
      </c>
      <c r="O136" s="437">
        <f>IFERROR(_xlfn.XLOOKUP(O134,Flts!$I$14:$I$349,Flts!$D$14:$D$349),0)</f>
        <v>0</v>
      </c>
      <c r="P136" s="437">
        <f>IFERROR(_xlfn.XLOOKUP(P134,Flts!$I$14:$I$349,Flts!$D$14:$D$349),0)</f>
        <v>0</v>
      </c>
      <c r="Q136" s="437">
        <f>IFERROR(_xlfn.XLOOKUP(Q134,Flts!$I$14:$I$349,Flts!$D$14:$D$349),0)</f>
        <v>0</v>
      </c>
      <c r="R136" s="437">
        <f>IFERROR(_xlfn.XLOOKUP(R134,Flts!$I$14:$I$349,Flts!$D$14:$D$349),0)</f>
        <v>0</v>
      </c>
      <c r="T136" s="265"/>
    </row>
    <row r="137" spans="1:20" s="409" customFormat="1" ht="30" customHeight="1" x14ac:dyDescent="0.3">
      <c r="A137" s="286"/>
      <c r="B137" s="741"/>
      <c r="C137" s="438" t="str">
        <f>IFERROR(_xlfn.XLOOKUP(C134,Flts!$I$14:$I$349,Flts!$E$14:$E$349),0)</f>
        <v/>
      </c>
      <c r="D137" s="432" t="str">
        <f>IFERROR(_xlfn.XLOOKUP(D134,Flts!$I$14:$I$349,Flts!$E$14:$E$349),0)</f>
        <v/>
      </c>
      <c r="E137" s="432" t="str">
        <f>IFERROR(_xlfn.XLOOKUP(E134,Flts!$I$14:$I$349,Flts!$E$14:$E$349),0)</f>
        <v/>
      </c>
      <c r="F137" s="432" t="str">
        <f>IFERROR(_xlfn.XLOOKUP(F134,Flts!$I$14:$I$349,Flts!$E$14:$E$349),0)</f>
        <v/>
      </c>
      <c r="G137" s="432" t="str">
        <f>IFERROR(_xlfn.XLOOKUP(G134,Flts!$I$14:$I$349,Flts!$E$14:$E$349),0)</f>
        <v/>
      </c>
      <c r="H137" s="433"/>
      <c r="I137" s="432"/>
      <c r="J137" s="366"/>
      <c r="K137" s="741"/>
      <c r="L137" s="438">
        <f>IFERROR(_xlfn.XLOOKUP(L134,Flts!$I$14:$I$349,Flts!$E$14:$E$349),0)</f>
        <v>0</v>
      </c>
      <c r="M137" s="432">
        <f>IFERROR(_xlfn.XLOOKUP(M134,Flts!$I$14:$I$349,Flts!$E$14:$E$349),0)</f>
        <v>0</v>
      </c>
      <c r="N137" s="432">
        <f>IFERROR(_xlfn.XLOOKUP(N134,Flts!$I$14:$I$349,Flts!$E$14:$E$349),0)</f>
        <v>0</v>
      </c>
      <c r="O137" s="432">
        <f>IFERROR(_xlfn.XLOOKUP(O134,Flts!$I$14:$I$349,Flts!$E$14:$E$349),0)</f>
        <v>0</v>
      </c>
      <c r="P137" s="432">
        <f>IFERROR(_xlfn.XLOOKUP(P134,Flts!$I$14:$I$349,Flts!$E$14:$E$349),0)</f>
        <v>0</v>
      </c>
      <c r="Q137" s="433"/>
      <c r="R137" s="432"/>
      <c r="S137" s="286"/>
      <c r="T137" s="366"/>
    </row>
    <row r="138" spans="1:20" s="101" customFormat="1" ht="30" customHeight="1" x14ac:dyDescent="0.3">
      <c r="B138" s="977">
        <f>IF(C138&lt;&gt;0,B134+1,0)</f>
        <v>22</v>
      </c>
      <c r="C138" s="973">
        <f t="shared" ref="C138:I138" si="46">IF(MONTH(C130+14)=MONTH(C130), C130+14, 0)</f>
        <v>46167</v>
      </c>
      <c r="D138" s="973">
        <f t="shared" si="46"/>
        <v>46168</v>
      </c>
      <c r="E138" s="973">
        <f t="shared" si="46"/>
        <v>46169</v>
      </c>
      <c r="F138" s="973">
        <f t="shared" si="46"/>
        <v>46170</v>
      </c>
      <c r="G138" s="973">
        <f t="shared" si="46"/>
        <v>46171</v>
      </c>
      <c r="H138" s="974">
        <f t="shared" si="46"/>
        <v>46172</v>
      </c>
      <c r="I138" s="974">
        <f t="shared" si="46"/>
        <v>46173</v>
      </c>
      <c r="J138" s="15"/>
      <c r="K138" s="977">
        <f>IF(L138&lt;&gt;0,K134+1,0)</f>
        <v>27</v>
      </c>
      <c r="L138" s="973">
        <f t="shared" ref="L138:R138" si="47">IF(MONTH(L130+14)=MONTH(L130), L130+14, 0)</f>
        <v>46202</v>
      </c>
      <c r="M138" s="973">
        <f t="shared" si="47"/>
        <v>46203</v>
      </c>
      <c r="N138" s="973">
        <f t="shared" si="47"/>
        <v>0</v>
      </c>
      <c r="O138" s="973">
        <f t="shared" si="47"/>
        <v>0</v>
      </c>
      <c r="P138" s="973">
        <f t="shared" si="47"/>
        <v>0</v>
      </c>
      <c r="Q138" s="974">
        <f t="shared" si="47"/>
        <v>0</v>
      </c>
      <c r="R138" s="974">
        <f t="shared" si="47"/>
        <v>0</v>
      </c>
      <c r="T138" s="15"/>
    </row>
    <row r="139" spans="1:20" s="101" customFormat="1" ht="30" customHeight="1" x14ac:dyDescent="0.3">
      <c r="B139" s="741"/>
      <c r="C139" s="439">
        <f>IFERROR(_xlfn.XLOOKUP(C138,Flts!$I$14:$I$349,Flts!$C$14:$C$349),0)</f>
        <v>0</v>
      </c>
      <c r="D139" s="428">
        <f>IFERROR(_xlfn.XLOOKUP(D138,Flts!$I$14:$I$349,Flts!$C$14:$C$349),0)</f>
        <v>0</v>
      </c>
      <c r="E139" s="428">
        <f>IFERROR(_xlfn.XLOOKUP(E138,Flts!$I$14:$I$349,Flts!$C$14:$C$349),0)</f>
        <v>0</v>
      </c>
      <c r="F139" s="428">
        <f>IFERROR(_xlfn.XLOOKUP(F138,Flts!$I$14:$I$349,Flts!$C$14:$C$349),0)</f>
        <v>0</v>
      </c>
      <c r="G139" s="428">
        <f>IFERROR(_xlfn.XLOOKUP(G138,Flts!$I$14:$I$349,Flts!$C$14:$C$349),0)</f>
        <v>0</v>
      </c>
      <c r="H139" s="428">
        <f>IFERROR(_xlfn.XLOOKUP(H138,Flts!$I$14:$I$349,Flts!$C$14:$C$349),0)</f>
        <v>0</v>
      </c>
      <c r="I139" s="428">
        <f>IFERROR(_xlfn.XLOOKUP(I138,Flts!$I$14:$I$349,Flts!$C$14:$C$349),0)</f>
        <v>0</v>
      </c>
      <c r="J139" s="138"/>
      <c r="K139" s="741"/>
      <c r="L139" s="439">
        <f>IFERROR(_xlfn.XLOOKUP(L138,Flts!$I$14:$I$349,Flts!$C$14:$C$349),0)</f>
        <v>0</v>
      </c>
      <c r="M139" s="428">
        <f>IFERROR(_xlfn.XLOOKUP(M138,Flts!$I$14:$I$349,Flts!$C$14:$C$349),0)</f>
        <v>0</v>
      </c>
      <c r="N139" s="428">
        <f>IFERROR(_xlfn.XLOOKUP(N138,Flts!$I$14:$I$349,Flts!$C$14:$C$349),0)</f>
        <v>0</v>
      </c>
      <c r="O139" s="428">
        <f>IFERROR(_xlfn.XLOOKUP(O138,Flts!$I$14:$I$349,Flts!$C$14:$C$349),0)</f>
        <v>0</v>
      </c>
      <c r="P139" s="428">
        <f>IFERROR(_xlfn.XLOOKUP(P138,Flts!$I$14:$I$349,Flts!$C$14:$C$349),0)</f>
        <v>0</v>
      </c>
      <c r="Q139" s="428">
        <f>IFERROR(_xlfn.XLOOKUP(Q138,Flts!$I$14:$I$349,Flts!$C$14:$C$349),0)</f>
        <v>0</v>
      </c>
      <c r="R139" s="428">
        <f>IFERROR(_xlfn.XLOOKUP(R138,Flts!$I$14:$I$349,Flts!$C$14:$C$349),0)</f>
        <v>0</v>
      </c>
      <c r="T139" s="15"/>
    </row>
    <row r="140" spans="1:20" ht="30" customHeight="1" x14ac:dyDescent="0.3">
      <c r="B140" s="741"/>
      <c r="C140" s="440">
        <f>IFERROR(_xlfn.XLOOKUP(C138,Flts!$I$14:$I$349,Flts!$D$14:$D$349),0)</f>
        <v>0</v>
      </c>
      <c r="D140" s="430">
        <f>IFERROR(_xlfn.XLOOKUP(D138,Flts!$I$14:$I$349,Flts!$D$14:$D$349),0)</f>
        <v>0</v>
      </c>
      <c r="E140" s="430">
        <f>IFERROR(_xlfn.XLOOKUP(E138,Flts!$I$14:$I$349,Flts!$D$14:$D$349),0)</f>
        <v>0</v>
      </c>
      <c r="F140" s="430">
        <f>IFERROR(_xlfn.XLOOKUP(F138,Flts!$I$14:$I$349,Flts!$D$14:$D$349),0)</f>
        <v>0</v>
      </c>
      <c r="G140" s="430">
        <f>IFERROR(_xlfn.XLOOKUP(G138,Flts!$I$14:$I$349,Flts!$D$14:$D$349),0)</f>
        <v>0</v>
      </c>
      <c r="H140" s="430">
        <f>IFERROR(_xlfn.XLOOKUP(H138,Flts!$I$14:$I$349,Flts!$D$14:$D$349),0)</f>
        <v>0</v>
      </c>
      <c r="I140" s="430">
        <f>IFERROR(_xlfn.XLOOKUP(I138,Flts!$I$14:$I$349,Flts!$D$14:$D$349),0)</f>
        <v>0</v>
      </c>
      <c r="J140" s="421"/>
      <c r="K140" s="741"/>
      <c r="L140" s="440">
        <f>IFERROR(_xlfn.XLOOKUP(L138,Flts!$I$14:$I$349,Flts!$D$14:$D$349),0)</f>
        <v>0</v>
      </c>
      <c r="M140" s="430">
        <f>IFERROR(_xlfn.XLOOKUP(M138,Flts!$I$14:$I$349,Flts!$D$14:$D$349),0)</f>
        <v>0</v>
      </c>
      <c r="N140" s="430">
        <f>IFERROR(_xlfn.XLOOKUP(N138,Flts!$I$14:$I$349,Flts!$D$14:$D$349),0)</f>
        <v>0</v>
      </c>
      <c r="O140" s="430">
        <f>IFERROR(_xlfn.XLOOKUP(O138,Flts!$I$14:$I$349,Flts!$D$14:$D$349),0)</f>
        <v>0</v>
      </c>
      <c r="P140" s="430">
        <f>IFERROR(_xlfn.XLOOKUP(P138,Flts!$I$14:$I$349,Flts!$D$14:$D$349),0)</f>
        <v>0</v>
      </c>
      <c r="Q140" s="430">
        <f>IFERROR(_xlfn.XLOOKUP(Q138,Flts!$I$14:$I$349,Flts!$D$14:$D$349),0)</f>
        <v>0</v>
      </c>
      <c r="R140" s="430">
        <f>IFERROR(_xlfn.XLOOKUP(R138,Flts!$I$14:$I$349,Flts!$D$14:$D$349),0)</f>
        <v>0</v>
      </c>
      <c r="T140" s="265"/>
    </row>
    <row r="141" spans="1:20" s="409" customFormat="1" ht="30" customHeight="1" x14ac:dyDescent="0.3">
      <c r="A141" s="286"/>
      <c r="B141" s="741"/>
      <c r="C141" s="438" t="str">
        <f>IFERROR(_xlfn.XLOOKUP(C138,Flts!$I$14:$I$349,Flts!$E$14:$E$349),0)</f>
        <v/>
      </c>
      <c r="D141" s="432" t="str">
        <f>IFERROR(_xlfn.XLOOKUP(D138,Flts!$I$14:$I$349,Flts!$E$14:$E$349),0)</f>
        <v/>
      </c>
      <c r="E141" s="432" t="str">
        <f>IFERROR(_xlfn.XLOOKUP(E138,Flts!$I$14:$I$349,Flts!$E$14:$E$349),0)</f>
        <v/>
      </c>
      <c r="F141" s="432" t="str">
        <f>IFERROR(_xlfn.XLOOKUP(F138,Flts!$I$14:$I$349,Flts!$E$14:$E$349),0)</f>
        <v/>
      </c>
      <c r="G141" s="432" t="str">
        <f>IFERROR(_xlfn.XLOOKUP(G138,Flts!$I$14:$I$349,Flts!$E$14:$E$349),0)</f>
        <v/>
      </c>
      <c r="H141" s="433"/>
      <c r="I141" s="432"/>
      <c r="J141" s="366"/>
      <c r="K141" s="741"/>
      <c r="L141" s="438">
        <f>IFERROR(_xlfn.XLOOKUP(L138,Flts!$I$14:$I$349,Flts!$E$14:$E$349),0)</f>
        <v>0</v>
      </c>
      <c r="M141" s="432">
        <f>IFERROR(_xlfn.XLOOKUP(M138,Flts!$I$14:$I$349,Flts!$E$14:$E$349),0)</f>
        <v>0</v>
      </c>
      <c r="N141" s="432">
        <f>IFERROR(_xlfn.XLOOKUP(N138,Flts!$I$14:$I$349,Flts!$E$14:$E$349),0)</f>
        <v>0</v>
      </c>
      <c r="O141" s="432">
        <f>IFERROR(_xlfn.XLOOKUP(O138,Flts!$I$14:$I$349,Flts!$E$14:$E$349),0)</f>
        <v>0</v>
      </c>
      <c r="P141" s="432">
        <f>IFERROR(_xlfn.XLOOKUP(P138,Flts!$I$14:$I$349,Flts!$E$14:$E$349),0)</f>
        <v>0</v>
      </c>
      <c r="Q141" s="433"/>
      <c r="R141" s="432"/>
      <c r="S141" s="286"/>
      <c r="T141" s="366"/>
    </row>
    <row r="142" spans="1:20" s="101" customFormat="1" ht="30" customHeight="1" x14ac:dyDescent="0.3">
      <c r="B142" s="977">
        <f>IF(C142&lt;&gt;0,B138+1,0)</f>
        <v>0</v>
      </c>
      <c r="C142" s="973">
        <f t="shared" ref="C142:I142" si="48">IF(MONTH(C134+14)=MONTH(C134), C134+14, 0)</f>
        <v>0</v>
      </c>
      <c r="D142" s="973">
        <f t="shared" si="48"/>
        <v>0</v>
      </c>
      <c r="E142" s="973">
        <f t="shared" si="48"/>
        <v>0</v>
      </c>
      <c r="F142" s="973">
        <f t="shared" si="48"/>
        <v>0</v>
      </c>
      <c r="G142" s="973">
        <f t="shared" si="48"/>
        <v>0</v>
      </c>
      <c r="H142" s="974">
        <f t="shared" si="48"/>
        <v>0</v>
      </c>
      <c r="I142" s="974">
        <f t="shared" si="48"/>
        <v>0</v>
      </c>
      <c r="J142" s="15"/>
      <c r="K142" s="977">
        <f>IF(L142&lt;&gt;0,K138+1,0)</f>
        <v>0</v>
      </c>
      <c r="L142" s="973">
        <f t="shared" ref="L142:R142" si="49">IF(MONTH(L134+14)=MONTH(L134), L134+14, 0)</f>
        <v>0</v>
      </c>
      <c r="M142" s="973">
        <f t="shared" si="49"/>
        <v>0</v>
      </c>
      <c r="N142" s="973">
        <f t="shared" si="49"/>
        <v>0</v>
      </c>
      <c r="O142" s="973">
        <f t="shared" si="49"/>
        <v>0</v>
      </c>
      <c r="P142" s="973">
        <f t="shared" si="49"/>
        <v>0</v>
      </c>
      <c r="Q142" s="974">
        <f t="shared" si="49"/>
        <v>0</v>
      </c>
      <c r="R142" s="974">
        <f t="shared" si="49"/>
        <v>0</v>
      </c>
      <c r="T142" s="15"/>
    </row>
    <row r="143" spans="1:20" s="101" customFormat="1" ht="30" customHeight="1" x14ac:dyDescent="0.3">
      <c r="B143" s="741"/>
      <c r="C143" s="434">
        <f>IFERROR(_xlfn.XLOOKUP(C142,Flts!$I$14:$I$349,Flts!$C$14:$C$349),0)</f>
        <v>0</v>
      </c>
      <c r="D143" s="435">
        <f>IFERROR(_xlfn.XLOOKUP(D142,Flts!$I$14:$I$349,Flts!$C$14:$C$349),0)</f>
        <v>0</v>
      </c>
      <c r="E143" s="435">
        <f>IFERROR(_xlfn.XLOOKUP(E142,Flts!$I$14:$I$349,Flts!$C$14:$C$349),0)</f>
        <v>0</v>
      </c>
      <c r="F143" s="435">
        <f>IFERROR(_xlfn.XLOOKUP(F142,Flts!$I$14:$I$349,Flts!$C$14:$C$349),0)</f>
        <v>0</v>
      </c>
      <c r="G143" s="435">
        <f>IFERROR(_xlfn.XLOOKUP(G142,Flts!$I$14:$I$349,Flts!$C$14:$C$349),0)</f>
        <v>0</v>
      </c>
      <c r="H143" s="435">
        <f>IFERROR(_xlfn.XLOOKUP(H142,Flts!$I$14:$I$349,Flts!$C$14:$C$349),0)</f>
        <v>0</v>
      </c>
      <c r="I143" s="435">
        <f>IFERROR(_xlfn.XLOOKUP(I142,Flts!$I$14:$I$349,Flts!$C$14:$C$349),0)</f>
        <v>0</v>
      </c>
      <c r="J143" s="15"/>
      <c r="K143" s="741"/>
      <c r="L143" s="434">
        <f>IFERROR(_xlfn.XLOOKUP(L142,Flts!$I$14:$I$349,Flts!$C$14:$C$349),0)</f>
        <v>0</v>
      </c>
      <c r="M143" s="435">
        <f>IFERROR(_xlfn.XLOOKUP(M142,Flts!$I$14:$I$349,Flts!$C$14:$C$349),0)</f>
        <v>0</v>
      </c>
      <c r="N143" s="435">
        <f>IFERROR(_xlfn.XLOOKUP(N142,Flts!$I$14:$I$349,Flts!$C$14:$C$349),0)</f>
        <v>0</v>
      </c>
      <c r="O143" s="435">
        <f>IFERROR(_xlfn.XLOOKUP(O142,Flts!$I$14:$I$349,Flts!$C$14:$C$349),0)</f>
        <v>0</v>
      </c>
      <c r="P143" s="435">
        <f>IFERROR(_xlfn.XLOOKUP(P142,Flts!$I$14:$I$349,Flts!$C$14:$C$349),0)</f>
        <v>0</v>
      </c>
      <c r="Q143" s="435">
        <f>IFERROR(_xlfn.XLOOKUP(Q142,Flts!$I$14:$I$349,Flts!$C$14:$C$349),0)</f>
        <v>0</v>
      </c>
      <c r="R143" s="435">
        <f>IFERROR(_xlfn.XLOOKUP(R142,Flts!$I$14:$I$349,Flts!$C$14:$C$349),0)</f>
        <v>0</v>
      </c>
      <c r="T143" s="15"/>
    </row>
    <row r="144" spans="1:20" ht="30" customHeight="1" x14ac:dyDescent="0.3">
      <c r="B144" s="741"/>
      <c r="C144" s="436">
        <f>IFERROR(_xlfn.XLOOKUP(C142,Flts!$I$14:$I$349,Flts!$D$14:$D$349),0)</f>
        <v>0</v>
      </c>
      <c r="D144" s="437">
        <f>IFERROR(_xlfn.XLOOKUP(D142,Flts!$I$14:$I$349,Flts!$D$14:$D$349),0)</f>
        <v>0</v>
      </c>
      <c r="E144" s="437">
        <f>IFERROR(_xlfn.XLOOKUP(E142,Flts!$I$14:$I$349,Flts!$D$14:$D$349),0)</f>
        <v>0</v>
      </c>
      <c r="F144" s="437">
        <f>IFERROR(_xlfn.XLOOKUP(F142,Flts!$I$14:$I$349,Flts!$D$14:$D$349),0)</f>
        <v>0</v>
      </c>
      <c r="G144" s="437">
        <f>IFERROR(_xlfn.XLOOKUP(G142,Flts!$I$14:$I$349,Flts!$D$14:$D$349),0)</f>
        <v>0</v>
      </c>
      <c r="H144" s="437">
        <f>IFERROR(_xlfn.XLOOKUP(H142,Flts!$I$14:$I$349,Flts!$D$14:$D$349),0)</f>
        <v>0</v>
      </c>
      <c r="I144" s="437">
        <f>IFERROR(_xlfn.XLOOKUP(I142,Flts!$I$14:$I$349,Flts!$D$14:$D$349),0)</f>
        <v>0</v>
      </c>
      <c r="J144" s="265"/>
      <c r="K144" s="741"/>
      <c r="L144" s="436">
        <f>IFERROR(_xlfn.XLOOKUP(L142,Flts!$I$14:$I$349,Flts!$D$14:$D$349),0)</f>
        <v>0</v>
      </c>
      <c r="M144" s="437">
        <f>IFERROR(_xlfn.XLOOKUP(M142,Flts!$I$14:$I$349,Flts!$D$14:$D$349),0)</f>
        <v>0</v>
      </c>
      <c r="N144" s="437">
        <f>IFERROR(_xlfn.XLOOKUP(N142,Flts!$I$14:$I$349,Flts!$D$14:$D$349),0)</f>
        <v>0</v>
      </c>
      <c r="O144" s="437">
        <f>IFERROR(_xlfn.XLOOKUP(O142,Flts!$I$14:$I$349,Flts!$D$14:$D$349),0)</f>
        <v>0</v>
      </c>
      <c r="P144" s="437">
        <f>IFERROR(_xlfn.XLOOKUP(P142,Flts!$I$14:$I$349,Flts!$D$14:$D$349),0)</f>
        <v>0</v>
      </c>
      <c r="Q144" s="437">
        <f>IFERROR(_xlfn.XLOOKUP(Q142,Flts!$I$14:$I$349,Flts!$D$14:$D$349),0)</f>
        <v>0</v>
      </c>
      <c r="R144" s="437">
        <f>IFERROR(_xlfn.XLOOKUP(R142,Flts!$I$14:$I$349,Flts!$D$14:$D$349),0)</f>
        <v>0</v>
      </c>
      <c r="T144" s="265"/>
    </row>
    <row r="145" spans="1:20" s="409" customFormat="1" ht="30" customHeight="1" x14ac:dyDescent="0.3">
      <c r="A145" s="286"/>
      <c r="B145" s="741"/>
      <c r="C145" s="438">
        <f>IFERROR(_xlfn.XLOOKUP(C142,Flts!$I$14:$I$349,Flts!$E$14:$E$349),0)</f>
        <v>0</v>
      </c>
      <c r="D145" s="432">
        <f>IFERROR(_xlfn.XLOOKUP(D142,Flts!$I$14:$I$349,Flts!$E$14:$E$349),0)</f>
        <v>0</v>
      </c>
      <c r="E145" s="432">
        <f>IFERROR(_xlfn.XLOOKUP(E142,Flts!$I$14:$I$349,Flts!$E$14:$E$349),0)</f>
        <v>0</v>
      </c>
      <c r="F145" s="432">
        <f>IFERROR(_xlfn.XLOOKUP(F142,Flts!$I$14:$I$349,Flts!$E$14:$E$349),0)</f>
        <v>0</v>
      </c>
      <c r="G145" s="432">
        <f>IFERROR(_xlfn.XLOOKUP(G142,Flts!$I$14:$I$349,Flts!$E$14:$E$349),0)</f>
        <v>0</v>
      </c>
      <c r="H145" s="433"/>
      <c r="I145" s="432"/>
      <c r="J145" s="366"/>
      <c r="K145" s="741"/>
      <c r="L145" s="438">
        <f>IFERROR(_xlfn.XLOOKUP(L142,Flts!$I$14:$I$349,Flts!$E$14:$E$349),0)</f>
        <v>0</v>
      </c>
      <c r="M145" s="432">
        <f>IFERROR(_xlfn.XLOOKUP(M142,Flts!$I$14:$I$349,Flts!$E$14:$E$349),0)</f>
        <v>0</v>
      </c>
      <c r="N145" s="432">
        <f>IFERROR(_xlfn.XLOOKUP(N142,Flts!$I$14:$I$349,Flts!$E$14:$E$349),0)</f>
        <v>0</v>
      </c>
      <c r="O145" s="432">
        <f>IFERROR(_xlfn.XLOOKUP(O142,Flts!$I$14:$I$349,Flts!$E$14:$E$349),0)</f>
        <v>0</v>
      </c>
      <c r="P145" s="432">
        <f>IFERROR(_xlfn.XLOOKUP(P142,Flts!$I$14:$I$349,Flts!$E$14:$E$349),0)</f>
        <v>0</v>
      </c>
      <c r="Q145" s="433"/>
      <c r="R145" s="432"/>
      <c r="S145" s="286"/>
      <c r="T145" s="366"/>
    </row>
    <row r="146" spans="1:20" s="322" customFormat="1" ht="30" customHeight="1" x14ac:dyDescent="0.3">
      <c r="A146" s="13"/>
      <c r="B146" s="526"/>
      <c r="C146" s="731"/>
      <c r="D146" s="731"/>
      <c r="E146" s="731"/>
      <c r="F146" s="731"/>
      <c r="G146" s="731"/>
      <c r="H146" s="731"/>
      <c r="I146" s="731"/>
      <c r="J146" s="13"/>
      <c r="K146" s="71"/>
      <c r="L146" s="731"/>
      <c r="M146" s="731"/>
      <c r="N146" s="731"/>
      <c r="O146" s="731"/>
      <c r="P146" s="731"/>
      <c r="Q146" s="731"/>
      <c r="R146" s="731"/>
      <c r="S146" s="13"/>
      <c r="T146" s="99"/>
    </row>
  </sheetData>
  <sheetProtection formatCells="0" formatColumns="0" formatRows="0" insertColumns="0" insertRows="0" insertHyperlinks="0" deleteColumns="0" deleteRows="0" sort="0" autoFilter="0" pivotTables="0"/>
  <customSheetViews>
    <customSheetView guid="{BEE73D72-37A1-4B7A-85D2-C39E053A4017}" scale="55" showPageBreaks="1" showGridLines="0" zeroValues="0" fitToPage="1" printArea="1">
      <pane ySplit="1" topLeftCell="A8" activePane="bottomLeft" state="frozen"/>
      <selection pane="bottomLeft" activeCell="F32" sqref="F32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42" fitToHeight="0" orientation="landscape" r:id="rId1"/>
    </customSheetView>
    <customSheetView guid="{81A05B8F-D3E4-4CEB-B8F2-C34A1F15FDB9}" scale="55" showGridLines="0" zeroValues="0" fitToPage="1">
      <pane ySplit="1.4444444444444444" topLeftCell="A8" activePane="bottomLeft" state="frozen"/>
      <selection pane="bottomLeft" activeCell="F32" sqref="F32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42" fitToHeight="0" orientation="landscape" r:id="rId2"/>
    </customSheetView>
    <customSheetView guid="{079ED3F8-D23E-413F-B7FA-1C4A43A9CEAB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3"/>
    </customSheetView>
    <customSheetView guid="{BBFF7A3C-7579-4BB0-AAA9-66CE11DC0C92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4"/>
    </customSheetView>
    <customSheetView guid="{386B8780-5573-460C-A780-6C59BEFB4DBF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5"/>
    </customSheetView>
    <customSheetView guid="{748451F5-A0F3-420F-846E-9497A6A574EF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6"/>
    </customSheetView>
  </customSheetViews>
  <mergeCells count="10">
    <mergeCell ref="C91:H91"/>
    <mergeCell ref="L91:Q91"/>
    <mergeCell ref="C120:H120"/>
    <mergeCell ref="L120:Q120"/>
    <mergeCell ref="C4:H4"/>
    <mergeCell ref="L4:Q4"/>
    <mergeCell ref="C33:H33"/>
    <mergeCell ref="L33:Q33"/>
    <mergeCell ref="C62:H62"/>
    <mergeCell ref="L62:Q62"/>
  </mergeCells>
  <conditionalFormatting sqref="B6:I6 K6:R6">
    <cfRule type="expression" dxfId="74" priority="44">
      <formula>B$6=0</formula>
    </cfRule>
  </conditionalFormatting>
  <conditionalFormatting sqref="B7:I9 K7:R9">
    <cfRule type="expression" dxfId="73" priority="43">
      <formula>B$6=0</formula>
    </cfRule>
  </conditionalFormatting>
  <conditionalFormatting sqref="B22:I25">
    <cfRule type="expression" dxfId="72" priority="37">
      <formula>B$22=0</formula>
    </cfRule>
  </conditionalFormatting>
  <conditionalFormatting sqref="B26:I29">
    <cfRule type="expression" dxfId="71" priority="36">
      <formula>B$26=0</formula>
    </cfRule>
  </conditionalFormatting>
  <conditionalFormatting sqref="B35:I35 K35:R35">
    <cfRule type="expression" dxfId="70" priority="35">
      <formula>B$35=0</formula>
    </cfRule>
  </conditionalFormatting>
  <conditionalFormatting sqref="B36:I38 K36:R38">
    <cfRule type="expression" dxfId="69" priority="32">
      <formula>B$35=0</formula>
    </cfRule>
  </conditionalFormatting>
  <conditionalFormatting sqref="B51:I51 K51:R51">
    <cfRule type="expression" dxfId="68" priority="34">
      <formula>B$51=0</formula>
    </cfRule>
  </conditionalFormatting>
  <conditionalFormatting sqref="B52:I54 K52:R54">
    <cfRule type="expression" dxfId="67" priority="31">
      <formula>B$51=0</formula>
    </cfRule>
  </conditionalFormatting>
  <conditionalFormatting sqref="B55:I55 K55:R55">
    <cfRule type="expression" dxfId="66" priority="33">
      <formula>B$55=0</formula>
    </cfRule>
  </conditionalFormatting>
  <conditionalFormatting sqref="B56:I58 K56:R58">
    <cfRule type="expression" dxfId="65" priority="30">
      <formula>B$55=0</formula>
    </cfRule>
  </conditionalFormatting>
  <conditionalFormatting sqref="B64:I64 K64:R64">
    <cfRule type="expression" dxfId="64" priority="24">
      <formula>B$64=0</formula>
    </cfRule>
  </conditionalFormatting>
  <conditionalFormatting sqref="B65:I67 K65:R67">
    <cfRule type="expression" dxfId="63" priority="21">
      <formula>B$64=0</formula>
    </cfRule>
  </conditionalFormatting>
  <conditionalFormatting sqref="B80:I80 K80:R80">
    <cfRule type="expression" dxfId="62" priority="23">
      <formula>B$80=0</formula>
    </cfRule>
  </conditionalFormatting>
  <conditionalFormatting sqref="B81:I83 K81:R83">
    <cfRule type="expression" dxfId="61" priority="20">
      <formula>B$80=0</formula>
    </cfRule>
  </conditionalFormatting>
  <conditionalFormatting sqref="B84:I84 K84:R84">
    <cfRule type="expression" dxfId="60" priority="22">
      <formula>B$84=0</formula>
    </cfRule>
  </conditionalFormatting>
  <conditionalFormatting sqref="B85:I87 K85:R87">
    <cfRule type="expression" dxfId="59" priority="19">
      <formula>B$84=0</formula>
    </cfRule>
  </conditionalFormatting>
  <conditionalFormatting sqref="B93:I93 K93:R93">
    <cfRule type="expression" dxfId="58" priority="18">
      <formula>B$93=0</formula>
    </cfRule>
  </conditionalFormatting>
  <conditionalFormatting sqref="B94:I96 K94:R96">
    <cfRule type="expression" dxfId="57" priority="15">
      <formula>B$93=0</formula>
    </cfRule>
  </conditionalFormatting>
  <conditionalFormatting sqref="B109:I109 K109:R109">
    <cfRule type="expression" dxfId="56" priority="17">
      <formula>B$109=0</formula>
    </cfRule>
  </conditionalFormatting>
  <conditionalFormatting sqref="B110:I112 K110:R112">
    <cfRule type="expression" dxfId="55" priority="14">
      <formula>B$109=0</formula>
    </cfRule>
  </conditionalFormatting>
  <conditionalFormatting sqref="B113:I113 K113:R113">
    <cfRule type="expression" dxfId="54" priority="16">
      <formula>B$113=0</formula>
    </cfRule>
  </conditionalFormatting>
  <conditionalFormatting sqref="B114:I116 K114:R116">
    <cfRule type="expression" dxfId="53" priority="13">
      <formula>B$113=0</formula>
    </cfRule>
  </conditionalFormatting>
  <conditionalFormatting sqref="B122:I122 K122:R122">
    <cfRule type="expression" dxfId="52" priority="12">
      <formula>B$122=0</formula>
    </cfRule>
  </conditionalFormatting>
  <conditionalFormatting sqref="B123:I125 K123:R125">
    <cfRule type="expression" dxfId="51" priority="11">
      <formula>B$122=0</formula>
    </cfRule>
  </conditionalFormatting>
  <conditionalFormatting sqref="B138:I138 K138:R138">
    <cfRule type="expression" dxfId="50" priority="10">
      <formula>B$138=0</formula>
    </cfRule>
  </conditionalFormatting>
  <conditionalFormatting sqref="B139:I141 K139:R141">
    <cfRule type="expression" dxfId="49" priority="9">
      <formula>B$138=0</formula>
    </cfRule>
  </conditionalFormatting>
  <conditionalFormatting sqref="B142:I142 K142:R142">
    <cfRule type="expression" dxfId="48" priority="8">
      <formula>B$142=0</formula>
    </cfRule>
  </conditionalFormatting>
  <conditionalFormatting sqref="B143:I145 K143:R145">
    <cfRule type="expression" dxfId="47" priority="7">
      <formula>B$142=0</formula>
    </cfRule>
  </conditionalFormatting>
  <conditionalFormatting sqref="C9:I9 L9:R9 C13:I13 C17:I17 L17:R17 C21:I21 L21:R21 C25:I25 L25:R25 C29:I29 L29:R29 C38:I38 L38:R38 C42:I42 L42:R42 C46:I46 L46:R46 C50:I50 L50:R50 C54:I54 L54:R54 C58:I58 L58:R58">
    <cfRule type="cellIs" dxfId="46" priority="27" operator="notEqual">
      <formula>0</formula>
    </cfRule>
  </conditionalFormatting>
  <conditionalFormatting sqref="C65:I65 L65:R65 C81:I81 L81:R81 C85:I85 L85:R85 C94:I94 L94:R94 C110:I110 L110:R110 C114:I114 L114:R114 C123:I123 L123:R123 C139:I139 L139:R139 C143:I143 L143:R143 C7:I7 L7:R7 C11:I11 L11:R11 C15:I15 L15:R15 C19:I19 L19:R19 C23:I23 L23:R23 C27:I27 L27:R27 C36:I36 L36:R36 C40:I40 L40:R40 C44:I44 L44:R44 C48:I48 L48:R48 C52:I52 L52:R52 C56:I56 L56:R56 C69:I69 L69:R69 C73:I73 L73:R73 C77:I77 L77:R77 C98:I98 L98:R98 C102:I102 L102:R102 C106:I106 L106:R106 C127:I127 L127:R127 C131:I131 L131:R131 C135:I135 L135:R135">
    <cfRule type="cellIs" dxfId="45" priority="29" operator="notEqual">
      <formula>0</formula>
    </cfRule>
  </conditionalFormatting>
  <conditionalFormatting sqref="C66:I66 L66:R66 C82:I82 L82:R82 C86:I86 L86:R86 C95:I95 L95:R95 C111:I111 L111:R111 C115:I115 L115:R115 C124:I124 L124:R124 C140:I140 L140:R140 C144:I144 L144:R144 C8:I8 L8:R8 C12:I12 L12:R12 C16:I16 L16:R16 C20:I20 L20:R20 C24:I24 L24:R24 C28:I28 L28:R28 C37:I37 L37:R37 C41:I41 L41:R41 C45:I45 L45:R45 C49:I49 L49:R49 C53:I53 L53:R53 C57:I57 L57:R57 C70:I70 L70:R70 C74:I74 L74:R74 C78:I78 L78:R78 C99:I99 L99:R99 C103:I103 L103:R103 C107:I107 L107:R107 C128:I128 L128:R128 C132:I132 L132:R132 C136:I136 L136:R136">
    <cfRule type="cellIs" dxfId="44" priority="28" operator="notEqual">
      <formula>0</formula>
    </cfRule>
  </conditionalFormatting>
  <conditionalFormatting sqref="C67:I67 L67:R67 C83:I83 L83:R83 C87:I87 L87:R87 C96:I96 C112:I112 C116:I116 C71:I71 L71:R71 C75:I75 L75:R75 C79:I79 L79:R79 C100:I100 C104:I104 C108:I108">
    <cfRule type="cellIs" dxfId="43" priority="26" operator="notEqual">
      <formula>0</formula>
    </cfRule>
  </conditionalFormatting>
  <conditionalFormatting sqref="K22:R25">
    <cfRule type="expression" dxfId="42" priority="39">
      <formula>K$22=0</formula>
    </cfRule>
  </conditionalFormatting>
  <conditionalFormatting sqref="K26:R29">
    <cfRule type="expression" dxfId="41" priority="38">
      <formula>K$26=0</formula>
    </cfRule>
  </conditionalFormatting>
  <conditionalFormatting sqref="L96:R96 L112:R112 L116:R116 C125:I125 L125:R125 C141:I141 L141:R141 C145:I145 L145:R145 L100:R100 L104:R104 L108:R108 C129:I129 L129:R129 C133:I133 L133:R133 C137:I137 L137:R137">
    <cfRule type="cellIs" dxfId="40" priority="25" operator="notEqual">
      <formula>0</formula>
    </cfRule>
  </conditionalFormatting>
  <dataValidations disablePrompts="1" count="1">
    <dataValidation allowBlank="1" showInputMessage="1" showErrorMessage="1" errorTitle="Año no válido" error="Escriba un año entre 1900 y 9999 o use la barra de desplazamiento para encontrar un año." sqref="I4 R33 I33 R62 I62 R91 I91 R120 I120 R4" xr:uid="{00000000-0002-0000-0600-000000000000}"/>
  </dataValidations>
  <printOptions horizontalCentered="1"/>
  <pageMargins left="0.39370078740157483" right="0.39370078740157483" top="0.59055118110236227" bottom="0.39370078740157483" header="0.39370078740157483" footer="0.39370078740157483"/>
  <pageSetup paperSize="9" scale="50" fitToHeight="0" orientation="landscape" r:id="rId7"/>
  <rowBreaks count="4" manualBreakCount="4">
    <brk id="30" max="18" man="1"/>
    <brk id="59" max="18" man="1"/>
    <brk id="88" max="18" man="1"/>
    <brk id="117" max="18" man="1"/>
  </rowBreaks>
  <ignoredErrors>
    <ignoredError sqref="B4" numberStoredAsText="1"/>
    <ignoredError sqref="B26 B22 B18 B14 B6 K6:K10 K11:K29 K122 K126:K142 B122:B142 K93:K113 B93:B113 K64:K84 B64:B84 K35:K55 B35:B55 B10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>
    <tabColor theme="8" tint="0.79998168889431442"/>
    <pageSetUpPr autoPageBreaks="0" fitToPage="1"/>
  </sheetPr>
  <dimension ref="A1:Q37"/>
  <sheetViews>
    <sheetView showGridLines="0" showZeros="0" view="pageBreakPreview" zoomScale="70" zoomScaleNormal="70" zoomScaleSheetLayoutView="70" workbookViewId="0">
      <pane ySplit="3" topLeftCell="A4" activePane="bottomLeft" state="frozen"/>
      <selection pane="bottomLeft" activeCell="D12" sqref="D12"/>
    </sheetView>
  </sheetViews>
  <sheetFormatPr baseColWidth="10" defaultColWidth="11.5546875" defaultRowHeight="15.6" x14ac:dyDescent="0.3"/>
  <cols>
    <col min="1" max="1" width="2.77734375" style="1" customWidth="1"/>
    <col min="2" max="3" width="10.21875" style="1" customWidth="1"/>
    <col min="4" max="4" width="29.5546875" style="262" customWidth="1"/>
    <col min="5" max="5" width="20.44140625" style="656" customWidth="1"/>
    <col min="6" max="6" width="14.21875" style="105" customWidth="1"/>
    <col min="7" max="8" width="14.21875" style="656" customWidth="1"/>
    <col min="9" max="9" width="8.77734375" style="260" customWidth="1"/>
    <col min="10" max="10" width="22.44140625" style="260" customWidth="1"/>
    <col min="11" max="11" width="31.77734375" style="262" customWidth="1"/>
    <col min="12" max="12" width="14.21875" style="1" customWidth="1"/>
    <col min="13" max="13" width="2.77734375" style="1" customWidth="1"/>
    <col min="14" max="16384" width="11.5546875" style="1"/>
  </cols>
  <sheetData>
    <row r="1" spans="1:13" ht="24" customHeight="1" thickBot="1" x14ac:dyDescent="0.5">
      <c r="A1" s="515" t="s">
        <v>41</v>
      </c>
      <c r="B1" s="482"/>
      <c r="C1" s="483"/>
      <c r="D1" s="644"/>
      <c r="E1" s="645"/>
      <c r="F1" s="516"/>
      <c r="G1" s="645"/>
      <c r="H1" s="645"/>
      <c r="I1" s="642"/>
      <c r="J1" s="642"/>
      <c r="K1" s="644"/>
      <c r="L1" s="479">
        <f ca="1">FechaHoy</f>
        <v>46099</v>
      </c>
      <c r="M1" s="515"/>
    </row>
    <row r="2" spans="1:13" s="131" customFormat="1" ht="24" customHeight="1" x14ac:dyDescent="0.45">
      <c r="A2" s="448"/>
      <c r="B2" s="225" t="str">
        <f>IModulo&amp;" ("&amp;IProfesor&amp;")"</f>
        <v>FPM-it-1-0237 Infra. comunes de teleco en viviendas y edificios (Rafa Sanz)</v>
      </c>
      <c r="C2" s="1081"/>
      <c r="D2" s="619"/>
      <c r="E2" s="102"/>
      <c r="F2" s="100"/>
      <c r="G2" s="102"/>
      <c r="H2" s="102"/>
      <c r="I2" s="102"/>
      <c r="J2" s="102"/>
      <c r="K2" s="100"/>
      <c r="M2" s="448"/>
    </row>
    <row r="3" spans="1:13" s="7" customFormat="1" ht="16.05" customHeight="1" thickBot="1" x14ac:dyDescent="0.35">
      <c r="B3" s="305" t="s">
        <v>32</v>
      </c>
      <c r="C3" s="306" t="s">
        <v>40</v>
      </c>
      <c r="D3" s="646" t="s">
        <v>14</v>
      </c>
      <c r="E3" s="647" t="s">
        <v>15</v>
      </c>
      <c r="F3" s="306" t="s">
        <v>121</v>
      </c>
      <c r="G3" s="647" t="s">
        <v>240</v>
      </c>
      <c r="H3" s="647" t="s">
        <v>241</v>
      </c>
      <c r="I3" s="647" t="s">
        <v>122</v>
      </c>
      <c r="J3" s="647" t="s">
        <v>221</v>
      </c>
      <c r="K3" s="663" t="s">
        <v>76</v>
      </c>
      <c r="L3" s="647" t="s">
        <v>77</v>
      </c>
    </row>
    <row r="4" spans="1:13" ht="15.6" customHeight="1" x14ac:dyDescent="0.3">
      <c r="B4" s="797" t="str">
        <f>IF(AlEs01="Alta","AN01","")</f>
        <v>AN01</v>
      </c>
      <c r="C4" s="793" t="s">
        <v>176</v>
      </c>
      <c r="D4" s="648" t="s">
        <v>261</v>
      </c>
      <c r="E4" s="649" t="s">
        <v>263</v>
      </c>
      <c r="F4" s="517"/>
      <c r="G4" s="657"/>
      <c r="H4" s="657"/>
      <c r="I4" s="660" t="str">
        <f t="shared" ref="I4:I33" si="0">IF(F4&lt;&gt;"",INT(_xlfn.DAYS(FechaHoy,F4)/365),"")</f>
        <v/>
      </c>
      <c r="J4" s="660"/>
      <c r="K4" s="664"/>
      <c r="L4" s="666"/>
    </row>
    <row r="5" spans="1:13" ht="15.6" customHeight="1" x14ac:dyDescent="0.3">
      <c r="B5" s="797" t="str">
        <f>IF(AlEs02="Alta","AN02","")</f>
        <v>AN02</v>
      </c>
      <c r="C5" s="794" t="s">
        <v>176</v>
      </c>
      <c r="D5" s="648" t="s">
        <v>262</v>
      </c>
      <c r="E5" s="650" t="s">
        <v>264</v>
      </c>
      <c r="F5" s="517"/>
      <c r="G5" s="658"/>
      <c r="H5" s="658"/>
      <c r="I5" s="661" t="str">
        <f t="shared" si="0"/>
        <v/>
      </c>
      <c r="J5" s="661"/>
      <c r="K5" s="664"/>
      <c r="L5" s="666"/>
    </row>
    <row r="6" spans="1:13" ht="15.6" customHeight="1" x14ac:dyDescent="0.3">
      <c r="B6" s="797" t="str">
        <f>IF(AlEs03="Alta","AN03","")</f>
        <v>AN03</v>
      </c>
      <c r="C6" s="794" t="s">
        <v>176</v>
      </c>
      <c r="D6" s="648" t="s">
        <v>265</v>
      </c>
      <c r="E6" s="650" t="s">
        <v>266</v>
      </c>
      <c r="F6" s="517"/>
      <c r="G6" s="658"/>
      <c r="H6" s="658"/>
      <c r="I6" s="661" t="str">
        <f t="shared" si="0"/>
        <v/>
      </c>
      <c r="J6" s="661"/>
      <c r="K6" s="664"/>
      <c r="L6" s="666"/>
    </row>
    <row r="7" spans="1:13" ht="15.6" customHeight="1" x14ac:dyDescent="0.3">
      <c r="B7" s="797" t="str">
        <f>IF(AlEs04="Alta","AN04","")</f>
        <v>AN04</v>
      </c>
      <c r="C7" s="795" t="s">
        <v>176</v>
      </c>
      <c r="D7" s="648" t="s">
        <v>267</v>
      </c>
      <c r="E7" s="650" t="s">
        <v>268</v>
      </c>
      <c r="F7" s="517"/>
      <c r="G7" s="658"/>
      <c r="H7" s="658"/>
      <c r="I7" s="661" t="str">
        <f t="shared" si="0"/>
        <v/>
      </c>
      <c r="J7" s="661"/>
      <c r="K7" s="664"/>
      <c r="L7" s="666"/>
    </row>
    <row r="8" spans="1:13" ht="15.6" customHeight="1" x14ac:dyDescent="0.3">
      <c r="B8" s="798" t="str">
        <f>IF(AlEs05="Alta","AN05","")</f>
        <v>AN05</v>
      </c>
      <c r="C8" s="796" t="s">
        <v>176</v>
      </c>
      <c r="D8" s="651" t="s">
        <v>304</v>
      </c>
      <c r="E8" s="652" t="s">
        <v>305</v>
      </c>
      <c r="F8" s="518"/>
      <c r="G8" s="659"/>
      <c r="H8" s="659"/>
      <c r="I8" s="662" t="str">
        <f t="shared" si="0"/>
        <v/>
      </c>
      <c r="J8" s="662"/>
      <c r="K8" s="665"/>
      <c r="L8" s="665"/>
    </row>
    <row r="9" spans="1:13" ht="15.6" customHeight="1" x14ac:dyDescent="0.3">
      <c r="B9" s="797" t="str">
        <f>IF(AlEs06="Alta","AN06","")</f>
        <v>AN06</v>
      </c>
      <c r="C9" s="795" t="s">
        <v>176</v>
      </c>
      <c r="D9" s="648" t="s">
        <v>374</v>
      </c>
      <c r="E9" s="650" t="s">
        <v>375</v>
      </c>
      <c r="F9" s="517"/>
      <c r="G9" s="658"/>
      <c r="H9" s="658"/>
      <c r="I9" s="661" t="str">
        <f t="shared" si="0"/>
        <v/>
      </c>
      <c r="J9" s="661"/>
      <c r="K9" s="666"/>
      <c r="L9" s="666"/>
    </row>
    <row r="10" spans="1:13" ht="15.6" customHeight="1" x14ac:dyDescent="0.3">
      <c r="B10" s="797" t="str">
        <f>IF(AlEs07="Alta","AN07","")</f>
        <v/>
      </c>
      <c r="C10" s="795"/>
      <c r="D10" s="648"/>
      <c r="E10" s="650"/>
      <c r="F10" s="517"/>
      <c r="G10" s="658"/>
      <c r="H10" s="658"/>
      <c r="I10" s="661" t="str">
        <f t="shared" si="0"/>
        <v/>
      </c>
      <c r="J10" s="661"/>
      <c r="K10" s="666"/>
      <c r="L10" s="666"/>
    </row>
    <row r="11" spans="1:13" ht="15.6" customHeight="1" x14ac:dyDescent="0.3">
      <c r="B11" s="797" t="str">
        <f>IF(AlEs08="Alta","AN08","")</f>
        <v/>
      </c>
      <c r="C11" s="795"/>
      <c r="D11" s="648"/>
      <c r="E11" s="650"/>
      <c r="F11" s="517"/>
      <c r="G11" s="658"/>
      <c r="H11" s="658"/>
      <c r="I11" s="661" t="str">
        <f t="shared" si="0"/>
        <v/>
      </c>
      <c r="J11" s="661"/>
      <c r="K11" s="666"/>
      <c r="L11" s="666"/>
    </row>
    <row r="12" spans="1:13" ht="15.6" customHeight="1" x14ac:dyDescent="0.3">
      <c r="B12" s="797" t="str">
        <f>IF(AlEs09="Alta","AN09","")</f>
        <v/>
      </c>
      <c r="C12" s="795"/>
      <c r="D12" s="648"/>
      <c r="E12" s="650"/>
      <c r="F12" s="517"/>
      <c r="G12" s="658"/>
      <c r="H12" s="658"/>
      <c r="I12" s="661" t="str">
        <f t="shared" si="0"/>
        <v/>
      </c>
      <c r="J12" s="661"/>
      <c r="K12" s="666"/>
      <c r="L12" s="666"/>
    </row>
    <row r="13" spans="1:13" ht="15.6" customHeight="1" x14ac:dyDescent="0.3">
      <c r="B13" s="798" t="str">
        <f>IF(AlEs10="Alta","AN10","")</f>
        <v/>
      </c>
      <c r="C13" s="796"/>
      <c r="D13" s="651"/>
      <c r="E13" s="652"/>
      <c r="F13" s="518"/>
      <c r="G13" s="659"/>
      <c r="H13" s="659"/>
      <c r="I13" s="662" t="str">
        <f t="shared" si="0"/>
        <v/>
      </c>
      <c r="J13" s="662"/>
      <c r="K13" s="665"/>
      <c r="L13" s="665"/>
    </row>
    <row r="14" spans="1:13" ht="15.6" customHeight="1" x14ac:dyDescent="0.3">
      <c r="B14" s="797" t="str">
        <f>IF(AlEs11="Alta","AN11","")</f>
        <v/>
      </c>
      <c r="C14" s="795"/>
      <c r="D14" s="648"/>
      <c r="E14" s="650"/>
      <c r="F14" s="517"/>
      <c r="G14" s="658"/>
      <c r="H14" s="658"/>
      <c r="I14" s="661" t="str">
        <f t="shared" si="0"/>
        <v/>
      </c>
      <c r="J14" s="661"/>
      <c r="K14" s="666"/>
      <c r="L14" s="666"/>
    </row>
    <row r="15" spans="1:13" ht="15.6" customHeight="1" x14ac:dyDescent="0.3">
      <c r="B15" s="797" t="str">
        <f>IF(AlEs12="Alta","AN12","")</f>
        <v/>
      </c>
      <c r="C15" s="795"/>
      <c r="D15" s="648"/>
      <c r="E15" s="650"/>
      <c r="F15" s="517"/>
      <c r="G15" s="658"/>
      <c r="H15" s="658"/>
      <c r="I15" s="661" t="str">
        <f t="shared" si="0"/>
        <v/>
      </c>
      <c r="J15" s="661"/>
      <c r="K15" s="666"/>
      <c r="L15" s="666"/>
    </row>
    <row r="16" spans="1:13" ht="15.6" customHeight="1" x14ac:dyDescent="0.3">
      <c r="B16" s="797" t="str">
        <f>IF(AlEs13="Alta","AN13","")</f>
        <v/>
      </c>
      <c r="C16" s="795"/>
      <c r="D16" s="648"/>
      <c r="E16" s="650"/>
      <c r="F16" s="517"/>
      <c r="G16" s="658"/>
      <c r="H16" s="658"/>
      <c r="I16" s="661" t="str">
        <f t="shared" si="0"/>
        <v/>
      </c>
      <c r="J16" s="661"/>
      <c r="K16" s="666"/>
      <c r="L16" s="666"/>
    </row>
    <row r="17" spans="2:17" ht="15.6" customHeight="1" x14ac:dyDescent="0.3">
      <c r="B17" s="797" t="str">
        <f>IF(AlEs14="Alta","AN14","")</f>
        <v/>
      </c>
      <c r="C17" s="795"/>
      <c r="D17" s="648"/>
      <c r="E17" s="650"/>
      <c r="F17" s="517"/>
      <c r="G17" s="658"/>
      <c r="H17" s="658"/>
      <c r="I17" s="661" t="str">
        <f t="shared" si="0"/>
        <v/>
      </c>
      <c r="J17" s="661"/>
      <c r="K17" s="666"/>
      <c r="L17" s="666"/>
    </row>
    <row r="18" spans="2:17" ht="15.6" customHeight="1" x14ac:dyDescent="0.3">
      <c r="B18" s="798" t="str">
        <f>IF(AlEs15="Alta","AN15","")</f>
        <v/>
      </c>
      <c r="C18" s="796"/>
      <c r="D18" s="651"/>
      <c r="E18" s="652"/>
      <c r="F18" s="518"/>
      <c r="G18" s="659"/>
      <c r="H18" s="659"/>
      <c r="I18" s="662" t="str">
        <f t="shared" si="0"/>
        <v/>
      </c>
      <c r="J18" s="662"/>
      <c r="K18" s="665"/>
      <c r="L18" s="665"/>
    </row>
    <row r="19" spans="2:17" ht="15.6" customHeight="1" x14ac:dyDescent="0.3">
      <c r="B19" s="797" t="str">
        <f>IF(AlEs16="Alta","AN16","")</f>
        <v/>
      </c>
      <c r="C19" s="795"/>
      <c r="D19" s="648"/>
      <c r="E19" s="650"/>
      <c r="F19" s="517"/>
      <c r="G19" s="658"/>
      <c r="H19" s="658"/>
      <c r="I19" s="661" t="str">
        <f t="shared" si="0"/>
        <v/>
      </c>
      <c r="J19" s="661"/>
      <c r="K19" s="666"/>
      <c r="L19" s="666"/>
    </row>
    <row r="20" spans="2:17" ht="15.6" customHeight="1" x14ac:dyDescent="0.3">
      <c r="B20" s="797" t="str">
        <f>IF(AlEs17="Alta","AN17","")</f>
        <v/>
      </c>
      <c r="C20" s="795"/>
      <c r="D20" s="648"/>
      <c r="E20" s="650"/>
      <c r="F20" s="517"/>
      <c r="G20" s="658"/>
      <c r="H20" s="658"/>
      <c r="I20" s="661" t="str">
        <f t="shared" si="0"/>
        <v/>
      </c>
      <c r="J20" s="661"/>
      <c r="K20" s="666"/>
      <c r="L20" s="666"/>
    </row>
    <row r="21" spans="2:17" ht="15.6" customHeight="1" x14ac:dyDescent="0.3">
      <c r="B21" s="797" t="str">
        <f>IF(AlEs18="Alta","AN18","")</f>
        <v/>
      </c>
      <c r="C21" s="795"/>
      <c r="D21" s="648"/>
      <c r="E21" s="650"/>
      <c r="F21" s="517"/>
      <c r="G21" s="658"/>
      <c r="H21" s="658"/>
      <c r="I21" s="661" t="str">
        <f t="shared" si="0"/>
        <v/>
      </c>
      <c r="J21" s="661"/>
      <c r="K21" s="666"/>
      <c r="L21" s="666"/>
    </row>
    <row r="22" spans="2:17" ht="15.6" customHeight="1" x14ac:dyDescent="0.3">
      <c r="B22" s="797" t="str">
        <f>IF(AlEs19="Alta","AN19","")</f>
        <v/>
      </c>
      <c r="C22" s="795"/>
      <c r="D22" s="648"/>
      <c r="E22" s="650"/>
      <c r="F22" s="517"/>
      <c r="G22" s="658"/>
      <c r="H22" s="658"/>
      <c r="I22" s="661" t="str">
        <f t="shared" si="0"/>
        <v/>
      </c>
      <c r="J22" s="661"/>
      <c r="K22" s="666"/>
      <c r="L22" s="666"/>
      <c r="Q22" s="1" t="s">
        <v>145</v>
      </c>
    </row>
    <row r="23" spans="2:17" ht="15.6" customHeight="1" x14ac:dyDescent="0.3">
      <c r="B23" s="798" t="str">
        <f>IF(AlEs20="Alta","AN20","")</f>
        <v/>
      </c>
      <c r="C23" s="796"/>
      <c r="D23" s="651"/>
      <c r="E23" s="652"/>
      <c r="F23" s="391"/>
      <c r="G23" s="659"/>
      <c r="H23" s="659"/>
      <c r="I23" s="662" t="str">
        <f t="shared" si="0"/>
        <v/>
      </c>
      <c r="J23" s="662"/>
      <c r="K23" s="665"/>
      <c r="L23" s="665"/>
    </row>
    <row r="24" spans="2:17" ht="15.6" customHeight="1" x14ac:dyDescent="0.3">
      <c r="B24" s="797" t="str">
        <f>IF(AlEs21="Alta","AN21","")</f>
        <v/>
      </c>
      <c r="C24" s="795"/>
      <c r="D24" s="648"/>
      <c r="E24" s="653"/>
      <c r="F24" s="338"/>
      <c r="G24" s="658"/>
      <c r="H24" s="658"/>
      <c r="I24" s="661" t="str">
        <f t="shared" si="0"/>
        <v/>
      </c>
      <c r="J24" s="661"/>
      <c r="K24" s="666"/>
      <c r="L24" s="666"/>
    </row>
    <row r="25" spans="2:17" ht="15.6" customHeight="1" x14ac:dyDescent="0.3">
      <c r="B25" s="797" t="str">
        <f>IF(AlEs22="Alta","AN22","")</f>
        <v/>
      </c>
      <c r="C25" s="795"/>
      <c r="D25" s="648"/>
      <c r="E25" s="653"/>
      <c r="F25" s="338"/>
      <c r="G25" s="658"/>
      <c r="H25" s="658"/>
      <c r="I25" s="661" t="str">
        <f t="shared" si="0"/>
        <v/>
      </c>
      <c r="J25" s="661"/>
      <c r="K25" s="666"/>
      <c r="L25" s="666"/>
    </row>
    <row r="26" spans="2:17" ht="15.6" customHeight="1" x14ac:dyDescent="0.3">
      <c r="B26" s="797" t="str">
        <f>IF(AlEs23="Alta","AN23","")</f>
        <v/>
      </c>
      <c r="C26" s="795"/>
      <c r="D26" s="648"/>
      <c r="E26" s="653"/>
      <c r="F26" s="338"/>
      <c r="G26" s="658"/>
      <c r="H26" s="658"/>
      <c r="I26" s="661" t="str">
        <f t="shared" si="0"/>
        <v/>
      </c>
      <c r="J26" s="661"/>
      <c r="K26" s="666"/>
      <c r="L26" s="666"/>
    </row>
    <row r="27" spans="2:17" ht="15.6" customHeight="1" x14ac:dyDescent="0.3">
      <c r="B27" s="797" t="str">
        <f>IF(AlEs24="Alta","AN24","")</f>
        <v/>
      </c>
      <c r="C27" s="795"/>
      <c r="D27" s="648"/>
      <c r="E27" s="653"/>
      <c r="F27" s="338"/>
      <c r="G27" s="658"/>
      <c r="H27" s="658"/>
      <c r="I27" s="661" t="str">
        <f t="shared" si="0"/>
        <v/>
      </c>
      <c r="J27" s="661"/>
      <c r="K27" s="666"/>
      <c r="L27" s="666"/>
    </row>
    <row r="28" spans="2:17" ht="15.6" customHeight="1" x14ac:dyDescent="0.3">
      <c r="B28" s="798" t="str">
        <f>IF(AlEs25="Alta","AN25","")</f>
        <v/>
      </c>
      <c r="C28" s="796"/>
      <c r="D28" s="651"/>
      <c r="E28" s="654"/>
      <c r="F28" s="339"/>
      <c r="G28" s="659"/>
      <c r="H28" s="659"/>
      <c r="I28" s="662" t="str">
        <f t="shared" si="0"/>
        <v/>
      </c>
      <c r="J28" s="662"/>
      <c r="K28" s="665"/>
      <c r="L28" s="665"/>
    </row>
    <row r="29" spans="2:17" ht="15.6" customHeight="1" x14ac:dyDescent="0.3">
      <c r="B29" s="797" t="str">
        <f>IF(AlEs26="Alta","AN26","")</f>
        <v/>
      </c>
      <c r="C29" s="795"/>
      <c r="D29" s="648"/>
      <c r="E29" s="653"/>
      <c r="F29" s="338"/>
      <c r="G29" s="658"/>
      <c r="H29" s="658"/>
      <c r="I29" s="661" t="str">
        <f t="shared" si="0"/>
        <v/>
      </c>
      <c r="J29" s="661"/>
      <c r="K29" s="666"/>
      <c r="L29" s="666"/>
    </row>
    <row r="30" spans="2:17" ht="15.6" customHeight="1" x14ac:dyDescent="0.3">
      <c r="B30" s="797" t="str">
        <f>IF(AlEs27="Alta","AN27","")</f>
        <v/>
      </c>
      <c r="C30" s="795"/>
      <c r="D30" s="648"/>
      <c r="E30" s="653"/>
      <c r="F30" s="338"/>
      <c r="G30" s="658"/>
      <c r="H30" s="658"/>
      <c r="I30" s="661" t="str">
        <f t="shared" si="0"/>
        <v/>
      </c>
      <c r="J30" s="661"/>
      <c r="K30" s="666"/>
      <c r="L30" s="666"/>
    </row>
    <row r="31" spans="2:17" ht="15.6" customHeight="1" x14ac:dyDescent="0.3">
      <c r="B31" s="797" t="str">
        <f>IF(AlEs28="Alta","AN28","")</f>
        <v/>
      </c>
      <c r="C31" s="795"/>
      <c r="D31" s="648"/>
      <c r="E31" s="653"/>
      <c r="F31" s="338"/>
      <c r="G31" s="658"/>
      <c r="H31" s="658"/>
      <c r="I31" s="661" t="str">
        <f t="shared" si="0"/>
        <v/>
      </c>
      <c r="J31" s="661"/>
      <c r="K31" s="666"/>
      <c r="L31" s="666"/>
    </row>
    <row r="32" spans="2:17" ht="15.6" customHeight="1" x14ac:dyDescent="0.3">
      <c r="B32" s="797" t="str">
        <f>IF(AlEs29="Alta","AN29","")</f>
        <v/>
      </c>
      <c r="C32" s="795"/>
      <c r="D32" s="648"/>
      <c r="E32" s="653"/>
      <c r="F32" s="338"/>
      <c r="G32" s="658"/>
      <c r="H32" s="658"/>
      <c r="I32" s="661" t="str">
        <f t="shared" si="0"/>
        <v/>
      </c>
      <c r="J32" s="661"/>
      <c r="K32" s="666"/>
      <c r="L32" s="666"/>
    </row>
    <row r="33" spans="1:13" ht="15.6" customHeight="1" x14ac:dyDescent="0.3">
      <c r="B33" s="800" t="str">
        <f>IF(AlEs30="Alta","AN30","")</f>
        <v/>
      </c>
      <c r="C33" s="796"/>
      <c r="D33" s="651"/>
      <c r="E33" s="654"/>
      <c r="F33" s="339"/>
      <c r="G33" s="659"/>
      <c r="H33" s="659"/>
      <c r="I33" s="662" t="str">
        <f t="shared" si="0"/>
        <v/>
      </c>
      <c r="J33" s="662"/>
      <c r="K33" s="665"/>
      <c r="L33" s="665"/>
    </row>
    <row r="34" spans="1:13" s="7" customFormat="1" ht="16.05" customHeight="1" thickBot="1" x14ac:dyDescent="0.35">
      <c r="A34" s="480"/>
      <c r="B34" s="18" t="s">
        <v>178</v>
      </c>
      <c r="C34" s="260">
        <f>COUNTIF(C4:C33,"Alta")</f>
        <v>6</v>
      </c>
      <c r="D34" s="641"/>
      <c r="E34" s="655"/>
      <c r="F34" s="484"/>
      <c r="G34" s="655"/>
      <c r="H34" s="655"/>
      <c r="I34" s="642"/>
      <c r="J34" s="642"/>
      <c r="K34" s="641"/>
      <c r="L34" s="481" t="str">
        <f>IModulo&amp;" ("&amp;IProfesor&amp;")"</f>
        <v>FPM-it-1-0237 Infra. comunes de teleco en viviendas y edificios (Rafa Sanz)</v>
      </c>
      <c r="M34" s="480"/>
    </row>
    <row r="35" spans="1:13" x14ac:dyDescent="0.3">
      <c r="L35" s="262"/>
    </row>
    <row r="36" spans="1:13" x14ac:dyDescent="0.3">
      <c r="L36" s="262"/>
    </row>
    <row r="37" spans="1:13" x14ac:dyDescent="0.3">
      <c r="L37" s="262"/>
    </row>
  </sheetData>
  <sheetProtection formatCells="0" formatColumns="0" formatRows="0" insertColumns="0" insertRows="0" insertHyperlinks="0" deleteColumns="0" deleteRows="0" sort="0" autoFilter="0" pivotTables="0"/>
  <protectedRanges>
    <protectedRange sqref="D23:H33" name="Alumnado"/>
    <protectedRange sqref="C4:C33" name="Modulo0"/>
    <protectedRange sqref="D4:H22" name="Alumnado_1"/>
  </protectedRanges>
  <autoFilter ref="B3:L34" xr:uid="{00000000-0009-0000-0000-000008000000}"/>
  <customSheetViews>
    <customSheetView guid="{BEE73D72-37A1-4B7A-85D2-C39E053A4017}" showPageBreaks="1" zeroValues="0" fitToPage="1" printArea="1" showAutoFilter="1">
      <pane ySplit="5" topLeftCell="A6" activePane="bottomLeft" state="frozen"/>
      <selection pane="bottomLeft" activeCell="D3" sqref="D3"/>
      <pageMargins left="0.39370078740157483" right="0.39370078740157483" top="0.59055118110236227" bottom="0.39370078740157483" header="0" footer="0"/>
      <printOptions horizontalCentered="1"/>
      <pageSetup paperSize="9" scale="72" orientation="landscape" r:id="rId1"/>
      <autoFilter ref="B4:L4" xr:uid="{1A51227A-9E08-4E8C-9BAA-C35FB250BDE3}"/>
    </customSheetView>
    <customSheetView guid="{81A05B8F-D3E4-4CEB-B8F2-C34A1F15FDB9}" zeroValues="0" fitToPage="1" showAutoFilter="1">
      <pane ySplit="5" topLeftCell="A6" activePane="bottomLeft" state="frozen"/>
      <selection pane="bottomLeft" activeCell="D3" sqref="D3"/>
      <pageMargins left="0.39370078740157483" right="0.39370078740157483" top="0.59055118110236227" bottom="0.39370078740157483" header="0" footer="0"/>
      <printOptions horizontalCentered="1"/>
      <pageSetup paperSize="9" scale="91" orientation="landscape" r:id="rId2"/>
      <autoFilter ref="B5:I5" xr:uid="{E7B6476D-84AA-40DB-8756-477F5BE85677}"/>
    </customSheetView>
    <customSheetView guid="{079ED3F8-D23E-413F-B7FA-1C4A43A9CEAB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3"/>
      <autoFilter ref="B4:L35" xr:uid="{3C8E434C-ABD7-4FB2-BC77-F1EA687721A5}"/>
    </customSheetView>
    <customSheetView guid="{BBFF7A3C-7579-4BB0-AAA9-66CE11DC0C92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4"/>
      <autoFilter ref="B4:L35" xr:uid="{35D7FD41-6E75-42BD-95AD-D2593FD8D308}"/>
    </customSheetView>
    <customSheetView guid="{386B8780-5573-460C-A780-6C59BEFB4DBF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5"/>
      <autoFilter ref="B4:L35" xr:uid="{6C5CA5A5-834E-4756-B712-97EDA70B5C61}"/>
    </customSheetView>
    <customSheetView guid="{748451F5-A0F3-420F-846E-9497A6A574EF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6"/>
      <autoFilter ref="B4:L35" xr:uid="{DD5EE3CF-E17A-480F-9F8A-993A0420113A}"/>
    </customSheetView>
  </customSheetViews>
  <conditionalFormatting sqref="B4:L33">
    <cfRule type="expression" dxfId="39" priority="4824">
      <formula>$C4="Alta"</formula>
    </cfRule>
  </conditionalFormatting>
  <printOptions horizontalCentered="1"/>
  <pageMargins left="0.39370078740157483" right="0.39370078740157483" top="0.59055118110236227" bottom="0.39370078740157483" header="0" footer="0"/>
  <pageSetup paperSize="9" scale="72" orientation="landscape" r:id="rId7"/>
  <ignoredErrors>
    <ignoredError sqref="B4:B31 B32:B3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Info!$Q$3:$Q$9</xm:f>
          </x14:formula1>
          <xm:sqref>C4:C33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6" tint="0.59999389629810485"/>
    <pageSetUpPr autoPageBreaks="0" fitToPage="1"/>
  </sheetPr>
  <dimension ref="A1:AW368"/>
  <sheetViews>
    <sheetView showGridLines="0" showZeros="0" zoomScale="55" zoomScaleNormal="55" workbookViewId="0">
      <pane ySplit="11" topLeftCell="A12" activePane="bottomLeft" state="frozen"/>
      <selection activeCell="D17" sqref="D17"/>
      <selection pane="bottomLeft" activeCell="I3" sqref="I3"/>
    </sheetView>
  </sheetViews>
  <sheetFormatPr baseColWidth="10" defaultColWidth="11.44140625" defaultRowHeight="18.75" customHeight="1" x14ac:dyDescent="0.35"/>
  <cols>
    <col min="1" max="1" width="3.5546875" style="17" customWidth="1"/>
    <col min="2" max="2" width="18" style="17" customWidth="1"/>
    <col min="3" max="3" width="18" style="378" customWidth="1"/>
    <col min="4" max="4" width="18" style="615" customWidth="1"/>
    <col min="5" max="6" width="18" style="378" customWidth="1"/>
    <col min="7" max="8" width="16.44140625" style="17" bestFit="1" customWidth="1"/>
    <col min="9" max="9" width="18" style="55" customWidth="1"/>
    <col min="10" max="10" width="18" style="133" customWidth="1"/>
    <col min="11" max="11" width="18" style="17" customWidth="1"/>
    <col min="12" max="21" width="6.44140625" style="55" customWidth="1"/>
    <col min="22" max="22" width="6.44140625" style="17" customWidth="1"/>
    <col min="23" max="25" width="6.44140625" style="60" customWidth="1"/>
    <col min="26" max="38" width="6.44140625" style="55" customWidth="1"/>
    <col min="39" max="39" width="6.44140625" style="17" customWidth="1"/>
    <col min="40" max="41" width="6.44140625" style="55" customWidth="1"/>
    <col min="42" max="44" width="8.21875" style="118" customWidth="1"/>
    <col min="45" max="45" width="8.21875" style="132" customWidth="1"/>
    <col min="46" max="46" width="8.21875" style="55" customWidth="1"/>
    <col min="47" max="47" width="8.21875" style="17" customWidth="1"/>
    <col min="48" max="48" width="8.21875" style="55" customWidth="1"/>
    <col min="49" max="49" width="3.5546875" style="17" customWidth="1"/>
    <col min="50" max="16384" width="11.44140625" style="17"/>
  </cols>
  <sheetData>
    <row r="1" spans="1:49" s="131" customFormat="1" ht="24" customHeight="1" thickBot="1" x14ac:dyDescent="0.5">
      <c r="A1" s="489" t="s">
        <v>55</v>
      </c>
      <c r="B1" s="491"/>
      <c r="C1" s="503"/>
      <c r="D1" s="503"/>
      <c r="E1" s="503"/>
      <c r="F1" s="503"/>
      <c r="G1" s="505"/>
      <c r="H1" s="505"/>
      <c r="I1" s="491"/>
      <c r="J1" s="491"/>
      <c r="K1" s="491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1"/>
      <c r="W1" s="485"/>
      <c r="X1" s="485"/>
      <c r="Y1" s="485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1"/>
      <c r="AN1" s="490"/>
      <c r="AO1" s="490"/>
      <c r="AP1" s="504"/>
      <c r="AQ1" s="504"/>
      <c r="AR1" s="504"/>
      <c r="AS1" s="504"/>
      <c r="AT1" s="1209">
        <f ca="1">FechaHoy</f>
        <v>46099</v>
      </c>
      <c r="AU1" s="1209"/>
      <c r="AV1" s="1209"/>
      <c r="AW1" s="489"/>
    </row>
    <row r="2" spans="1:49" s="131" customFormat="1" ht="18" customHeight="1" x14ac:dyDescent="0.45">
      <c r="A2" s="506"/>
      <c r="B2" s="667" t="str">
        <f>IModulo&amp;" ("&amp;IProfesor&amp;")"</f>
        <v>FPM-it-1-0237 Infra. comunes de teleco en viviendas y edificios (Rafa Sanz)</v>
      </c>
      <c r="C2" s="507"/>
      <c r="D2" s="507"/>
      <c r="E2" s="507"/>
      <c r="F2" s="507"/>
      <c r="G2" s="510"/>
      <c r="H2" s="510"/>
      <c r="L2" s="502"/>
      <c r="M2" s="502"/>
      <c r="N2" s="502"/>
      <c r="O2" s="502"/>
      <c r="P2" s="502"/>
      <c r="Q2" s="502"/>
      <c r="R2" s="502"/>
      <c r="S2" s="502"/>
      <c r="T2" s="502"/>
      <c r="U2" s="502"/>
      <c r="W2" s="508"/>
      <c r="X2" s="508"/>
      <c r="Y2" s="508"/>
      <c r="Z2" s="502"/>
      <c r="AA2" s="502"/>
      <c r="AB2" s="502"/>
      <c r="AC2" s="502"/>
      <c r="AD2" s="502"/>
      <c r="AE2" s="502"/>
      <c r="AF2" s="502"/>
      <c r="AG2" s="502"/>
      <c r="AH2" s="502"/>
      <c r="AI2" s="502"/>
      <c r="AJ2" s="502"/>
      <c r="AK2" s="502"/>
      <c r="AL2" s="502"/>
      <c r="AN2" s="502"/>
      <c r="AO2" s="502"/>
      <c r="AP2" s="509"/>
      <c r="AQ2" s="509"/>
      <c r="AR2" s="509"/>
      <c r="AS2" s="509"/>
      <c r="AT2" s="510"/>
      <c r="AU2" s="510"/>
      <c r="AV2" s="510"/>
      <c r="AW2" s="506"/>
    </row>
    <row r="3" spans="1:49" s="65" customFormat="1" ht="112.05" customHeight="1" x14ac:dyDescent="0.35">
      <c r="C3" s="225"/>
      <c r="D3" s="225"/>
      <c r="E3" s="225"/>
      <c r="K3" s="57" t="s">
        <v>41</v>
      </c>
      <c r="L3" s="275" t="str">
        <f>AlNo01&amp;CHAR(10)&amp;AlAp01</f>
        <v>nom1 --
ap1 --</v>
      </c>
      <c r="M3" s="275" t="str">
        <f>AlNo02&amp;CHAR(10)&amp;AlAp02</f>
        <v>nom2 --
ap2 --</v>
      </c>
      <c r="N3" s="275" t="str">
        <f>AlNo03&amp;CHAR(10)&amp;AlAp03</f>
        <v>nom3 --
ap3 --</v>
      </c>
      <c r="O3" s="275" t="str">
        <f>AlNo04&amp;CHAR(10)&amp;AlAp04</f>
        <v>nom4 --
ap4 --</v>
      </c>
      <c r="P3" s="419" t="str">
        <f>AlNo05&amp;CHAR(10)&amp;AlAp05</f>
        <v>nom5-----
ap5----</v>
      </c>
      <c r="Q3" s="275" t="str">
        <f>AlNo06&amp;CHAR(10)&amp;AlAp06</f>
        <v>nom6-----
ap6------</v>
      </c>
      <c r="R3" s="275" t="str">
        <f>AlNo07&amp;CHAR(10)&amp;AlAp07</f>
        <v xml:space="preserve">
</v>
      </c>
      <c r="S3" s="275" t="str">
        <f>AlNo08&amp;CHAR(10)&amp;AlAp08</f>
        <v xml:space="preserve">
</v>
      </c>
      <c r="T3" s="275" t="str">
        <f>AlNo09&amp;CHAR(10)&amp;AlAp09</f>
        <v xml:space="preserve">
</v>
      </c>
      <c r="U3" s="419" t="str">
        <f>AlNo10&amp;CHAR(10)&amp;AlAp10</f>
        <v xml:space="preserve">
</v>
      </c>
      <c r="V3" s="275" t="str">
        <f>AlNo11&amp;CHAR(10)&amp;AlAp11</f>
        <v xml:space="preserve">
</v>
      </c>
      <c r="W3" s="275" t="str">
        <f>AlNo12&amp;CHAR(10)&amp;AlAp12</f>
        <v xml:space="preserve">
</v>
      </c>
      <c r="X3" s="275" t="str">
        <f>AlNo13&amp;CHAR(10)&amp;AlAp13</f>
        <v xml:space="preserve">
</v>
      </c>
      <c r="Y3" s="275" t="str">
        <f>AlNo14&amp;CHAR(10)&amp;AlAp14</f>
        <v xml:space="preserve">
</v>
      </c>
      <c r="Z3" s="419" t="str">
        <f>AlNo15&amp;CHAR(10)&amp;AlAp15</f>
        <v xml:space="preserve">
</v>
      </c>
      <c r="AA3" s="275" t="str">
        <f>AlNo16&amp;CHAR(10)&amp;AlAp16</f>
        <v xml:space="preserve">
</v>
      </c>
      <c r="AB3" s="275" t="str">
        <f>AlNo17&amp;CHAR(10)&amp;AlAp17</f>
        <v xml:space="preserve">
</v>
      </c>
      <c r="AC3" s="275" t="str">
        <f>AlNo18&amp;CHAR(10)&amp;AlAp18</f>
        <v xml:space="preserve">
</v>
      </c>
      <c r="AD3" s="275" t="str">
        <f>AlNo19&amp;CHAR(10)&amp;AlAp19</f>
        <v xml:space="preserve">
</v>
      </c>
      <c r="AE3" s="419" t="str">
        <f>AlNo20&amp;CHAR(10)&amp;AlAp20</f>
        <v xml:space="preserve">
</v>
      </c>
      <c r="AF3" s="275" t="str">
        <f>AlNo21&amp;CHAR(10)&amp;AlAp21</f>
        <v xml:space="preserve">
</v>
      </c>
      <c r="AG3" s="275" t="str">
        <f>AlNo22&amp;CHAR(10)&amp;AlAp22</f>
        <v xml:space="preserve">
</v>
      </c>
      <c r="AH3" s="275" t="str">
        <f>AlNo23&amp;CHAR(10)&amp;AlAp23</f>
        <v xml:space="preserve">
</v>
      </c>
      <c r="AI3" s="275" t="str">
        <f>AlNo24&amp;CHAR(10)&amp;AlAp24</f>
        <v xml:space="preserve">
</v>
      </c>
      <c r="AJ3" s="419" t="str">
        <f>AlNo25&amp;CHAR(10)&amp;AlAp25</f>
        <v xml:space="preserve">
</v>
      </c>
      <c r="AK3" s="275" t="str">
        <f>AlNo26&amp;CHAR(10)&amp;AlAp26</f>
        <v xml:space="preserve">
</v>
      </c>
      <c r="AL3" s="275" t="str">
        <f>AlNo27&amp;CHAR(10)&amp;AlAp27</f>
        <v xml:space="preserve">
</v>
      </c>
      <c r="AM3" s="275" t="str">
        <f>AlNo28&amp;CHAR(10)&amp;AlAp28</f>
        <v xml:space="preserve">
</v>
      </c>
      <c r="AN3" s="275" t="str">
        <f>AlNo29&amp;CHAR(10)&amp;AlAp29</f>
        <v xml:space="preserve">
</v>
      </c>
      <c r="AO3" s="419" t="str">
        <f>AlNo30&amp;CHAR(10)&amp;AlAp30</f>
        <v xml:space="preserve">
</v>
      </c>
      <c r="AQ3" s="114"/>
    </row>
    <row r="4" spans="1:49" s="46" customFormat="1" ht="18" x14ac:dyDescent="0.35">
      <c r="A4" s="58"/>
      <c r="C4" s="602" t="s">
        <v>17</v>
      </c>
      <c r="D4" s="368" t="s">
        <v>131</v>
      </c>
      <c r="E4" s="369" t="s">
        <v>180</v>
      </c>
      <c r="F4" s="370" t="s">
        <v>181</v>
      </c>
      <c r="G4" s="371" t="s">
        <v>182</v>
      </c>
      <c r="H4" s="65"/>
      <c r="K4" s="76" t="s">
        <v>32</v>
      </c>
      <c r="L4" s="566" t="str">
        <f>AlCo01</f>
        <v>AN01</v>
      </c>
      <c r="M4" s="416" t="str">
        <f>AlCo02</f>
        <v>AN02</v>
      </c>
      <c r="N4" s="416" t="str">
        <f>AlCo03</f>
        <v>AN03</v>
      </c>
      <c r="O4" s="416" t="str">
        <f>AlCo04</f>
        <v>AN04</v>
      </c>
      <c r="P4" s="417" t="str">
        <f>AlCo05</f>
        <v>AN05</v>
      </c>
      <c r="Q4" s="416" t="str">
        <f>AlCo06</f>
        <v>AN06</v>
      </c>
      <c r="R4" s="416" t="str">
        <f>AlCo07</f>
        <v/>
      </c>
      <c r="S4" s="416" t="str">
        <f>AlCo08</f>
        <v/>
      </c>
      <c r="T4" s="416" t="str">
        <f>AlCo09</f>
        <v/>
      </c>
      <c r="U4" s="417" t="str">
        <f>AlCo10</f>
        <v/>
      </c>
      <c r="V4" s="416" t="str">
        <f>AlCo11</f>
        <v/>
      </c>
      <c r="W4" s="416" t="str">
        <f>AlCo12</f>
        <v/>
      </c>
      <c r="X4" s="416" t="str">
        <f>AlCo13</f>
        <v/>
      </c>
      <c r="Y4" s="416" t="str">
        <f>AlCo14</f>
        <v/>
      </c>
      <c r="Z4" s="417" t="str">
        <f>AlCo15</f>
        <v/>
      </c>
      <c r="AA4" s="416" t="str">
        <f>AlCo16</f>
        <v/>
      </c>
      <c r="AB4" s="416" t="str">
        <f>AlCo17</f>
        <v/>
      </c>
      <c r="AC4" s="416" t="str">
        <f>AlCo18</f>
        <v/>
      </c>
      <c r="AD4" s="416" t="str">
        <f>AlCo19</f>
        <v/>
      </c>
      <c r="AE4" s="417" t="str">
        <f>AlCo20</f>
        <v/>
      </c>
      <c r="AF4" s="416" t="str">
        <f>AlCo21</f>
        <v/>
      </c>
      <c r="AG4" s="416" t="str">
        <f>AlCo22</f>
        <v/>
      </c>
      <c r="AH4" s="416" t="str">
        <f>AlCo23</f>
        <v/>
      </c>
      <c r="AI4" s="416" t="str">
        <f>AlCo24</f>
        <v/>
      </c>
      <c r="AJ4" s="417" t="str">
        <f>AlCo25</f>
        <v/>
      </c>
      <c r="AK4" s="416" t="str">
        <f>AlCo26</f>
        <v/>
      </c>
      <c r="AL4" s="416" t="str">
        <f>AlCo27</f>
        <v/>
      </c>
      <c r="AM4" s="416" t="str">
        <f>AlCo28</f>
        <v/>
      </c>
      <c r="AN4" s="416" t="str">
        <f>AlCo29</f>
        <v/>
      </c>
      <c r="AO4" s="417" t="str">
        <f>AlCo30</f>
        <v/>
      </c>
      <c r="AQ4" s="116"/>
      <c r="AW4" s="58"/>
    </row>
    <row r="5" spans="1:49" s="46" customFormat="1" ht="18" x14ac:dyDescent="0.35">
      <c r="A5" s="58"/>
      <c r="C5" s="603" t="s">
        <v>124</v>
      </c>
      <c r="D5" s="372">
        <f ca="1">HReal</f>
        <v>138</v>
      </c>
      <c r="E5" s="373">
        <f ca="1">SUMIF($AP$14:$AP$349,"X",$AS$14:$AS$349)</f>
        <v>52</v>
      </c>
      <c r="F5" s="373">
        <f ca="1">SUMIF($AQ$14:$AQ$349,"X",$AS$14:$AS$349)</f>
        <v>40</v>
      </c>
      <c r="G5" s="592">
        <f ca="1">SUMIF($AR$14:$AR$349,"X",$AS$14:$AS$349)</f>
        <v>46</v>
      </c>
      <c r="H5" s="65"/>
      <c r="K5" s="246" t="s">
        <v>40</v>
      </c>
      <c r="L5" s="566" t="str">
        <f>AlEs01</f>
        <v>Alta</v>
      </c>
      <c r="M5" s="416" t="str">
        <f>AlEs02</f>
        <v>Alta</v>
      </c>
      <c r="N5" s="416" t="str">
        <f>AlEs03</f>
        <v>Alta</v>
      </c>
      <c r="O5" s="416" t="str">
        <f>AlEs04</f>
        <v>Alta</v>
      </c>
      <c r="P5" s="417" t="str">
        <f>AlEs05</f>
        <v>Alta</v>
      </c>
      <c r="Q5" s="416" t="str">
        <f>AlEs06</f>
        <v>Alta</v>
      </c>
      <c r="R5" s="416">
        <f>AlEs07</f>
        <v>0</v>
      </c>
      <c r="S5" s="416">
        <f>AlEs08</f>
        <v>0</v>
      </c>
      <c r="T5" s="416">
        <f>AlEs09</f>
        <v>0</v>
      </c>
      <c r="U5" s="417">
        <f>AlEs10</f>
        <v>0</v>
      </c>
      <c r="V5" s="416">
        <f>AlEs11</f>
        <v>0</v>
      </c>
      <c r="W5" s="416">
        <f>AlEs12</f>
        <v>0</v>
      </c>
      <c r="X5" s="416">
        <f>AlEs13</f>
        <v>0</v>
      </c>
      <c r="Y5" s="416">
        <f>AlEs14</f>
        <v>0</v>
      </c>
      <c r="Z5" s="417">
        <f>AlEs15</f>
        <v>0</v>
      </c>
      <c r="AA5" s="416">
        <f>AlEs16</f>
        <v>0</v>
      </c>
      <c r="AB5" s="416">
        <f>AlEs17</f>
        <v>0</v>
      </c>
      <c r="AC5" s="416">
        <f>AlEs18</f>
        <v>0</v>
      </c>
      <c r="AD5" s="416">
        <f>AlEs19</f>
        <v>0</v>
      </c>
      <c r="AE5" s="417">
        <f>AlEs20</f>
        <v>0</v>
      </c>
      <c r="AF5" s="416">
        <f>AlEs21</f>
        <v>0</v>
      </c>
      <c r="AG5" s="416">
        <f>AlEs22</f>
        <v>0</v>
      </c>
      <c r="AH5" s="416">
        <f>AlEs23</f>
        <v>0</v>
      </c>
      <c r="AI5" s="416">
        <f>AlEs24</f>
        <v>0</v>
      </c>
      <c r="AJ5" s="417">
        <f>AlEs25</f>
        <v>0</v>
      </c>
      <c r="AK5" s="416">
        <f>AlEs26</f>
        <v>0</v>
      </c>
      <c r="AL5" s="416">
        <f>AlEs27</f>
        <v>0</v>
      </c>
      <c r="AM5" s="416">
        <f>AlEs28</f>
        <v>0</v>
      </c>
      <c r="AN5" s="416">
        <f>AlEs29</f>
        <v>0</v>
      </c>
      <c r="AO5" s="417">
        <f>AlEs30</f>
        <v>0</v>
      </c>
      <c r="AQ5" s="116"/>
      <c r="AW5" s="58"/>
    </row>
    <row r="6" spans="1:49" ht="18.75" customHeight="1" x14ac:dyDescent="0.35">
      <c r="C6" s="604" t="s">
        <v>123</v>
      </c>
      <c r="D6" s="374">
        <f ca="1">SUM(E6:G6)</f>
        <v>95</v>
      </c>
      <c r="E6" s="375">
        <f ca="1">SUMIF($AP$14:$AP$349,"X",$AT$14:$AT$349)</f>
        <v>52</v>
      </c>
      <c r="F6" s="375">
        <f ca="1">SUMIF($AQ$14:$AQ$349,"X",$AT$14:$AT$349)</f>
        <v>40</v>
      </c>
      <c r="G6" s="593">
        <f ca="1">SUMIF($AR$14:$AR$349,"X",$AT$14:$AT$349)</f>
        <v>3</v>
      </c>
      <c r="H6" s="65"/>
      <c r="I6" s="17"/>
      <c r="J6" s="17"/>
      <c r="K6" s="295" t="s">
        <v>55</v>
      </c>
      <c r="L6" s="296">
        <f ca="1">SUM(L7:L9)</f>
        <v>0</v>
      </c>
      <c r="M6" s="296">
        <f t="shared" ref="M6:AO6" ca="1" si="0">SUM(M7:M9)</f>
        <v>0</v>
      </c>
      <c r="N6" s="296">
        <f t="shared" ca="1" si="0"/>
        <v>0</v>
      </c>
      <c r="O6" s="296">
        <f t="shared" ca="1" si="0"/>
        <v>0</v>
      </c>
      <c r="P6" s="296">
        <f t="shared" ca="1" si="0"/>
        <v>0</v>
      </c>
      <c r="Q6" s="296">
        <f t="shared" ca="1" si="0"/>
        <v>0</v>
      </c>
      <c r="R6" s="296">
        <f t="shared" ca="1" si="0"/>
        <v>0</v>
      </c>
      <c r="S6" s="296">
        <f t="shared" ca="1" si="0"/>
        <v>0</v>
      </c>
      <c r="T6" s="296">
        <f t="shared" ca="1" si="0"/>
        <v>0</v>
      </c>
      <c r="U6" s="296">
        <f t="shared" ca="1" si="0"/>
        <v>0</v>
      </c>
      <c r="V6" s="296">
        <f t="shared" ca="1" si="0"/>
        <v>0</v>
      </c>
      <c r="W6" s="296">
        <f t="shared" ca="1" si="0"/>
        <v>0</v>
      </c>
      <c r="X6" s="296">
        <f t="shared" ca="1" si="0"/>
        <v>0</v>
      </c>
      <c r="Y6" s="296">
        <f t="shared" ca="1" si="0"/>
        <v>0</v>
      </c>
      <c r="Z6" s="296">
        <f t="shared" ca="1" si="0"/>
        <v>0</v>
      </c>
      <c r="AA6" s="296">
        <f t="shared" ca="1" si="0"/>
        <v>0</v>
      </c>
      <c r="AB6" s="296">
        <f t="shared" ca="1" si="0"/>
        <v>0</v>
      </c>
      <c r="AC6" s="296">
        <f t="shared" ca="1" si="0"/>
        <v>0</v>
      </c>
      <c r="AD6" s="296">
        <f t="shared" ca="1" si="0"/>
        <v>0</v>
      </c>
      <c r="AE6" s="296">
        <f t="shared" ca="1" si="0"/>
        <v>0</v>
      </c>
      <c r="AF6" s="296">
        <f t="shared" ca="1" si="0"/>
        <v>0</v>
      </c>
      <c r="AG6" s="296">
        <f t="shared" ca="1" si="0"/>
        <v>0</v>
      </c>
      <c r="AH6" s="296">
        <f t="shared" ca="1" si="0"/>
        <v>0</v>
      </c>
      <c r="AI6" s="296">
        <f t="shared" ca="1" si="0"/>
        <v>0</v>
      </c>
      <c r="AJ6" s="296">
        <f t="shared" ca="1" si="0"/>
        <v>0</v>
      </c>
      <c r="AK6" s="296">
        <f t="shared" ca="1" si="0"/>
        <v>0</v>
      </c>
      <c r="AL6" s="296">
        <f t="shared" ca="1" si="0"/>
        <v>0</v>
      </c>
      <c r="AM6" s="296">
        <f t="shared" ca="1" si="0"/>
        <v>0</v>
      </c>
      <c r="AN6" s="296">
        <f t="shared" ca="1" si="0"/>
        <v>0</v>
      </c>
      <c r="AO6" s="296">
        <f t="shared" ca="1" si="0"/>
        <v>0</v>
      </c>
      <c r="AP6" s="17"/>
      <c r="AQ6" s="117"/>
      <c r="AR6" s="17"/>
      <c r="AS6" s="17"/>
      <c r="AT6" s="17"/>
      <c r="AV6" s="17"/>
    </row>
    <row r="7" spans="1:49" ht="18.75" customHeight="1" x14ac:dyDescent="0.35">
      <c r="C7" s="605" t="s">
        <v>125</v>
      </c>
      <c r="D7" s="376">
        <f ca="1">D5-D6</f>
        <v>43</v>
      </c>
      <c r="E7" s="376">
        <f ca="1">E5-E6</f>
        <v>0</v>
      </c>
      <c r="F7" s="376">
        <f ca="1">F5-F6</f>
        <v>0</v>
      </c>
      <c r="G7" s="377">
        <f ca="1">G5-G6</f>
        <v>43</v>
      </c>
      <c r="H7" s="65"/>
      <c r="I7" s="17"/>
      <c r="J7" s="17"/>
      <c r="K7" s="68" t="s">
        <v>180</v>
      </c>
      <c r="L7" s="248">
        <f ca="1">HImp1Tri-SUMIF($AP$14:$AP$349,"X",L$14:L$349)</f>
        <v>0</v>
      </c>
      <c r="M7" s="122">
        <f t="shared" ref="M7:AO7" ca="1" si="1">HImp1Tri-SUMIF($AP$14:$AP$349,"X",M$14:M$349)</f>
        <v>0</v>
      </c>
      <c r="N7" s="122">
        <f t="shared" ca="1" si="1"/>
        <v>0</v>
      </c>
      <c r="O7" s="122">
        <f t="shared" ca="1" si="1"/>
        <v>0</v>
      </c>
      <c r="P7" s="123">
        <f t="shared" ca="1" si="1"/>
        <v>0</v>
      </c>
      <c r="Q7" s="121">
        <f t="shared" ca="1" si="1"/>
        <v>0</v>
      </c>
      <c r="R7" s="122">
        <f t="shared" ca="1" si="1"/>
        <v>0</v>
      </c>
      <c r="S7" s="122">
        <f t="shared" ca="1" si="1"/>
        <v>0</v>
      </c>
      <c r="T7" s="122">
        <f t="shared" ca="1" si="1"/>
        <v>0</v>
      </c>
      <c r="U7" s="123">
        <f t="shared" ca="1" si="1"/>
        <v>0</v>
      </c>
      <c r="V7" s="121">
        <f t="shared" ca="1" si="1"/>
        <v>0</v>
      </c>
      <c r="W7" s="122">
        <f t="shared" ca="1" si="1"/>
        <v>0</v>
      </c>
      <c r="X7" s="122">
        <f t="shared" ca="1" si="1"/>
        <v>0</v>
      </c>
      <c r="Y7" s="122">
        <f t="shared" ca="1" si="1"/>
        <v>0</v>
      </c>
      <c r="Z7" s="123">
        <f t="shared" ca="1" si="1"/>
        <v>0</v>
      </c>
      <c r="AA7" s="121">
        <f t="shared" ca="1" si="1"/>
        <v>0</v>
      </c>
      <c r="AB7" s="122">
        <f t="shared" ca="1" si="1"/>
        <v>0</v>
      </c>
      <c r="AC7" s="122">
        <f t="shared" ca="1" si="1"/>
        <v>0</v>
      </c>
      <c r="AD7" s="122">
        <f t="shared" ca="1" si="1"/>
        <v>0</v>
      </c>
      <c r="AE7" s="123">
        <f t="shared" ca="1" si="1"/>
        <v>0</v>
      </c>
      <c r="AF7" s="121">
        <f t="shared" ca="1" si="1"/>
        <v>0</v>
      </c>
      <c r="AG7" s="122">
        <f t="shared" ca="1" si="1"/>
        <v>0</v>
      </c>
      <c r="AH7" s="122">
        <f t="shared" ca="1" si="1"/>
        <v>0</v>
      </c>
      <c r="AI7" s="122">
        <f t="shared" ca="1" si="1"/>
        <v>0</v>
      </c>
      <c r="AJ7" s="123">
        <f t="shared" ca="1" si="1"/>
        <v>0</v>
      </c>
      <c r="AK7" s="121">
        <f t="shared" ca="1" si="1"/>
        <v>0</v>
      </c>
      <c r="AL7" s="122">
        <f t="shared" ca="1" si="1"/>
        <v>0</v>
      </c>
      <c r="AM7" s="122">
        <f t="shared" ca="1" si="1"/>
        <v>0</v>
      </c>
      <c r="AN7" s="122">
        <f t="shared" ca="1" si="1"/>
        <v>0</v>
      </c>
      <c r="AO7" s="123">
        <f t="shared" ca="1" si="1"/>
        <v>0</v>
      </c>
      <c r="AP7" s="117"/>
      <c r="AQ7" s="117"/>
      <c r="AR7" s="117"/>
      <c r="AS7" s="17"/>
      <c r="AT7" s="17"/>
      <c r="AV7" s="17"/>
    </row>
    <row r="8" spans="1:49" ht="18.75" customHeight="1" x14ac:dyDescent="0.35">
      <c r="C8" s="606" t="s">
        <v>147</v>
      </c>
      <c r="D8" s="781">
        <f ca="1">SUM(E8:G8)</f>
        <v>20.7</v>
      </c>
      <c r="E8" s="781">
        <f ca="1">E5*PEv</f>
        <v>7.8</v>
      </c>
      <c r="F8" s="781">
        <f ca="1">F5*PEv</f>
        <v>6</v>
      </c>
      <c r="G8" s="782">
        <f ca="1">G5*PEv</f>
        <v>6.8999999999999995</v>
      </c>
      <c r="H8" s="65"/>
      <c r="I8" s="17"/>
      <c r="J8" s="17"/>
      <c r="K8" s="69" t="s">
        <v>181</v>
      </c>
      <c r="L8" s="248">
        <f t="shared" ref="L8:AO8" ca="1" si="2">HImp2Tri-SUMIF($AQ$14:$AQ$349,"X",L$14:L$349)</f>
        <v>0</v>
      </c>
      <c r="M8" s="122">
        <f t="shared" ca="1" si="2"/>
        <v>0</v>
      </c>
      <c r="N8" s="122">
        <f t="shared" ca="1" si="2"/>
        <v>0</v>
      </c>
      <c r="O8" s="122">
        <f t="shared" ca="1" si="2"/>
        <v>0</v>
      </c>
      <c r="P8" s="123">
        <f t="shared" ca="1" si="2"/>
        <v>0</v>
      </c>
      <c r="Q8" s="121">
        <f t="shared" ca="1" si="2"/>
        <v>0</v>
      </c>
      <c r="R8" s="122">
        <f t="shared" ca="1" si="2"/>
        <v>0</v>
      </c>
      <c r="S8" s="122">
        <f t="shared" ca="1" si="2"/>
        <v>0</v>
      </c>
      <c r="T8" s="122">
        <f t="shared" ca="1" si="2"/>
        <v>0</v>
      </c>
      <c r="U8" s="123">
        <f t="shared" ca="1" si="2"/>
        <v>0</v>
      </c>
      <c r="V8" s="121">
        <f t="shared" ca="1" si="2"/>
        <v>0</v>
      </c>
      <c r="W8" s="122">
        <f t="shared" ca="1" si="2"/>
        <v>0</v>
      </c>
      <c r="X8" s="122">
        <f t="shared" ca="1" si="2"/>
        <v>0</v>
      </c>
      <c r="Y8" s="122">
        <f t="shared" ca="1" si="2"/>
        <v>0</v>
      </c>
      <c r="Z8" s="123">
        <f t="shared" ca="1" si="2"/>
        <v>0</v>
      </c>
      <c r="AA8" s="121">
        <f t="shared" ca="1" si="2"/>
        <v>0</v>
      </c>
      <c r="AB8" s="122">
        <f t="shared" ca="1" si="2"/>
        <v>0</v>
      </c>
      <c r="AC8" s="122">
        <f t="shared" ca="1" si="2"/>
        <v>0</v>
      </c>
      <c r="AD8" s="122">
        <f t="shared" ca="1" si="2"/>
        <v>0</v>
      </c>
      <c r="AE8" s="123">
        <f t="shared" ca="1" si="2"/>
        <v>0</v>
      </c>
      <c r="AF8" s="121">
        <f t="shared" ca="1" si="2"/>
        <v>0</v>
      </c>
      <c r="AG8" s="122">
        <f t="shared" ca="1" si="2"/>
        <v>0</v>
      </c>
      <c r="AH8" s="122">
        <f t="shared" ca="1" si="2"/>
        <v>0</v>
      </c>
      <c r="AI8" s="122">
        <f t="shared" ca="1" si="2"/>
        <v>0</v>
      </c>
      <c r="AJ8" s="123">
        <f t="shared" ca="1" si="2"/>
        <v>0</v>
      </c>
      <c r="AK8" s="121">
        <f t="shared" ca="1" si="2"/>
        <v>0</v>
      </c>
      <c r="AL8" s="122">
        <f t="shared" ca="1" si="2"/>
        <v>0</v>
      </c>
      <c r="AM8" s="122">
        <f t="shared" ca="1" si="2"/>
        <v>0</v>
      </c>
      <c r="AN8" s="122">
        <f t="shared" ca="1" si="2"/>
        <v>0</v>
      </c>
      <c r="AO8" s="123">
        <f t="shared" ca="1" si="2"/>
        <v>0</v>
      </c>
      <c r="AP8" s="17"/>
      <c r="AQ8" s="117"/>
      <c r="AR8" s="117"/>
      <c r="AS8" s="17"/>
      <c r="AT8" s="17"/>
      <c r="AV8" s="17"/>
    </row>
    <row r="9" spans="1:49" ht="18.75" customHeight="1" x14ac:dyDescent="0.35">
      <c r="B9" s="486"/>
      <c r="C9" s="117"/>
      <c r="D9" s="117"/>
      <c r="H9" s="65"/>
      <c r="I9" s="17"/>
      <c r="J9" s="17"/>
      <c r="K9" s="70" t="s">
        <v>182</v>
      </c>
      <c r="L9" s="247">
        <f t="shared" ref="L9:AO9" ca="1" si="3">HImp3Tri-SUMIF($AR$14:$AR$349,"X",L$14:L$349)</f>
        <v>0</v>
      </c>
      <c r="M9" s="119">
        <f t="shared" ca="1" si="3"/>
        <v>0</v>
      </c>
      <c r="N9" s="119">
        <f t="shared" ca="1" si="3"/>
        <v>0</v>
      </c>
      <c r="O9" s="119">
        <f t="shared" ca="1" si="3"/>
        <v>0</v>
      </c>
      <c r="P9" s="120">
        <f t="shared" ca="1" si="3"/>
        <v>0</v>
      </c>
      <c r="Q9" s="115">
        <f t="shared" ca="1" si="3"/>
        <v>0</v>
      </c>
      <c r="R9" s="119">
        <f t="shared" ca="1" si="3"/>
        <v>0</v>
      </c>
      <c r="S9" s="119">
        <f t="shared" ca="1" si="3"/>
        <v>0</v>
      </c>
      <c r="T9" s="119">
        <f t="shared" ca="1" si="3"/>
        <v>0</v>
      </c>
      <c r="U9" s="120">
        <f t="shared" ca="1" si="3"/>
        <v>0</v>
      </c>
      <c r="V9" s="115">
        <f t="shared" ca="1" si="3"/>
        <v>0</v>
      </c>
      <c r="W9" s="119">
        <f t="shared" ca="1" si="3"/>
        <v>0</v>
      </c>
      <c r="X9" s="119">
        <f t="shared" ca="1" si="3"/>
        <v>0</v>
      </c>
      <c r="Y9" s="119">
        <f t="shared" ca="1" si="3"/>
        <v>0</v>
      </c>
      <c r="Z9" s="120">
        <f t="shared" ca="1" si="3"/>
        <v>0</v>
      </c>
      <c r="AA9" s="115">
        <f t="shared" ca="1" si="3"/>
        <v>0</v>
      </c>
      <c r="AB9" s="119">
        <f t="shared" ca="1" si="3"/>
        <v>0</v>
      </c>
      <c r="AC9" s="119">
        <f t="shared" ca="1" si="3"/>
        <v>0</v>
      </c>
      <c r="AD9" s="119">
        <f t="shared" ca="1" si="3"/>
        <v>0</v>
      </c>
      <c r="AE9" s="120">
        <f t="shared" ca="1" si="3"/>
        <v>0</v>
      </c>
      <c r="AF9" s="115">
        <f t="shared" ca="1" si="3"/>
        <v>0</v>
      </c>
      <c r="AG9" s="119">
        <f t="shared" ca="1" si="3"/>
        <v>0</v>
      </c>
      <c r="AH9" s="119">
        <f t="shared" ca="1" si="3"/>
        <v>0</v>
      </c>
      <c r="AI9" s="119">
        <f t="shared" ca="1" si="3"/>
        <v>0</v>
      </c>
      <c r="AJ9" s="120">
        <f t="shared" ca="1" si="3"/>
        <v>0</v>
      </c>
      <c r="AK9" s="115">
        <f t="shared" ca="1" si="3"/>
        <v>0</v>
      </c>
      <c r="AL9" s="119">
        <f t="shared" ca="1" si="3"/>
        <v>0</v>
      </c>
      <c r="AM9" s="119">
        <f t="shared" ca="1" si="3"/>
        <v>0</v>
      </c>
      <c r="AN9" s="119">
        <f t="shared" ca="1" si="3"/>
        <v>0</v>
      </c>
      <c r="AO9" s="120">
        <f t="shared" ca="1" si="3"/>
        <v>0</v>
      </c>
      <c r="AP9" s="17"/>
      <c r="AQ9" s="117"/>
      <c r="AR9" s="117"/>
      <c r="AS9" s="17"/>
      <c r="AT9" s="17"/>
      <c r="AV9" s="17"/>
    </row>
    <row r="10" spans="1:49" ht="17.850000000000001" customHeight="1" x14ac:dyDescent="0.3">
      <c r="A10" s="54"/>
      <c r="B10" s="46" t="s">
        <v>162</v>
      </c>
      <c r="C10" s="519" t="s">
        <v>88</v>
      </c>
      <c r="D10" s="117"/>
      <c r="E10" s="519" t="s">
        <v>149</v>
      </c>
      <c r="F10" s="519"/>
      <c r="I10" s="98" t="s">
        <v>148</v>
      </c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17"/>
      <c r="AQ10" s="117"/>
      <c r="AR10" s="117"/>
      <c r="AS10" s="17"/>
      <c r="AV10" s="46"/>
      <c r="AW10" s="54"/>
    </row>
    <row r="11" spans="1:49" s="20" customFormat="1" ht="18.600000000000001" customHeight="1" thickBot="1" x14ac:dyDescent="0.35">
      <c r="B11" s="307" t="s">
        <v>54</v>
      </c>
      <c r="C11" s="607" t="s">
        <v>75</v>
      </c>
      <c r="D11" s="608" t="s">
        <v>74</v>
      </c>
      <c r="E11" s="520" t="s">
        <v>124</v>
      </c>
      <c r="F11" s="379" t="s">
        <v>123</v>
      </c>
      <c r="G11" s="313" t="s">
        <v>193</v>
      </c>
      <c r="H11" s="313" t="s">
        <v>286</v>
      </c>
      <c r="I11" s="307" t="s">
        <v>23</v>
      </c>
      <c r="J11" s="308" t="s">
        <v>136</v>
      </c>
      <c r="K11" s="308" t="s">
        <v>137</v>
      </c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10" t="s">
        <v>180</v>
      </c>
      <c r="AQ11" s="311" t="s">
        <v>181</v>
      </c>
      <c r="AR11" s="312" t="s">
        <v>182</v>
      </c>
      <c r="AS11" s="313" t="s">
        <v>142</v>
      </c>
      <c r="AT11" s="314" t="s">
        <v>143</v>
      </c>
      <c r="AU11" s="313" t="s">
        <v>130</v>
      </c>
      <c r="AV11" s="314" t="s">
        <v>144</v>
      </c>
    </row>
    <row r="12" spans="1:49" ht="18.75" customHeight="1" x14ac:dyDescent="0.25">
      <c r="A12" s="68"/>
      <c r="B12" s="521" t="str">
        <f>MID(Info!$AZ$5,(MONTH(I14)-1)*3+1,3)&amp;" "&amp;YEAR(I14)</f>
        <v xml:space="preserve"> 2025</v>
      </c>
      <c r="C12" s="523"/>
      <c r="D12" s="609"/>
      <c r="E12" s="523"/>
      <c r="F12" s="523"/>
      <c r="G12" s="568"/>
      <c r="H12" s="568"/>
      <c r="I12" s="56"/>
      <c r="J12" s="522"/>
      <c r="K12" s="522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524">
        <f>SUMIF(AP14:AP43,"X",$AS14:$AS43)</f>
        <v>12</v>
      </c>
      <c r="AQ12" s="525">
        <f>SUMIF(AQ14:AQ44,"X",$AS14:$AS44)</f>
        <v>0</v>
      </c>
      <c r="AR12" s="525">
        <f>SUMIF(AR14:AR44,"X",$AS14:$AS44)</f>
        <v>0</v>
      </c>
      <c r="AS12" s="526"/>
      <c r="AT12" s="526"/>
      <c r="AU12" s="526"/>
      <c r="AV12" s="526"/>
      <c r="AW12" s="68"/>
    </row>
    <row r="13" spans="1:49" ht="18.75" customHeight="1" thickBot="1" x14ac:dyDescent="0.3">
      <c r="A13" s="68"/>
      <c r="B13" s="527">
        <f ca="1">IFERROR(SUM(AP13:AR13)/SUM(AP12:AR12),"--")</f>
        <v>1</v>
      </c>
      <c r="C13" s="529"/>
      <c r="D13" s="610"/>
      <c r="E13" s="529"/>
      <c r="F13" s="529"/>
      <c r="G13" s="529"/>
      <c r="H13" s="529"/>
      <c r="I13" s="530"/>
      <c r="J13" s="528"/>
      <c r="K13" s="528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531">
        <f ca="1">SUMIF(AP14:AP44,"X",$AT14:$AT44)</f>
        <v>12</v>
      </c>
      <c r="AQ13" s="531">
        <f>SUMIF(AQ14:AQ44,"X",$AT14:$AT44)</f>
        <v>0</v>
      </c>
      <c r="AR13" s="531">
        <f>SUMIF(AR14:AR44,"X",$AT14:$AT44)</f>
        <v>0</v>
      </c>
      <c r="AS13" s="526"/>
      <c r="AT13" s="526"/>
      <c r="AU13" s="526"/>
      <c r="AV13" s="526"/>
      <c r="AW13" s="68"/>
    </row>
    <row r="14" spans="1:49" ht="18.75" customHeight="1" x14ac:dyDescent="0.25">
      <c r="A14" s="68"/>
      <c r="B14" s="124" t="str">
        <f>MID(Info!$AZ$3,(WEEKDAY(I14,2)-1)*3+1,3)</f>
        <v>Lun</v>
      </c>
      <c r="C14" s="523">
        <f>_xlfn.XLOOKUP(I14,Fchs!$C$60:$C$101,Fchs!$D$60:$D$101,0)</f>
        <v>0</v>
      </c>
      <c r="D14" s="523">
        <f>_xlfn.XLOOKUP(I14,Fchs!$C$60:$C$101,Fchs!$E$60:$E$101)</f>
        <v>0</v>
      </c>
      <c r="E14" s="532">
        <f>IF($AS14&lt;&gt;0,_xlfn.XLOOKUP($G14,UDs!$E$34:$E$55,UDs!$B$34:$B$55,,-1),0)</f>
        <v>0</v>
      </c>
      <c r="F14" s="532">
        <f t="shared" ref="F14:F43" ca="1" si="4">IF(AT14&lt;&gt;0,E14,0)</f>
        <v>0</v>
      </c>
      <c r="G14" s="569">
        <f>IF(AU14&lt;&gt;0,MAX($AU$13:$AU13)+1,0)</f>
        <v>0</v>
      </c>
      <c r="H14" s="569" t="str">
        <f>IF(AS14&lt;&gt;0,COUNT($H13:H$14,1),"")</f>
        <v/>
      </c>
      <c r="I14" s="533">
        <f>DATE(YEAR(FechaInicio1Tri),MONTH(FechaInicio1Tri),1)</f>
        <v>45901</v>
      </c>
      <c r="J14" s="534"/>
      <c r="K14" s="535"/>
      <c r="L14" s="126">
        <f ca="1">$AT14</f>
        <v>0</v>
      </c>
      <c r="M14" s="127">
        <f t="shared" ref="M14:AO22" ca="1" si="5">$AT14</f>
        <v>0</v>
      </c>
      <c r="N14" s="127">
        <f t="shared" ca="1" si="5"/>
        <v>0</v>
      </c>
      <c r="O14" s="127">
        <f t="shared" ca="1" si="5"/>
        <v>0</v>
      </c>
      <c r="P14" s="128">
        <f t="shared" ca="1" si="5"/>
        <v>0</v>
      </c>
      <c r="Q14" s="126">
        <f t="shared" ca="1" si="5"/>
        <v>0</v>
      </c>
      <c r="R14" s="127">
        <f t="shared" ca="1" si="5"/>
        <v>0</v>
      </c>
      <c r="S14" s="127">
        <f t="shared" ca="1" si="5"/>
        <v>0</v>
      </c>
      <c r="T14" s="127">
        <f t="shared" ca="1" si="5"/>
        <v>0</v>
      </c>
      <c r="U14" s="128">
        <f t="shared" ca="1" si="5"/>
        <v>0</v>
      </c>
      <c r="V14" s="126">
        <f t="shared" ca="1" si="5"/>
        <v>0</v>
      </c>
      <c r="W14" s="127">
        <f t="shared" ca="1" si="5"/>
        <v>0</v>
      </c>
      <c r="X14" s="127">
        <f t="shared" ca="1" si="5"/>
        <v>0</v>
      </c>
      <c r="Y14" s="127">
        <f t="shared" ca="1" si="5"/>
        <v>0</v>
      </c>
      <c r="Z14" s="128">
        <f t="shared" ca="1" si="5"/>
        <v>0</v>
      </c>
      <c r="AA14" s="126">
        <f t="shared" ca="1" si="5"/>
        <v>0</v>
      </c>
      <c r="AB14" s="127">
        <f t="shared" ca="1" si="5"/>
        <v>0</v>
      </c>
      <c r="AC14" s="127">
        <f t="shared" ca="1" si="5"/>
        <v>0</v>
      </c>
      <c r="AD14" s="127">
        <f t="shared" ca="1" si="5"/>
        <v>0</v>
      </c>
      <c r="AE14" s="128">
        <f t="shared" ca="1" si="5"/>
        <v>0</v>
      </c>
      <c r="AF14" s="126">
        <f t="shared" ca="1" si="5"/>
        <v>0</v>
      </c>
      <c r="AG14" s="127">
        <f t="shared" ca="1" si="5"/>
        <v>0</v>
      </c>
      <c r="AH14" s="127">
        <f t="shared" ca="1" si="5"/>
        <v>0</v>
      </c>
      <c r="AI14" s="127">
        <f t="shared" ca="1" si="5"/>
        <v>0</v>
      </c>
      <c r="AJ14" s="128">
        <f t="shared" ca="1" si="5"/>
        <v>0</v>
      </c>
      <c r="AK14" s="126">
        <f t="shared" ca="1" si="5"/>
        <v>0</v>
      </c>
      <c r="AL14" s="127">
        <f t="shared" ca="1" si="5"/>
        <v>0</v>
      </c>
      <c r="AM14" s="127">
        <f t="shared" ca="1" si="5"/>
        <v>0</v>
      </c>
      <c r="AN14" s="127">
        <f t="shared" ca="1" si="5"/>
        <v>0</v>
      </c>
      <c r="AO14" s="129">
        <f ca="1">$AT14</f>
        <v>0</v>
      </c>
      <c r="AP14" s="536" t="str">
        <f t="shared" ref="AP14:AP43" si="6">IF(AND(FechaInicio1Tri&lt;=$I14, FechaFin1Tri&gt;=$I14,WEEKDAY($I14,2)&lt;=5),"X","")</f>
        <v/>
      </c>
      <c r="AQ14" s="536" t="str">
        <f t="shared" ref="AQ14:AQ43" si="7">IF(AND(FechaInicio2Tri&lt;=$I14, FechaFin2Tri&gt;=$I14,WEEKDAY($I14,2)&lt;=5),"X","")</f>
        <v/>
      </c>
      <c r="AR14" s="536" t="str">
        <f t="shared" ref="AR14:AR43" si="8">IF(AND(FechaInicio3Tri&lt;=$I14, FechaFin3Tri&gt;=$I14, NTri&gt;=3,WEEKDAY($I14,2)&lt;=5),"X","")</f>
        <v/>
      </c>
      <c r="AS14" s="537">
        <f>IF(OR(J14&lt;&gt;"",AP14&amp;AQ14&amp;AR14&lt;&gt;"X",WEEKDAY(I14,2)&gt;5,C14&lt;&gt;0,(FechaInicio1Tri&gt;I14),(FechaFinEEva&lt;I14)),0,_xlfn.XLOOKUP(WEEKDAY(I14,2),Fchs!$J$10:$N$10,Fchs!$J$12:$N$12))</f>
        <v>0</v>
      </c>
      <c r="AT14" s="536">
        <f t="shared" ref="AT14:AT43" ca="1" si="9">IF(OR(AS14=0,FechaHoy&lt;I14,(FechaInicio1Tri&gt;I14),(FechaFinEEva&lt;I14)),0,AS14)</f>
        <v>0</v>
      </c>
      <c r="AU14" s="538">
        <f>IF(AS14&lt;&gt;0,MAXA($AU13:AU$14)+AS14,0)</f>
        <v>0</v>
      </c>
      <c r="AV14" s="536">
        <f ca="1">IF(AT14&lt;&gt;0,MAXA($AU13:AU$14)+AT14,0)</f>
        <v>0</v>
      </c>
      <c r="AW14" s="68"/>
    </row>
    <row r="15" spans="1:49" ht="18.75" customHeight="1" x14ac:dyDescent="0.25">
      <c r="A15" s="68"/>
      <c r="B15" s="124" t="str">
        <f>MID(Info!$AZ$3,(WEEKDAY(I15,2)-1)*3+1,3)</f>
        <v>Mar</v>
      </c>
      <c r="C15" s="523">
        <f>_xlfn.XLOOKUP(I15,Fchs!$C$60:$C$101,Fchs!$D$60:$D$101,0)</f>
        <v>0</v>
      </c>
      <c r="D15" s="523">
        <f>_xlfn.XLOOKUP(I15,Fchs!$C$60:$C$101,Fchs!$E$60:$E$101)</f>
        <v>0</v>
      </c>
      <c r="E15" s="532">
        <f>IF($AS15&lt;&gt;0,_xlfn.XLOOKUP($G15,UDs!$E$34:$E$55,UDs!$B$34:$B$55,,-1),0)</f>
        <v>0</v>
      </c>
      <c r="F15" s="532">
        <f t="shared" ca="1" si="4"/>
        <v>0</v>
      </c>
      <c r="G15" s="569">
        <f>IF(AU15&lt;&gt;0,MAX($AU$13:$AU14)+1,0)</f>
        <v>0</v>
      </c>
      <c r="H15" s="569" t="str">
        <f>IF(AS15&lt;&gt;0,COUNT($H$14:H14,1),"")</f>
        <v/>
      </c>
      <c r="I15" s="533">
        <f t="shared" ref="I15:I43" si="10">I14+1</f>
        <v>45902</v>
      </c>
      <c r="J15" s="534"/>
      <c r="K15" s="535"/>
      <c r="L15" s="126">
        <f t="shared" ref="L15:AA38" ca="1" si="11">$AT15</f>
        <v>0</v>
      </c>
      <c r="M15" s="127">
        <f t="shared" ca="1" si="5"/>
        <v>0</v>
      </c>
      <c r="N15" s="127">
        <f t="shared" ca="1" si="5"/>
        <v>0</v>
      </c>
      <c r="O15" s="127">
        <f t="shared" ca="1" si="5"/>
        <v>0</v>
      </c>
      <c r="P15" s="128">
        <f t="shared" ca="1" si="5"/>
        <v>0</v>
      </c>
      <c r="Q15" s="126">
        <f t="shared" ca="1" si="5"/>
        <v>0</v>
      </c>
      <c r="R15" s="127">
        <f t="shared" ca="1" si="5"/>
        <v>0</v>
      </c>
      <c r="S15" s="127">
        <f t="shared" ca="1" si="5"/>
        <v>0</v>
      </c>
      <c r="T15" s="127">
        <f t="shared" ca="1" si="5"/>
        <v>0</v>
      </c>
      <c r="U15" s="128">
        <f t="shared" ca="1" si="5"/>
        <v>0</v>
      </c>
      <c r="V15" s="126">
        <f t="shared" ca="1" si="5"/>
        <v>0</v>
      </c>
      <c r="W15" s="127">
        <f t="shared" ca="1" si="5"/>
        <v>0</v>
      </c>
      <c r="X15" s="127">
        <f t="shared" ca="1" si="5"/>
        <v>0</v>
      </c>
      <c r="Y15" s="127">
        <f t="shared" ca="1" si="5"/>
        <v>0</v>
      </c>
      <c r="Z15" s="128">
        <f t="shared" ca="1" si="5"/>
        <v>0</v>
      </c>
      <c r="AA15" s="126">
        <f t="shared" ca="1" si="5"/>
        <v>0</v>
      </c>
      <c r="AB15" s="127">
        <f t="shared" ca="1" si="5"/>
        <v>0</v>
      </c>
      <c r="AC15" s="127">
        <f t="shared" ca="1" si="5"/>
        <v>0</v>
      </c>
      <c r="AD15" s="127">
        <f t="shared" ca="1" si="5"/>
        <v>0</v>
      </c>
      <c r="AE15" s="128">
        <f t="shared" ca="1" si="5"/>
        <v>0</v>
      </c>
      <c r="AF15" s="126">
        <f t="shared" ca="1" si="5"/>
        <v>0</v>
      </c>
      <c r="AG15" s="127">
        <f t="shared" ca="1" si="5"/>
        <v>0</v>
      </c>
      <c r="AH15" s="127">
        <f t="shared" ca="1" si="5"/>
        <v>0</v>
      </c>
      <c r="AI15" s="127">
        <f t="shared" ca="1" si="5"/>
        <v>0</v>
      </c>
      <c r="AJ15" s="128">
        <f t="shared" ca="1" si="5"/>
        <v>0</v>
      </c>
      <c r="AK15" s="126">
        <f t="shared" ca="1" si="5"/>
        <v>0</v>
      </c>
      <c r="AL15" s="127">
        <f t="shared" ca="1" si="5"/>
        <v>0</v>
      </c>
      <c r="AM15" s="127">
        <f t="shared" ca="1" si="5"/>
        <v>0</v>
      </c>
      <c r="AN15" s="127">
        <f t="shared" ca="1" si="5"/>
        <v>0</v>
      </c>
      <c r="AO15" s="129">
        <f t="shared" ca="1" si="5"/>
        <v>0</v>
      </c>
      <c r="AP15" s="536" t="str">
        <f t="shared" si="6"/>
        <v/>
      </c>
      <c r="AQ15" s="536" t="str">
        <f t="shared" si="7"/>
        <v/>
      </c>
      <c r="AR15" s="536" t="str">
        <f t="shared" si="8"/>
        <v/>
      </c>
      <c r="AS15" s="537">
        <f>IF(OR(J15&lt;&gt;"",AP15&amp;AQ15&amp;AR15&lt;&gt;"X",WEEKDAY(I15,2)&gt;5,C15&lt;&gt;0,(FechaInicio1Tri&gt;I15),(FechaFinEEva&lt;I15)),0,_xlfn.XLOOKUP(WEEKDAY(I15,2),Fchs!$J$10:$N$10,Fchs!$J$12:$N$12))</f>
        <v>0</v>
      </c>
      <c r="AT15" s="536">
        <f t="shared" ca="1" si="9"/>
        <v>0</v>
      </c>
      <c r="AU15" s="538">
        <f>IF(AS15&lt;&gt;0,MAXA($AU$14:AU14)+AS15,0)</f>
        <v>0</v>
      </c>
      <c r="AV15" s="536">
        <f ca="1">IF(AT15&lt;&gt;0,MAXA($AU14:AU$14)+AT15,0)</f>
        <v>0</v>
      </c>
      <c r="AW15" s="68"/>
    </row>
    <row r="16" spans="1:49" ht="18.75" customHeight="1" x14ac:dyDescent="0.25">
      <c r="A16" s="68"/>
      <c r="B16" s="56" t="str">
        <f>MID(Info!$AZ$3,(WEEKDAY(I16,2)-1)*3+1,3)</f>
        <v>Mié</v>
      </c>
      <c r="C16" s="523">
        <f>_xlfn.XLOOKUP(I16,Fchs!$C$60:$C$101,Fchs!$D$60:$D$101,0)</f>
        <v>0</v>
      </c>
      <c r="D16" s="523">
        <f>_xlfn.XLOOKUP(I16,Fchs!$C$60:$C$101,Fchs!$E$60:$E$101)</f>
        <v>0</v>
      </c>
      <c r="E16" s="532">
        <f>IF($AS16&lt;&gt;0,_xlfn.XLOOKUP($G16,UDs!$E$34:$E$55,UDs!$B$34:$B$55,,-1),0)</f>
        <v>0</v>
      </c>
      <c r="F16" s="532">
        <f t="shared" ca="1" si="4"/>
        <v>0</v>
      </c>
      <c r="G16" s="569">
        <f>IF(AU16&lt;&gt;0,MAX($AU$13:$AU15)+1,0)</f>
        <v>0</v>
      </c>
      <c r="H16" s="569" t="str">
        <f>IF(AS16&lt;&gt;0,COUNT($H$14:H15,1),"")</f>
        <v/>
      </c>
      <c r="I16" s="533">
        <f t="shared" si="10"/>
        <v>45903</v>
      </c>
      <c r="J16" s="534"/>
      <c r="K16" s="535"/>
      <c r="L16" s="126">
        <f t="shared" ca="1" si="11"/>
        <v>0</v>
      </c>
      <c r="M16" s="127">
        <f t="shared" ca="1" si="5"/>
        <v>0</v>
      </c>
      <c r="N16" s="127">
        <f t="shared" ca="1" si="5"/>
        <v>0</v>
      </c>
      <c r="O16" s="127">
        <f t="shared" ca="1" si="5"/>
        <v>0</v>
      </c>
      <c r="P16" s="128">
        <f t="shared" ca="1" si="5"/>
        <v>0</v>
      </c>
      <c r="Q16" s="126">
        <f t="shared" ca="1" si="5"/>
        <v>0</v>
      </c>
      <c r="R16" s="127">
        <f t="shared" ca="1" si="5"/>
        <v>0</v>
      </c>
      <c r="S16" s="127">
        <f t="shared" ca="1" si="5"/>
        <v>0</v>
      </c>
      <c r="T16" s="127">
        <f t="shared" ca="1" si="5"/>
        <v>0</v>
      </c>
      <c r="U16" s="128">
        <f t="shared" ca="1" si="5"/>
        <v>0</v>
      </c>
      <c r="V16" s="126">
        <f t="shared" ca="1" si="5"/>
        <v>0</v>
      </c>
      <c r="W16" s="127">
        <f t="shared" ca="1" si="5"/>
        <v>0</v>
      </c>
      <c r="X16" s="127">
        <f t="shared" ca="1" si="5"/>
        <v>0</v>
      </c>
      <c r="Y16" s="127">
        <f t="shared" ca="1" si="5"/>
        <v>0</v>
      </c>
      <c r="Z16" s="128">
        <f t="shared" ca="1" si="5"/>
        <v>0</v>
      </c>
      <c r="AA16" s="126">
        <f t="shared" ca="1" si="5"/>
        <v>0</v>
      </c>
      <c r="AB16" s="127">
        <f t="shared" ca="1" si="5"/>
        <v>0</v>
      </c>
      <c r="AC16" s="127">
        <f t="shared" ca="1" si="5"/>
        <v>0</v>
      </c>
      <c r="AD16" s="127">
        <f t="shared" ca="1" si="5"/>
        <v>0</v>
      </c>
      <c r="AE16" s="128">
        <f t="shared" ca="1" si="5"/>
        <v>0</v>
      </c>
      <c r="AF16" s="126">
        <f t="shared" ca="1" si="5"/>
        <v>0</v>
      </c>
      <c r="AG16" s="127">
        <f t="shared" ca="1" si="5"/>
        <v>0</v>
      </c>
      <c r="AH16" s="127">
        <f t="shared" ca="1" si="5"/>
        <v>0</v>
      </c>
      <c r="AI16" s="127">
        <f t="shared" ca="1" si="5"/>
        <v>0</v>
      </c>
      <c r="AJ16" s="128">
        <f t="shared" ca="1" si="5"/>
        <v>0</v>
      </c>
      <c r="AK16" s="126">
        <f t="shared" ca="1" si="5"/>
        <v>0</v>
      </c>
      <c r="AL16" s="127">
        <f t="shared" ca="1" si="5"/>
        <v>0</v>
      </c>
      <c r="AM16" s="127">
        <f t="shared" ca="1" si="5"/>
        <v>0</v>
      </c>
      <c r="AN16" s="127">
        <f t="shared" ca="1" si="5"/>
        <v>0</v>
      </c>
      <c r="AO16" s="129">
        <f t="shared" ca="1" si="5"/>
        <v>0</v>
      </c>
      <c r="AP16" s="536" t="str">
        <f t="shared" si="6"/>
        <v/>
      </c>
      <c r="AQ16" s="536" t="str">
        <f t="shared" si="7"/>
        <v/>
      </c>
      <c r="AR16" s="536" t="str">
        <f t="shared" si="8"/>
        <v/>
      </c>
      <c r="AS16" s="537">
        <f>IF(OR(J16&lt;&gt;"",AP16&amp;AQ16&amp;AR16&lt;&gt;"X",WEEKDAY(I16,2)&gt;5,C16&lt;&gt;0,(FechaInicio1Tri&gt;I16),(FechaFinEEva&lt;I16)),0,_xlfn.XLOOKUP(WEEKDAY(I16,2),Fchs!$J$10:$N$10,Fchs!$J$12:$N$12))</f>
        <v>0</v>
      </c>
      <c r="AT16" s="536">
        <f t="shared" ca="1" si="9"/>
        <v>0</v>
      </c>
      <c r="AU16" s="538">
        <f>IF(AS16&lt;&gt;0,MAXA($AU$14:AU15)+AS16,0)</f>
        <v>0</v>
      </c>
      <c r="AV16" s="536">
        <f ca="1">IF(AT16&lt;&gt;0,MAXA($AU$14:AU15)+AT16,0)</f>
        <v>0</v>
      </c>
      <c r="AW16" s="68"/>
    </row>
    <row r="17" spans="1:49" ht="18.75" customHeight="1" x14ac:dyDescent="0.25">
      <c r="A17" s="68"/>
      <c r="B17" s="56" t="str">
        <f>MID(Info!$AZ$3,(WEEKDAY(I17,2)-1)*3+1,3)</f>
        <v>Jue</v>
      </c>
      <c r="C17" s="523">
        <f>_xlfn.XLOOKUP(I17,Fchs!$C$60:$C$101,Fchs!$D$60:$D$101,0)</f>
        <v>0</v>
      </c>
      <c r="D17" s="523" t="str">
        <f>_xlfn.XLOOKUP(I17,Fchs!$C$60:$C$101,Fchs!$E$60:$E$101)</f>
        <v>FCT+Pry. ExtraOrd</v>
      </c>
      <c r="E17" s="532">
        <f>IF($AS17&lt;&gt;0,_xlfn.XLOOKUP($G17,UDs!$E$34:$E$55,UDs!$B$34:$B$55,,-1),0)</f>
        <v>0</v>
      </c>
      <c r="F17" s="532">
        <f t="shared" ca="1" si="4"/>
        <v>0</v>
      </c>
      <c r="G17" s="569">
        <f>IF(AU17&lt;&gt;0,MAX($AU$13:$AU16)+1,0)</f>
        <v>0</v>
      </c>
      <c r="H17" s="569" t="str">
        <f>IF(AS17&lt;&gt;0,COUNT($H$14:H16,1),"")</f>
        <v/>
      </c>
      <c r="I17" s="533">
        <f t="shared" si="10"/>
        <v>45904</v>
      </c>
      <c r="J17" s="534"/>
      <c r="K17" s="535"/>
      <c r="L17" s="126">
        <f t="shared" ca="1" si="11"/>
        <v>0</v>
      </c>
      <c r="M17" s="127">
        <f t="shared" ca="1" si="5"/>
        <v>0</v>
      </c>
      <c r="N17" s="127">
        <f t="shared" ca="1" si="5"/>
        <v>0</v>
      </c>
      <c r="O17" s="127">
        <f t="shared" ca="1" si="5"/>
        <v>0</v>
      </c>
      <c r="P17" s="128">
        <f t="shared" ca="1" si="5"/>
        <v>0</v>
      </c>
      <c r="Q17" s="126">
        <f t="shared" ca="1" si="5"/>
        <v>0</v>
      </c>
      <c r="R17" s="127">
        <f t="shared" ca="1" si="5"/>
        <v>0</v>
      </c>
      <c r="S17" s="127">
        <f t="shared" ca="1" si="5"/>
        <v>0</v>
      </c>
      <c r="T17" s="127">
        <f t="shared" ca="1" si="5"/>
        <v>0</v>
      </c>
      <c r="U17" s="128">
        <f t="shared" ca="1" si="5"/>
        <v>0</v>
      </c>
      <c r="V17" s="126">
        <f t="shared" ca="1" si="5"/>
        <v>0</v>
      </c>
      <c r="W17" s="127">
        <f t="shared" ca="1" si="5"/>
        <v>0</v>
      </c>
      <c r="X17" s="127">
        <f t="shared" ca="1" si="5"/>
        <v>0</v>
      </c>
      <c r="Y17" s="127">
        <f t="shared" ca="1" si="5"/>
        <v>0</v>
      </c>
      <c r="Z17" s="128">
        <f t="shared" ca="1" si="5"/>
        <v>0</v>
      </c>
      <c r="AA17" s="126">
        <f t="shared" ca="1" si="5"/>
        <v>0</v>
      </c>
      <c r="AB17" s="127">
        <f t="shared" ca="1" si="5"/>
        <v>0</v>
      </c>
      <c r="AC17" s="127">
        <f t="shared" ca="1" si="5"/>
        <v>0</v>
      </c>
      <c r="AD17" s="127">
        <f t="shared" ca="1" si="5"/>
        <v>0</v>
      </c>
      <c r="AE17" s="128">
        <f t="shared" ca="1" si="5"/>
        <v>0</v>
      </c>
      <c r="AF17" s="126">
        <f t="shared" ca="1" si="5"/>
        <v>0</v>
      </c>
      <c r="AG17" s="127">
        <f t="shared" ca="1" si="5"/>
        <v>0</v>
      </c>
      <c r="AH17" s="127">
        <f t="shared" ca="1" si="5"/>
        <v>0</v>
      </c>
      <c r="AI17" s="127">
        <f t="shared" ca="1" si="5"/>
        <v>0</v>
      </c>
      <c r="AJ17" s="128">
        <f t="shared" ca="1" si="5"/>
        <v>0</v>
      </c>
      <c r="AK17" s="126">
        <f t="shared" ca="1" si="5"/>
        <v>0</v>
      </c>
      <c r="AL17" s="127">
        <f t="shared" ca="1" si="5"/>
        <v>0</v>
      </c>
      <c r="AM17" s="127">
        <f t="shared" ca="1" si="5"/>
        <v>0</v>
      </c>
      <c r="AN17" s="127">
        <f t="shared" ca="1" si="5"/>
        <v>0</v>
      </c>
      <c r="AO17" s="129">
        <f t="shared" ca="1" si="5"/>
        <v>0</v>
      </c>
      <c r="AP17" s="536" t="str">
        <f t="shared" si="6"/>
        <v/>
      </c>
      <c r="AQ17" s="536" t="str">
        <f t="shared" si="7"/>
        <v/>
      </c>
      <c r="AR17" s="536" t="str">
        <f t="shared" si="8"/>
        <v/>
      </c>
      <c r="AS17" s="537">
        <f>IF(OR(J17&lt;&gt;"",AP17&amp;AQ17&amp;AR17&lt;&gt;"X",WEEKDAY(I17,2)&gt;5,C17&lt;&gt;0,(FechaInicio1Tri&gt;I17),(FechaFinEEva&lt;I17)),0,_xlfn.XLOOKUP(WEEKDAY(I17,2),Fchs!$J$10:$N$10,Fchs!$J$12:$N$12))</f>
        <v>0</v>
      </c>
      <c r="AT17" s="536">
        <f t="shared" ca="1" si="9"/>
        <v>0</v>
      </c>
      <c r="AU17" s="538">
        <f>IF(AS17&lt;&gt;0,MAXA($AU$14:AU16)+AS17,0)</f>
        <v>0</v>
      </c>
      <c r="AV17" s="536">
        <f ca="1">IF(AT17&lt;&gt;0,MAXA($AU$14:AU16)+AT17,0)</f>
        <v>0</v>
      </c>
      <c r="AW17" s="68"/>
    </row>
    <row r="18" spans="1:49" ht="18.75" customHeight="1" x14ac:dyDescent="0.25">
      <c r="A18" s="68"/>
      <c r="B18" s="56" t="str">
        <f>MID(Info!$AZ$3,(WEEKDAY(I18,2)-1)*3+1,3)</f>
        <v>Vie</v>
      </c>
      <c r="C18" s="523">
        <f>_xlfn.XLOOKUP(I18,Fchs!$C$60:$C$101,Fchs!$D$60:$D$101,0)</f>
        <v>0</v>
      </c>
      <c r="D18" s="523">
        <f>_xlfn.XLOOKUP(I18,Fchs!$C$60:$C$101,Fchs!$E$60:$E$101)</f>
        <v>0</v>
      </c>
      <c r="E18" s="532">
        <f>IF($AS18&lt;&gt;0,_xlfn.XLOOKUP($G18,UDs!$E$34:$E$55,UDs!$B$34:$B$55,,-1),0)</f>
        <v>0</v>
      </c>
      <c r="F18" s="532">
        <f t="shared" ca="1" si="4"/>
        <v>0</v>
      </c>
      <c r="G18" s="569">
        <f>IF(AU18&lt;&gt;0,MAX($AU$13:$AU17)+1,0)</f>
        <v>0</v>
      </c>
      <c r="H18" s="569" t="str">
        <f>IF(AS18&lt;&gt;0,COUNT($H$14:H17,1),"")</f>
        <v/>
      </c>
      <c r="I18" s="533">
        <f t="shared" si="10"/>
        <v>45905</v>
      </c>
      <c r="J18" s="534"/>
      <c r="K18" s="535"/>
      <c r="L18" s="126">
        <f t="shared" ca="1" si="11"/>
        <v>0</v>
      </c>
      <c r="M18" s="127">
        <f t="shared" ca="1" si="5"/>
        <v>0</v>
      </c>
      <c r="N18" s="127">
        <f t="shared" ca="1" si="5"/>
        <v>0</v>
      </c>
      <c r="O18" s="127">
        <f t="shared" ca="1" si="5"/>
        <v>0</v>
      </c>
      <c r="P18" s="128">
        <f t="shared" ca="1" si="5"/>
        <v>0</v>
      </c>
      <c r="Q18" s="126">
        <f t="shared" ca="1" si="5"/>
        <v>0</v>
      </c>
      <c r="R18" s="127">
        <f t="shared" ca="1" si="5"/>
        <v>0</v>
      </c>
      <c r="S18" s="127">
        <f t="shared" ca="1" si="5"/>
        <v>0</v>
      </c>
      <c r="T18" s="127">
        <f t="shared" ca="1" si="5"/>
        <v>0</v>
      </c>
      <c r="U18" s="128">
        <f t="shared" ca="1" si="5"/>
        <v>0</v>
      </c>
      <c r="V18" s="126">
        <f t="shared" ca="1" si="5"/>
        <v>0</v>
      </c>
      <c r="W18" s="127">
        <f t="shared" ca="1" si="5"/>
        <v>0</v>
      </c>
      <c r="X18" s="127">
        <f t="shared" ca="1" si="5"/>
        <v>0</v>
      </c>
      <c r="Y18" s="127">
        <f t="shared" ca="1" si="5"/>
        <v>0</v>
      </c>
      <c r="Z18" s="128">
        <f t="shared" ca="1" si="5"/>
        <v>0</v>
      </c>
      <c r="AA18" s="126">
        <f t="shared" ca="1" si="5"/>
        <v>0</v>
      </c>
      <c r="AB18" s="127">
        <f t="shared" ca="1" si="5"/>
        <v>0</v>
      </c>
      <c r="AC18" s="127">
        <f t="shared" ca="1" si="5"/>
        <v>0</v>
      </c>
      <c r="AD18" s="127">
        <f t="shared" ca="1" si="5"/>
        <v>0</v>
      </c>
      <c r="AE18" s="128">
        <f t="shared" ca="1" si="5"/>
        <v>0</v>
      </c>
      <c r="AF18" s="126">
        <f t="shared" ca="1" si="5"/>
        <v>0</v>
      </c>
      <c r="AG18" s="127">
        <f t="shared" ca="1" si="5"/>
        <v>0</v>
      </c>
      <c r="AH18" s="127">
        <f t="shared" ca="1" si="5"/>
        <v>0</v>
      </c>
      <c r="AI18" s="127">
        <f t="shared" ca="1" si="5"/>
        <v>0</v>
      </c>
      <c r="AJ18" s="128">
        <f t="shared" ca="1" si="5"/>
        <v>0</v>
      </c>
      <c r="AK18" s="126">
        <f t="shared" ca="1" si="5"/>
        <v>0</v>
      </c>
      <c r="AL18" s="127">
        <f t="shared" ca="1" si="5"/>
        <v>0</v>
      </c>
      <c r="AM18" s="127">
        <f t="shared" ca="1" si="5"/>
        <v>0</v>
      </c>
      <c r="AN18" s="127">
        <f t="shared" ca="1" si="5"/>
        <v>0</v>
      </c>
      <c r="AO18" s="129">
        <f t="shared" ca="1" si="5"/>
        <v>0</v>
      </c>
      <c r="AP18" s="536" t="str">
        <f t="shared" si="6"/>
        <v/>
      </c>
      <c r="AQ18" s="536" t="str">
        <f t="shared" si="7"/>
        <v/>
      </c>
      <c r="AR18" s="536" t="str">
        <f t="shared" si="8"/>
        <v/>
      </c>
      <c r="AS18" s="537">
        <f>IF(OR(J18&lt;&gt;"",AP18&amp;AQ18&amp;AR18&lt;&gt;"X",WEEKDAY(I18,2)&gt;5,C18&lt;&gt;0,(FechaInicio1Tri&gt;I18),(FechaFinEEva&lt;I18)),0,_xlfn.XLOOKUP(WEEKDAY(I18,2),Fchs!$J$10:$N$10,Fchs!$J$12:$N$12))</f>
        <v>0</v>
      </c>
      <c r="AT18" s="536">
        <f t="shared" ca="1" si="9"/>
        <v>0</v>
      </c>
      <c r="AU18" s="538">
        <f>IF(AS18&lt;&gt;0,MAXA($AU$14:AU17)+AS18,0)</f>
        <v>0</v>
      </c>
      <c r="AV18" s="536">
        <f ca="1">IF(AT18&lt;&gt;0,MAXA($AU$14:AU17)+AT18,0)</f>
        <v>0</v>
      </c>
      <c r="AW18" s="68"/>
    </row>
    <row r="19" spans="1:49" ht="18.75" customHeight="1" x14ac:dyDescent="0.25">
      <c r="A19" s="68"/>
      <c r="B19" s="56" t="str">
        <f>MID(Info!$AZ$3,(WEEKDAY(I19,2)-1)*3+1,3)</f>
        <v>Sáb</v>
      </c>
      <c r="C19" s="523">
        <f>_xlfn.XLOOKUP(I19,Fchs!$C$60:$C$101,Fchs!$D$60:$D$101,0)</f>
        <v>0</v>
      </c>
      <c r="D19" s="523">
        <f>_xlfn.XLOOKUP(I19,Fchs!$C$60:$C$101,Fchs!$E$60:$E$101)</f>
        <v>0</v>
      </c>
      <c r="E19" s="532">
        <f>IF($AS19&lt;&gt;0,_xlfn.XLOOKUP($G19,UDs!$E$34:$E$55,UDs!$B$34:$B$55,,-1),0)</f>
        <v>0</v>
      </c>
      <c r="F19" s="532">
        <f t="shared" ca="1" si="4"/>
        <v>0</v>
      </c>
      <c r="G19" s="569">
        <f>IF(AU19&lt;&gt;0,MAX($AU$13:$AU18)+1,0)</f>
        <v>0</v>
      </c>
      <c r="H19" s="569" t="str">
        <f>IF(AS19&lt;&gt;0,COUNT($H$14:H18,1),"")</f>
        <v/>
      </c>
      <c r="I19" s="533">
        <f t="shared" si="10"/>
        <v>45906</v>
      </c>
      <c r="J19" s="534"/>
      <c r="K19" s="535"/>
      <c r="L19" s="126">
        <f t="shared" ca="1" si="11"/>
        <v>0</v>
      </c>
      <c r="M19" s="127">
        <f t="shared" ca="1" si="5"/>
        <v>0</v>
      </c>
      <c r="N19" s="127">
        <f t="shared" ca="1" si="5"/>
        <v>0</v>
      </c>
      <c r="O19" s="127">
        <f t="shared" ca="1" si="5"/>
        <v>0</v>
      </c>
      <c r="P19" s="128">
        <f t="shared" ca="1" si="5"/>
        <v>0</v>
      </c>
      <c r="Q19" s="126">
        <f t="shared" ca="1" si="5"/>
        <v>0</v>
      </c>
      <c r="R19" s="127">
        <f t="shared" ca="1" si="5"/>
        <v>0</v>
      </c>
      <c r="S19" s="127">
        <f t="shared" ca="1" si="5"/>
        <v>0</v>
      </c>
      <c r="T19" s="127">
        <f t="shared" ca="1" si="5"/>
        <v>0</v>
      </c>
      <c r="U19" s="128">
        <f t="shared" ca="1" si="5"/>
        <v>0</v>
      </c>
      <c r="V19" s="126">
        <f t="shared" ca="1" si="5"/>
        <v>0</v>
      </c>
      <c r="W19" s="127">
        <f t="shared" ca="1" si="5"/>
        <v>0</v>
      </c>
      <c r="X19" s="127">
        <f t="shared" ca="1" si="5"/>
        <v>0</v>
      </c>
      <c r="Y19" s="127">
        <f t="shared" ca="1" si="5"/>
        <v>0</v>
      </c>
      <c r="Z19" s="128">
        <f t="shared" ca="1" si="5"/>
        <v>0</v>
      </c>
      <c r="AA19" s="126">
        <f t="shared" ca="1" si="5"/>
        <v>0</v>
      </c>
      <c r="AB19" s="127">
        <f t="shared" ca="1" si="5"/>
        <v>0</v>
      </c>
      <c r="AC19" s="127">
        <f t="shared" ca="1" si="5"/>
        <v>0</v>
      </c>
      <c r="AD19" s="127">
        <f t="shared" ca="1" si="5"/>
        <v>0</v>
      </c>
      <c r="AE19" s="128">
        <f t="shared" ca="1" si="5"/>
        <v>0</v>
      </c>
      <c r="AF19" s="126">
        <f t="shared" ca="1" si="5"/>
        <v>0</v>
      </c>
      <c r="AG19" s="127">
        <f t="shared" ca="1" si="5"/>
        <v>0</v>
      </c>
      <c r="AH19" s="127">
        <f t="shared" ca="1" si="5"/>
        <v>0</v>
      </c>
      <c r="AI19" s="127">
        <f t="shared" ca="1" si="5"/>
        <v>0</v>
      </c>
      <c r="AJ19" s="128">
        <f t="shared" ca="1" si="5"/>
        <v>0</v>
      </c>
      <c r="AK19" s="126">
        <f t="shared" ca="1" si="5"/>
        <v>0</v>
      </c>
      <c r="AL19" s="127">
        <f t="shared" ca="1" si="5"/>
        <v>0</v>
      </c>
      <c r="AM19" s="127">
        <f t="shared" ca="1" si="5"/>
        <v>0</v>
      </c>
      <c r="AN19" s="127">
        <f t="shared" ca="1" si="5"/>
        <v>0</v>
      </c>
      <c r="AO19" s="129">
        <f t="shared" ca="1" si="5"/>
        <v>0</v>
      </c>
      <c r="AP19" s="536" t="str">
        <f t="shared" si="6"/>
        <v/>
      </c>
      <c r="AQ19" s="536" t="str">
        <f t="shared" si="7"/>
        <v/>
      </c>
      <c r="AR19" s="536" t="str">
        <f t="shared" si="8"/>
        <v/>
      </c>
      <c r="AS19" s="537">
        <f>IF(OR(J19&lt;&gt;"",AP19&amp;AQ19&amp;AR19&lt;&gt;"X",WEEKDAY(I19,2)&gt;5,C19&lt;&gt;0,(FechaInicio1Tri&gt;I19),(FechaFinEEva&lt;I19)),0,_xlfn.XLOOKUP(WEEKDAY(I19,2),Fchs!$J$10:$N$10,Fchs!$J$12:$N$12))</f>
        <v>0</v>
      </c>
      <c r="AT19" s="536">
        <f t="shared" ca="1" si="9"/>
        <v>0</v>
      </c>
      <c r="AU19" s="538">
        <f>IF(AS19&lt;&gt;0,MAXA($AU$14:AU18)+AS19,0)</f>
        <v>0</v>
      </c>
      <c r="AV19" s="536">
        <f ca="1">IF(AT19&lt;&gt;0,MAXA($AU$14:AU18)+AT19,0)</f>
        <v>0</v>
      </c>
      <c r="AW19" s="68"/>
    </row>
    <row r="20" spans="1:49" ht="18.75" customHeight="1" x14ac:dyDescent="0.25">
      <c r="A20" s="68"/>
      <c r="B20" s="56" t="str">
        <f>MID(Info!$AZ$3,(WEEKDAY(I20,2)-1)*3+1,3)</f>
        <v>Dom</v>
      </c>
      <c r="C20" s="523">
        <f>_xlfn.XLOOKUP(I20,Fchs!$C$60:$C$101,Fchs!$D$60:$D$101,0)</f>
        <v>0</v>
      </c>
      <c r="D20" s="523">
        <f>_xlfn.XLOOKUP(I20,Fchs!$C$60:$C$101,Fchs!$E$60:$E$101)</f>
        <v>0</v>
      </c>
      <c r="E20" s="532">
        <f>IF($AS20&lt;&gt;0,_xlfn.XLOOKUP($G20,UDs!$E$34:$E$55,UDs!$B$34:$B$55,,-1),0)</f>
        <v>0</v>
      </c>
      <c r="F20" s="532">
        <f t="shared" ca="1" si="4"/>
        <v>0</v>
      </c>
      <c r="G20" s="569">
        <f>IF(AU20&lt;&gt;0,MAX($AU$13:$AU19)+1,0)</f>
        <v>0</v>
      </c>
      <c r="H20" s="569" t="str">
        <f>IF(AS20&lt;&gt;0,COUNT($H$14:H19,1),"")</f>
        <v/>
      </c>
      <c r="I20" s="533">
        <f t="shared" si="10"/>
        <v>45907</v>
      </c>
      <c r="J20" s="534"/>
      <c r="K20" s="535"/>
      <c r="L20" s="126">
        <f t="shared" ca="1" si="11"/>
        <v>0</v>
      </c>
      <c r="M20" s="127">
        <f t="shared" ca="1" si="5"/>
        <v>0</v>
      </c>
      <c r="N20" s="127">
        <f t="shared" ca="1" si="5"/>
        <v>0</v>
      </c>
      <c r="O20" s="127">
        <f t="shared" ca="1" si="5"/>
        <v>0</v>
      </c>
      <c r="P20" s="128">
        <f t="shared" ca="1" si="5"/>
        <v>0</v>
      </c>
      <c r="Q20" s="126">
        <f t="shared" ca="1" si="5"/>
        <v>0</v>
      </c>
      <c r="R20" s="127">
        <f t="shared" ca="1" si="5"/>
        <v>0</v>
      </c>
      <c r="S20" s="127">
        <f t="shared" ca="1" si="5"/>
        <v>0</v>
      </c>
      <c r="T20" s="127">
        <f t="shared" ca="1" si="5"/>
        <v>0</v>
      </c>
      <c r="U20" s="128">
        <f t="shared" ca="1" si="5"/>
        <v>0</v>
      </c>
      <c r="V20" s="126">
        <f t="shared" ca="1" si="5"/>
        <v>0</v>
      </c>
      <c r="W20" s="127">
        <f t="shared" ca="1" si="5"/>
        <v>0</v>
      </c>
      <c r="X20" s="127">
        <f t="shared" ca="1" si="5"/>
        <v>0</v>
      </c>
      <c r="Y20" s="127">
        <f t="shared" ca="1" si="5"/>
        <v>0</v>
      </c>
      <c r="Z20" s="128">
        <f t="shared" ca="1" si="5"/>
        <v>0</v>
      </c>
      <c r="AA20" s="126">
        <f t="shared" ca="1" si="5"/>
        <v>0</v>
      </c>
      <c r="AB20" s="127">
        <f t="shared" ca="1" si="5"/>
        <v>0</v>
      </c>
      <c r="AC20" s="127">
        <f t="shared" ca="1" si="5"/>
        <v>0</v>
      </c>
      <c r="AD20" s="127">
        <f t="shared" ca="1" si="5"/>
        <v>0</v>
      </c>
      <c r="AE20" s="128">
        <f t="shared" ca="1" si="5"/>
        <v>0</v>
      </c>
      <c r="AF20" s="126">
        <f t="shared" ca="1" si="5"/>
        <v>0</v>
      </c>
      <c r="AG20" s="127">
        <f t="shared" ca="1" si="5"/>
        <v>0</v>
      </c>
      <c r="AH20" s="127">
        <f t="shared" ca="1" si="5"/>
        <v>0</v>
      </c>
      <c r="AI20" s="127">
        <f t="shared" ca="1" si="5"/>
        <v>0</v>
      </c>
      <c r="AJ20" s="128">
        <f t="shared" ca="1" si="5"/>
        <v>0</v>
      </c>
      <c r="AK20" s="126">
        <f t="shared" ca="1" si="5"/>
        <v>0</v>
      </c>
      <c r="AL20" s="127">
        <f t="shared" ca="1" si="5"/>
        <v>0</v>
      </c>
      <c r="AM20" s="127">
        <f t="shared" ca="1" si="5"/>
        <v>0</v>
      </c>
      <c r="AN20" s="127">
        <f t="shared" ca="1" si="5"/>
        <v>0</v>
      </c>
      <c r="AO20" s="129">
        <f t="shared" ca="1" si="5"/>
        <v>0</v>
      </c>
      <c r="AP20" s="536" t="str">
        <f t="shared" si="6"/>
        <v/>
      </c>
      <c r="AQ20" s="536" t="str">
        <f t="shared" si="7"/>
        <v/>
      </c>
      <c r="AR20" s="536" t="str">
        <f t="shared" si="8"/>
        <v/>
      </c>
      <c r="AS20" s="537">
        <f>IF(OR(J20&lt;&gt;"",AP20&amp;AQ20&amp;AR20&lt;&gt;"X",WEEKDAY(I20,2)&gt;5,C20&lt;&gt;0,(FechaInicio1Tri&gt;I20),(FechaFinEEva&lt;I20)),0,_xlfn.XLOOKUP(WEEKDAY(I20,2),Fchs!$J$10:$N$10,Fchs!$J$12:$N$12))</f>
        <v>0</v>
      </c>
      <c r="AT20" s="536">
        <f t="shared" ca="1" si="9"/>
        <v>0</v>
      </c>
      <c r="AU20" s="538">
        <f>IF(AS20&lt;&gt;0,MAXA($AU$14:AU19)+AS20,0)</f>
        <v>0</v>
      </c>
      <c r="AV20" s="538">
        <f ca="1">IF(AT20&lt;&gt;0,MAXA($AU$14:AU19)+AT20,0)</f>
        <v>0</v>
      </c>
      <c r="AW20" s="68"/>
    </row>
    <row r="21" spans="1:49" ht="18.75" customHeight="1" x14ac:dyDescent="0.25">
      <c r="A21" s="68"/>
      <c r="B21" s="56" t="str">
        <f>MID(Info!$AZ$3,(WEEKDAY(I21,2)-1)*3+1,3)</f>
        <v>Lun</v>
      </c>
      <c r="C21" s="523">
        <f>_xlfn.XLOOKUP(I21,Fchs!$C$60:$C$101,Fchs!$D$60:$D$101,0)</f>
        <v>0</v>
      </c>
      <c r="D21" s="523">
        <f>_xlfn.XLOOKUP(I21,Fchs!$C$60:$C$101,Fchs!$E$60:$E$101)</f>
        <v>0</v>
      </c>
      <c r="E21" s="532">
        <f>IF($AS21&lt;&gt;0,_xlfn.XLOOKUP($G21,UDs!$E$34:$E$55,UDs!$B$34:$B$55,,-1),0)</f>
        <v>0</v>
      </c>
      <c r="F21" s="532">
        <f t="shared" ca="1" si="4"/>
        <v>0</v>
      </c>
      <c r="G21" s="569">
        <f>IF(AU21&lt;&gt;0,MAX($AU$13:$AU20)+1,0)</f>
        <v>0</v>
      </c>
      <c r="H21" s="569" t="str">
        <f>IF(AS21&lt;&gt;0,COUNT($H$14:H20,1),"")</f>
        <v/>
      </c>
      <c r="I21" s="533">
        <f t="shared" si="10"/>
        <v>45908</v>
      </c>
      <c r="J21" s="534"/>
      <c r="K21" s="535"/>
      <c r="L21" s="126">
        <f t="shared" ca="1" si="11"/>
        <v>0</v>
      </c>
      <c r="M21" s="127">
        <f t="shared" ca="1" si="5"/>
        <v>0</v>
      </c>
      <c r="N21" s="127">
        <f t="shared" ca="1" si="5"/>
        <v>0</v>
      </c>
      <c r="O21" s="127">
        <f t="shared" ca="1" si="5"/>
        <v>0</v>
      </c>
      <c r="P21" s="128">
        <f t="shared" ca="1" si="5"/>
        <v>0</v>
      </c>
      <c r="Q21" s="126">
        <f t="shared" ca="1" si="5"/>
        <v>0</v>
      </c>
      <c r="R21" s="127">
        <f t="shared" ca="1" si="5"/>
        <v>0</v>
      </c>
      <c r="S21" s="127">
        <f t="shared" ca="1" si="5"/>
        <v>0</v>
      </c>
      <c r="T21" s="127">
        <f t="shared" ca="1" si="5"/>
        <v>0</v>
      </c>
      <c r="U21" s="128">
        <f t="shared" ca="1" si="5"/>
        <v>0</v>
      </c>
      <c r="V21" s="126">
        <f t="shared" ca="1" si="5"/>
        <v>0</v>
      </c>
      <c r="W21" s="127">
        <f t="shared" ca="1" si="5"/>
        <v>0</v>
      </c>
      <c r="X21" s="127">
        <f t="shared" ca="1" si="5"/>
        <v>0</v>
      </c>
      <c r="Y21" s="127">
        <f t="shared" ca="1" si="5"/>
        <v>0</v>
      </c>
      <c r="Z21" s="128">
        <f t="shared" ca="1" si="5"/>
        <v>0</v>
      </c>
      <c r="AA21" s="126">
        <f t="shared" ca="1" si="5"/>
        <v>0</v>
      </c>
      <c r="AB21" s="127">
        <f t="shared" ca="1" si="5"/>
        <v>0</v>
      </c>
      <c r="AC21" s="127">
        <f t="shared" ca="1" si="5"/>
        <v>0</v>
      </c>
      <c r="AD21" s="127">
        <f t="shared" ca="1" si="5"/>
        <v>0</v>
      </c>
      <c r="AE21" s="128">
        <f t="shared" ca="1" si="5"/>
        <v>0</v>
      </c>
      <c r="AF21" s="126">
        <f t="shared" ca="1" si="5"/>
        <v>0</v>
      </c>
      <c r="AG21" s="127">
        <f t="shared" ca="1" si="5"/>
        <v>0</v>
      </c>
      <c r="AH21" s="127">
        <f t="shared" ca="1" si="5"/>
        <v>0</v>
      </c>
      <c r="AI21" s="127">
        <f t="shared" ca="1" si="5"/>
        <v>0</v>
      </c>
      <c r="AJ21" s="128">
        <f t="shared" ca="1" si="5"/>
        <v>0</v>
      </c>
      <c r="AK21" s="126">
        <f t="shared" ca="1" si="5"/>
        <v>0</v>
      </c>
      <c r="AL21" s="127">
        <f t="shared" ca="1" si="5"/>
        <v>0</v>
      </c>
      <c r="AM21" s="127">
        <f t="shared" ca="1" si="5"/>
        <v>0</v>
      </c>
      <c r="AN21" s="127">
        <f t="shared" ca="1" si="5"/>
        <v>0</v>
      </c>
      <c r="AO21" s="129">
        <f t="shared" ca="1" si="5"/>
        <v>0</v>
      </c>
      <c r="AP21" s="536" t="str">
        <f t="shared" si="6"/>
        <v/>
      </c>
      <c r="AQ21" s="536" t="str">
        <f t="shared" si="7"/>
        <v/>
      </c>
      <c r="AR21" s="536" t="str">
        <f t="shared" si="8"/>
        <v/>
      </c>
      <c r="AS21" s="537">
        <f>IF(OR(J21&lt;&gt;"",AP21&amp;AQ21&amp;AR21&lt;&gt;"X",WEEKDAY(I21,2)&gt;5,C21&lt;&gt;0,(FechaInicio1Tri&gt;I21),(FechaFinEEva&lt;I21)),0,_xlfn.XLOOKUP(WEEKDAY(I21,2),Fchs!$J$10:$N$10,Fchs!$J$12:$N$12))</f>
        <v>0</v>
      </c>
      <c r="AT21" s="536">
        <f t="shared" ca="1" si="9"/>
        <v>0</v>
      </c>
      <c r="AU21" s="538">
        <f>IF(AS21&lt;&gt;0,MAXA($AU$14:AU20)+AS21,0)</f>
        <v>0</v>
      </c>
      <c r="AV21" s="538">
        <f ca="1">IF(AT21&lt;&gt;0,MAXA($AU$14:AU20)+AT21,0)</f>
        <v>0</v>
      </c>
      <c r="AW21" s="68"/>
    </row>
    <row r="22" spans="1:49" ht="18.75" customHeight="1" x14ac:dyDescent="0.25">
      <c r="A22" s="68"/>
      <c r="B22" s="56" t="str">
        <f>MID(Info!$AZ$3,(WEEKDAY(I22,2)-1)*3+1,3)</f>
        <v>Mar</v>
      </c>
      <c r="C22" s="523">
        <f>_xlfn.XLOOKUP(I22,Fchs!$C$60:$C$101,Fchs!$D$60:$D$101,0)</f>
        <v>0</v>
      </c>
      <c r="D22" s="523">
        <f>_xlfn.XLOOKUP(I22,Fchs!$C$60:$C$101,Fchs!$E$60:$E$101)</f>
        <v>0</v>
      </c>
      <c r="E22" s="532">
        <f>IF($AS22&lt;&gt;0,_xlfn.XLOOKUP($G22,UDs!$E$34:$E$55,UDs!$B$34:$B$55,,-1),0)</f>
        <v>0</v>
      </c>
      <c r="F22" s="532">
        <f t="shared" ca="1" si="4"/>
        <v>0</v>
      </c>
      <c r="G22" s="569">
        <f>IF(AU22&lt;&gt;0,MAX($AU$13:$AU21)+1,0)</f>
        <v>0</v>
      </c>
      <c r="H22" s="569" t="str">
        <f>IF(AS22&lt;&gt;0,COUNT($H$14:H21,1),"")</f>
        <v/>
      </c>
      <c r="I22" s="533">
        <f t="shared" si="10"/>
        <v>45909</v>
      </c>
      <c r="J22" s="534"/>
      <c r="K22" s="535"/>
      <c r="L22" s="126">
        <f t="shared" ca="1" si="11"/>
        <v>0</v>
      </c>
      <c r="M22" s="127">
        <f t="shared" ca="1" si="5"/>
        <v>0</v>
      </c>
      <c r="N22" s="127">
        <f t="shared" ca="1" si="5"/>
        <v>0</v>
      </c>
      <c r="O22" s="127">
        <f t="shared" ca="1" si="5"/>
        <v>0</v>
      </c>
      <c r="P22" s="128">
        <f t="shared" ca="1" si="5"/>
        <v>0</v>
      </c>
      <c r="Q22" s="126">
        <f t="shared" ca="1" si="5"/>
        <v>0</v>
      </c>
      <c r="R22" s="127">
        <f t="shared" ca="1" si="5"/>
        <v>0</v>
      </c>
      <c r="S22" s="127">
        <f t="shared" ca="1" si="5"/>
        <v>0</v>
      </c>
      <c r="T22" s="127">
        <f t="shared" ca="1" si="5"/>
        <v>0</v>
      </c>
      <c r="U22" s="128">
        <f t="shared" ca="1" si="5"/>
        <v>0</v>
      </c>
      <c r="V22" s="126">
        <f t="shared" ca="1" si="5"/>
        <v>0</v>
      </c>
      <c r="W22" s="127">
        <f t="shared" ca="1" si="5"/>
        <v>0</v>
      </c>
      <c r="X22" s="127">
        <f t="shared" ca="1" si="5"/>
        <v>0</v>
      </c>
      <c r="Y22" s="127">
        <f t="shared" ca="1" si="5"/>
        <v>0</v>
      </c>
      <c r="Z22" s="128">
        <f t="shared" ca="1" si="5"/>
        <v>0</v>
      </c>
      <c r="AA22" s="126">
        <f t="shared" ca="1" si="5"/>
        <v>0</v>
      </c>
      <c r="AB22" s="127">
        <f t="shared" ca="1" si="5"/>
        <v>0</v>
      </c>
      <c r="AC22" s="127">
        <f t="shared" ca="1" si="5"/>
        <v>0</v>
      </c>
      <c r="AD22" s="127">
        <f t="shared" ca="1" si="5"/>
        <v>0</v>
      </c>
      <c r="AE22" s="128">
        <f t="shared" ca="1" si="5"/>
        <v>0</v>
      </c>
      <c r="AF22" s="126">
        <f t="shared" ca="1" si="5"/>
        <v>0</v>
      </c>
      <c r="AG22" s="127">
        <f t="shared" ca="1" si="5"/>
        <v>0</v>
      </c>
      <c r="AH22" s="127">
        <f t="shared" ca="1" si="5"/>
        <v>0</v>
      </c>
      <c r="AI22" s="127">
        <f t="shared" ca="1" si="5"/>
        <v>0</v>
      </c>
      <c r="AJ22" s="128">
        <f t="shared" ref="AJ22:AO85" ca="1" si="12">$AT22</f>
        <v>0</v>
      </c>
      <c r="AK22" s="126">
        <f t="shared" ca="1" si="12"/>
        <v>0</v>
      </c>
      <c r="AL22" s="127">
        <f t="shared" ca="1" si="12"/>
        <v>0</v>
      </c>
      <c r="AM22" s="127">
        <f t="shared" ca="1" si="12"/>
        <v>0</v>
      </c>
      <c r="AN22" s="127">
        <f t="shared" ca="1" si="12"/>
        <v>0</v>
      </c>
      <c r="AO22" s="129">
        <f t="shared" ca="1" si="12"/>
        <v>0</v>
      </c>
      <c r="AP22" s="536" t="str">
        <f t="shared" si="6"/>
        <v/>
      </c>
      <c r="AQ22" s="536" t="str">
        <f t="shared" si="7"/>
        <v/>
      </c>
      <c r="AR22" s="536" t="str">
        <f t="shared" si="8"/>
        <v/>
      </c>
      <c r="AS22" s="537">
        <f>IF(OR(J22&lt;&gt;"",AP22&amp;AQ22&amp;AR22&lt;&gt;"X",WEEKDAY(I22,2)&gt;5,C22&lt;&gt;0,(FechaInicio1Tri&gt;I22),(FechaFinEEva&lt;I22)),0,_xlfn.XLOOKUP(WEEKDAY(I22,2),Fchs!$J$10:$N$10,Fchs!$J$12:$N$12))</f>
        <v>0</v>
      </c>
      <c r="AT22" s="536">
        <f t="shared" ca="1" si="9"/>
        <v>0</v>
      </c>
      <c r="AU22" s="538">
        <f>IF(AS22&lt;&gt;0,MAXA($AU$14:AU21)+AS22,0)</f>
        <v>0</v>
      </c>
      <c r="AV22" s="538">
        <f ca="1">IF(AT22&lt;&gt;0,MAXA($AU$14:AU21)+AT22,0)</f>
        <v>0</v>
      </c>
      <c r="AW22" s="68"/>
    </row>
    <row r="23" spans="1:49" ht="18.75" customHeight="1" x14ac:dyDescent="0.25">
      <c r="A23" s="68"/>
      <c r="B23" s="56" t="str">
        <f>MID(Info!$AZ$3,(WEEKDAY(I23,2)-1)*3+1,3)</f>
        <v>Mié</v>
      </c>
      <c r="C23" s="523">
        <f>_xlfn.XLOOKUP(I23,Fchs!$C$60:$C$101,Fchs!$D$60:$D$101,0)</f>
        <v>0</v>
      </c>
      <c r="D23" s="523">
        <f>_xlfn.XLOOKUP(I23,Fchs!$C$60:$C$101,Fchs!$E$60:$E$101)</f>
        <v>0</v>
      </c>
      <c r="E23" s="532">
        <f>IF($AS23&lt;&gt;0,_xlfn.XLOOKUP($G23,UDs!$E$34:$E$55,UDs!$B$34:$B$55,,-1),0)</f>
        <v>0</v>
      </c>
      <c r="F23" s="532">
        <f t="shared" ca="1" si="4"/>
        <v>0</v>
      </c>
      <c r="G23" s="569">
        <f>IF(AU23&lt;&gt;0,MAX($AU$13:$AU22)+1,0)</f>
        <v>0</v>
      </c>
      <c r="H23" s="569" t="str">
        <f>IF(AS23&lt;&gt;0,COUNT($H$14:H22,1),"")</f>
        <v/>
      </c>
      <c r="I23" s="533">
        <f t="shared" si="10"/>
        <v>45910</v>
      </c>
      <c r="J23" s="534"/>
      <c r="K23" s="535"/>
      <c r="L23" s="126">
        <f t="shared" ca="1" si="11"/>
        <v>0</v>
      </c>
      <c r="M23" s="127">
        <f t="shared" ca="1" si="11"/>
        <v>0</v>
      </c>
      <c r="N23" s="127">
        <f t="shared" ca="1" si="11"/>
        <v>0</v>
      </c>
      <c r="O23" s="127">
        <f t="shared" ca="1" si="11"/>
        <v>0</v>
      </c>
      <c r="P23" s="128">
        <f t="shared" ca="1" si="11"/>
        <v>0</v>
      </c>
      <c r="Q23" s="126">
        <f t="shared" ca="1" si="11"/>
        <v>0</v>
      </c>
      <c r="R23" s="127">
        <f t="shared" ca="1" si="11"/>
        <v>0</v>
      </c>
      <c r="S23" s="127">
        <f t="shared" ca="1" si="11"/>
        <v>0</v>
      </c>
      <c r="T23" s="127">
        <f t="shared" ca="1" si="11"/>
        <v>0</v>
      </c>
      <c r="U23" s="128">
        <f t="shared" ca="1" si="11"/>
        <v>0</v>
      </c>
      <c r="V23" s="126">
        <f t="shared" ca="1" si="11"/>
        <v>0</v>
      </c>
      <c r="W23" s="127">
        <f t="shared" ca="1" si="11"/>
        <v>0</v>
      </c>
      <c r="X23" s="127">
        <f t="shared" ca="1" si="11"/>
        <v>0</v>
      </c>
      <c r="Y23" s="127">
        <f t="shared" ca="1" si="11"/>
        <v>0</v>
      </c>
      <c r="Z23" s="128">
        <f t="shared" ca="1" si="11"/>
        <v>0</v>
      </c>
      <c r="AA23" s="126">
        <f t="shared" ca="1" si="11"/>
        <v>0</v>
      </c>
      <c r="AB23" s="127">
        <f t="shared" ref="AB23:AN43" ca="1" si="13">$AT23</f>
        <v>0</v>
      </c>
      <c r="AC23" s="127">
        <f t="shared" ca="1" si="13"/>
        <v>0</v>
      </c>
      <c r="AD23" s="127">
        <f t="shared" ca="1" si="13"/>
        <v>0</v>
      </c>
      <c r="AE23" s="128">
        <f t="shared" ca="1" si="13"/>
        <v>0</v>
      </c>
      <c r="AF23" s="126">
        <f t="shared" ca="1" si="13"/>
        <v>0</v>
      </c>
      <c r="AG23" s="127">
        <f t="shared" ca="1" si="13"/>
        <v>0</v>
      </c>
      <c r="AH23" s="127">
        <f t="shared" ca="1" si="13"/>
        <v>0</v>
      </c>
      <c r="AI23" s="127">
        <f t="shared" ca="1" si="13"/>
        <v>0</v>
      </c>
      <c r="AJ23" s="128">
        <f t="shared" ca="1" si="13"/>
        <v>0</v>
      </c>
      <c r="AK23" s="126">
        <f t="shared" ca="1" si="13"/>
        <v>0</v>
      </c>
      <c r="AL23" s="127">
        <f t="shared" ca="1" si="13"/>
        <v>0</v>
      </c>
      <c r="AM23" s="127">
        <f t="shared" ca="1" si="13"/>
        <v>0</v>
      </c>
      <c r="AN23" s="127">
        <f t="shared" ca="1" si="13"/>
        <v>0</v>
      </c>
      <c r="AO23" s="129">
        <f t="shared" ca="1" si="12"/>
        <v>0</v>
      </c>
      <c r="AP23" s="536" t="str">
        <f t="shared" si="6"/>
        <v/>
      </c>
      <c r="AQ23" s="536" t="str">
        <f t="shared" si="7"/>
        <v/>
      </c>
      <c r="AR23" s="536" t="str">
        <f t="shared" si="8"/>
        <v/>
      </c>
      <c r="AS23" s="537">
        <f>IF(OR(J23&lt;&gt;"",AP23&amp;AQ23&amp;AR23&lt;&gt;"X",WEEKDAY(I23,2)&gt;5,C23&lt;&gt;0,(FechaInicio1Tri&gt;I23),(FechaFinEEva&lt;I23)),0,_xlfn.XLOOKUP(WEEKDAY(I23,2),Fchs!$J$10:$N$10,Fchs!$J$12:$N$12))</f>
        <v>0</v>
      </c>
      <c r="AT23" s="536">
        <f t="shared" ca="1" si="9"/>
        <v>0</v>
      </c>
      <c r="AU23" s="538">
        <f>IF(AS23&lt;&gt;0,MAXA($AU$14:AU22)+AS23,0)</f>
        <v>0</v>
      </c>
      <c r="AV23" s="538">
        <f ca="1">IF(AT23&lt;&gt;0,MAXA($AU$14:AU22)+AT23,0)</f>
        <v>0</v>
      </c>
      <c r="AW23" s="68"/>
    </row>
    <row r="24" spans="1:49" ht="18.75" customHeight="1" x14ac:dyDescent="0.25">
      <c r="A24" s="68"/>
      <c r="B24" s="56" t="str">
        <f>MID(Info!$AZ$3,(WEEKDAY(I24,2)-1)*3+1,3)</f>
        <v>Jue</v>
      </c>
      <c r="C24" s="523">
        <f>_xlfn.XLOOKUP(I24,Fchs!$C$60:$C$101,Fchs!$D$60:$D$101,0)</f>
        <v>0</v>
      </c>
      <c r="D24" s="523" t="str">
        <f>_xlfn.XLOOKUP(I24,Fchs!$C$60:$C$101,Fchs!$E$60:$E$101)</f>
        <v>Presentación</v>
      </c>
      <c r="E24" s="532">
        <f>IF($AS24&lt;&gt;0,_xlfn.XLOOKUP($G24,UDs!$E$34:$E$55,UDs!$B$34:$B$55,,-1),0)</f>
        <v>0</v>
      </c>
      <c r="F24" s="532">
        <f t="shared" ca="1" si="4"/>
        <v>0</v>
      </c>
      <c r="G24" s="569">
        <f>IF(AU24&lt;&gt;0,MAX($AU$13:$AU23)+1,0)</f>
        <v>0</v>
      </c>
      <c r="H24" s="569" t="str">
        <f>IF(AS24&lt;&gt;0,COUNT($H$14:H23,1),"")</f>
        <v/>
      </c>
      <c r="I24" s="533">
        <f t="shared" si="10"/>
        <v>45911</v>
      </c>
      <c r="J24" s="534"/>
      <c r="K24" s="535"/>
      <c r="L24" s="126">
        <f t="shared" ca="1" si="11"/>
        <v>0</v>
      </c>
      <c r="M24" s="127">
        <f t="shared" ca="1" si="11"/>
        <v>0</v>
      </c>
      <c r="N24" s="127">
        <f t="shared" ca="1" si="11"/>
        <v>0</v>
      </c>
      <c r="O24" s="127">
        <f t="shared" ca="1" si="11"/>
        <v>0</v>
      </c>
      <c r="P24" s="128">
        <f t="shared" ca="1" si="11"/>
        <v>0</v>
      </c>
      <c r="Q24" s="126">
        <f t="shared" ca="1" si="11"/>
        <v>0</v>
      </c>
      <c r="R24" s="127">
        <f t="shared" ca="1" si="11"/>
        <v>0</v>
      </c>
      <c r="S24" s="127">
        <f t="shared" ca="1" si="11"/>
        <v>0</v>
      </c>
      <c r="T24" s="127">
        <f t="shared" ca="1" si="11"/>
        <v>0</v>
      </c>
      <c r="U24" s="128">
        <f t="shared" ca="1" si="11"/>
        <v>0</v>
      </c>
      <c r="V24" s="126">
        <f t="shared" ca="1" si="11"/>
        <v>0</v>
      </c>
      <c r="W24" s="127">
        <f t="shared" ca="1" si="11"/>
        <v>0</v>
      </c>
      <c r="X24" s="127">
        <f t="shared" ca="1" si="11"/>
        <v>0</v>
      </c>
      <c r="Y24" s="127">
        <f t="shared" ca="1" si="11"/>
        <v>0</v>
      </c>
      <c r="Z24" s="128">
        <f t="shared" ca="1" si="11"/>
        <v>0</v>
      </c>
      <c r="AA24" s="126">
        <f t="shared" ca="1" si="11"/>
        <v>0</v>
      </c>
      <c r="AB24" s="127">
        <f t="shared" ca="1" si="13"/>
        <v>0</v>
      </c>
      <c r="AC24" s="127">
        <f t="shared" ca="1" si="13"/>
        <v>0</v>
      </c>
      <c r="AD24" s="127">
        <f t="shared" ca="1" si="13"/>
        <v>0</v>
      </c>
      <c r="AE24" s="128">
        <f t="shared" ca="1" si="13"/>
        <v>0</v>
      </c>
      <c r="AF24" s="126">
        <f t="shared" ca="1" si="13"/>
        <v>0</v>
      </c>
      <c r="AG24" s="127">
        <f t="shared" ca="1" si="13"/>
        <v>0</v>
      </c>
      <c r="AH24" s="127">
        <f t="shared" ca="1" si="13"/>
        <v>0</v>
      </c>
      <c r="AI24" s="127">
        <f t="shared" ca="1" si="13"/>
        <v>0</v>
      </c>
      <c r="AJ24" s="128">
        <f t="shared" ca="1" si="13"/>
        <v>0</v>
      </c>
      <c r="AK24" s="126">
        <f t="shared" ca="1" si="13"/>
        <v>0</v>
      </c>
      <c r="AL24" s="127">
        <f t="shared" ca="1" si="13"/>
        <v>0</v>
      </c>
      <c r="AM24" s="127">
        <f t="shared" ca="1" si="13"/>
        <v>0</v>
      </c>
      <c r="AN24" s="127">
        <f t="shared" ca="1" si="13"/>
        <v>0</v>
      </c>
      <c r="AO24" s="129">
        <f t="shared" ca="1" si="12"/>
        <v>0</v>
      </c>
      <c r="AP24" s="536" t="str">
        <f t="shared" si="6"/>
        <v/>
      </c>
      <c r="AQ24" s="536" t="str">
        <f t="shared" si="7"/>
        <v/>
      </c>
      <c r="AR24" s="536" t="str">
        <f t="shared" si="8"/>
        <v/>
      </c>
      <c r="AS24" s="537">
        <f>IF(OR(J24&lt;&gt;"",AP24&amp;AQ24&amp;AR24&lt;&gt;"X",WEEKDAY(I24,2)&gt;5,C24&lt;&gt;0,(FechaInicio1Tri&gt;I24),(FechaFinEEva&lt;I24)),0,_xlfn.XLOOKUP(WEEKDAY(I24,2),Fchs!$J$10:$N$10,Fchs!$J$12:$N$12))</f>
        <v>0</v>
      </c>
      <c r="AT24" s="536">
        <f t="shared" ca="1" si="9"/>
        <v>0</v>
      </c>
      <c r="AU24" s="538">
        <f>IF(AS24&lt;&gt;0,MAXA($AU$14:AU23)+AS24,0)</f>
        <v>0</v>
      </c>
      <c r="AV24" s="538">
        <f ca="1">IF(AT24&lt;&gt;0,MAXA($AU$14:AU23)+AT24,0)</f>
        <v>0</v>
      </c>
      <c r="AW24" s="68"/>
    </row>
    <row r="25" spans="1:49" ht="18.75" customHeight="1" x14ac:dyDescent="0.25">
      <c r="A25" s="68"/>
      <c r="B25" s="56" t="str">
        <f>MID(Info!$AZ$3,(WEEKDAY(I25,2)-1)*3+1,3)</f>
        <v>Vie</v>
      </c>
      <c r="C25" s="523">
        <f>_xlfn.XLOOKUP(I25,Fchs!$C$60:$C$101,Fchs!$D$60:$D$101,0)</f>
        <v>0</v>
      </c>
      <c r="D25" s="523" t="str">
        <f>_xlfn.XLOOKUP(I25,Fchs!$C$60:$C$101,Fchs!$E$60:$E$101)</f>
        <v>Inicio clases</v>
      </c>
      <c r="E25" s="532">
        <f>IF($AS25&lt;&gt;0,_xlfn.XLOOKUP($G25,UDs!$E$34:$E$55,UDs!$B$34:$B$55,,-1),0)</f>
        <v>0</v>
      </c>
      <c r="F25" s="532">
        <f t="shared" ca="1" si="4"/>
        <v>0</v>
      </c>
      <c r="G25" s="569">
        <f>IF(AU25&lt;&gt;0,MAX($AU$13:$AU24)+1,0)</f>
        <v>0</v>
      </c>
      <c r="H25" s="569" t="str">
        <f>IF(AS25&lt;&gt;0,COUNT($H$14:H24,1),"")</f>
        <v/>
      </c>
      <c r="I25" s="533">
        <f t="shared" si="10"/>
        <v>45912</v>
      </c>
      <c r="J25" s="534"/>
      <c r="K25" s="535"/>
      <c r="L25" s="126">
        <f t="shared" ca="1" si="11"/>
        <v>0</v>
      </c>
      <c r="M25" s="127">
        <f t="shared" ca="1" si="11"/>
        <v>0</v>
      </c>
      <c r="N25" s="127">
        <f t="shared" ca="1" si="11"/>
        <v>0</v>
      </c>
      <c r="O25" s="127">
        <f t="shared" ca="1" si="11"/>
        <v>0</v>
      </c>
      <c r="P25" s="128">
        <f t="shared" ca="1" si="11"/>
        <v>0</v>
      </c>
      <c r="Q25" s="126">
        <f t="shared" ca="1" si="11"/>
        <v>0</v>
      </c>
      <c r="R25" s="127">
        <f t="shared" ca="1" si="11"/>
        <v>0</v>
      </c>
      <c r="S25" s="127">
        <f t="shared" ca="1" si="11"/>
        <v>0</v>
      </c>
      <c r="T25" s="127">
        <f t="shared" ca="1" si="11"/>
        <v>0</v>
      </c>
      <c r="U25" s="128">
        <f t="shared" ca="1" si="11"/>
        <v>0</v>
      </c>
      <c r="V25" s="126">
        <f t="shared" ca="1" si="11"/>
        <v>0</v>
      </c>
      <c r="W25" s="127">
        <f t="shared" ca="1" si="11"/>
        <v>0</v>
      </c>
      <c r="X25" s="127">
        <f t="shared" ca="1" si="11"/>
        <v>0</v>
      </c>
      <c r="Y25" s="127">
        <f t="shared" ca="1" si="11"/>
        <v>0</v>
      </c>
      <c r="Z25" s="128">
        <f t="shared" ca="1" si="11"/>
        <v>0</v>
      </c>
      <c r="AA25" s="126">
        <f t="shared" ca="1" si="11"/>
        <v>0</v>
      </c>
      <c r="AB25" s="127">
        <f t="shared" ca="1" si="13"/>
        <v>0</v>
      </c>
      <c r="AC25" s="127">
        <f t="shared" ca="1" si="13"/>
        <v>0</v>
      </c>
      <c r="AD25" s="127">
        <f t="shared" ca="1" si="13"/>
        <v>0</v>
      </c>
      <c r="AE25" s="128">
        <f t="shared" ca="1" si="13"/>
        <v>0</v>
      </c>
      <c r="AF25" s="126">
        <f t="shared" ca="1" si="13"/>
        <v>0</v>
      </c>
      <c r="AG25" s="127">
        <f t="shared" ca="1" si="13"/>
        <v>0</v>
      </c>
      <c r="AH25" s="127">
        <f t="shared" ca="1" si="13"/>
        <v>0</v>
      </c>
      <c r="AI25" s="127">
        <f t="shared" ca="1" si="13"/>
        <v>0</v>
      </c>
      <c r="AJ25" s="128">
        <f t="shared" ca="1" si="13"/>
        <v>0</v>
      </c>
      <c r="AK25" s="126">
        <f t="shared" ca="1" si="13"/>
        <v>0</v>
      </c>
      <c r="AL25" s="127">
        <f t="shared" ca="1" si="13"/>
        <v>0</v>
      </c>
      <c r="AM25" s="127">
        <f t="shared" ca="1" si="13"/>
        <v>0</v>
      </c>
      <c r="AN25" s="127">
        <f t="shared" ca="1" si="13"/>
        <v>0</v>
      </c>
      <c r="AO25" s="129">
        <f t="shared" ca="1" si="12"/>
        <v>0</v>
      </c>
      <c r="AP25" s="536" t="str">
        <f t="shared" si="6"/>
        <v/>
      </c>
      <c r="AQ25" s="536" t="str">
        <f t="shared" si="7"/>
        <v/>
      </c>
      <c r="AR25" s="536" t="str">
        <f t="shared" si="8"/>
        <v/>
      </c>
      <c r="AS25" s="537">
        <f>IF(OR(J25&lt;&gt;"",AP25&amp;AQ25&amp;AR25&lt;&gt;"X",WEEKDAY(I25,2)&gt;5,C25&lt;&gt;0,(FechaInicio1Tri&gt;I25),(FechaFinEEva&lt;I25)),0,_xlfn.XLOOKUP(WEEKDAY(I25,2),Fchs!$J$10:$N$10,Fchs!$J$12:$N$12))</f>
        <v>0</v>
      </c>
      <c r="AT25" s="536">
        <f t="shared" ca="1" si="9"/>
        <v>0</v>
      </c>
      <c r="AU25" s="538">
        <f>IF(AS25&lt;&gt;0,MAXA($AU$14:AU24)+AS25,0)</f>
        <v>0</v>
      </c>
      <c r="AV25" s="538">
        <f ca="1">IF(AT25&lt;&gt;0,MAXA($AU$14:AU24)+AT25,0)</f>
        <v>0</v>
      </c>
      <c r="AW25" s="68"/>
    </row>
    <row r="26" spans="1:49" ht="18.75" customHeight="1" x14ac:dyDescent="0.25">
      <c r="A26" s="68"/>
      <c r="B26" s="56" t="str">
        <f>MID(Info!$AZ$3,(WEEKDAY(I26,2)-1)*3+1,3)</f>
        <v>Sáb</v>
      </c>
      <c r="C26" s="523">
        <f>_xlfn.XLOOKUP(I26,Fchs!$C$60:$C$101,Fchs!$D$60:$D$101,0)</f>
        <v>0</v>
      </c>
      <c r="D26" s="523">
        <f>_xlfn.XLOOKUP(I26,Fchs!$C$60:$C$101,Fchs!$E$60:$E$101)</f>
        <v>0</v>
      </c>
      <c r="E26" s="532">
        <f>IF($AS26&lt;&gt;0,_xlfn.XLOOKUP($G26,UDs!$E$34:$E$55,UDs!$B$34:$B$55,,-1),0)</f>
        <v>0</v>
      </c>
      <c r="F26" s="532">
        <f t="shared" ca="1" si="4"/>
        <v>0</v>
      </c>
      <c r="G26" s="569">
        <f>IF(AU26&lt;&gt;0,MAX($AU$13:$AU25)+1,0)</f>
        <v>0</v>
      </c>
      <c r="H26" s="569" t="str">
        <f>IF(AS26&lt;&gt;0,COUNT($H$14:H25,1),"")</f>
        <v/>
      </c>
      <c r="I26" s="533">
        <f t="shared" si="10"/>
        <v>45913</v>
      </c>
      <c r="J26" s="534"/>
      <c r="K26" s="535"/>
      <c r="L26" s="126">
        <f t="shared" ca="1" si="11"/>
        <v>0</v>
      </c>
      <c r="M26" s="127">
        <f t="shared" ca="1" si="11"/>
        <v>0</v>
      </c>
      <c r="N26" s="127">
        <f t="shared" ca="1" si="11"/>
        <v>0</v>
      </c>
      <c r="O26" s="127">
        <f t="shared" ca="1" si="11"/>
        <v>0</v>
      </c>
      <c r="P26" s="128">
        <f t="shared" ca="1" si="11"/>
        <v>0</v>
      </c>
      <c r="Q26" s="126">
        <f t="shared" ca="1" si="11"/>
        <v>0</v>
      </c>
      <c r="R26" s="127">
        <f t="shared" ca="1" si="11"/>
        <v>0</v>
      </c>
      <c r="S26" s="127">
        <f t="shared" ca="1" si="11"/>
        <v>0</v>
      </c>
      <c r="T26" s="127">
        <f t="shared" ca="1" si="11"/>
        <v>0</v>
      </c>
      <c r="U26" s="128">
        <f t="shared" ca="1" si="11"/>
        <v>0</v>
      </c>
      <c r="V26" s="126">
        <f t="shared" ca="1" si="11"/>
        <v>0</v>
      </c>
      <c r="W26" s="127">
        <f t="shared" ca="1" si="11"/>
        <v>0</v>
      </c>
      <c r="X26" s="127">
        <f t="shared" ca="1" si="11"/>
        <v>0</v>
      </c>
      <c r="Y26" s="127">
        <f t="shared" ca="1" si="11"/>
        <v>0</v>
      </c>
      <c r="Z26" s="128">
        <f t="shared" ca="1" si="11"/>
        <v>0</v>
      </c>
      <c r="AA26" s="126">
        <f t="shared" ca="1" si="11"/>
        <v>0</v>
      </c>
      <c r="AB26" s="127">
        <f t="shared" ca="1" si="13"/>
        <v>0</v>
      </c>
      <c r="AC26" s="127">
        <f t="shared" ca="1" si="13"/>
        <v>0</v>
      </c>
      <c r="AD26" s="127">
        <f t="shared" ca="1" si="13"/>
        <v>0</v>
      </c>
      <c r="AE26" s="128">
        <f t="shared" ca="1" si="13"/>
        <v>0</v>
      </c>
      <c r="AF26" s="126">
        <f t="shared" ca="1" si="13"/>
        <v>0</v>
      </c>
      <c r="AG26" s="127">
        <f t="shared" ca="1" si="13"/>
        <v>0</v>
      </c>
      <c r="AH26" s="127">
        <f t="shared" ca="1" si="13"/>
        <v>0</v>
      </c>
      <c r="AI26" s="127">
        <f t="shared" ca="1" si="13"/>
        <v>0</v>
      </c>
      <c r="AJ26" s="128">
        <f t="shared" ca="1" si="13"/>
        <v>0</v>
      </c>
      <c r="AK26" s="126">
        <f t="shared" ca="1" si="13"/>
        <v>0</v>
      </c>
      <c r="AL26" s="127">
        <f t="shared" ca="1" si="13"/>
        <v>0</v>
      </c>
      <c r="AM26" s="127">
        <f t="shared" ca="1" si="13"/>
        <v>0</v>
      </c>
      <c r="AN26" s="127">
        <f t="shared" ca="1" si="13"/>
        <v>0</v>
      </c>
      <c r="AO26" s="129">
        <f t="shared" ca="1" si="12"/>
        <v>0</v>
      </c>
      <c r="AP26" s="536" t="str">
        <f t="shared" si="6"/>
        <v/>
      </c>
      <c r="AQ26" s="536" t="str">
        <f t="shared" si="7"/>
        <v/>
      </c>
      <c r="AR26" s="536" t="str">
        <f t="shared" si="8"/>
        <v/>
      </c>
      <c r="AS26" s="537">
        <f>IF(OR(J26&lt;&gt;"",AP26&amp;AQ26&amp;AR26&lt;&gt;"X",WEEKDAY(I26,2)&gt;5,C26&lt;&gt;0,(FechaInicio1Tri&gt;I26),(FechaFinEEva&lt;I26)),0,_xlfn.XLOOKUP(WEEKDAY(I26,2),Fchs!$J$10:$N$10,Fchs!$J$12:$N$12))</f>
        <v>0</v>
      </c>
      <c r="AT26" s="536">
        <f t="shared" ca="1" si="9"/>
        <v>0</v>
      </c>
      <c r="AU26" s="538">
        <f>IF(AS26&lt;&gt;0,MAXA($AU$14:AU25)+AS26,0)</f>
        <v>0</v>
      </c>
      <c r="AV26" s="538">
        <f ca="1">IF(AT26&lt;&gt;0,MAXA($AU$14:AU25)+AT26,0)</f>
        <v>0</v>
      </c>
      <c r="AW26" s="68"/>
    </row>
    <row r="27" spans="1:49" ht="18.75" customHeight="1" x14ac:dyDescent="0.25">
      <c r="A27" s="68"/>
      <c r="B27" s="56" t="str">
        <f>MID(Info!$AZ$3,(WEEKDAY(I27,2)-1)*3+1,3)</f>
        <v>Dom</v>
      </c>
      <c r="C27" s="523">
        <f>_xlfn.XLOOKUP(I27,Fchs!$C$60:$C$101,Fchs!$D$60:$D$101,0)</f>
        <v>0</v>
      </c>
      <c r="D27" s="523">
        <f>_xlfn.XLOOKUP(I27,Fchs!$C$60:$C$101,Fchs!$E$60:$E$101)</f>
        <v>0</v>
      </c>
      <c r="E27" s="532">
        <f>IF($AS27&lt;&gt;0,_xlfn.XLOOKUP($G27,UDs!$E$34:$E$55,UDs!$B$34:$B$55,,-1),0)</f>
        <v>0</v>
      </c>
      <c r="F27" s="532">
        <f t="shared" ca="1" si="4"/>
        <v>0</v>
      </c>
      <c r="G27" s="569">
        <f>IF(AU27&lt;&gt;0,MAX($AU$13:$AU26)+1,0)</f>
        <v>0</v>
      </c>
      <c r="H27" s="569" t="str">
        <f>IF(AS27&lt;&gt;0,COUNT($H$14:H26,1),"")</f>
        <v/>
      </c>
      <c r="I27" s="533">
        <f t="shared" si="10"/>
        <v>45914</v>
      </c>
      <c r="J27" s="534"/>
      <c r="K27" s="535"/>
      <c r="L27" s="126">
        <f t="shared" ca="1" si="11"/>
        <v>0</v>
      </c>
      <c r="M27" s="127">
        <f t="shared" ca="1" si="11"/>
        <v>0</v>
      </c>
      <c r="N27" s="127">
        <f t="shared" ca="1" si="11"/>
        <v>0</v>
      </c>
      <c r="O27" s="127">
        <f t="shared" ca="1" si="11"/>
        <v>0</v>
      </c>
      <c r="P27" s="128">
        <f t="shared" ca="1" si="11"/>
        <v>0</v>
      </c>
      <c r="Q27" s="126">
        <f t="shared" ca="1" si="11"/>
        <v>0</v>
      </c>
      <c r="R27" s="127">
        <f t="shared" ca="1" si="11"/>
        <v>0</v>
      </c>
      <c r="S27" s="127">
        <f t="shared" ca="1" si="11"/>
        <v>0</v>
      </c>
      <c r="T27" s="127">
        <f t="shared" ca="1" si="11"/>
        <v>0</v>
      </c>
      <c r="U27" s="128">
        <f t="shared" ca="1" si="11"/>
        <v>0</v>
      </c>
      <c r="V27" s="126">
        <f t="shared" ca="1" si="11"/>
        <v>0</v>
      </c>
      <c r="W27" s="127">
        <f t="shared" ca="1" si="11"/>
        <v>0</v>
      </c>
      <c r="X27" s="127">
        <f t="shared" ca="1" si="11"/>
        <v>0</v>
      </c>
      <c r="Y27" s="127">
        <f t="shared" ca="1" si="11"/>
        <v>0</v>
      </c>
      <c r="Z27" s="128">
        <f t="shared" ca="1" si="11"/>
        <v>0</v>
      </c>
      <c r="AA27" s="126">
        <f t="shared" ca="1" si="11"/>
        <v>0</v>
      </c>
      <c r="AB27" s="127">
        <f t="shared" ca="1" si="13"/>
        <v>0</v>
      </c>
      <c r="AC27" s="127">
        <f t="shared" ca="1" si="13"/>
        <v>0</v>
      </c>
      <c r="AD27" s="127">
        <f t="shared" ca="1" si="13"/>
        <v>0</v>
      </c>
      <c r="AE27" s="128">
        <f t="shared" ca="1" si="13"/>
        <v>0</v>
      </c>
      <c r="AF27" s="126">
        <f t="shared" ca="1" si="13"/>
        <v>0</v>
      </c>
      <c r="AG27" s="127">
        <f t="shared" ca="1" si="13"/>
        <v>0</v>
      </c>
      <c r="AH27" s="127">
        <f t="shared" ca="1" si="13"/>
        <v>0</v>
      </c>
      <c r="AI27" s="127">
        <f t="shared" ca="1" si="13"/>
        <v>0</v>
      </c>
      <c r="AJ27" s="128">
        <f t="shared" ca="1" si="13"/>
        <v>0</v>
      </c>
      <c r="AK27" s="126">
        <f t="shared" ca="1" si="13"/>
        <v>0</v>
      </c>
      <c r="AL27" s="127">
        <f t="shared" ca="1" si="13"/>
        <v>0</v>
      </c>
      <c r="AM27" s="127">
        <f t="shared" ca="1" si="13"/>
        <v>0</v>
      </c>
      <c r="AN27" s="127">
        <f t="shared" ca="1" si="13"/>
        <v>0</v>
      </c>
      <c r="AO27" s="129">
        <f t="shared" ca="1" si="12"/>
        <v>0</v>
      </c>
      <c r="AP27" s="536" t="str">
        <f t="shared" si="6"/>
        <v/>
      </c>
      <c r="AQ27" s="536" t="str">
        <f t="shared" si="7"/>
        <v/>
      </c>
      <c r="AR27" s="536" t="str">
        <f t="shared" si="8"/>
        <v/>
      </c>
      <c r="AS27" s="537">
        <f>IF(OR(J27&lt;&gt;"",AP27&amp;AQ27&amp;AR27&lt;&gt;"X",WEEKDAY(I27,2)&gt;5,C27&lt;&gt;0,(FechaInicio1Tri&gt;I27),(FechaFinEEva&lt;I27)),0,_xlfn.XLOOKUP(WEEKDAY(I27,2),Fchs!$J$10:$N$10,Fchs!$J$12:$N$12))</f>
        <v>0</v>
      </c>
      <c r="AT27" s="536">
        <f t="shared" ca="1" si="9"/>
        <v>0</v>
      </c>
      <c r="AU27" s="538">
        <f>IF(AS27&lt;&gt;0,MAXA($AU$14:AU26)+AS27,0)</f>
        <v>0</v>
      </c>
      <c r="AV27" s="538">
        <f ca="1">IF(AT27&lt;&gt;0,MAXA($AU$14:AU26)+AT27,0)</f>
        <v>0</v>
      </c>
      <c r="AW27" s="68"/>
    </row>
    <row r="28" spans="1:49" ht="18.75" customHeight="1" x14ac:dyDescent="0.25">
      <c r="A28" s="68"/>
      <c r="B28" s="56" t="str">
        <f>MID(Info!$AZ$3,(WEEKDAY(I28,2)-1)*3+1,3)</f>
        <v>Lun</v>
      </c>
      <c r="C28" s="523">
        <f>_xlfn.XLOOKUP(I28,Fchs!$C$60:$C$101,Fchs!$D$60:$D$101,0)</f>
        <v>0</v>
      </c>
      <c r="D28" s="523">
        <f>_xlfn.XLOOKUP(I28,Fchs!$C$60:$C$101,Fchs!$E$60:$E$101)</f>
        <v>0</v>
      </c>
      <c r="E28" s="532" t="str">
        <f>IF($AS28&lt;&gt;0,_xlfn.XLOOKUP($G28,UDs!$E$34:$E$55,UDs!$B$34:$B$55,,-1),0)</f>
        <v>UD00</v>
      </c>
      <c r="F28" s="532" t="str">
        <f t="shared" ca="1" si="4"/>
        <v>UD00</v>
      </c>
      <c r="G28" s="569">
        <f>IF(AU28&lt;&gt;0,MAX($AU$13:$AU27)+1,0)</f>
        <v>1</v>
      </c>
      <c r="H28" s="569">
        <f>IF(AS28&lt;&gt;0,COUNT($H$14:H27,1),"")</f>
        <v>1</v>
      </c>
      <c r="I28" s="533">
        <f t="shared" si="10"/>
        <v>45915</v>
      </c>
      <c r="J28" s="534"/>
      <c r="K28" s="535"/>
      <c r="L28" s="126">
        <f t="shared" ca="1" si="11"/>
        <v>1</v>
      </c>
      <c r="M28" s="127">
        <f t="shared" ca="1" si="11"/>
        <v>1</v>
      </c>
      <c r="N28" s="127">
        <f t="shared" ca="1" si="11"/>
        <v>1</v>
      </c>
      <c r="O28" s="127">
        <f t="shared" ca="1" si="11"/>
        <v>1</v>
      </c>
      <c r="P28" s="128">
        <f t="shared" ca="1" si="11"/>
        <v>1</v>
      </c>
      <c r="Q28" s="126">
        <f t="shared" ca="1" si="11"/>
        <v>1</v>
      </c>
      <c r="R28" s="127">
        <f t="shared" ca="1" si="11"/>
        <v>1</v>
      </c>
      <c r="S28" s="127">
        <f t="shared" ca="1" si="11"/>
        <v>1</v>
      </c>
      <c r="T28" s="127">
        <f t="shared" ca="1" si="11"/>
        <v>1</v>
      </c>
      <c r="U28" s="128">
        <f t="shared" ca="1" si="11"/>
        <v>1</v>
      </c>
      <c r="V28" s="126">
        <f t="shared" ca="1" si="11"/>
        <v>1</v>
      </c>
      <c r="W28" s="127">
        <f t="shared" ca="1" si="11"/>
        <v>1</v>
      </c>
      <c r="X28" s="127">
        <f t="shared" ca="1" si="11"/>
        <v>1</v>
      </c>
      <c r="Y28" s="127">
        <f t="shared" ca="1" si="11"/>
        <v>1</v>
      </c>
      <c r="Z28" s="128">
        <f t="shared" ca="1" si="11"/>
        <v>1</v>
      </c>
      <c r="AA28" s="126">
        <f t="shared" ca="1" si="11"/>
        <v>1</v>
      </c>
      <c r="AB28" s="127">
        <f t="shared" ca="1" si="13"/>
        <v>1</v>
      </c>
      <c r="AC28" s="127">
        <f t="shared" ca="1" si="13"/>
        <v>1</v>
      </c>
      <c r="AD28" s="127">
        <f t="shared" ca="1" si="13"/>
        <v>1</v>
      </c>
      <c r="AE28" s="128">
        <f t="shared" ca="1" si="13"/>
        <v>1</v>
      </c>
      <c r="AF28" s="126">
        <f t="shared" ca="1" si="13"/>
        <v>1</v>
      </c>
      <c r="AG28" s="127">
        <f t="shared" ca="1" si="13"/>
        <v>1</v>
      </c>
      <c r="AH28" s="127">
        <f t="shared" ca="1" si="13"/>
        <v>1</v>
      </c>
      <c r="AI28" s="127">
        <f t="shared" ca="1" si="13"/>
        <v>1</v>
      </c>
      <c r="AJ28" s="128">
        <f t="shared" ca="1" si="13"/>
        <v>1</v>
      </c>
      <c r="AK28" s="126">
        <f t="shared" ca="1" si="13"/>
        <v>1</v>
      </c>
      <c r="AL28" s="127">
        <f t="shared" ca="1" si="13"/>
        <v>1</v>
      </c>
      <c r="AM28" s="127">
        <f t="shared" ca="1" si="13"/>
        <v>1</v>
      </c>
      <c r="AN28" s="127">
        <f t="shared" ca="1" si="13"/>
        <v>1</v>
      </c>
      <c r="AO28" s="129">
        <f t="shared" ca="1" si="12"/>
        <v>1</v>
      </c>
      <c r="AP28" s="536" t="str">
        <f t="shared" si="6"/>
        <v>X</v>
      </c>
      <c r="AQ28" s="536" t="str">
        <f t="shared" si="7"/>
        <v/>
      </c>
      <c r="AR28" s="536" t="str">
        <f t="shared" si="8"/>
        <v/>
      </c>
      <c r="AS28" s="537">
        <f>IF(OR(J28&lt;&gt;"",AP28&amp;AQ28&amp;AR28&lt;&gt;"X",WEEKDAY(I28,2)&gt;5,C28&lt;&gt;0,(FechaInicio1Tri&gt;I28),(FechaFinEEva&lt;I28)),0,_xlfn.XLOOKUP(WEEKDAY(I28,2),Fchs!$J$10:$N$10,Fchs!$J$12:$N$12))</f>
        <v>1</v>
      </c>
      <c r="AT28" s="536">
        <f t="shared" ca="1" si="9"/>
        <v>1</v>
      </c>
      <c r="AU28" s="538">
        <f>IF(AS28&lt;&gt;0,MAXA($AU$14:AU27)+AS28,0)</f>
        <v>1</v>
      </c>
      <c r="AV28" s="538">
        <f ca="1">IF(AT28&lt;&gt;0,MAXA($AU$14:AU27)+AT28,0)</f>
        <v>1</v>
      </c>
      <c r="AW28" s="68"/>
    </row>
    <row r="29" spans="1:49" ht="18.75" customHeight="1" x14ac:dyDescent="0.25">
      <c r="A29" s="68"/>
      <c r="B29" s="56" t="str">
        <f>MID(Info!$AZ$3,(WEEKDAY(I29,2)-1)*3+1,3)</f>
        <v>Mar</v>
      </c>
      <c r="C29" s="523">
        <f>_xlfn.XLOOKUP(I29,Fchs!$C$60:$C$101,Fchs!$D$60:$D$101,0)</f>
        <v>0</v>
      </c>
      <c r="D29" s="523">
        <f>_xlfn.XLOOKUP(I29,Fchs!$C$60:$C$101,Fchs!$E$60:$E$101)</f>
        <v>0</v>
      </c>
      <c r="E29" s="532" t="str">
        <f>IF($AS29&lt;&gt;0,_xlfn.XLOOKUP($G29,UDs!$E$34:$E$55,UDs!$B$34:$B$55,,-1),0)</f>
        <v>UD01</v>
      </c>
      <c r="F29" s="532" t="str">
        <f t="shared" ca="1" si="4"/>
        <v>UD01</v>
      </c>
      <c r="G29" s="569">
        <f>IF(AU29&lt;&gt;0,MAX($AU$13:$AU28)+1,0)</f>
        <v>2</v>
      </c>
      <c r="H29" s="569">
        <f>IF(AS29&lt;&gt;0,COUNT($H$14:H28,1),"")</f>
        <v>2</v>
      </c>
      <c r="I29" s="533">
        <f t="shared" si="10"/>
        <v>45916</v>
      </c>
      <c r="J29" s="534"/>
      <c r="K29" s="535"/>
      <c r="L29" s="126">
        <f t="shared" ca="1" si="11"/>
        <v>1</v>
      </c>
      <c r="M29" s="127">
        <f t="shared" ca="1" si="11"/>
        <v>1</v>
      </c>
      <c r="N29" s="127">
        <f t="shared" ca="1" si="11"/>
        <v>1</v>
      </c>
      <c r="O29" s="127">
        <f t="shared" ca="1" si="11"/>
        <v>1</v>
      </c>
      <c r="P29" s="128">
        <f t="shared" ca="1" si="11"/>
        <v>1</v>
      </c>
      <c r="Q29" s="126">
        <f t="shared" ca="1" si="11"/>
        <v>1</v>
      </c>
      <c r="R29" s="127">
        <f t="shared" ca="1" si="11"/>
        <v>1</v>
      </c>
      <c r="S29" s="127">
        <f t="shared" ca="1" si="11"/>
        <v>1</v>
      </c>
      <c r="T29" s="127">
        <f t="shared" ca="1" si="11"/>
        <v>1</v>
      </c>
      <c r="U29" s="128">
        <f t="shared" ca="1" si="11"/>
        <v>1</v>
      </c>
      <c r="V29" s="126">
        <f t="shared" ca="1" si="11"/>
        <v>1</v>
      </c>
      <c r="W29" s="127">
        <f t="shared" ca="1" si="11"/>
        <v>1</v>
      </c>
      <c r="X29" s="127">
        <f t="shared" ca="1" si="11"/>
        <v>1</v>
      </c>
      <c r="Y29" s="127">
        <f t="shared" ca="1" si="11"/>
        <v>1</v>
      </c>
      <c r="Z29" s="128">
        <f t="shared" ca="1" si="11"/>
        <v>1</v>
      </c>
      <c r="AA29" s="126">
        <f t="shared" ca="1" si="11"/>
        <v>1</v>
      </c>
      <c r="AB29" s="127">
        <f t="shared" ca="1" si="13"/>
        <v>1</v>
      </c>
      <c r="AC29" s="127">
        <f t="shared" ca="1" si="13"/>
        <v>1</v>
      </c>
      <c r="AD29" s="127">
        <f t="shared" ca="1" si="13"/>
        <v>1</v>
      </c>
      <c r="AE29" s="128">
        <f t="shared" ca="1" si="13"/>
        <v>1</v>
      </c>
      <c r="AF29" s="126">
        <f t="shared" ca="1" si="13"/>
        <v>1</v>
      </c>
      <c r="AG29" s="127">
        <f t="shared" ca="1" si="13"/>
        <v>1</v>
      </c>
      <c r="AH29" s="127">
        <f t="shared" ca="1" si="13"/>
        <v>1</v>
      </c>
      <c r="AI29" s="127">
        <f t="shared" ca="1" si="13"/>
        <v>1</v>
      </c>
      <c r="AJ29" s="128">
        <f t="shared" ca="1" si="13"/>
        <v>1</v>
      </c>
      <c r="AK29" s="126">
        <f t="shared" ca="1" si="13"/>
        <v>1</v>
      </c>
      <c r="AL29" s="127">
        <f t="shared" ca="1" si="13"/>
        <v>1</v>
      </c>
      <c r="AM29" s="127">
        <f t="shared" ca="1" si="13"/>
        <v>1</v>
      </c>
      <c r="AN29" s="127">
        <f t="shared" ca="1" si="13"/>
        <v>1</v>
      </c>
      <c r="AO29" s="129">
        <f t="shared" ca="1" si="12"/>
        <v>1</v>
      </c>
      <c r="AP29" s="536" t="str">
        <f t="shared" si="6"/>
        <v>X</v>
      </c>
      <c r="AQ29" s="536" t="str">
        <f t="shared" si="7"/>
        <v/>
      </c>
      <c r="AR29" s="536" t="str">
        <f t="shared" si="8"/>
        <v/>
      </c>
      <c r="AS29" s="537">
        <f>IF(OR(J29&lt;&gt;"",AP29&amp;AQ29&amp;AR29&lt;&gt;"X",WEEKDAY(I29,2)&gt;5,C29&lt;&gt;0,(FechaInicio1Tri&gt;I29),(FechaFinEEva&lt;I29)),0,_xlfn.XLOOKUP(WEEKDAY(I29,2),Fchs!$J$10:$N$10,Fchs!$J$12:$N$12))</f>
        <v>1</v>
      </c>
      <c r="AT29" s="536">
        <f t="shared" ca="1" si="9"/>
        <v>1</v>
      </c>
      <c r="AU29" s="538">
        <f>IF(AS29&lt;&gt;0,MAXA($AU$14:AU28)+AS29,0)</f>
        <v>2</v>
      </c>
      <c r="AV29" s="538">
        <f ca="1">IF(AT29&lt;&gt;0,MAXA($AU$14:AU28)+AT29,0)</f>
        <v>2</v>
      </c>
      <c r="AW29" s="68"/>
    </row>
    <row r="30" spans="1:49" ht="18.75" customHeight="1" x14ac:dyDescent="0.25">
      <c r="A30" s="68"/>
      <c r="B30" s="56" t="str">
        <f>MID(Info!$AZ$3,(WEEKDAY(I30,2)-1)*3+1,3)</f>
        <v>Mié</v>
      </c>
      <c r="C30" s="523">
        <f>_xlfn.XLOOKUP(I30,Fchs!$C$60:$C$101,Fchs!$D$60:$D$101,0)</f>
        <v>0</v>
      </c>
      <c r="D30" s="523">
        <f>_xlfn.XLOOKUP(I30,Fchs!$C$60:$C$101,Fchs!$E$60:$E$101)</f>
        <v>0</v>
      </c>
      <c r="E30" s="532" t="str">
        <f>IF($AS30&lt;&gt;0,_xlfn.XLOOKUP($G30,UDs!$E$34:$E$55,UDs!$B$34:$B$55,,-1),0)</f>
        <v>UD01</v>
      </c>
      <c r="F30" s="532" t="str">
        <f t="shared" ca="1" si="4"/>
        <v>UD01</v>
      </c>
      <c r="G30" s="569">
        <f>IF(AU30&lt;&gt;0,MAX($AU$13:$AU29)+1,0)</f>
        <v>3</v>
      </c>
      <c r="H30" s="569">
        <f>IF(AS30&lt;&gt;0,COUNT($H$14:H29,1),"")</f>
        <v>3</v>
      </c>
      <c r="I30" s="533">
        <f t="shared" si="10"/>
        <v>45917</v>
      </c>
      <c r="J30" s="534"/>
      <c r="K30" s="535"/>
      <c r="L30" s="126">
        <f t="shared" ca="1" si="11"/>
        <v>1</v>
      </c>
      <c r="M30" s="127">
        <f t="shared" ca="1" si="11"/>
        <v>1</v>
      </c>
      <c r="N30" s="127">
        <f t="shared" ca="1" si="11"/>
        <v>1</v>
      </c>
      <c r="O30" s="127">
        <f t="shared" ca="1" si="11"/>
        <v>1</v>
      </c>
      <c r="P30" s="128">
        <f t="shared" ca="1" si="11"/>
        <v>1</v>
      </c>
      <c r="Q30" s="126">
        <f t="shared" ca="1" si="11"/>
        <v>1</v>
      </c>
      <c r="R30" s="127">
        <f t="shared" ca="1" si="11"/>
        <v>1</v>
      </c>
      <c r="S30" s="127">
        <f t="shared" ca="1" si="11"/>
        <v>1</v>
      </c>
      <c r="T30" s="127">
        <f t="shared" ca="1" si="11"/>
        <v>1</v>
      </c>
      <c r="U30" s="128">
        <f t="shared" ca="1" si="11"/>
        <v>1</v>
      </c>
      <c r="V30" s="126">
        <f t="shared" ca="1" si="11"/>
        <v>1</v>
      </c>
      <c r="W30" s="127">
        <f t="shared" ca="1" si="11"/>
        <v>1</v>
      </c>
      <c r="X30" s="127">
        <f t="shared" ca="1" si="11"/>
        <v>1</v>
      </c>
      <c r="Y30" s="127">
        <f t="shared" ca="1" si="11"/>
        <v>1</v>
      </c>
      <c r="Z30" s="128">
        <f t="shared" ca="1" si="11"/>
        <v>1</v>
      </c>
      <c r="AA30" s="126">
        <f t="shared" ca="1" si="11"/>
        <v>1</v>
      </c>
      <c r="AB30" s="136">
        <f ca="1">$AT30</f>
        <v>1</v>
      </c>
      <c r="AC30" s="127">
        <f t="shared" ca="1" si="13"/>
        <v>1</v>
      </c>
      <c r="AD30" s="127">
        <f t="shared" ca="1" si="13"/>
        <v>1</v>
      </c>
      <c r="AE30" s="128">
        <f t="shared" ca="1" si="13"/>
        <v>1</v>
      </c>
      <c r="AF30" s="126">
        <f t="shared" ca="1" si="13"/>
        <v>1</v>
      </c>
      <c r="AG30" s="127">
        <f t="shared" ca="1" si="13"/>
        <v>1</v>
      </c>
      <c r="AH30" s="127">
        <f t="shared" ca="1" si="13"/>
        <v>1</v>
      </c>
      <c r="AI30" s="127">
        <f t="shared" ca="1" si="13"/>
        <v>1</v>
      </c>
      <c r="AJ30" s="128">
        <f t="shared" ca="1" si="13"/>
        <v>1</v>
      </c>
      <c r="AK30" s="126">
        <f t="shared" ca="1" si="13"/>
        <v>1</v>
      </c>
      <c r="AL30" s="127">
        <f t="shared" ca="1" si="13"/>
        <v>1</v>
      </c>
      <c r="AM30" s="127">
        <f t="shared" ca="1" si="13"/>
        <v>1</v>
      </c>
      <c r="AN30" s="127">
        <f t="shared" ca="1" si="13"/>
        <v>1</v>
      </c>
      <c r="AO30" s="129">
        <f t="shared" ca="1" si="12"/>
        <v>1</v>
      </c>
      <c r="AP30" s="536" t="str">
        <f t="shared" si="6"/>
        <v>X</v>
      </c>
      <c r="AQ30" s="536" t="str">
        <f t="shared" si="7"/>
        <v/>
      </c>
      <c r="AR30" s="536" t="str">
        <f t="shared" si="8"/>
        <v/>
      </c>
      <c r="AS30" s="537">
        <f>IF(OR(J30&lt;&gt;"",AP30&amp;AQ30&amp;AR30&lt;&gt;"X",WEEKDAY(I30,2)&gt;5,C30&lt;&gt;0,(FechaInicio1Tri&gt;I30),(FechaFinEEva&lt;I30)),0,_xlfn.XLOOKUP(WEEKDAY(I30,2),Fchs!$J$10:$N$10,Fchs!$J$12:$N$12))</f>
        <v>1</v>
      </c>
      <c r="AT30" s="536">
        <f t="shared" ca="1" si="9"/>
        <v>1</v>
      </c>
      <c r="AU30" s="538">
        <f>IF(AS30&lt;&gt;0,MAXA($AU$14:AU29)+AS30,0)</f>
        <v>3</v>
      </c>
      <c r="AV30" s="538">
        <f ca="1">IF(AT30&lt;&gt;0,MAXA($AU$14:AU29)+AT30,0)</f>
        <v>3</v>
      </c>
      <c r="AW30" s="68"/>
    </row>
    <row r="31" spans="1:49" ht="18.75" customHeight="1" x14ac:dyDescent="0.25">
      <c r="A31" s="68"/>
      <c r="B31" s="56" t="str">
        <f>MID(Info!$AZ$3,(WEEKDAY(I31,2)-1)*3+1,3)</f>
        <v>Jue</v>
      </c>
      <c r="C31" s="523">
        <f>_xlfn.XLOOKUP(I31,Fchs!$C$60:$C$101,Fchs!$D$60:$D$101,0)</f>
        <v>0</v>
      </c>
      <c r="D31" s="523">
        <f>_xlfn.XLOOKUP(I31,Fchs!$C$60:$C$101,Fchs!$E$60:$E$101)</f>
        <v>0</v>
      </c>
      <c r="E31" s="532" t="str">
        <f>IF($AS31&lt;&gt;0,_xlfn.XLOOKUP($G31,UDs!$E$34:$E$55,UDs!$B$34:$B$55,,-1),0)</f>
        <v>UD01</v>
      </c>
      <c r="F31" s="532" t="str">
        <f t="shared" ca="1" si="4"/>
        <v>UD01</v>
      </c>
      <c r="G31" s="569">
        <f>IF(AU31&lt;&gt;0,MAX($AU$13:$AU30)+1,0)</f>
        <v>4</v>
      </c>
      <c r="H31" s="569">
        <f>IF(AS31&lt;&gt;0,COUNT($H$14:H30,1),"")</f>
        <v>4</v>
      </c>
      <c r="I31" s="533">
        <f t="shared" si="10"/>
        <v>45918</v>
      </c>
      <c r="J31" s="534"/>
      <c r="K31" s="535"/>
      <c r="L31" s="126">
        <f t="shared" ca="1" si="11"/>
        <v>1</v>
      </c>
      <c r="M31" s="127">
        <f t="shared" ca="1" si="11"/>
        <v>1</v>
      </c>
      <c r="N31" s="127">
        <f t="shared" ca="1" si="11"/>
        <v>1</v>
      </c>
      <c r="O31" s="127">
        <f t="shared" ca="1" si="11"/>
        <v>1</v>
      </c>
      <c r="P31" s="128">
        <f t="shared" ca="1" si="11"/>
        <v>1</v>
      </c>
      <c r="Q31" s="126">
        <f t="shared" ca="1" si="11"/>
        <v>1</v>
      </c>
      <c r="R31" s="127">
        <f t="shared" ca="1" si="11"/>
        <v>1</v>
      </c>
      <c r="S31" s="127">
        <f t="shared" ca="1" si="11"/>
        <v>1</v>
      </c>
      <c r="T31" s="127">
        <f t="shared" ca="1" si="11"/>
        <v>1</v>
      </c>
      <c r="U31" s="128">
        <f t="shared" ca="1" si="11"/>
        <v>1</v>
      </c>
      <c r="V31" s="126">
        <f t="shared" ca="1" si="11"/>
        <v>1</v>
      </c>
      <c r="W31" s="127">
        <f t="shared" ca="1" si="11"/>
        <v>1</v>
      </c>
      <c r="X31" s="127">
        <f t="shared" ca="1" si="11"/>
        <v>1</v>
      </c>
      <c r="Y31" s="127">
        <f t="shared" ca="1" si="11"/>
        <v>1</v>
      </c>
      <c r="Z31" s="128">
        <f t="shared" ca="1" si="11"/>
        <v>1</v>
      </c>
      <c r="AA31" s="126">
        <f t="shared" ca="1" si="11"/>
        <v>1</v>
      </c>
      <c r="AB31" s="127">
        <f t="shared" ca="1" si="13"/>
        <v>1</v>
      </c>
      <c r="AC31" s="127">
        <f t="shared" ca="1" si="13"/>
        <v>1</v>
      </c>
      <c r="AD31" s="127">
        <f t="shared" ca="1" si="13"/>
        <v>1</v>
      </c>
      <c r="AE31" s="128">
        <f t="shared" ca="1" si="13"/>
        <v>1</v>
      </c>
      <c r="AF31" s="126">
        <f t="shared" ca="1" si="13"/>
        <v>1</v>
      </c>
      <c r="AG31" s="127">
        <f t="shared" ca="1" si="13"/>
        <v>1</v>
      </c>
      <c r="AH31" s="127">
        <f t="shared" ca="1" si="13"/>
        <v>1</v>
      </c>
      <c r="AI31" s="127">
        <f t="shared" ca="1" si="13"/>
        <v>1</v>
      </c>
      <c r="AJ31" s="128">
        <f t="shared" ca="1" si="13"/>
        <v>1</v>
      </c>
      <c r="AK31" s="126">
        <f t="shared" ca="1" si="13"/>
        <v>1</v>
      </c>
      <c r="AL31" s="127">
        <f t="shared" ca="1" si="13"/>
        <v>1</v>
      </c>
      <c r="AM31" s="127">
        <f t="shared" ca="1" si="13"/>
        <v>1</v>
      </c>
      <c r="AN31" s="127">
        <f t="shared" ca="1" si="13"/>
        <v>1</v>
      </c>
      <c r="AO31" s="129">
        <f t="shared" ca="1" si="12"/>
        <v>1</v>
      </c>
      <c r="AP31" s="536" t="str">
        <f t="shared" si="6"/>
        <v>X</v>
      </c>
      <c r="AQ31" s="536" t="str">
        <f t="shared" si="7"/>
        <v/>
      </c>
      <c r="AR31" s="536" t="str">
        <f t="shared" si="8"/>
        <v/>
      </c>
      <c r="AS31" s="537">
        <f>IF(OR(J31&lt;&gt;"",AP31&amp;AQ31&amp;AR31&lt;&gt;"X",WEEKDAY(I31,2)&gt;5,C31&lt;&gt;0,(FechaInicio1Tri&gt;I31),(FechaFinEEva&lt;I31)),0,_xlfn.XLOOKUP(WEEKDAY(I31,2),Fchs!$J$10:$N$10,Fchs!$J$12:$N$12))</f>
        <v>1</v>
      </c>
      <c r="AT31" s="536">
        <f t="shared" ca="1" si="9"/>
        <v>1</v>
      </c>
      <c r="AU31" s="538">
        <f>IF(AS31&lt;&gt;0,MAXA($AU$14:AU30)+AS31,0)</f>
        <v>4</v>
      </c>
      <c r="AV31" s="538">
        <f ca="1">IF(AT31&lt;&gt;0,MAXA($AU$14:AU30)+AT31,0)</f>
        <v>4</v>
      </c>
      <c r="AW31" s="68"/>
    </row>
    <row r="32" spans="1:49" ht="18.75" customHeight="1" x14ac:dyDescent="0.25">
      <c r="A32" s="68"/>
      <c r="B32" s="56" t="str">
        <f>MID(Info!$AZ$3,(WEEKDAY(I32,2)-1)*3+1,3)</f>
        <v>Vie</v>
      </c>
      <c r="C32" s="523">
        <f>_xlfn.XLOOKUP(I32,Fchs!$C$60:$C$101,Fchs!$D$60:$D$101,0)</f>
        <v>0</v>
      </c>
      <c r="D32" s="523">
        <f>_xlfn.XLOOKUP(I32,Fchs!$C$60:$C$101,Fchs!$E$60:$E$101)</f>
        <v>0</v>
      </c>
      <c r="E32" s="532" t="str">
        <f>IF($AS32&lt;&gt;0,_xlfn.XLOOKUP($G32,UDs!$E$34:$E$55,UDs!$B$34:$B$55,,-1),0)</f>
        <v>UD01</v>
      </c>
      <c r="F32" s="532" t="str">
        <f t="shared" ca="1" si="4"/>
        <v>UD01</v>
      </c>
      <c r="G32" s="569">
        <f>IF(AU32&lt;&gt;0,MAX($AU$13:$AU31)+1,0)</f>
        <v>5</v>
      </c>
      <c r="H32" s="569">
        <f>IF(AS32&lt;&gt;0,COUNT($H$14:H31,1),"")</f>
        <v>5</v>
      </c>
      <c r="I32" s="533">
        <f t="shared" si="10"/>
        <v>45919</v>
      </c>
      <c r="J32" s="534"/>
      <c r="K32" s="535"/>
      <c r="L32" s="126">
        <f t="shared" ca="1" si="11"/>
        <v>1</v>
      </c>
      <c r="M32" s="127">
        <f t="shared" ca="1" si="11"/>
        <v>1</v>
      </c>
      <c r="N32" s="127">
        <f t="shared" ca="1" si="11"/>
        <v>1</v>
      </c>
      <c r="O32" s="127">
        <f t="shared" ca="1" si="11"/>
        <v>1</v>
      </c>
      <c r="P32" s="128">
        <f t="shared" ca="1" si="11"/>
        <v>1</v>
      </c>
      <c r="Q32" s="126">
        <f t="shared" ca="1" si="11"/>
        <v>1</v>
      </c>
      <c r="R32" s="127">
        <f t="shared" ca="1" si="11"/>
        <v>1</v>
      </c>
      <c r="S32" s="127">
        <f t="shared" ca="1" si="11"/>
        <v>1</v>
      </c>
      <c r="T32" s="127">
        <f t="shared" ca="1" si="11"/>
        <v>1</v>
      </c>
      <c r="U32" s="128">
        <f t="shared" ca="1" si="11"/>
        <v>1</v>
      </c>
      <c r="V32" s="126">
        <f t="shared" ca="1" si="11"/>
        <v>1</v>
      </c>
      <c r="W32" s="127">
        <f t="shared" ca="1" si="11"/>
        <v>1</v>
      </c>
      <c r="X32" s="127">
        <f t="shared" ca="1" si="11"/>
        <v>1</v>
      </c>
      <c r="Y32" s="127">
        <f t="shared" ca="1" si="11"/>
        <v>1</v>
      </c>
      <c r="Z32" s="128">
        <f t="shared" ca="1" si="11"/>
        <v>1</v>
      </c>
      <c r="AA32" s="126">
        <f t="shared" ca="1" si="11"/>
        <v>1</v>
      </c>
      <c r="AB32" s="127">
        <f t="shared" ca="1" si="13"/>
        <v>1</v>
      </c>
      <c r="AC32" s="127">
        <f t="shared" ca="1" si="13"/>
        <v>1</v>
      </c>
      <c r="AD32" s="127">
        <f t="shared" ca="1" si="13"/>
        <v>1</v>
      </c>
      <c r="AE32" s="128">
        <f t="shared" ca="1" si="13"/>
        <v>1</v>
      </c>
      <c r="AF32" s="126">
        <f t="shared" ca="1" si="13"/>
        <v>1</v>
      </c>
      <c r="AG32" s="127">
        <f t="shared" ca="1" si="13"/>
        <v>1</v>
      </c>
      <c r="AH32" s="127">
        <f t="shared" ca="1" si="13"/>
        <v>1</v>
      </c>
      <c r="AI32" s="127">
        <f t="shared" ca="1" si="13"/>
        <v>1</v>
      </c>
      <c r="AJ32" s="128">
        <f t="shared" ca="1" si="13"/>
        <v>1</v>
      </c>
      <c r="AK32" s="126">
        <f t="shared" ca="1" si="13"/>
        <v>1</v>
      </c>
      <c r="AL32" s="127">
        <f t="shared" ca="1" si="13"/>
        <v>1</v>
      </c>
      <c r="AM32" s="127">
        <f t="shared" ca="1" si="13"/>
        <v>1</v>
      </c>
      <c r="AN32" s="127">
        <f t="shared" ca="1" si="13"/>
        <v>1</v>
      </c>
      <c r="AO32" s="129">
        <f t="shared" ca="1" si="12"/>
        <v>1</v>
      </c>
      <c r="AP32" s="536" t="str">
        <f t="shared" si="6"/>
        <v>X</v>
      </c>
      <c r="AQ32" s="536" t="str">
        <f t="shared" si="7"/>
        <v/>
      </c>
      <c r="AR32" s="536" t="str">
        <f t="shared" si="8"/>
        <v/>
      </c>
      <c r="AS32" s="537">
        <f>IF(OR(J32&lt;&gt;"",AP32&amp;AQ32&amp;AR32&lt;&gt;"X",WEEKDAY(I32,2)&gt;5,C32&lt;&gt;0,(FechaInicio1Tri&gt;I32),(FechaFinEEva&lt;I32)),0,_xlfn.XLOOKUP(WEEKDAY(I32,2),Fchs!$J$10:$N$10,Fchs!$J$12:$N$12))</f>
        <v>1</v>
      </c>
      <c r="AT32" s="536">
        <f t="shared" ca="1" si="9"/>
        <v>1</v>
      </c>
      <c r="AU32" s="538">
        <f>IF(AS32&lt;&gt;0,MAXA($AU$14:AU31)+AS32,0)</f>
        <v>5</v>
      </c>
      <c r="AV32" s="538">
        <f ca="1">IF(AT32&lt;&gt;0,MAXA($AU$14:AU31)+AT32,0)</f>
        <v>5</v>
      </c>
      <c r="AW32" s="68"/>
    </row>
    <row r="33" spans="1:49" ht="18.75" customHeight="1" x14ac:dyDescent="0.25">
      <c r="A33" s="68"/>
      <c r="B33" s="56" t="str">
        <f>MID(Info!$AZ$3,(WEEKDAY(I33,2)-1)*3+1,3)</f>
        <v>Sáb</v>
      </c>
      <c r="C33" s="523">
        <f>_xlfn.XLOOKUP(I33,Fchs!$C$60:$C$101,Fchs!$D$60:$D$101,0)</f>
        <v>0</v>
      </c>
      <c r="D33" s="523">
        <f>_xlfn.XLOOKUP(I33,Fchs!$C$60:$C$101,Fchs!$E$60:$E$101)</f>
        <v>0</v>
      </c>
      <c r="E33" s="532">
        <f>IF($AS33&lt;&gt;0,_xlfn.XLOOKUP($G33,UDs!$E$34:$E$55,UDs!$B$34:$B$55,,-1),0)</f>
        <v>0</v>
      </c>
      <c r="F33" s="532">
        <f t="shared" ca="1" si="4"/>
        <v>0</v>
      </c>
      <c r="G33" s="569">
        <f>IF(AU33&lt;&gt;0,MAX($AU$13:$AU32)+1,0)</f>
        <v>0</v>
      </c>
      <c r="H33" s="569" t="str">
        <f>IF(AS33&lt;&gt;0,COUNT($H$14:H32,1),"")</f>
        <v/>
      </c>
      <c r="I33" s="533">
        <f t="shared" si="10"/>
        <v>45920</v>
      </c>
      <c r="J33" s="534"/>
      <c r="K33" s="535"/>
      <c r="L33" s="126">
        <f t="shared" ca="1" si="11"/>
        <v>0</v>
      </c>
      <c r="M33" s="127">
        <f t="shared" ca="1" si="11"/>
        <v>0</v>
      </c>
      <c r="N33" s="127">
        <f t="shared" ca="1" si="11"/>
        <v>0</v>
      </c>
      <c r="O33" s="127">
        <f t="shared" ca="1" si="11"/>
        <v>0</v>
      </c>
      <c r="P33" s="128">
        <f t="shared" ca="1" si="11"/>
        <v>0</v>
      </c>
      <c r="Q33" s="126">
        <f t="shared" ca="1" si="11"/>
        <v>0</v>
      </c>
      <c r="R33" s="127">
        <f t="shared" ca="1" si="11"/>
        <v>0</v>
      </c>
      <c r="S33" s="127">
        <f t="shared" ca="1" si="11"/>
        <v>0</v>
      </c>
      <c r="T33" s="127">
        <f t="shared" ca="1" si="11"/>
        <v>0</v>
      </c>
      <c r="U33" s="128">
        <f t="shared" ca="1" si="11"/>
        <v>0</v>
      </c>
      <c r="V33" s="126">
        <f t="shared" ca="1" si="11"/>
        <v>0</v>
      </c>
      <c r="W33" s="127">
        <f t="shared" ca="1" si="11"/>
        <v>0</v>
      </c>
      <c r="X33" s="127">
        <f t="shared" ca="1" si="11"/>
        <v>0</v>
      </c>
      <c r="Y33" s="127">
        <f t="shared" ca="1" si="11"/>
        <v>0</v>
      </c>
      <c r="Z33" s="128">
        <f t="shared" ca="1" si="11"/>
        <v>0</v>
      </c>
      <c r="AA33" s="126">
        <f t="shared" ca="1" si="11"/>
        <v>0</v>
      </c>
      <c r="AB33" s="127">
        <f t="shared" ca="1" si="13"/>
        <v>0</v>
      </c>
      <c r="AC33" s="127">
        <f t="shared" ca="1" si="13"/>
        <v>0</v>
      </c>
      <c r="AD33" s="127">
        <f t="shared" ca="1" si="13"/>
        <v>0</v>
      </c>
      <c r="AE33" s="128">
        <f t="shared" ca="1" si="13"/>
        <v>0</v>
      </c>
      <c r="AF33" s="126">
        <f t="shared" ca="1" si="13"/>
        <v>0</v>
      </c>
      <c r="AG33" s="127">
        <f t="shared" ca="1" si="13"/>
        <v>0</v>
      </c>
      <c r="AH33" s="127">
        <f t="shared" ca="1" si="13"/>
        <v>0</v>
      </c>
      <c r="AI33" s="127">
        <f t="shared" ca="1" si="13"/>
        <v>0</v>
      </c>
      <c r="AJ33" s="128">
        <f t="shared" ca="1" si="13"/>
        <v>0</v>
      </c>
      <c r="AK33" s="126">
        <f t="shared" ca="1" si="13"/>
        <v>0</v>
      </c>
      <c r="AL33" s="127">
        <f t="shared" ca="1" si="13"/>
        <v>0</v>
      </c>
      <c r="AM33" s="127">
        <f t="shared" ca="1" si="13"/>
        <v>0</v>
      </c>
      <c r="AN33" s="127">
        <f t="shared" ca="1" si="13"/>
        <v>0</v>
      </c>
      <c r="AO33" s="129">
        <f t="shared" ca="1" si="12"/>
        <v>0</v>
      </c>
      <c r="AP33" s="536" t="str">
        <f t="shared" si="6"/>
        <v/>
      </c>
      <c r="AQ33" s="536" t="str">
        <f t="shared" si="7"/>
        <v/>
      </c>
      <c r="AR33" s="536" t="str">
        <f t="shared" si="8"/>
        <v/>
      </c>
      <c r="AS33" s="537">
        <f>IF(OR(J33&lt;&gt;"",AP33&amp;AQ33&amp;AR33&lt;&gt;"X",WEEKDAY(I33,2)&gt;5,C33&lt;&gt;0,(FechaInicio1Tri&gt;I33),(FechaFinEEva&lt;I33)),0,_xlfn.XLOOKUP(WEEKDAY(I33,2),Fchs!$J$10:$N$10,Fchs!$J$12:$N$12))</f>
        <v>0</v>
      </c>
      <c r="AT33" s="536">
        <f t="shared" ca="1" si="9"/>
        <v>0</v>
      </c>
      <c r="AU33" s="538">
        <f>IF(AS33&lt;&gt;0,MAXA($AU$14:AU32)+AS33,0)</f>
        <v>0</v>
      </c>
      <c r="AV33" s="538">
        <f ca="1">IF(AT33&lt;&gt;0,MAXA($AU$14:AU32)+AT33,0)</f>
        <v>0</v>
      </c>
      <c r="AW33" s="68"/>
    </row>
    <row r="34" spans="1:49" ht="18.75" customHeight="1" x14ac:dyDescent="0.25">
      <c r="A34" s="68"/>
      <c r="B34" s="56" t="str">
        <f>MID(Info!$AZ$3,(WEEKDAY(I34,2)-1)*3+1,3)</f>
        <v>Dom</v>
      </c>
      <c r="C34" s="523">
        <f>_xlfn.XLOOKUP(I34,Fchs!$C$60:$C$101,Fchs!$D$60:$D$101,0)</f>
        <v>0</v>
      </c>
      <c r="D34" s="523">
        <f>_xlfn.XLOOKUP(I34,Fchs!$C$60:$C$101,Fchs!$E$60:$E$101)</f>
        <v>0</v>
      </c>
      <c r="E34" s="532">
        <f>IF($AS34&lt;&gt;0,_xlfn.XLOOKUP($G34,UDs!$E$34:$E$55,UDs!$B$34:$B$55,,-1),0)</f>
        <v>0</v>
      </c>
      <c r="F34" s="532">
        <f t="shared" ca="1" si="4"/>
        <v>0</v>
      </c>
      <c r="G34" s="569">
        <f>IF(AU34&lt;&gt;0,MAX($AU$13:$AU33)+1,0)</f>
        <v>0</v>
      </c>
      <c r="H34" s="569" t="str">
        <f>IF(AS34&lt;&gt;0,COUNT($H$14:H33,1),"")</f>
        <v/>
      </c>
      <c r="I34" s="533">
        <f t="shared" si="10"/>
        <v>45921</v>
      </c>
      <c r="J34" s="534"/>
      <c r="K34" s="535"/>
      <c r="L34" s="126">
        <f t="shared" ca="1" si="11"/>
        <v>0</v>
      </c>
      <c r="M34" s="127">
        <f t="shared" ca="1" si="11"/>
        <v>0</v>
      </c>
      <c r="N34" s="127">
        <f t="shared" ca="1" si="11"/>
        <v>0</v>
      </c>
      <c r="O34" s="127">
        <f t="shared" ca="1" si="11"/>
        <v>0</v>
      </c>
      <c r="P34" s="128">
        <f t="shared" ca="1" si="11"/>
        <v>0</v>
      </c>
      <c r="Q34" s="126">
        <f t="shared" ca="1" si="11"/>
        <v>0</v>
      </c>
      <c r="R34" s="127">
        <f t="shared" ca="1" si="11"/>
        <v>0</v>
      </c>
      <c r="S34" s="127">
        <f t="shared" ca="1" si="11"/>
        <v>0</v>
      </c>
      <c r="T34" s="127">
        <f t="shared" ca="1" si="11"/>
        <v>0</v>
      </c>
      <c r="U34" s="128">
        <f t="shared" ca="1" si="11"/>
        <v>0</v>
      </c>
      <c r="V34" s="126">
        <f t="shared" ca="1" si="11"/>
        <v>0</v>
      </c>
      <c r="W34" s="127">
        <f t="shared" ca="1" si="11"/>
        <v>0</v>
      </c>
      <c r="X34" s="127">
        <f t="shared" ca="1" si="11"/>
        <v>0</v>
      </c>
      <c r="Y34" s="127">
        <f t="shared" ca="1" si="11"/>
        <v>0</v>
      </c>
      <c r="Z34" s="128">
        <f t="shared" ca="1" si="11"/>
        <v>0</v>
      </c>
      <c r="AA34" s="126">
        <f t="shared" ca="1" si="11"/>
        <v>0</v>
      </c>
      <c r="AB34" s="127">
        <f t="shared" ca="1" si="13"/>
        <v>0</v>
      </c>
      <c r="AC34" s="127">
        <f t="shared" ca="1" si="13"/>
        <v>0</v>
      </c>
      <c r="AD34" s="127">
        <f t="shared" ca="1" si="13"/>
        <v>0</v>
      </c>
      <c r="AE34" s="128">
        <f t="shared" ca="1" si="13"/>
        <v>0</v>
      </c>
      <c r="AF34" s="126">
        <f t="shared" ca="1" si="13"/>
        <v>0</v>
      </c>
      <c r="AG34" s="127">
        <f t="shared" ca="1" si="13"/>
        <v>0</v>
      </c>
      <c r="AH34" s="127">
        <f t="shared" ca="1" si="13"/>
        <v>0</v>
      </c>
      <c r="AI34" s="127">
        <f t="shared" ca="1" si="13"/>
        <v>0</v>
      </c>
      <c r="AJ34" s="128">
        <f t="shared" ca="1" si="13"/>
        <v>0</v>
      </c>
      <c r="AK34" s="126">
        <f t="shared" ca="1" si="13"/>
        <v>0</v>
      </c>
      <c r="AL34" s="127">
        <f t="shared" ca="1" si="13"/>
        <v>0</v>
      </c>
      <c r="AM34" s="127">
        <f t="shared" ca="1" si="13"/>
        <v>0</v>
      </c>
      <c r="AN34" s="127">
        <f t="shared" ca="1" si="13"/>
        <v>0</v>
      </c>
      <c r="AO34" s="129">
        <f t="shared" ca="1" si="12"/>
        <v>0</v>
      </c>
      <c r="AP34" s="536" t="str">
        <f t="shared" si="6"/>
        <v/>
      </c>
      <c r="AQ34" s="536" t="str">
        <f t="shared" si="7"/>
        <v/>
      </c>
      <c r="AR34" s="536" t="str">
        <f t="shared" si="8"/>
        <v/>
      </c>
      <c r="AS34" s="537">
        <f>IF(OR(J34&lt;&gt;"",AP34&amp;AQ34&amp;AR34&lt;&gt;"X",WEEKDAY(I34,2)&gt;5,C34&lt;&gt;0,(FechaInicio1Tri&gt;I34),(FechaFinEEva&lt;I34)),0,_xlfn.XLOOKUP(WEEKDAY(I34,2),Fchs!$J$10:$N$10,Fchs!$J$12:$N$12))</f>
        <v>0</v>
      </c>
      <c r="AT34" s="536">
        <f t="shared" ca="1" si="9"/>
        <v>0</v>
      </c>
      <c r="AU34" s="538">
        <f>IF(AS34&lt;&gt;0,MAXA($AU$14:AU33)+AS34,0)</f>
        <v>0</v>
      </c>
      <c r="AV34" s="538">
        <f ca="1">IF(AT34&lt;&gt;0,MAXA($AU$14:AU33)+AT34,0)</f>
        <v>0</v>
      </c>
      <c r="AW34" s="68"/>
    </row>
    <row r="35" spans="1:49" ht="18.75" customHeight="1" x14ac:dyDescent="0.25">
      <c r="A35" s="68"/>
      <c r="B35" s="56" t="str">
        <f>MID(Info!$AZ$3,(WEEKDAY(I35,2)-1)*3+1,3)</f>
        <v>Lun</v>
      </c>
      <c r="C35" s="523">
        <f>_xlfn.XLOOKUP(I35,Fchs!$C$60:$C$101,Fchs!$D$60:$D$101,0)</f>
        <v>0</v>
      </c>
      <c r="D35" s="523">
        <f>_xlfn.XLOOKUP(I35,Fchs!$C$60:$C$101,Fchs!$E$60:$E$101)</f>
        <v>0</v>
      </c>
      <c r="E35" s="532" t="str">
        <f>IF($AS35&lt;&gt;0,_xlfn.XLOOKUP($G35,UDs!$E$34:$E$55,UDs!$B$34:$B$55,,-1),0)</f>
        <v>UD01</v>
      </c>
      <c r="F35" s="532" t="str">
        <f t="shared" ca="1" si="4"/>
        <v>UD01</v>
      </c>
      <c r="G35" s="569">
        <f>IF(AU35&lt;&gt;0,MAX($AU$13:$AU34)+1,0)</f>
        <v>6</v>
      </c>
      <c r="H35" s="569">
        <f>IF(AS35&lt;&gt;0,COUNT($H$14:H34,1),"")</f>
        <v>6</v>
      </c>
      <c r="I35" s="533">
        <f t="shared" si="10"/>
        <v>45922</v>
      </c>
      <c r="J35" s="534"/>
      <c r="K35" s="535"/>
      <c r="L35" s="126">
        <f t="shared" ca="1" si="11"/>
        <v>1</v>
      </c>
      <c r="M35" s="127">
        <f t="shared" ca="1" si="11"/>
        <v>1</v>
      </c>
      <c r="N35" s="127">
        <f t="shared" ca="1" si="11"/>
        <v>1</v>
      </c>
      <c r="O35" s="127">
        <f t="shared" ca="1" si="11"/>
        <v>1</v>
      </c>
      <c r="P35" s="128">
        <f t="shared" ca="1" si="11"/>
        <v>1</v>
      </c>
      <c r="Q35" s="126">
        <f t="shared" ca="1" si="11"/>
        <v>1</v>
      </c>
      <c r="R35" s="127">
        <f t="shared" ca="1" si="11"/>
        <v>1</v>
      </c>
      <c r="S35" s="127">
        <f t="shared" ca="1" si="11"/>
        <v>1</v>
      </c>
      <c r="T35" s="127">
        <f t="shared" ca="1" si="11"/>
        <v>1</v>
      </c>
      <c r="U35" s="128">
        <f t="shared" ca="1" si="11"/>
        <v>1</v>
      </c>
      <c r="V35" s="126">
        <f t="shared" ca="1" si="11"/>
        <v>1</v>
      </c>
      <c r="W35" s="127">
        <f t="shared" ca="1" si="11"/>
        <v>1</v>
      </c>
      <c r="X35" s="127">
        <f t="shared" ca="1" si="11"/>
        <v>1</v>
      </c>
      <c r="Y35" s="127">
        <f t="shared" ca="1" si="11"/>
        <v>1</v>
      </c>
      <c r="Z35" s="128">
        <f t="shared" ca="1" si="11"/>
        <v>1</v>
      </c>
      <c r="AA35" s="126">
        <f t="shared" ca="1" si="11"/>
        <v>1</v>
      </c>
      <c r="AB35" s="127">
        <f t="shared" ca="1" si="13"/>
        <v>1</v>
      </c>
      <c r="AC35" s="127">
        <f t="shared" ca="1" si="13"/>
        <v>1</v>
      </c>
      <c r="AD35" s="127">
        <f t="shared" ca="1" si="13"/>
        <v>1</v>
      </c>
      <c r="AE35" s="128">
        <f t="shared" ca="1" si="13"/>
        <v>1</v>
      </c>
      <c r="AF35" s="126">
        <f t="shared" ca="1" si="13"/>
        <v>1</v>
      </c>
      <c r="AG35" s="127">
        <f t="shared" ca="1" si="13"/>
        <v>1</v>
      </c>
      <c r="AH35" s="127">
        <f t="shared" ca="1" si="13"/>
        <v>1</v>
      </c>
      <c r="AI35" s="127">
        <f t="shared" ca="1" si="13"/>
        <v>1</v>
      </c>
      <c r="AJ35" s="128">
        <f t="shared" ca="1" si="13"/>
        <v>1</v>
      </c>
      <c r="AK35" s="126">
        <f t="shared" ca="1" si="13"/>
        <v>1</v>
      </c>
      <c r="AL35" s="127">
        <f t="shared" ca="1" si="13"/>
        <v>1</v>
      </c>
      <c r="AM35" s="127">
        <f t="shared" ca="1" si="13"/>
        <v>1</v>
      </c>
      <c r="AN35" s="127">
        <f t="shared" ca="1" si="13"/>
        <v>1</v>
      </c>
      <c r="AO35" s="129">
        <f t="shared" ca="1" si="12"/>
        <v>1</v>
      </c>
      <c r="AP35" s="536" t="str">
        <f t="shared" si="6"/>
        <v>X</v>
      </c>
      <c r="AQ35" s="536" t="str">
        <f t="shared" si="7"/>
        <v/>
      </c>
      <c r="AR35" s="536" t="str">
        <f t="shared" si="8"/>
        <v/>
      </c>
      <c r="AS35" s="537">
        <f>IF(OR(J35&lt;&gt;"",AP35&amp;AQ35&amp;AR35&lt;&gt;"X",WEEKDAY(I35,2)&gt;5,C35&lt;&gt;0,(FechaInicio1Tri&gt;I35),(FechaFinEEva&lt;I35)),0,_xlfn.XLOOKUP(WEEKDAY(I35,2),Fchs!$J$10:$N$10,Fchs!$J$12:$N$12))</f>
        <v>1</v>
      </c>
      <c r="AT35" s="536">
        <f t="shared" ca="1" si="9"/>
        <v>1</v>
      </c>
      <c r="AU35" s="538">
        <f>IF(AS35&lt;&gt;0,MAXA($AU$14:AU34)+AS35,0)</f>
        <v>6</v>
      </c>
      <c r="AV35" s="538">
        <f ca="1">IF(AT35&lt;&gt;0,MAXA($AU$14:AU34)+AT35,0)</f>
        <v>6</v>
      </c>
      <c r="AW35" s="68"/>
    </row>
    <row r="36" spans="1:49" ht="18.75" customHeight="1" x14ac:dyDescent="0.25">
      <c r="A36" s="68"/>
      <c r="B36" s="56" t="str">
        <f>MID(Info!$AZ$3,(WEEKDAY(I36,2)-1)*3+1,3)</f>
        <v>Mar</v>
      </c>
      <c r="C36" s="523">
        <f>_xlfn.XLOOKUP(I36,Fchs!$C$60:$C$101,Fchs!$D$60:$D$101,0)</f>
        <v>0</v>
      </c>
      <c r="D36" s="523">
        <f>_xlfn.XLOOKUP(I36,Fchs!$C$60:$C$101,Fchs!$E$60:$E$101)</f>
        <v>0</v>
      </c>
      <c r="E36" s="532" t="str">
        <f>IF($AS36&lt;&gt;0,_xlfn.XLOOKUP($G36,UDs!$E$34:$E$55,UDs!$B$34:$B$55,,-1),0)</f>
        <v>UD01</v>
      </c>
      <c r="F36" s="532" t="str">
        <f t="shared" ca="1" si="4"/>
        <v>UD01</v>
      </c>
      <c r="G36" s="569">
        <f>IF(AU36&lt;&gt;0,MAX($AU$13:$AU35)+1,0)</f>
        <v>7</v>
      </c>
      <c r="H36" s="569">
        <f>IF(AS36&lt;&gt;0,COUNT($H$14:H35,1),"")</f>
        <v>7</v>
      </c>
      <c r="I36" s="533">
        <f t="shared" si="10"/>
        <v>45923</v>
      </c>
      <c r="J36" s="534"/>
      <c r="K36" s="535"/>
      <c r="L36" s="126">
        <f t="shared" ca="1" si="11"/>
        <v>1</v>
      </c>
      <c r="M36" s="127">
        <f t="shared" ca="1" si="11"/>
        <v>1</v>
      </c>
      <c r="N36" s="127">
        <f t="shared" ca="1" si="11"/>
        <v>1</v>
      </c>
      <c r="O36" s="127">
        <f t="shared" ca="1" si="11"/>
        <v>1</v>
      </c>
      <c r="P36" s="128">
        <f t="shared" ca="1" si="11"/>
        <v>1</v>
      </c>
      <c r="Q36" s="126">
        <f t="shared" ca="1" si="11"/>
        <v>1</v>
      </c>
      <c r="R36" s="127">
        <f t="shared" ca="1" si="11"/>
        <v>1</v>
      </c>
      <c r="S36" s="127">
        <f t="shared" ca="1" si="11"/>
        <v>1</v>
      </c>
      <c r="T36" s="127">
        <f t="shared" ca="1" si="11"/>
        <v>1</v>
      </c>
      <c r="U36" s="128">
        <f t="shared" ca="1" si="11"/>
        <v>1</v>
      </c>
      <c r="V36" s="126">
        <f t="shared" ca="1" si="11"/>
        <v>1</v>
      </c>
      <c r="W36" s="127">
        <f t="shared" ca="1" si="11"/>
        <v>1</v>
      </c>
      <c r="X36" s="127">
        <f t="shared" ca="1" si="11"/>
        <v>1</v>
      </c>
      <c r="Y36" s="127">
        <f t="shared" ca="1" si="11"/>
        <v>1</v>
      </c>
      <c r="Z36" s="128">
        <f t="shared" ca="1" si="11"/>
        <v>1</v>
      </c>
      <c r="AA36" s="126">
        <f t="shared" ca="1" si="11"/>
        <v>1</v>
      </c>
      <c r="AB36" s="127">
        <f t="shared" ca="1" si="13"/>
        <v>1</v>
      </c>
      <c r="AC36" s="127">
        <f t="shared" ca="1" si="13"/>
        <v>1</v>
      </c>
      <c r="AD36" s="127">
        <f t="shared" ca="1" si="13"/>
        <v>1</v>
      </c>
      <c r="AE36" s="128">
        <f t="shared" ca="1" si="13"/>
        <v>1</v>
      </c>
      <c r="AF36" s="126">
        <f t="shared" ca="1" si="13"/>
        <v>1</v>
      </c>
      <c r="AG36" s="127">
        <f t="shared" ca="1" si="13"/>
        <v>1</v>
      </c>
      <c r="AH36" s="127">
        <f t="shared" ca="1" si="13"/>
        <v>1</v>
      </c>
      <c r="AI36" s="127">
        <f t="shared" ca="1" si="13"/>
        <v>1</v>
      </c>
      <c r="AJ36" s="128">
        <f t="shared" ca="1" si="13"/>
        <v>1</v>
      </c>
      <c r="AK36" s="126">
        <f t="shared" ca="1" si="13"/>
        <v>1</v>
      </c>
      <c r="AL36" s="127">
        <f t="shared" ca="1" si="13"/>
        <v>1</v>
      </c>
      <c r="AM36" s="127">
        <f t="shared" ca="1" si="13"/>
        <v>1</v>
      </c>
      <c r="AN36" s="127">
        <f t="shared" ca="1" si="13"/>
        <v>1</v>
      </c>
      <c r="AO36" s="129">
        <f t="shared" ca="1" si="12"/>
        <v>1</v>
      </c>
      <c r="AP36" s="536" t="str">
        <f t="shared" si="6"/>
        <v>X</v>
      </c>
      <c r="AQ36" s="536" t="str">
        <f t="shared" si="7"/>
        <v/>
      </c>
      <c r="AR36" s="536" t="str">
        <f t="shared" si="8"/>
        <v/>
      </c>
      <c r="AS36" s="537">
        <f>IF(OR(J36&lt;&gt;"",AP36&amp;AQ36&amp;AR36&lt;&gt;"X",WEEKDAY(I36,2)&gt;5,C36&lt;&gt;0,(FechaInicio1Tri&gt;I36),(FechaFinEEva&lt;I36)),0,_xlfn.XLOOKUP(WEEKDAY(I36,2),Fchs!$J$10:$N$10,Fchs!$J$12:$N$12))</f>
        <v>1</v>
      </c>
      <c r="AT36" s="536">
        <f t="shared" ca="1" si="9"/>
        <v>1</v>
      </c>
      <c r="AU36" s="538">
        <f>IF(AS36&lt;&gt;0,MAXA($AU$14:AU35)+AS36,0)</f>
        <v>7</v>
      </c>
      <c r="AV36" s="538">
        <f ca="1">IF(AT36&lt;&gt;0,MAXA($AU$14:AU35)+AT36,0)</f>
        <v>7</v>
      </c>
      <c r="AW36" s="68"/>
    </row>
    <row r="37" spans="1:49" ht="18.75" customHeight="1" x14ac:dyDescent="0.25">
      <c r="A37" s="68"/>
      <c r="B37" s="56" t="str">
        <f>MID(Info!$AZ$3,(WEEKDAY(I37,2)-1)*3+1,3)</f>
        <v>Mié</v>
      </c>
      <c r="C37" s="523">
        <f>_xlfn.XLOOKUP(I37,Fchs!$C$60:$C$101,Fchs!$D$60:$D$101,0)</f>
        <v>0</v>
      </c>
      <c r="D37" s="523">
        <f>_xlfn.XLOOKUP(I37,Fchs!$C$60:$C$101,Fchs!$E$60:$E$101)</f>
        <v>0</v>
      </c>
      <c r="E37" s="532" t="str">
        <f>IF($AS37&lt;&gt;0,_xlfn.XLOOKUP($G37,UDs!$E$34:$E$55,UDs!$B$34:$B$55,,-1),0)</f>
        <v>UD01</v>
      </c>
      <c r="F37" s="532" t="str">
        <f t="shared" ca="1" si="4"/>
        <v>UD01</v>
      </c>
      <c r="G37" s="569">
        <f>IF(AU37&lt;&gt;0,MAX($AU$13:$AU36)+1,0)</f>
        <v>8</v>
      </c>
      <c r="H37" s="569">
        <f>IF(AS37&lt;&gt;0,COUNT($H$14:H36,1),"")</f>
        <v>8</v>
      </c>
      <c r="I37" s="533">
        <f t="shared" si="10"/>
        <v>45924</v>
      </c>
      <c r="J37" s="534"/>
      <c r="K37" s="535"/>
      <c r="L37" s="126">
        <f t="shared" ca="1" si="11"/>
        <v>1</v>
      </c>
      <c r="M37" s="127">
        <f t="shared" ca="1" si="11"/>
        <v>1</v>
      </c>
      <c r="N37" s="127">
        <f t="shared" ca="1" si="11"/>
        <v>1</v>
      </c>
      <c r="O37" s="127">
        <f t="shared" ca="1" si="11"/>
        <v>1</v>
      </c>
      <c r="P37" s="128">
        <f t="shared" ca="1" si="11"/>
        <v>1</v>
      </c>
      <c r="Q37" s="126">
        <f t="shared" ca="1" si="11"/>
        <v>1</v>
      </c>
      <c r="R37" s="127">
        <f t="shared" ca="1" si="11"/>
        <v>1</v>
      </c>
      <c r="S37" s="127">
        <f t="shared" ca="1" si="11"/>
        <v>1</v>
      </c>
      <c r="T37" s="127">
        <f t="shared" ca="1" si="11"/>
        <v>1</v>
      </c>
      <c r="U37" s="128">
        <f t="shared" ca="1" si="11"/>
        <v>1</v>
      </c>
      <c r="V37" s="126">
        <f t="shared" ca="1" si="11"/>
        <v>1</v>
      </c>
      <c r="W37" s="127">
        <f t="shared" ca="1" si="11"/>
        <v>1</v>
      </c>
      <c r="X37" s="127">
        <f t="shared" ca="1" si="11"/>
        <v>1</v>
      </c>
      <c r="Y37" s="127">
        <f t="shared" ca="1" si="11"/>
        <v>1</v>
      </c>
      <c r="Z37" s="128">
        <f t="shared" ca="1" si="11"/>
        <v>1</v>
      </c>
      <c r="AA37" s="126">
        <f t="shared" ca="1" si="11"/>
        <v>1</v>
      </c>
      <c r="AB37" s="127">
        <f t="shared" ca="1" si="13"/>
        <v>1</v>
      </c>
      <c r="AC37" s="127">
        <f t="shared" ca="1" si="13"/>
        <v>1</v>
      </c>
      <c r="AD37" s="127">
        <f t="shared" ca="1" si="13"/>
        <v>1</v>
      </c>
      <c r="AE37" s="128">
        <f t="shared" ca="1" si="13"/>
        <v>1</v>
      </c>
      <c r="AF37" s="126">
        <f t="shared" ca="1" si="13"/>
        <v>1</v>
      </c>
      <c r="AG37" s="127">
        <f t="shared" ca="1" si="13"/>
        <v>1</v>
      </c>
      <c r="AH37" s="127">
        <f t="shared" ca="1" si="13"/>
        <v>1</v>
      </c>
      <c r="AI37" s="127">
        <f t="shared" ca="1" si="13"/>
        <v>1</v>
      </c>
      <c r="AJ37" s="128">
        <f t="shared" ca="1" si="13"/>
        <v>1</v>
      </c>
      <c r="AK37" s="126">
        <f t="shared" ca="1" si="13"/>
        <v>1</v>
      </c>
      <c r="AL37" s="127">
        <f t="shared" ca="1" si="13"/>
        <v>1</v>
      </c>
      <c r="AM37" s="127">
        <f t="shared" ca="1" si="13"/>
        <v>1</v>
      </c>
      <c r="AN37" s="127">
        <f t="shared" ca="1" si="13"/>
        <v>1</v>
      </c>
      <c r="AO37" s="129">
        <f t="shared" ca="1" si="12"/>
        <v>1</v>
      </c>
      <c r="AP37" s="536" t="str">
        <f t="shared" si="6"/>
        <v>X</v>
      </c>
      <c r="AQ37" s="536" t="str">
        <f t="shared" si="7"/>
        <v/>
      </c>
      <c r="AR37" s="536" t="str">
        <f t="shared" si="8"/>
        <v/>
      </c>
      <c r="AS37" s="537">
        <f>IF(OR(J37&lt;&gt;"",AP37&amp;AQ37&amp;AR37&lt;&gt;"X",WEEKDAY(I37,2)&gt;5,C37&lt;&gt;0,(FechaInicio1Tri&gt;I37),(FechaFinEEva&lt;I37)),0,_xlfn.XLOOKUP(WEEKDAY(I37,2),Fchs!$J$10:$N$10,Fchs!$J$12:$N$12))</f>
        <v>1</v>
      </c>
      <c r="AT37" s="536">
        <f t="shared" ca="1" si="9"/>
        <v>1</v>
      </c>
      <c r="AU37" s="538">
        <f>IF(AS37&lt;&gt;0,MAXA($AU$14:AU36)+AS37,0)</f>
        <v>8</v>
      </c>
      <c r="AV37" s="538">
        <f ca="1">IF(AT37&lt;&gt;0,MAXA($AU$14:AU36)+AT37,0)</f>
        <v>8</v>
      </c>
      <c r="AW37" s="68"/>
    </row>
    <row r="38" spans="1:49" ht="18.75" customHeight="1" x14ac:dyDescent="0.25">
      <c r="A38" s="68"/>
      <c r="B38" s="56" t="str">
        <f>MID(Info!$AZ$3,(WEEKDAY(I38,2)-1)*3+1,3)</f>
        <v>Jue</v>
      </c>
      <c r="C38" s="523">
        <f>_xlfn.XLOOKUP(I38,Fchs!$C$60:$C$101,Fchs!$D$60:$D$101,0)</f>
        <v>0</v>
      </c>
      <c r="D38" s="523">
        <f>_xlfn.XLOOKUP(I38,Fchs!$C$60:$C$101,Fchs!$E$60:$E$101)</f>
        <v>0</v>
      </c>
      <c r="E38" s="532" t="str">
        <f>IF($AS38&lt;&gt;0,_xlfn.XLOOKUP($G38,UDs!$E$34:$E$55,UDs!$B$34:$B$55,,-1),0)</f>
        <v>UD01</v>
      </c>
      <c r="F38" s="532" t="str">
        <f t="shared" ca="1" si="4"/>
        <v>UD01</v>
      </c>
      <c r="G38" s="569">
        <f>IF(AU38&lt;&gt;0,MAX($AU$13:$AU37)+1,0)</f>
        <v>9</v>
      </c>
      <c r="H38" s="569">
        <f>IF(AS38&lt;&gt;0,COUNT($H$14:H37,1),"")</f>
        <v>9</v>
      </c>
      <c r="I38" s="533">
        <f t="shared" si="10"/>
        <v>45925</v>
      </c>
      <c r="J38" s="534"/>
      <c r="K38" s="535"/>
      <c r="L38" s="126">
        <f t="shared" ca="1" si="11"/>
        <v>1</v>
      </c>
      <c r="M38" s="127">
        <f t="shared" ca="1" si="11"/>
        <v>1</v>
      </c>
      <c r="N38" s="127">
        <f t="shared" ca="1" si="11"/>
        <v>1</v>
      </c>
      <c r="O38" s="127">
        <f t="shared" ca="1" si="11"/>
        <v>1</v>
      </c>
      <c r="P38" s="128">
        <f t="shared" ca="1" si="11"/>
        <v>1</v>
      </c>
      <c r="Q38" s="126">
        <f t="shared" ca="1" si="11"/>
        <v>1</v>
      </c>
      <c r="R38" s="127">
        <f t="shared" ca="1" si="11"/>
        <v>1</v>
      </c>
      <c r="S38" s="127">
        <f t="shared" ref="S38:AH53" ca="1" si="14">$AT38</f>
        <v>1</v>
      </c>
      <c r="T38" s="127">
        <f t="shared" ca="1" si="14"/>
        <v>1</v>
      </c>
      <c r="U38" s="128">
        <f t="shared" ca="1" si="14"/>
        <v>1</v>
      </c>
      <c r="V38" s="126">
        <f t="shared" ca="1" si="14"/>
        <v>1</v>
      </c>
      <c r="W38" s="127">
        <f t="shared" ca="1" si="14"/>
        <v>1</v>
      </c>
      <c r="X38" s="127">
        <f t="shared" ca="1" si="14"/>
        <v>1</v>
      </c>
      <c r="Y38" s="127">
        <f t="shared" ca="1" si="14"/>
        <v>1</v>
      </c>
      <c r="Z38" s="128">
        <f t="shared" ca="1" si="14"/>
        <v>1</v>
      </c>
      <c r="AA38" s="126">
        <f t="shared" ca="1" si="14"/>
        <v>1</v>
      </c>
      <c r="AB38" s="127">
        <f t="shared" ca="1" si="14"/>
        <v>1</v>
      </c>
      <c r="AC38" s="127">
        <f t="shared" ca="1" si="14"/>
        <v>1</v>
      </c>
      <c r="AD38" s="127">
        <f t="shared" ca="1" si="14"/>
        <v>1</v>
      </c>
      <c r="AE38" s="128">
        <f t="shared" ca="1" si="14"/>
        <v>1</v>
      </c>
      <c r="AF38" s="126">
        <f t="shared" ca="1" si="14"/>
        <v>1</v>
      </c>
      <c r="AG38" s="127">
        <f t="shared" ca="1" si="14"/>
        <v>1</v>
      </c>
      <c r="AH38" s="127">
        <f t="shared" ca="1" si="14"/>
        <v>1</v>
      </c>
      <c r="AI38" s="127">
        <f t="shared" ca="1" si="13"/>
        <v>1</v>
      </c>
      <c r="AJ38" s="128">
        <f t="shared" ca="1" si="13"/>
        <v>1</v>
      </c>
      <c r="AK38" s="126">
        <f t="shared" ca="1" si="13"/>
        <v>1</v>
      </c>
      <c r="AL38" s="127">
        <f t="shared" ca="1" si="13"/>
        <v>1</v>
      </c>
      <c r="AM38" s="127">
        <f t="shared" ca="1" si="13"/>
        <v>1</v>
      </c>
      <c r="AN38" s="127">
        <f t="shared" ca="1" si="13"/>
        <v>1</v>
      </c>
      <c r="AO38" s="129">
        <f t="shared" ca="1" si="12"/>
        <v>1</v>
      </c>
      <c r="AP38" s="536" t="str">
        <f t="shared" si="6"/>
        <v>X</v>
      </c>
      <c r="AQ38" s="536" t="str">
        <f t="shared" si="7"/>
        <v/>
      </c>
      <c r="AR38" s="536" t="str">
        <f t="shared" si="8"/>
        <v/>
      </c>
      <c r="AS38" s="537">
        <f>IF(OR(J38&lt;&gt;"",AP38&amp;AQ38&amp;AR38&lt;&gt;"X",WEEKDAY(I38,2)&gt;5,C38&lt;&gt;0,(FechaInicio1Tri&gt;I38),(FechaFinEEva&lt;I38)),0,_xlfn.XLOOKUP(WEEKDAY(I38,2),Fchs!$J$10:$N$10,Fchs!$J$12:$N$12))</f>
        <v>1</v>
      </c>
      <c r="AT38" s="536">
        <f t="shared" ca="1" si="9"/>
        <v>1</v>
      </c>
      <c r="AU38" s="538">
        <f>IF(AS38&lt;&gt;0,MAXA($AU$14:AU37)+AS38,0)</f>
        <v>9</v>
      </c>
      <c r="AV38" s="538">
        <f ca="1">IF(AT38&lt;&gt;0,MAXA($AU$14:AU37)+AT38,0)</f>
        <v>9</v>
      </c>
      <c r="AW38" s="68"/>
    </row>
    <row r="39" spans="1:49" ht="18.75" customHeight="1" x14ac:dyDescent="0.25">
      <c r="A39" s="68"/>
      <c r="B39" s="56" t="str">
        <f>MID(Info!$AZ$3,(WEEKDAY(I39,2)-1)*3+1,3)</f>
        <v>Vie</v>
      </c>
      <c r="C39" s="523">
        <f>_xlfn.XLOOKUP(I39,Fchs!$C$60:$C$101,Fchs!$D$60:$D$101,0)</f>
        <v>0</v>
      </c>
      <c r="D39" s="523">
        <f>_xlfn.XLOOKUP(I39,Fchs!$C$60:$C$101,Fchs!$E$60:$E$101)</f>
        <v>0</v>
      </c>
      <c r="E39" s="532" t="str">
        <f>IF($AS39&lt;&gt;0,_xlfn.XLOOKUP($G39,UDs!$E$34:$E$55,UDs!$B$34:$B$55,,-1),0)</f>
        <v>UD01</v>
      </c>
      <c r="F39" s="532" t="str">
        <f t="shared" ca="1" si="4"/>
        <v>UD01</v>
      </c>
      <c r="G39" s="569">
        <f>IF(AU39&lt;&gt;0,MAX($AU$13:$AU38)+1,0)</f>
        <v>10</v>
      </c>
      <c r="H39" s="569">
        <f>IF(AS39&lt;&gt;0,COUNT($H$14:H38,1),"")</f>
        <v>10</v>
      </c>
      <c r="I39" s="533">
        <f t="shared" si="10"/>
        <v>45926</v>
      </c>
      <c r="J39" s="534"/>
      <c r="K39" s="535"/>
      <c r="L39" s="126">
        <f t="shared" ref="L39:AA54" ca="1" si="15">$AT39</f>
        <v>1</v>
      </c>
      <c r="M39" s="127">
        <f t="shared" ca="1" si="15"/>
        <v>1</v>
      </c>
      <c r="N39" s="127">
        <f t="shared" ca="1" si="15"/>
        <v>1</v>
      </c>
      <c r="O39" s="127">
        <f t="shared" ca="1" si="15"/>
        <v>1</v>
      </c>
      <c r="P39" s="128">
        <f t="shared" ca="1" si="15"/>
        <v>1</v>
      </c>
      <c r="Q39" s="126">
        <f t="shared" ca="1" si="15"/>
        <v>1</v>
      </c>
      <c r="R39" s="127">
        <f t="shared" ca="1" si="15"/>
        <v>1</v>
      </c>
      <c r="S39" s="127">
        <f t="shared" ca="1" si="15"/>
        <v>1</v>
      </c>
      <c r="T39" s="127">
        <f t="shared" ca="1" si="15"/>
        <v>1</v>
      </c>
      <c r="U39" s="128">
        <f t="shared" ca="1" si="15"/>
        <v>1</v>
      </c>
      <c r="V39" s="126">
        <f t="shared" ca="1" si="15"/>
        <v>1</v>
      </c>
      <c r="W39" s="127">
        <f t="shared" ca="1" si="15"/>
        <v>1</v>
      </c>
      <c r="X39" s="127">
        <f t="shared" ca="1" si="15"/>
        <v>1</v>
      </c>
      <c r="Y39" s="127">
        <f t="shared" ca="1" si="15"/>
        <v>1</v>
      </c>
      <c r="Z39" s="128">
        <f t="shared" ca="1" si="15"/>
        <v>1</v>
      </c>
      <c r="AA39" s="126">
        <f t="shared" ca="1" si="15"/>
        <v>1</v>
      </c>
      <c r="AB39" s="127">
        <f t="shared" ca="1" si="14"/>
        <v>1</v>
      </c>
      <c r="AC39" s="127">
        <f t="shared" ca="1" si="14"/>
        <v>1</v>
      </c>
      <c r="AD39" s="127">
        <f t="shared" ca="1" si="14"/>
        <v>1</v>
      </c>
      <c r="AE39" s="128">
        <f t="shared" ca="1" si="14"/>
        <v>1</v>
      </c>
      <c r="AF39" s="126">
        <f t="shared" ca="1" si="14"/>
        <v>1</v>
      </c>
      <c r="AG39" s="127">
        <f t="shared" ca="1" si="14"/>
        <v>1</v>
      </c>
      <c r="AH39" s="127">
        <f t="shared" ca="1" si="14"/>
        <v>1</v>
      </c>
      <c r="AI39" s="127">
        <f t="shared" ca="1" si="13"/>
        <v>1</v>
      </c>
      <c r="AJ39" s="128">
        <f t="shared" ca="1" si="13"/>
        <v>1</v>
      </c>
      <c r="AK39" s="126">
        <f t="shared" ca="1" si="13"/>
        <v>1</v>
      </c>
      <c r="AL39" s="127">
        <f t="shared" ca="1" si="13"/>
        <v>1</v>
      </c>
      <c r="AM39" s="127">
        <f t="shared" ca="1" si="13"/>
        <v>1</v>
      </c>
      <c r="AN39" s="127">
        <f t="shared" ca="1" si="13"/>
        <v>1</v>
      </c>
      <c r="AO39" s="129">
        <f t="shared" ca="1" si="12"/>
        <v>1</v>
      </c>
      <c r="AP39" s="536" t="str">
        <f t="shared" si="6"/>
        <v>X</v>
      </c>
      <c r="AQ39" s="536" t="str">
        <f t="shared" si="7"/>
        <v/>
      </c>
      <c r="AR39" s="536" t="str">
        <f t="shared" si="8"/>
        <v/>
      </c>
      <c r="AS39" s="537">
        <f>IF(OR(J39&lt;&gt;"",AP39&amp;AQ39&amp;AR39&lt;&gt;"X",WEEKDAY(I39,2)&gt;5,C39&lt;&gt;0,(FechaInicio1Tri&gt;I39),(FechaFinEEva&lt;I39)),0,_xlfn.XLOOKUP(WEEKDAY(I39,2),Fchs!$J$10:$N$10,Fchs!$J$12:$N$12))</f>
        <v>1</v>
      </c>
      <c r="AT39" s="536">
        <f t="shared" ca="1" si="9"/>
        <v>1</v>
      </c>
      <c r="AU39" s="538">
        <f>IF(AS39&lt;&gt;0,MAXA($AU$14:AU38)+AS39,0)</f>
        <v>10</v>
      </c>
      <c r="AV39" s="538">
        <f ca="1">IF(AT39&lt;&gt;0,MAXA($AU$14:AU38)+AT39,0)</f>
        <v>10</v>
      </c>
      <c r="AW39" s="68"/>
    </row>
    <row r="40" spans="1:49" ht="18.75" customHeight="1" x14ac:dyDescent="0.25">
      <c r="A40" s="68"/>
      <c r="B40" s="56" t="str">
        <f>MID(Info!$AZ$3,(WEEKDAY(I40,2)-1)*3+1,3)</f>
        <v>Sáb</v>
      </c>
      <c r="C40" s="523">
        <f>_xlfn.XLOOKUP(I40,Fchs!$C$60:$C$101,Fchs!$D$60:$D$101,0)</f>
        <v>0</v>
      </c>
      <c r="D40" s="523">
        <f>_xlfn.XLOOKUP(I40,Fchs!$C$60:$C$101,Fchs!$E$60:$E$101)</f>
        <v>0</v>
      </c>
      <c r="E40" s="532">
        <f>IF($AS40&lt;&gt;0,_xlfn.XLOOKUP($G40,UDs!$E$34:$E$55,UDs!$B$34:$B$55,,-1),0)</f>
        <v>0</v>
      </c>
      <c r="F40" s="532">
        <f t="shared" ca="1" si="4"/>
        <v>0</v>
      </c>
      <c r="G40" s="569">
        <f>IF(AU40&lt;&gt;0,MAX($AU$13:$AU39)+1,0)</f>
        <v>0</v>
      </c>
      <c r="H40" s="569" t="str">
        <f>IF(AS40&lt;&gt;0,COUNT($H$14:H39,1),"")</f>
        <v/>
      </c>
      <c r="I40" s="533">
        <f t="shared" si="10"/>
        <v>45927</v>
      </c>
      <c r="J40" s="534"/>
      <c r="K40" s="535"/>
      <c r="L40" s="126">
        <f t="shared" ca="1" si="15"/>
        <v>0</v>
      </c>
      <c r="M40" s="127">
        <f t="shared" ca="1" si="15"/>
        <v>0</v>
      </c>
      <c r="N40" s="127">
        <f t="shared" ca="1" si="15"/>
        <v>0</v>
      </c>
      <c r="O40" s="127">
        <f t="shared" ca="1" si="15"/>
        <v>0</v>
      </c>
      <c r="P40" s="128">
        <f t="shared" ca="1" si="15"/>
        <v>0</v>
      </c>
      <c r="Q40" s="126">
        <f t="shared" ca="1" si="15"/>
        <v>0</v>
      </c>
      <c r="R40" s="127">
        <f t="shared" ca="1" si="15"/>
        <v>0</v>
      </c>
      <c r="S40" s="127">
        <f t="shared" ca="1" si="15"/>
        <v>0</v>
      </c>
      <c r="T40" s="127">
        <f t="shared" ca="1" si="15"/>
        <v>0</v>
      </c>
      <c r="U40" s="128">
        <f t="shared" ca="1" si="15"/>
        <v>0</v>
      </c>
      <c r="V40" s="126">
        <f t="shared" ca="1" si="15"/>
        <v>0</v>
      </c>
      <c r="W40" s="127">
        <f t="shared" ca="1" si="15"/>
        <v>0</v>
      </c>
      <c r="X40" s="127">
        <f t="shared" ca="1" si="15"/>
        <v>0</v>
      </c>
      <c r="Y40" s="127">
        <f t="shared" ca="1" si="15"/>
        <v>0</v>
      </c>
      <c r="Z40" s="128">
        <f t="shared" ca="1" si="15"/>
        <v>0</v>
      </c>
      <c r="AA40" s="126">
        <f t="shared" ca="1" si="15"/>
        <v>0</v>
      </c>
      <c r="AB40" s="127">
        <f t="shared" ca="1" si="14"/>
        <v>0</v>
      </c>
      <c r="AC40" s="127">
        <f t="shared" ca="1" si="14"/>
        <v>0</v>
      </c>
      <c r="AD40" s="127">
        <f t="shared" ca="1" si="14"/>
        <v>0</v>
      </c>
      <c r="AE40" s="128">
        <f t="shared" ca="1" si="14"/>
        <v>0</v>
      </c>
      <c r="AF40" s="126">
        <f t="shared" ca="1" si="14"/>
        <v>0</v>
      </c>
      <c r="AG40" s="127">
        <f t="shared" ca="1" si="14"/>
        <v>0</v>
      </c>
      <c r="AH40" s="127">
        <f t="shared" ca="1" si="14"/>
        <v>0</v>
      </c>
      <c r="AI40" s="127">
        <f t="shared" ca="1" si="13"/>
        <v>0</v>
      </c>
      <c r="AJ40" s="128">
        <f t="shared" ca="1" si="13"/>
        <v>0</v>
      </c>
      <c r="AK40" s="126">
        <f t="shared" ca="1" si="13"/>
        <v>0</v>
      </c>
      <c r="AL40" s="127">
        <f t="shared" ca="1" si="13"/>
        <v>0</v>
      </c>
      <c r="AM40" s="127">
        <f t="shared" ca="1" si="13"/>
        <v>0</v>
      </c>
      <c r="AN40" s="127">
        <f t="shared" ca="1" si="13"/>
        <v>0</v>
      </c>
      <c r="AO40" s="129">
        <f t="shared" ca="1" si="12"/>
        <v>0</v>
      </c>
      <c r="AP40" s="536" t="str">
        <f t="shared" si="6"/>
        <v/>
      </c>
      <c r="AQ40" s="536" t="str">
        <f t="shared" si="7"/>
        <v/>
      </c>
      <c r="AR40" s="536" t="str">
        <f t="shared" si="8"/>
        <v/>
      </c>
      <c r="AS40" s="537">
        <f>IF(OR(J40&lt;&gt;"",AP40&amp;AQ40&amp;AR40&lt;&gt;"X",WEEKDAY(I40,2)&gt;5,C40&lt;&gt;0,(FechaInicio1Tri&gt;I40),(FechaFinEEva&lt;I40)),0,_xlfn.XLOOKUP(WEEKDAY(I40,2),Fchs!$J$10:$N$10,Fchs!$J$12:$N$12))</f>
        <v>0</v>
      </c>
      <c r="AT40" s="536">
        <f t="shared" ca="1" si="9"/>
        <v>0</v>
      </c>
      <c r="AU40" s="538">
        <f>IF(AS40&lt;&gt;0,MAXA($AU$14:AU39)+AS40,0)</f>
        <v>0</v>
      </c>
      <c r="AV40" s="538">
        <f ca="1">IF(AT40&lt;&gt;0,MAXA($AU$14:AU39)+AT40,0)</f>
        <v>0</v>
      </c>
      <c r="AW40" s="68"/>
    </row>
    <row r="41" spans="1:49" ht="18.75" customHeight="1" x14ac:dyDescent="0.25">
      <c r="A41" s="68"/>
      <c r="B41" s="56" t="str">
        <f>MID(Info!$AZ$3,(WEEKDAY(I41,2)-1)*3+1,3)</f>
        <v>Dom</v>
      </c>
      <c r="C41" s="523">
        <f>_xlfn.XLOOKUP(I41,Fchs!$C$60:$C$101,Fchs!$D$60:$D$101,0)</f>
        <v>0</v>
      </c>
      <c r="D41" s="523">
        <f>_xlfn.XLOOKUP(I41,Fchs!$C$60:$C$101,Fchs!$E$60:$E$101)</f>
        <v>0</v>
      </c>
      <c r="E41" s="532">
        <f>IF($AS41&lt;&gt;0,_xlfn.XLOOKUP($G41,UDs!$E$34:$E$55,UDs!$B$34:$B$55,,-1),0)</f>
        <v>0</v>
      </c>
      <c r="F41" s="532">
        <f t="shared" ca="1" si="4"/>
        <v>0</v>
      </c>
      <c r="G41" s="569">
        <f>IF(AU41&lt;&gt;0,MAX($AU$13:$AU40)+1,0)</f>
        <v>0</v>
      </c>
      <c r="H41" s="569" t="str">
        <f>IF(AS41&lt;&gt;0,COUNT($H$14:H40,1),"")</f>
        <v/>
      </c>
      <c r="I41" s="533">
        <f t="shared" si="10"/>
        <v>45928</v>
      </c>
      <c r="J41" s="534"/>
      <c r="K41" s="535"/>
      <c r="L41" s="126">
        <f t="shared" ca="1" si="15"/>
        <v>0</v>
      </c>
      <c r="M41" s="127">
        <f t="shared" ca="1" si="15"/>
        <v>0</v>
      </c>
      <c r="N41" s="127">
        <f t="shared" ca="1" si="15"/>
        <v>0</v>
      </c>
      <c r="O41" s="127">
        <f t="shared" ca="1" si="15"/>
        <v>0</v>
      </c>
      <c r="P41" s="128">
        <f t="shared" ca="1" si="15"/>
        <v>0</v>
      </c>
      <c r="Q41" s="126">
        <f t="shared" ca="1" si="15"/>
        <v>0</v>
      </c>
      <c r="R41" s="127">
        <f t="shared" ca="1" si="15"/>
        <v>0</v>
      </c>
      <c r="S41" s="127">
        <f t="shared" ca="1" si="15"/>
        <v>0</v>
      </c>
      <c r="T41" s="127">
        <f t="shared" ca="1" si="15"/>
        <v>0</v>
      </c>
      <c r="U41" s="128">
        <f t="shared" ca="1" si="15"/>
        <v>0</v>
      </c>
      <c r="V41" s="126">
        <f t="shared" ca="1" si="15"/>
        <v>0</v>
      </c>
      <c r="W41" s="127">
        <f t="shared" ca="1" si="15"/>
        <v>0</v>
      </c>
      <c r="X41" s="127">
        <f t="shared" ca="1" si="15"/>
        <v>0</v>
      </c>
      <c r="Y41" s="127">
        <f t="shared" ca="1" si="15"/>
        <v>0</v>
      </c>
      <c r="Z41" s="128">
        <f t="shared" ca="1" si="15"/>
        <v>0</v>
      </c>
      <c r="AA41" s="126">
        <f t="shared" ca="1" si="15"/>
        <v>0</v>
      </c>
      <c r="AB41" s="127">
        <f t="shared" ca="1" si="14"/>
        <v>0</v>
      </c>
      <c r="AC41" s="127">
        <f t="shared" ca="1" si="14"/>
        <v>0</v>
      </c>
      <c r="AD41" s="127">
        <f t="shared" ca="1" si="14"/>
        <v>0</v>
      </c>
      <c r="AE41" s="128">
        <f ca="1">$AT41</f>
        <v>0</v>
      </c>
      <c r="AF41" s="126">
        <f t="shared" ca="1" si="14"/>
        <v>0</v>
      </c>
      <c r="AG41" s="127">
        <f t="shared" ca="1" si="14"/>
        <v>0</v>
      </c>
      <c r="AH41" s="127">
        <f t="shared" ca="1" si="14"/>
        <v>0</v>
      </c>
      <c r="AI41" s="127">
        <f t="shared" ca="1" si="13"/>
        <v>0</v>
      </c>
      <c r="AJ41" s="128">
        <f t="shared" ca="1" si="13"/>
        <v>0</v>
      </c>
      <c r="AK41" s="126">
        <f t="shared" ca="1" si="13"/>
        <v>0</v>
      </c>
      <c r="AL41" s="127">
        <f t="shared" ca="1" si="13"/>
        <v>0</v>
      </c>
      <c r="AM41" s="127">
        <f t="shared" ca="1" si="13"/>
        <v>0</v>
      </c>
      <c r="AN41" s="127">
        <f t="shared" ca="1" si="13"/>
        <v>0</v>
      </c>
      <c r="AO41" s="129">
        <f t="shared" ca="1" si="12"/>
        <v>0</v>
      </c>
      <c r="AP41" s="536" t="str">
        <f t="shared" si="6"/>
        <v/>
      </c>
      <c r="AQ41" s="536" t="str">
        <f t="shared" si="7"/>
        <v/>
      </c>
      <c r="AR41" s="536" t="str">
        <f t="shared" si="8"/>
        <v/>
      </c>
      <c r="AS41" s="537">
        <f>IF(OR(J41&lt;&gt;"",AP41&amp;AQ41&amp;AR41&lt;&gt;"X",WEEKDAY(I41,2)&gt;5,C41&lt;&gt;0,(FechaInicio1Tri&gt;I41),(FechaFinEEva&lt;I41)),0,_xlfn.XLOOKUP(WEEKDAY(I41,2),Fchs!$J$10:$N$10,Fchs!$J$12:$N$12))</f>
        <v>0</v>
      </c>
      <c r="AT41" s="536">
        <f t="shared" ca="1" si="9"/>
        <v>0</v>
      </c>
      <c r="AU41" s="538">
        <f>IF(AS41&lt;&gt;0,MAXA($AU$14:AU40)+AS41,0)</f>
        <v>0</v>
      </c>
      <c r="AV41" s="538">
        <f ca="1">IF(AT41&lt;&gt;0,MAXA($AU$14:AU40)+AT41,0)</f>
        <v>0</v>
      </c>
      <c r="AW41" s="68"/>
    </row>
    <row r="42" spans="1:49" ht="18.75" customHeight="1" x14ac:dyDescent="0.25">
      <c r="A42" s="68"/>
      <c r="B42" s="56" t="str">
        <f>MID(Info!$AZ$3,(WEEKDAY(I42,2)-1)*3+1,3)</f>
        <v>Lun</v>
      </c>
      <c r="C42" s="523">
        <f>_xlfn.XLOOKUP(I42,Fchs!$C$60:$C$101,Fchs!$D$60:$D$101,0)</f>
        <v>0</v>
      </c>
      <c r="D42" s="523">
        <f>_xlfn.XLOOKUP(I42,Fchs!$C$60:$C$101,Fchs!$E$60:$E$101)</f>
        <v>0</v>
      </c>
      <c r="E42" s="532" t="str">
        <f>IF($AS42&lt;&gt;0,_xlfn.XLOOKUP($G42,UDs!$E$34:$E$55,UDs!$B$34:$B$55,,-1),0)</f>
        <v>UD01</v>
      </c>
      <c r="F42" s="532" t="str">
        <f t="shared" ca="1" si="4"/>
        <v>UD01</v>
      </c>
      <c r="G42" s="569">
        <f>IF(AU42&lt;&gt;0,MAX($AU$13:$AU41)+1,0)</f>
        <v>11</v>
      </c>
      <c r="H42" s="569">
        <f>IF(AS42&lt;&gt;0,COUNT($H$14:H41,1),"")</f>
        <v>11</v>
      </c>
      <c r="I42" s="533">
        <f t="shared" si="10"/>
        <v>45929</v>
      </c>
      <c r="J42" s="534"/>
      <c r="K42" s="535"/>
      <c r="L42" s="126">
        <f t="shared" ca="1" si="15"/>
        <v>1</v>
      </c>
      <c r="M42" s="127">
        <f t="shared" ca="1" si="15"/>
        <v>1</v>
      </c>
      <c r="N42" s="127">
        <f t="shared" ca="1" si="15"/>
        <v>1</v>
      </c>
      <c r="O42" s="127">
        <f t="shared" ca="1" si="15"/>
        <v>1</v>
      </c>
      <c r="P42" s="128">
        <f t="shared" ca="1" si="15"/>
        <v>1</v>
      </c>
      <c r="Q42" s="126">
        <f t="shared" ca="1" si="15"/>
        <v>1</v>
      </c>
      <c r="R42" s="127">
        <f t="shared" ca="1" si="15"/>
        <v>1</v>
      </c>
      <c r="S42" s="127">
        <f t="shared" ca="1" si="15"/>
        <v>1</v>
      </c>
      <c r="T42" s="127">
        <f t="shared" ca="1" si="15"/>
        <v>1</v>
      </c>
      <c r="U42" s="128">
        <f t="shared" ca="1" si="15"/>
        <v>1</v>
      </c>
      <c r="V42" s="126">
        <f t="shared" ca="1" si="15"/>
        <v>1</v>
      </c>
      <c r="W42" s="127">
        <f t="shared" ca="1" si="15"/>
        <v>1</v>
      </c>
      <c r="X42" s="127">
        <f t="shared" ca="1" si="15"/>
        <v>1</v>
      </c>
      <c r="Y42" s="127">
        <f t="shared" ca="1" si="15"/>
        <v>1</v>
      </c>
      <c r="Z42" s="128">
        <f t="shared" ca="1" si="15"/>
        <v>1</v>
      </c>
      <c r="AA42" s="126">
        <f t="shared" ca="1" si="15"/>
        <v>1</v>
      </c>
      <c r="AB42" s="127">
        <f t="shared" ca="1" si="14"/>
        <v>1</v>
      </c>
      <c r="AC42" s="127">
        <f t="shared" ca="1" si="14"/>
        <v>1</v>
      </c>
      <c r="AD42" s="127">
        <f t="shared" ca="1" si="14"/>
        <v>1</v>
      </c>
      <c r="AE42" s="128">
        <f t="shared" ca="1" si="14"/>
        <v>1</v>
      </c>
      <c r="AF42" s="126">
        <f t="shared" ca="1" si="14"/>
        <v>1</v>
      </c>
      <c r="AG42" s="127">
        <f t="shared" ca="1" si="14"/>
        <v>1</v>
      </c>
      <c r="AH42" s="127">
        <f t="shared" ca="1" si="14"/>
        <v>1</v>
      </c>
      <c r="AI42" s="127">
        <f t="shared" ca="1" si="13"/>
        <v>1</v>
      </c>
      <c r="AJ42" s="128">
        <f t="shared" ca="1" si="13"/>
        <v>1</v>
      </c>
      <c r="AK42" s="126">
        <f t="shared" ca="1" si="13"/>
        <v>1</v>
      </c>
      <c r="AL42" s="127">
        <f t="shared" ca="1" si="13"/>
        <v>1</v>
      </c>
      <c r="AM42" s="127">
        <f t="shared" ca="1" si="13"/>
        <v>1</v>
      </c>
      <c r="AN42" s="127">
        <f t="shared" ca="1" si="13"/>
        <v>1</v>
      </c>
      <c r="AO42" s="129">
        <f t="shared" ca="1" si="12"/>
        <v>1</v>
      </c>
      <c r="AP42" s="536" t="str">
        <f t="shared" si="6"/>
        <v>X</v>
      </c>
      <c r="AQ42" s="536" t="str">
        <f t="shared" si="7"/>
        <v/>
      </c>
      <c r="AR42" s="536" t="str">
        <f t="shared" si="8"/>
        <v/>
      </c>
      <c r="AS42" s="537">
        <f>IF(OR(J42&lt;&gt;"",AP42&amp;AQ42&amp;AR42&lt;&gt;"X",WEEKDAY(I42,2)&gt;5,C42&lt;&gt;0,(FechaInicio1Tri&gt;I42),(FechaFinEEva&lt;I42)),0,_xlfn.XLOOKUP(WEEKDAY(I42,2),Fchs!$J$10:$N$10,Fchs!$J$12:$N$12))</f>
        <v>1</v>
      </c>
      <c r="AT42" s="536">
        <f t="shared" ca="1" si="9"/>
        <v>1</v>
      </c>
      <c r="AU42" s="538">
        <f>IF(AS42&lt;&gt;0,MAXA($AU$14:AU41)+AS42,0)</f>
        <v>11</v>
      </c>
      <c r="AV42" s="538">
        <f ca="1">IF(AT42&lt;&gt;0,MAXA($AU$14:AU41)+AT42,0)</f>
        <v>11</v>
      </c>
      <c r="AW42" s="68"/>
    </row>
    <row r="43" spans="1:49" ht="18.75" customHeight="1" x14ac:dyDescent="0.25">
      <c r="A43" s="68"/>
      <c r="B43" s="530" t="str">
        <f>MID(Info!$AZ$3,(WEEKDAY(I43,2)-1)*3+1,3)</f>
        <v>Mar</v>
      </c>
      <c r="C43" s="611">
        <f>_xlfn.XLOOKUP(I43,Fchs!$C$60:$C$101,Fchs!$D$60:$D$101,0)</f>
        <v>0</v>
      </c>
      <c r="D43" s="611">
        <f>_xlfn.XLOOKUP(I43,Fchs!$C$60:$C$101,Fchs!$E$60:$E$101)</f>
        <v>0</v>
      </c>
      <c r="E43" s="539" t="str">
        <f>IF($AS43&lt;&gt;0,_xlfn.XLOOKUP($G43,UDs!$E$34:$E$55,UDs!$B$34:$B$55,,-1),0)</f>
        <v>UD01</v>
      </c>
      <c r="F43" s="539" t="str">
        <f t="shared" ca="1" si="4"/>
        <v>UD01</v>
      </c>
      <c r="G43" s="570">
        <f>IF(AU43&lt;&gt;0,MAX($AU$13:$AU42)+1,0)</f>
        <v>12</v>
      </c>
      <c r="H43" s="570">
        <f>IF(AS43&lt;&gt;0,COUNT($H$14:H42,1),"")</f>
        <v>12</v>
      </c>
      <c r="I43" s="540">
        <f t="shared" si="10"/>
        <v>45930</v>
      </c>
      <c r="J43" s="541"/>
      <c r="K43" s="542"/>
      <c r="L43" s="121">
        <f t="shared" ca="1" si="15"/>
        <v>1</v>
      </c>
      <c r="M43" s="122">
        <f t="shared" ca="1" si="15"/>
        <v>1</v>
      </c>
      <c r="N43" s="122">
        <f t="shared" ca="1" si="15"/>
        <v>1</v>
      </c>
      <c r="O43" s="122">
        <f t="shared" ca="1" si="15"/>
        <v>1</v>
      </c>
      <c r="P43" s="123">
        <f t="shared" ca="1" si="15"/>
        <v>1</v>
      </c>
      <c r="Q43" s="121">
        <f t="shared" ca="1" si="15"/>
        <v>1</v>
      </c>
      <c r="R43" s="122">
        <f t="shared" ca="1" si="15"/>
        <v>1</v>
      </c>
      <c r="S43" s="122">
        <f t="shared" ca="1" si="15"/>
        <v>1</v>
      </c>
      <c r="T43" s="122">
        <f t="shared" ca="1" si="15"/>
        <v>1</v>
      </c>
      <c r="U43" s="123">
        <f t="shared" ca="1" si="15"/>
        <v>1</v>
      </c>
      <c r="V43" s="121">
        <f t="shared" ca="1" si="15"/>
        <v>1</v>
      </c>
      <c r="W43" s="122">
        <f t="shared" ca="1" si="15"/>
        <v>1</v>
      </c>
      <c r="X43" s="122">
        <f t="shared" ca="1" si="15"/>
        <v>1</v>
      </c>
      <c r="Y43" s="122">
        <f t="shared" ca="1" si="15"/>
        <v>1</v>
      </c>
      <c r="Z43" s="123">
        <f t="shared" ca="1" si="15"/>
        <v>1</v>
      </c>
      <c r="AA43" s="121">
        <f t="shared" ca="1" si="15"/>
        <v>1</v>
      </c>
      <c r="AB43" s="122">
        <f t="shared" ca="1" si="14"/>
        <v>1</v>
      </c>
      <c r="AC43" s="122">
        <f t="shared" ca="1" si="14"/>
        <v>1</v>
      </c>
      <c r="AD43" s="122">
        <f t="shared" ca="1" si="14"/>
        <v>1</v>
      </c>
      <c r="AE43" s="123">
        <f t="shared" ca="1" si="14"/>
        <v>1</v>
      </c>
      <c r="AF43" s="121">
        <f t="shared" ca="1" si="14"/>
        <v>1</v>
      </c>
      <c r="AG43" s="122">
        <f t="shared" ca="1" si="14"/>
        <v>1</v>
      </c>
      <c r="AH43" s="122">
        <f t="shared" ca="1" si="14"/>
        <v>1</v>
      </c>
      <c r="AI43" s="122">
        <f t="shared" ca="1" si="13"/>
        <v>1</v>
      </c>
      <c r="AJ43" s="123">
        <f t="shared" ca="1" si="13"/>
        <v>1</v>
      </c>
      <c r="AK43" s="121">
        <f t="shared" ca="1" si="13"/>
        <v>1</v>
      </c>
      <c r="AL43" s="122">
        <f t="shared" ca="1" si="13"/>
        <v>1</v>
      </c>
      <c r="AM43" s="122">
        <f t="shared" ca="1" si="13"/>
        <v>1</v>
      </c>
      <c r="AN43" s="122">
        <f t="shared" ca="1" si="13"/>
        <v>1</v>
      </c>
      <c r="AO43" s="130">
        <f t="shared" ca="1" si="12"/>
        <v>1</v>
      </c>
      <c r="AP43" s="536" t="str">
        <f t="shared" si="6"/>
        <v>X</v>
      </c>
      <c r="AQ43" s="536" t="str">
        <f t="shared" si="7"/>
        <v/>
      </c>
      <c r="AR43" s="536" t="str">
        <f t="shared" si="8"/>
        <v/>
      </c>
      <c r="AS43" s="537">
        <f>IF(OR(J43&lt;&gt;"",AP43&amp;AQ43&amp;AR43&lt;&gt;"X",WEEKDAY(I43,2)&gt;5,C43&lt;&gt;0,(FechaInicio1Tri&gt;I43),(FechaFinEEva&lt;I43)),0,_xlfn.XLOOKUP(WEEKDAY(I43,2),Fchs!$J$10:$N$10,Fchs!$J$12:$N$12))</f>
        <v>1</v>
      </c>
      <c r="AT43" s="536">
        <f t="shared" ca="1" si="9"/>
        <v>1</v>
      </c>
      <c r="AU43" s="538">
        <f>IF(AS43&lt;&gt;0,MAXA($AU$14:AU42)+AS43,0)</f>
        <v>12</v>
      </c>
      <c r="AV43" s="538">
        <f ca="1">IF(AT43&lt;&gt;0,MAXA($AU$14:AU42)+AT43,0)</f>
        <v>12</v>
      </c>
      <c r="AW43" s="68"/>
    </row>
    <row r="44" spans="1:49" ht="18.75" customHeight="1" x14ac:dyDescent="0.25">
      <c r="A44" s="68"/>
      <c r="B44" s="79"/>
      <c r="C44" s="543"/>
      <c r="D44" s="543"/>
      <c r="E44" s="106"/>
      <c r="F44" s="543"/>
      <c r="G44" s="124"/>
      <c r="H44" s="124"/>
      <c r="I44" s="544"/>
      <c r="J44" s="106"/>
      <c r="K44" s="106"/>
      <c r="L44" s="543"/>
      <c r="M44" s="543"/>
      <c r="N44" s="543"/>
      <c r="O44" s="543"/>
      <c r="P44" s="543"/>
      <c r="Q44" s="543"/>
      <c r="R44" s="543"/>
      <c r="S44" s="543"/>
      <c r="T44" s="543"/>
      <c r="U44" s="543"/>
      <c r="V44" s="543"/>
      <c r="W44" s="543"/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3"/>
      <c r="AJ44" s="543"/>
      <c r="AK44" s="543"/>
      <c r="AL44" s="543"/>
      <c r="AM44" s="543"/>
      <c r="AN44" s="543"/>
      <c r="AO44" s="543"/>
      <c r="AP44" s="124"/>
      <c r="AQ44" s="124"/>
      <c r="AR44" s="124"/>
      <c r="AS44" s="543"/>
      <c r="AT44" s="543"/>
      <c r="AU44" s="545"/>
      <c r="AV44" s="545"/>
      <c r="AW44" s="68"/>
    </row>
    <row r="45" spans="1:49" ht="18.75" customHeight="1" thickBot="1" x14ac:dyDescent="0.3">
      <c r="A45" s="68"/>
      <c r="B45" s="79"/>
      <c r="C45" s="543"/>
      <c r="D45" s="543"/>
      <c r="E45" s="106"/>
      <c r="F45" s="543"/>
      <c r="G45" s="124"/>
      <c r="H45" s="124"/>
      <c r="I45" s="544"/>
      <c r="J45" s="106"/>
      <c r="K45" s="106"/>
      <c r="L45" s="543"/>
      <c r="M45" s="543"/>
      <c r="N45" s="543"/>
      <c r="O45" s="543"/>
      <c r="P45" s="543"/>
      <c r="Q45" s="543"/>
      <c r="R45" s="543"/>
      <c r="S45" s="543"/>
      <c r="T45" s="543"/>
      <c r="U45" s="543"/>
      <c r="V45" s="543"/>
      <c r="W45" s="543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5"/>
      <c r="AV45" s="545"/>
      <c r="AW45" s="68"/>
    </row>
    <row r="46" spans="1:49" ht="18.75" customHeight="1" x14ac:dyDescent="0.25">
      <c r="A46" s="68"/>
      <c r="B46" s="546" t="str">
        <f>MID(Info!$AZ$5,(MONTH(I48)-1)*3+1,3)&amp;" "&amp;YEAR(I48)</f>
        <v xml:space="preserve"> 2025</v>
      </c>
      <c r="C46" s="543"/>
      <c r="D46" s="543"/>
      <c r="E46" s="106"/>
      <c r="F46" s="543"/>
      <c r="G46" s="124"/>
      <c r="H46" s="124"/>
      <c r="I46" s="544"/>
      <c r="J46" s="106"/>
      <c r="K46" s="106"/>
      <c r="L46" s="543"/>
      <c r="M46" s="543"/>
      <c r="N46" s="543"/>
      <c r="O46" s="543"/>
      <c r="P46" s="543"/>
      <c r="Q46" s="543"/>
      <c r="R46" s="543"/>
      <c r="S46" s="543"/>
      <c r="T46" s="543"/>
      <c r="U46" s="543"/>
      <c r="V46" s="543"/>
      <c r="W46" s="543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3"/>
      <c r="AJ46" s="543"/>
      <c r="AK46" s="543"/>
      <c r="AL46" s="543"/>
      <c r="AM46" s="543"/>
      <c r="AN46" s="543"/>
      <c r="AO46" s="543"/>
      <c r="AP46" s="547">
        <f>SUMIF(AP48:AP78,"X",$AS48:$AS78)</f>
        <v>21</v>
      </c>
      <c r="AQ46" s="547">
        <f>SUMIF(AQ48:AQ78,"X",$AS48:$AS78)</f>
        <v>0</v>
      </c>
      <c r="AR46" s="547">
        <f>SUMIF(AR48:AR78,"X",$AS48:$AS78)</f>
        <v>0</v>
      </c>
      <c r="AS46" s="545"/>
      <c r="AT46" s="545"/>
      <c r="AU46" s="545"/>
      <c r="AV46" s="545"/>
      <c r="AW46" s="68"/>
    </row>
    <row r="47" spans="1:49" s="55" customFormat="1" ht="18.75" customHeight="1" thickBot="1" x14ac:dyDescent="0.3">
      <c r="A47" s="68"/>
      <c r="B47" s="527">
        <f ca="1">IFERROR(SUM(AP47:AR47)/SUM(AP46:AR46),"--")</f>
        <v>1</v>
      </c>
      <c r="C47" s="549"/>
      <c r="D47" s="549"/>
      <c r="E47" s="548"/>
      <c r="F47" s="549"/>
      <c r="G47" s="125"/>
      <c r="H47" s="125"/>
      <c r="I47" s="550"/>
      <c r="J47" s="548"/>
      <c r="K47" s="548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549"/>
      <c r="AI47" s="549"/>
      <c r="AJ47" s="549"/>
      <c r="AK47" s="549"/>
      <c r="AL47" s="549"/>
      <c r="AM47" s="549"/>
      <c r="AN47" s="549"/>
      <c r="AO47" s="549"/>
      <c r="AP47" s="531">
        <f ca="1">SUMIF(AP48:AP78,"X",$AT48:$AT78)</f>
        <v>21</v>
      </c>
      <c r="AQ47" s="531">
        <f>SUMIF(AQ48:AQ78,"X",$AT48:$AT78)</f>
        <v>0</v>
      </c>
      <c r="AR47" s="531">
        <f>SUMIF(AR48:AR78,"X",$AT48:$AT78)</f>
        <v>0</v>
      </c>
      <c r="AS47" s="551"/>
      <c r="AT47" s="551"/>
      <c r="AU47" s="551"/>
      <c r="AV47" s="551"/>
      <c r="AW47" s="68"/>
    </row>
    <row r="48" spans="1:49" ht="18.75" customHeight="1" x14ac:dyDescent="0.25">
      <c r="A48" s="68"/>
      <c r="B48" s="56" t="str">
        <f>MID(Info!$AZ$3,(WEEKDAY(I48,2)-1)*3+1,3)</f>
        <v>Mié</v>
      </c>
      <c r="C48" s="523">
        <f>_xlfn.XLOOKUP(I48,Fchs!$F$60:$F$101,Fchs!$G$60:$G$101,0)</f>
        <v>0</v>
      </c>
      <c r="D48" s="523">
        <f>_xlfn.XLOOKUP(I48,Fchs!$F$60:$F$101,Fchs!$H$60:$H$101)</f>
        <v>0</v>
      </c>
      <c r="E48" s="532" t="str">
        <f>IF($AS48&lt;&gt;0,_xlfn.XLOOKUP($G48,UDs!$E$34:$E$55,UDs!$B$34:$B$55,,-1),0)</f>
        <v>UD01</v>
      </c>
      <c r="F48" s="552" t="str">
        <f t="shared" ref="F48:F78" ca="1" si="16">IF(AT48&lt;&gt;0,E48,0)</f>
        <v>UD01</v>
      </c>
      <c r="G48" s="127">
        <f>IF(AU48&lt;&gt;0,MAX($AU$13:$AU47)+1,0)</f>
        <v>13</v>
      </c>
      <c r="H48" s="127">
        <f>IF(AS48&lt;&gt;0,COUNT($H$14:H47,1),"")</f>
        <v>13</v>
      </c>
      <c r="I48" s="533">
        <f>DATE(YEAR(FechaInicio1Tri),MONTH(FechaInicio1Tri)+1,1)</f>
        <v>45931</v>
      </c>
      <c r="J48" s="553"/>
      <c r="K48" s="535"/>
      <c r="L48" s="126">
        <f t="shared" ca="1" si="15"/>
        <v>1</v>
      </c>
      <c r="M48" s="127">
        <f t="shared" ca="1" si="15"/>
        <v>1</v>
      </c>
      <c r="N48" s="127">
        <f t="shared" ca="1" si="15"/>
        <v>1</v>
      </c>
      <c r="O48" s="127">
        <f t="shared" ca="1" si="15"/>
        <v>1</v>
      </c>
      <c r="P48" s="128">
        <f t="shared" ca="1" si="15"/>
        <v>1</v>
      </c>
      <c r="Q48" s="126">
        <f t="shared" ca="1" si="15"/>
        <v>1</v>
      </c>
      <c r="R48" s="127">
        <f t="shared" ca="1" si="15"/>
        <v>1</v>
      </c>
      <c r="S48" s="127">
        <f t="shared" ca="1" si="15"/>
        <v>1</v>
      </c>
      <c r="T48" s="127">
        <f t="shared" ca="1" si="15"/>
        <v>1</v>
      </c>
      <c r="U48" s="128">
        <f t="shared" ca="1" si="15"/>
        <v>1</v>
      </c>
      <c r="V48" s="126">
        <f t="shared" ca="1" si="15"/>
        <v>1</v>
      </c>
      <c r="W48" s="127">
        <f t="shared" ca="1" si="15"/>
        <v>1</v>
      </c>
      <c r="X48" s="127">
        <f t="shared" ca="1" si="15"/>
        <v>1</v>
      </c>
      <c r="Y48" s="127">
        <f t="shared" ca="1" si="15"/>
        <v>1</v>
      </c>
      <c r="Z48" s="128">
        <f t="shared" ca="1" si="15"/>
        <v>1</v>
      </c>
      <c r="AA48" s="126">
        <f t="shared" ca="1" si="15"/>
        <v>1</v>
      </c>
      <c r="AB48" s="127">
        <f t="shared" ca="1" si="14"/>
        <v>1</v>
      </c>
      <c r="AC48" s="127">
        <f t="shared" ca="1" si="14"/>
        <v>1</v>
      </c>
      <c r="AD48" s="127">
        <f t="shared" ca="1" si="14"/>
        <v>1</v>
      </c>
      <c r="AE48" s="128">
        <f t="shared" ca="1" si="14"/>
        <v>1</v>
      </c>
      <c r="AF48" s="126">
        <f t="shared" ca="1" si="14"/>
        <v>1</v>
      </c>
      <c r="AG48" s="127">
        <f t="shared" ca="1" si="14"/>
        <v>1</v>
      </c>
      <c r="AH48" s="127">
        <f t="shared" ca="1" si="14"/>
        <v>1</v>
      </c>
      <c r="AI48" s="127">
        <f t="shared" ref="AI48:AN53" ca="1" si="17">$AT48</f>
        <v>1</v>
      </c>
      <c r="AJ48" s="128">
        <f t="shared" ca="1" si="17"/>
        <v>1</v>
      </c>
      <c r="AK48" s="126">
        <f t="shared" ca="1" si="17"/>
        <v>1</v>
      </c>
      <c r="AL48" s="127">
        <f t="shared" ca="1" si="17"/>
        <v>1</v>
      </c>
      <c r="AM48" s="127">
        <f t="shared" ca="1" si="17"/>
        <v>1</v>
      </c>
      <c r="AN48" s="127">
        <f t="shared" ca="1" si="17"/>
        <v>1</v>
      </c>
      <c r="AO48" s="129">
        <f t="shared" ca="1" si="12"/>
        <v>1</v>
      </c>
      <c r="AP48" s="536" t="str">
        <f t="shared" ref="AP48:AP78" si="18">IF(AND(FechaInicio1Tri&lt;=$I48, FechaFin1Tri&gt;=$I48,WEEKDAY($I48,2)&lt;=5),"X","")</f>
        <v>X</v>
      </c>
      <c r="AQ48" s="536" t="str">
        <f t="shared" ref="AQ48:AQ78" si="19">IF(AND(FechaInicio2Tri&lt;=$I48, FechaFin2Tri&gt;=$I48,WEEKDAY($I48,2)&lt;=5),"X","")</f>
        <v/>
      </c>
      <c r="AR48" s="536" t="str">
        <f t="shared" ref="AR48:AR78" si="20">IF(AND(FechaInicio3Tri&lt;=$I48, FechaFin3Tri&gt;=$I48, NTri&gt;=3,WEEKDAY($I48,2)&lt;=5),"X","")</f>
        <v/>
      </c>
      <c r="AS48" s="537">
        <f>IF(OR(J48&lt;&gt;"",AP48&amp;AQ48&amp;AR48&lt;&gt;"X",WEEKDAY(I48,2)&gt;5,C48&lt;&gt;0,(FechaInicio1Tri&gt;I48),(FechaFinEEva&lt;I48)),0,_xlfn.XLOOKUP(WEEKDAY(I48,2),Fchs!$J$10:$N$10,Fchs!$J$12:$N$12))</f>
        <v>1</v>
      </c>
      <c r="AT48" s="536">
        <f t="shared" ref="AT48:AT78" ca="1" si="21">IF(OR(AS48=0,FechaHoy&lt;I48,(FechaInicio1Tri&gt;I48),(FechaFinEEva&lt;I48)),0,AS48)</f>
        <v>1</v>
      </c>
      <c r="AU48" s="538">
        <f>IF(AS48&lt;&gt;0,MAXA($AU$14:AU47)+AS48,0)</f>
        <v>13</v>
      </c>
      <c r="AV48" s="538">
        <f ca="1">IF(AT48&lt;&gt;0,MAXA($AU$14:AU47)+AT48,0)</f>
        <v>13</v>
      </c>
      <c r="AW48" s="68"/>
    </row>
    <row r="49" spans="1:49" ht="18.75" customHeight="1" x14ac:dyDescent="0.25">
      <c r="A49" s="68"/>
      <c r="B49" s="56" t="str">
        <f>MID(Info!$AZ$3,(WEEKDAY(I49,2)-1)*3+1,3)</f>
        <v>Jue</v>
      </c>
      <c r="C49" s="523">
        <f>_xlfn.XLOOKUP(I49,Fchs!$F$60:$F$101,Fchs!$G$60:$G$101,0)</f>
        <v>0</v>
      </c>
      <c r="D49" s="523">
        <f>_xlfn.XLOOKUP(I49,Fchs!$F$60:$F$101,Fchs!$H$60:$H$101)</f>
        <v>0</v>
      </c>
      <c r="E49" s="532" t="str">
        <f>IF($AS49&lt;&gt;0,_xlfn.XLOOKUP($G49,UDs!$E$34:$E$55,UDs!$B$34:$B$55,,-1),0)</f>
        <v>UD01</v>
      </c>
      <c r="F49" s="532" t="str">
        <f t="shared" ca="1" si="16"/>
        <v>UD01</v>
      </c>
      <c r="G49" s="569">
        <f>IF(AU49&lt;&gt;0,MAX($AU$13:$AU48)+1,0)</f>
        <v>14</v>
      </c>
      <c r="H49" s="569">
        <f>IF(AS49&lt;&gt;0,COUNT($H$14:H48,1),"")</f>
        <v>14</v>
      </c>
      <c r="I49" s="533">
        <f t="shared" ref="I49:I78" si="22">I48+1</f>
        <v>45932</v>
      </c>
      <c r="J49" s="534"/>
      <c r="K49" s="535"/>
      <c r="L49" s="126">
        <f t="shared" ca="1" si="15"/>
        <v>1</v>
      </c>
      <c r="M49" s="127">
        <f t="shared" ca="1" si="15"/>
        <v>1</v>
      </c>
      <c r="N49" s="127">
        <f t="shared" ca="1" si="15"/>
        <v>1</v>
      </c>
      <c r="O49" s="127">
        <f t="shared" ca="1" si="15"/>
        <v>1</v>
      </c>
      <c r="P49" s="128">
        <f t="shared" ca="1" si="15"/>
        <v>1</v>
      </c>
      <c r="Q49" s="126">
        <f t="shared" ca="1" si="15"/>
        <v>1</v>
      </c>
      <c r="R49" s="127">
        <f t="shared" ca="1" si="15"/>
        <v>1</v>
      </c>
      <c r="S49" s="127">
        <f t="shared" ca="1" si="15"/>
        <v>1</v>
      </c>
      <c r="T49" s="127">
        <f t="shared" ca="1" si="15"/>
        <v>1</v>
      </c>
      <c r="U49" s="128">
        <f t="shared" ca="1" si="15"/>
        <v>1</v>
      </c>
      <c r="V49" s="126">
        <f t="shared" ca="1" si="15"/>
        <v>1</v>
      </c>
      <c r="W49" s="127">
        <f t="shared" ca="1" si="15"/>
        <v>1</v>
      </c>
      <c r="X49" s="127">
        <f t="shared" ca="1" si="15"/>
        <v>1</v>
      </c>
      <c r="Y49" s="127">
        <f t="shared" ca="1" si="15"/>
        <v>1</v>
      </c>
      <c r="Z49" s="128">
        <f t="shared" ca="1" si="15"/>
        <v>1</v>
      </c>
      <c r="AA49" s="126">
        <f t="shared" ca="1" si="15"/>
        <v>1</v>
      </c>
      <c r="AB49" s="127">
        <f t="shared" ca="1" si="14"/>
        <v>1</v>
      </c>
      <c r="AC49" s="127">
        <f t="shared" ca="1" si="14"/>
        <v>1</v>
      </c>
      <c r="AD49" s="127">
        <f t="shared" ca="1" si="14"/>
        <v>1</v>
      </c>
      <c r="AE49" s="128">
        <f t="shared" ca="1" si="14"/>
        <v>1</v>
      </c>
      <c r="AF49" s="126">
        <f t="shared" ca="1" si="14"/>
        <v>1</v>
      </c>
      <c r="AG49" s="127">
        <f t="shared" ca="1" si="14"/>
        <v>1</v>
      </c>
      <c r="AH49" s="127">
        <f t="shared" ca="1" si="14"/>
        <v>1</v>
      </c>
      <c r="AI49" s="127">
        <f t="shared" ca="1" si="17"/>
        <v>1</v>
      </c>
      <c r="AJ49" s="128">
        <f t="shared" ca="1" si="17"/>
        <v>1</v>
      </c>
      <c r="AK49" s="126">
        <f t="shared" ca="1" si="17"/>
        <v>1</v>
      </c>
      <c r="AL49" s="127">
        <f t="shared" ca="1" si="17"/>
        <v>1</v>
      </c>
      <c r="AM49" s="127">
        <f t="shared" ca="1" si="17"/>
        <v>1</v>
      </c>
      <c r="AN49" s="127">
        <f t="shared" ca="1" si="17"/>
        <v>1</v>
      </c>
      <c r="AO49" s="129">
        <f t="shared" ca="1" si="12"/>
        <v>1</v>
      </c>
      <c r="AP49" s="536" t="str">
        <f t="shared" si="18"/>
        <v>X</v>
      </c>
      <c r="AQ49" s="536" t="str">
        <f t="shared" si="19"/>
        <v/>
      </c>
      <c r="AR49" s="536" t="str">
        <f t="shared" si="20"/>
        <v/>
      </c>
      <c r="AS49" s="537">
        <f>IF(OR(J49&lt;&gt;"",AP49&amp;AQ49&amp;AR49&lt;&gt;"X",WEEKDAY(I49,2)&gt;5,C49&lt;&gt;0,(FechaInicio1Tri&gt;I49),(FechaFinEEva&lt;I49)),0,_xlfn.XLOOKUP(WEEKDAY(I49,2),Fchs!$J$10:$N$10,Fchs!$J$12:$N$12))</f>
        <v>1</v>
      </c>
      <c r="AT49" s="536">
        <f t="shared" ca="1" si="21"/>
        <v>1</v>
      </c>
      <c r="AU49" s="538">
        <f>IF(AS49&lt;&gt;0,MAXA($AU$14:AU48)+AS49,0)</f>
        <v>14</v>
      </c>
      <c r="AV49" s="538">
        <f ca="1">IF(AT49&lt;&gt;0,MAXA($AU$14:AU48)+AT49,0)</f>
        <v>14</v>
      </c>
      <c r="AW49" s="68"/>
    </row>
    <row r="50" spans="1:49" ht="18.75" customHeight="1" x14ac:dyDescent="0.25">
      <c r="A50" s="68"/>
      <c r="B50" s="56" t="str">
        <f>MID(Info!$AZ$3,(WEEKDAY(I50,2)-1)*3+1,3)</f>
        <v>Vie</v>
      </c>
      <c r="C50" s="523">
        <f>_xlfn.XLOOKUP(I50,Fchs!$F$60:$F$101,Fchs!$G$60:$G$101,0)</f>
        <v>0</v>
      </c>
      <c r="D50" s="523">
        <f>_xlfn.XLOOKUP(I50,Fchs!$F$60:$F$101,Fchs!$H$60:$H$101)</f>
        <v>0</v>
      </c>
      <c r="E50" s="532" t="str">
        <f>IF($AS50&lt;&gt;0,_xlfn.XLOOKUP($G50,UDs!$E$34:$E$55,UDs!$B$34:$B$55,,-1),0)</f>
        <v>UD01</v>
      </c>
      <c r="F50" s="532" t="str">
        <f t="shared" ca="1" si="16"/>
        <v>UD01</v>
      </c>
      <c r="G50" s="569">
        <f>IF(AU50&lt;&gt;0,MAX($AU$13:$AU49)+1,0)</f>
        <v>15</v>
      </c>
      <c r="H50" s="569">
        <f>IF(AS50&lt;&gt;0,COUNT($H$14:H49,1),"")</f>
        <v>15</v>
      </c>
      <c r="I50" s="533">
        <f t="shared" si="22"/>
        <v>45933</v>
      </c>
      <c r="J50" s="534"/>
      <c r="K50" s="535"/>
      <c r="L50" s="126">
        <f t="shared" ca="1" si="15"/>
        <v>1</v>
      </c>
      <c r="M50" s="127">
        <f t="shared" ca="1" si="15"/>
        <v>1</v>
      </c>
      <c r="N50" s="127">
        <f t="shared" ca="1" si="15"/>
        <v>1</v>
      </c>
      <c r="O50" s="127">
        <f t="shared" ca="1" si="15"/>
        <v>1</v>
      </c>
      <c r="P50" s="128">
        <f t="shared" ca="1" si="15"/>
        <v>1</v>
      </c>
      <c r="Q50" s="126">
        <f t="shared" ca="1" si="15"/>
        <v>1</v>
      </c>
      <c r="R50" s="127">
        <f t="shared" ca="1" si="15"/>
        <v>1</v>
      </c>
      <c r="S50" s="127">
        <f t="shared" ca="1" si="15"/>
        <v>1</v>
      </c>
      <c r="T50" s="127">
        <f t="shared" ca="1" si="15"/>
        <v>1</v>
      </c>
      <c r="U50" s="128">
        <f t="shared" ca="1" si="15"/>
        <v>1</v>
      </c>
      <c r="V50" s="126">
        <f t="shared" ca="1" si="15"/>
        <v>1</v>
      </c>
      <c r="W50" s="127">
        <f t="shared" ca="1" si="15"/>
        <v>1</v>
      </c>
      <c r="X50" s="127">
        <f t="shared" ca="1" si="15"/>
        <v>1</v>
      </c>
      <c r="Y50" s="127">
        <f t="shared" ca="1" si="15"/>
        <v>1</v>
      </c>
      <c r="Z50" s="128">
        <f t="shared" ca="1" si="15"/>
        <v>1</v>
      </c>
      <c r="AA50" s="126">
        <f t="shared" ca="1" si="15"/>
        <v>1</v>
      </c>
      <c r="AB50" s="127">
        <f t="shared" ca="1" si="14"/>
        <v>1</v>
      </c>
      <c r="AC50" s="127">
        <f t="shared" ca="1" si="14"/>
        <v>1</v>
      </c>
      <c r="AD50" s="127">
        <f t="shared" ca="1" si="14"/>
        <v>1</v>
      </c>
      <c r="AE50" s="128">
        <f t="shared" ca="1" si="14"/>
        <v>1</v>
      </c>
      <c r="AF50" s="126">
        <f t="shared" ca="1" si="14"/>
        <v>1</v>
      </c>
      <c r="AG50" s="127">
        <f t="shared" ca="1" si="14"/>
        <v>1</v>
      </c>
      <c r="AH50" s="127">
        <f t="shared" ca="1" si="14"/>
        <v>1</v>
      </c>
      <c r="AI50" s="127">
        <f t="shared" ca="1" si="17"/>
        <v>1</v>
      </c>
      <c r="AJ50" s="128">
        <f t="shared" ca="1" si="17"/>
        <v>1</v>
      </c>
      <c r="AK50" s="126">
        <f t="shared" ca="1" si="17"/>
        <v>1</v>
      </c>
      <c r="AL50" s="127">
        <f t="shared" ca="1" si="17"/>
        <v>1</v>
      </c>
      <c r="AM50" s="127">
        <f t="shared" ca="1" si="17"/>
        <v>1</v>
      </c>
      <c r="AN50" s="127">
        <f t="shared" ca="1" si="17"/>
        <v>1</v>
      </c>
      <c r="AO50" s="129">
        <f t="shared" ca="1" si="12"/>
        <v>1</v>
      </c>
      <c r="AP50" s="536" t="str">
        <f t="shared" si="18"/>
        <v>X</v>
      </c>
      <c r="AQ50" s="536" t="str">
        <f t="shared" si="19"/>
        <v/>
      </c>
      <c r="AR50" s="536" t="str">
        <f t="shared" si="20"/>
        <v/>
      </c>
      <c r="AS50" s="537">
        <f>IF(OR(J50&lt;&gt;"",AP50&amp;AQ50&amp;AR50&lt;&gt;"X",WEEKDAY(I50,2)&gt;5,C50&lt;&gt;0,(FechaInicio1Tri&gt;I50),(FechaFinEEva&lt;I50)),0,_xlfn.XLOOKUP(WEEKDAY(I50,2),Fchs!$J$10:$N$10,Fchs!$J$12:$N$12))</f>
        <v>1</v>
      </c>
      <c r="AT50" s="536">
        <f t="shared" ca="1" si="21"/>
        <v>1</v>
      </c>
      <c r="AU50" s="538">
        <f>IF(AS50&lt;&gt;0,MAXA($AU$14:AU49)+AS50,0)</f>
        <v>15</v>
      </c>
      <c r="AV50" s="538">
        <f ca="1">IF(AT50&lt;&gt;0,MAXA($AU$14:AU49)+AT50,0)</f>
        <v>15</v>
      </c>
      <c r="AW50" s="68"/>
    </row>
    <row r="51" spans="1:49" ht="18.75" customHeight="1" x14ac:dyDescent="0.25">
      <c r="A51" s="68"/>
      <c r="B51" s="56" t="str">
        <f>MID(Info!$AZ$3,(WEEKDAY(I51,2)-1)*3+1,3)</f>
        <v>Sáb</v>
      </c>
      <c r="C51" s="523">
        <f>_xlfn.XLOOKUP(I51,Fchs!$F$60:$F$101,Fchs!$G$60:$G$101,0)</f>
        <v>0</v>
      </c>
      <c r="D51" s="523">
        <f>_xlfn.XLOOKUP(I51,Fchs!$F$60:$F$101,Fchs!$H$60:$H$101)</f>
        <v>0</v>
      </c>
      <c r="E51" s="532">
        <f>IF($AS51&lt;&gt;0,_xlfn.XLOOKUP($G51,UDs!$E$34:$E$55,UDs!$B$34:$B$55,,-1),0)</f>
        <v>0</v>
      </c>
      <c r="F51" s="532">
        <f t="shared" ca="1" si="16"/>
        <v>0</v>
      </c>
      <c r="G51" s="569">
        <f>IF(AU51&lt;&gt;0,MAX($AU$13:$AU50)+1,0)</f>
        <v>0</v>
      </c>
      <c r="H51" s="569" t="str">
        <f>IF(AS51&lt;&gt;0,COUNT($H$14:H50,1),"")</f>
        <v/>
      </c>
      <c r="I51" s="533">
        <f t="shared" si="22"/>
        <v>45934</v>
      </c>
      <c r="J51" s="534"/>
      <c r="K51" s="535"/>
      <c r="L51" s="126">
        <f t="shared" ca="1" si="15"/>
        <v>0</v>
      </c>
      <c r="M51" s="127">
        <f t="shared" ca="1" si="15"/>
        <v>0</v>
      </c>
      <c r="N51" s="127">
        <f t="shared" ca="1" si="15"/>
        <v>0</v>
      </c>
      <c r="O51" s="127">
        <f t="shared" ca="1" si="15"/>
        <v>0</v>
      </c>
      <c r="P51" s="128">
        <f t="shared" ca="1" si="15"/>
        <v>0</v>
      </c>
      <c r="Q51" s="126">
        <f t="shared" ca="1" si="15"/>
        <v>0</v>
      </c>
      <c r="R51" s="127">
        <f t="shared" ca="1" si="15"/>
        <v>0</v>
      </c>
      <c r="S51" s="127">
        <f t="shared" ca="1" si="15"/>
        <v>0</v>
      </c>
      <c r="T51" s="127">
        <f t="shared" ca="1" si="15"/>
        <v>0</v>
      </c>
      <c r="U51" s="128">
        <f t="shared" ca="1" si="15"/>
        <v>0</v>
      </c>
      <c r="V51" s="126">
        <f t="shared" ca="1" si="15"/>
        <v>0</v>
      </c>
      <c r="W51" s="127">
        <f t="shared" ca="1" si="15"/>
        <v>0</v>
      </c>
      <c r="X51" s="127">
        <f t="shared" ca="1" si="15"/>
        <v>0</v>
      </c>
      <c r="Y51" s="127">
        <f t="shared" ca="1" si="15"/>
        <v>0</v>
      </c>
      <c r="Z51" s="128">
        <f t="shared" ca="1" si="15"/>
        <v>0</v>
      </c>
      <c r="AA51" s="126">
        <f t="shared" ca="1" si="15"/>
        <v>0</v>
      </c>
      <c r="AB51" s="127">
        <f t="shared" ca="1" si="14"/>
        <v>0</v>
      </c>
      <c r="AC51" s="127">
        <f t="shared" ca="1" si="14"/>
        <v>0</v>
      </c>
      <c r="AD51" s="127">
        <f t="shared" ca="1" si="14"/>
        <v>0</v>
      </c>
      <c r="AE51" s="128">
        <f t="shared" ca="1" si="14"/>
        <v>0</v>
      </c>
      <c r="AF51" s="126">
        <f t="shared" ca="1" si="14"/>
        <v>0</v>
      </c>
      <c r="AG51" s="127">
        <f t="shared" ca="1" si="14"/>
        <v>0</v>
      </c>
      <c r="AH51" s="127">
        <f t="shared" ca="1" si="14"/>
        <v>0</v>
      </c>
      <c r="AI51" s="127">
        <f t="shared" ca="1" si="17"/>
        <v>0</v>
      </c>
      <c r="AJ51" s="128">
        <f t="shared" ca="1" si="17"/>
        <v>0</v>
      </c>
      <c r="AK51" s="126">
        <f t="shared" ca="1" si="17"/>
        <v>0</v>
      </c>
      <c r="AL51" s="127">
        <f t="shared" ca="1" si="17"/>
        <v>0</v>
      </c>
      <c r="AM51" s="127">
        <f t="shared" ca="1" si="17"/>
        <v>0</v>
      </c>
      <c r="AN51" s="127">
        <f t="shared" ca="1" si="17"/>
        <v>0</v>
      </c>
      <c r="AO51" s="129">
        <f t="shared" ca="1" si="12"/>
        <v>0</v>
      </c>
      <c r="AP51" s="536" t="str">
        <f t="shared" si="18"/>
        <v/>
      </c>
      <c r="AQ51" s="536" t="str">
        <f t="shared" si="19"/>
        <v/>
      </c>
      <c r="AR51" s="536" t="str">
        <f t="shared" si="20"/>
        <v/>
      </c>
      <c r="AS51" s="537">
        <f>IF(OR(J51&lt;&gt;"",AP51&amp;AQ51&amp;AR51&lt;&gt;"X",WEEKDAY(I51,2)&gt;5,C51&lt;&gt;0,(FechaInicio1Tri&gt;I51),(FechaFinEEva&lt;I51)),0,_xlfn.XLOOKUP(WEEKDAY(I51,2),Fchs!$J$10:$N$10,Fchs!$J$12:$N$12))</f>
        <v>0</v>
      </c>
      <c r="AT51" s="536">
        <f t="shared" ca="1" si="21"/>
        <v>0</v>
      </c>
      <c r="AU51" s="538">
        <f>IF(AS51&lt;&gt;0,MAXA($AU$14:AU50)+AS51,0)</f>
        <v>0</v>
      </c>
      <c r="AV51" s="538">
        <f ca="1">IF(AT51&lt;&gt;0,MAXA($AU$14:AU50)+AT51,0)</f>
        <v>0</v>
      </c>
      <c r="AW51" s="68"/>
    </row>
    <row r="52" spans="1:49" ht="18.75" customHeight="1" x14ac:dyDescent="0.25">
      <c r="A52" s="68"/>
      <c r="B52" s="56" t="str">
        <f>MID(Info!$AZ$3,(WEEKDAY(I52,2)-1)*3+1,3)</f>
        <v>Dom</v>
      </c>
      <c r="C52" s="523">
        <f>_xlfn.XLOOKUP(I52,Fchs!$F$60:$F$101,Fchs!$G$60:$G$101,0)</f>
        <v>0</v>
      </c>
      <c r="D52" s="523">
        <f>_xlfn.XLOOKUP(I52,Fchs!$F$60:$F$101,Fchs!$H$60:$H$101)</f>
        <v>0</v>
      </c>
      <c r="E52" s="532">
        <f>IF($AS52&lt;&gt;0,_xlfn.XLOOKUP($G52,UDs!$E$34:$E$55,UDs!$B$34:$B$55,,-1),0)</f>
        <v>0</v>
      </c>
      <c r="F52" s="532">
        <f t="shared" ca="1" si="16"/>
        <v>0</v>
      </c>
      <c r="G52" s="569">
        <f>IF(AU52&lt;&gt;0,MAX($AU$13:$AU51)+1,0)</f>
        <v>0</v>
      </c>
      <c r="H52" s="569" t="str">
        <f>IF(AS52&lt;&gt;0,COUNT($H$14:H51,1),"")</f>
        <v/>
      </c>
      <c r="I52" s="533">
        <f t="shared" si="22"/>
        <v>45935</v>
      </c>
      <c r="J52" s="534"/>
      <c r="K52" s="535"/>
      <c r="L52" s="126">
        <f t="shared" ca="1" si="15"/>
        <v>0</v>
      </c>
      <c r="M52" s="127">
        <f t="shared" ca="1" si="15"/>
        <v>0</v>
      </c>
      <c r="N52" s="127">
        <f t="shared" ca="1" si="15"/>
        <v>0</v>
      </c>
      <c r="O52" s="127">
        <f t="shared" ca="1" si="15"/>
        <v>0</v>
      </c>
      <c r="P52" s="128">
        <f t="shared" ca="1" si="15"/>
        <v>0</v>
      </c>
      <c r="Q52" s="126">
        <f t="shared" ca="1" si="15"/>
        <v>0</v>
      </c>
      <c r="R52" s="127">
        <f t="shared" ca="1" si="15"/>
        <v>0</v>
      </c>
      <c r="S52" s="127">
        <f t="shared" ca="1" si="15"/>
        <v>0</v>
      </c>
      <c r="T52" s="127">
        <f t="shared" ca="1" si="15"/>
        <v>0</v>
      </c>
      <c r="U52" s="128">
        <f t="shared" ca="1" si="15"/>
        <v>0</v>
      </c>
      <c r="V52" s="126">
        <f t="shared" ca="1" si="15"/>
        <v>0</v>
      </c>
      <c r="W52" s="127">
        <f t="shared" ca="1" si="15"/>
        <v>0</v>
      </c>
      <c r="X52" s="127">
        <f t="shared" ca="1" si="15"/>
        <v>0</v>
      </c>
      <c r="Y52" s="127">
        <f t="shared" ca="1" si="15"/>
        <v>0</v>
      </c>
      <c r="Z52" s="128">
        <f t="shared" ca="1" si="15"/>
        <v>0</v>
      </c>
      <c r="AA52" s="126">
        <f t="shared" ca="1" si="15"/>
        <v>0</v>
      </c>
      <c r="AB52" s="127">
        <f t="shared" ca="1" si="14"/>
        <v>0</v>
      </c>
      <c r="AC52" s="127">
        <f t="shared" ca="1" si="14"/>
        <v>0</v>
      </c>
      <c r="AD52" s="127">
        <f t="shared" ca="1" si="14"/>
        <v>0</v>
      </c>
      <c r="AE52" s="128">
        <f t="shared" ca="1" si="14"/>
        <v>0</v>
      </c>
      <c r="AF52" s="126">
        <f t="shared" ca="1" si="14"/>
        <v>0</v>
      </c>
      <c r="AG52" s="127">
        <f t="shared" ca="1" si="14"/>
        <v>0</v>
      </c>
      <c r="AH52" s="127">
        <f t="shared" ca="1" si="14"/>
        <v>0</v>
      </c>
      <c r="AI52" s="127">
        <f t="shared" ca="1" si="17"/>
        <v>0</v>
      </c>
      <c r="AJ52" s="128">
        <f t="shared" ca="1" si="17"/>
        <v>0</v>
      </c>
      <c r="AK52" s="126">
        <f t="shared" ca="1" si="17"/>
        <v>0</v>
      </c>
      <c r="AL52" s="127">
        <f t="shared" ca="1" si="17"/>
        <v>0</v>
      </c>
      <c r="AM52" s="127">
        <f t="shared" ca="1" si="17"/>
        <v>0</v>
      </c>
      <c r="AN52" s="127">
        <f t="shared" ca="1" si="17"/>
        <v>0</v>
      </c>
      <c r="AO52" s="129">
        <f t="shared" ca="1" si="12"/>
        <v>0</v>
      </c>
      <c r="AP52" s="536" t="str">
        <f t="shared" si="18"/>
        <v/>
      </c>
      <c r="AQ52" s="536" t="str">
        <f t="shared" si="19"/>
        <v/>
      </c>
      <c r="AR52" s="536" t="str">
        <f t="shared" si="20"/>
        <v/>
      </c>
      <c r="AS52" s="537">
        <f>IF(OR(J52&lt;&gt;"",AP52&amp;AQ52&amp;AR52&lt;&gt;"X",WEEKDAY(I52,2)&gt;5,C52&lt;&gt;0,(FechaInicio1Tri&gt;I52),(FechaFinEEva&lt;I52)),0,_xlfn.XLOOKUP(WEEKDAY(I52,2),Fchs!$J$10:$N$10,Fchs!$J$12:$N$12))</f>
        <v>0</v>
      </c>
      <c r="AT52" s="536">
        <f t="shared" ca="1" si="21"/>
        <v>0</v>
      </c>
      <c r="AU52" s="538">
        <f>IF(AS52&lt;&gt;0,MAXA($AU$14:AU51)+AS52,0)</f>
        <v>0</v>
      </c>
      <c r="AV52" s="538">
        <f ca="1">IF(AT52&lt;&gt;0,MAXA($AU$14:AU51)+AT52,0)</f>
        <v>0</v>
      </c>
      <c r="AW52" s="68"/>
    </row>
    <row r="53" spans="1:49" ht="18.75" customHeight="1" x14ac:dyDescent="0.25">
      <c r="A53" s="68"/>
      <c r="B53" s="56" t="str">
        <f>MID(Info!$AZ$3,(WEEKDAY(I53,2)-1)*3+1,3)</f>
        <v>Lun</v>
      </c>
      <c r="C53" s="523">
        <f>_xlfn.XLOOKUP(I53,Fchs!$F$60:$F$101,Fchs!$G$60:$G$101,0)</f>
        <v>0</v>
      </c>
      <c r="D53" s="523">
        <f>_xlfn.XLOOKUP(I53,Fchs!$F$60:$F$101,Fchs!$H$60:$H$101)</f>
        <v>0</v>
      </c>
      <c r="E53" s="532" t="str">
        <f>IF($AS53&lt;&gt;0,_xlfn.XLOOKUP($G53,UDs!$E$34:$E$55,UDs!$B$34:$B$55,,-1),0)</f>
        <v>UD01</v>
      </c>
      <c r="F53" s="532" t="str">
        <f t="shared" ca="1" si="16"/>
        <v>UD01</v>
      </c>
      <c r="G53" s="569">
        <f>IF(AU53&lt;&gt;0,MAX($AU$13:$AU52)+1,0)</f>
        <v>16</v>
      </c>
      <c r="H53" s="569">
        <f>IF(AS53&lt;&gt;0,COUNT($H$14:H52,1),"")</f>
        <v>16</v>
      </c>
      <c r="I53" s="533">
        <f t="shared" si="22"/>
        <v>45936</v>
      </c>
      <c r="J53" s="534"/>
      <c r="K53" s="535"/>
      <c r="L53" s="126">
        <f t="shared" ca="1" si="15"/>
        <v>1</v>
      </c>
      <c r="M53" s="127">
        <f t="shared" ca="1" si="15"/>
        <v>1</v>
      </c>
      <c r="N53" s="127">
        <f t="shared" ca="1" si="15"/>
        <v>1</v>
      </c>
      <c r="O53" s="127">
        <f t="shared" ca="1" si="15"/>
        <v>1</v>
      </c>
      <c r="P53" s="128">
        <f t="shared" ca="1" si="15"/>
        <v>1</v>
      </c>
      <c r="Q53" s="126">
        <f t="shared" ca="1" si="15"/>
        <v>1</v>
      </c>
      <c r="R53" s="127">
        <f t="shared" ca="1" si="15"/>
        <v>1</v>
      </c>
      <c r="S53" s="127">
        <f t="shared" ca="1" si="15"/>
        <v>1</v>
      </c>
      <c r="T53" s="127">
        <f t="shared" ca="1" si="15"/>
        <v>1</v>
      </c>
      <c r="U53" s="128">
        <f t="shared" ca="1" si="15"/>
        <v>1</v>
      </c>
      <c r="V53" s="126">
        <f t="shared" ca="1" si="15"/>
        <v>1</v>
      </c>
      <c r="W53" s="127">
        <f t="shared" ca="1" si="15"/>
        <v>1</v>
      </c>
      <c r="X53" s="127">
        <f t="shared" ca="1" si="15"/>
        <v>1</v>
      </c>
      <c r="Y53" s="127">
        <f t="shared" ca="1" si="15"/>
        <v>1</v>
      </c>
      <c r="Z53" s="128">
        <f t="shared" ca="1" si="15"/>
        <v>1</v>
      </c>
      <c r="AA53" s="126">
        <f t="shared" ca="1" si="15"/>
        <v>1</v>
      </c>
      <c r="AB53" s="127">
        <f t="shared" ca="1" si="14"/>
        <v>1</v>
      </c>
      <c r="AC53" s="127">
        <f t="shared" ca="1" si="14"/>
        <v>1</v>
      </c>
      <c r="AD53" s="127">
        <f t="shared" ca="1" si="14"/>
        <v>1</v>
      </c>
      <c r="AE53" s="128">
        <f t="shared" ca="1" si="14"/>
        <v>1</v>
      </c>
      <c r="AF53" s="126">
        <f t="shared" ca="1" si="14"/>
        <v>1</v>
      </c>
      <c r="AG53" s="127">
        <f t="shared" ca="1" si="14"/>
        <v>1</v>
      </c>
      <c r="AH53" s="127">
        <f t="shared" ca="1" si="14"/>
        <v>1</v>
      </c>
      <c r="AI53" s="127">
        <f t="shared" ca="1" si="17"/>
        <v>1</v>
      </c>
      <c r="AJ53" s="128">
        <f t="shared" ca="1" si="17"/>
        <v>1</v>
      </c>
      <c r="AK53" s="126">
        <f t="shared" ca="1" si="17"/>
        <v>1</v>
      </c>
      <c r="AL53" s="127">
        <f t="shared" ca="1" si="17"/>
        <v>1</v>
      </c>
      <c r="AM53" s="127">
        <f t="shared" ca="1" si="17"/>
        <v>1</v>
      </c>
      <c r="AN53" s="127">
        <f t="shared" ca="1" si="17"/>
        <v>1</v>
      </c>
      <c r="AO53" s="129">
        <f t="shared" ca="1" si="12"/>
        <v>1</v>
      </c>
      <c r="AP53" s="536" t="str">
        <f t="shared" si="18"/>
        <v>X</v>
      </c>
      <c r="AQ53" s="536" t="str">
        <f t="shared" si="19"/>
        <v/>
      </c>
      <c r="AR53" s="536" t="str">
        <f t="shared" si="20"/>
        <v/>
      </c>
      <c r="AS53" s="537">
        <f>IF(OR(J53&lt;&gt;"",AP53&amp;AQ53&amp;AR53&lt;&gt;"X",WEEKDAY(I53,2)&gt;5,C53&lt;&gt;0,(FechaInicio1Tri&gt;I53),(FechaFinEEva&lt;I53)),0,_xlfn.XLOOKUP(WEEKDAY(I53,2),Fchs!$J$10:$N$10,Fchs!$J$12:$N$12))</f>
        <v>1</v>
      </c>
      <c r="AT53" s="536">
        <f t="shared" ca="1" si="21"/>
        <v>1</v>
      </c>
      <c r="AU53" s="538">
        <f>IF(AS53&lt;&gt;0,MAXA($AU$14:AU52)+AS53,0)</f>
        <v>16</v>
      </c>
      <c r="AV53" s="538">
        <f ca="1">IF(AT53&lt;&gt;0,MAXA($AU$14:AU52)+AT53,0)</f>
        <v>16</v>
      </c>
      <c r="AW53" s="68"/>
    </row>
    <row r="54" spans="1:49" ht="18.75" customHeight="1" x14ac:dyDescent="0.25">
      <c r="A54" s="68"/>
      <c r="B54" s="56" t="str">
        <f>MID(Info!$AZ$3,(WEEKDAY(I54,2)-1)*3+1,3)</f>
        <v>Mar</v>
      </c>
      <c r="C54" s="523">
        <f>_xlfn.XLOOKUP(I54,Fchs!$F$60:$F$101,Fchs!$G$60:$G$101,0)</f>
        <v>0</v>
      </c>
      <c r="D54" s="523">
        <f>_xlfn.XLOOKUP(I54,Fchs!$F$60:$F$101,Fchs!$H$60:$H$101)</f>
        <v>0</v>
      </c>
      <c r="E54" s="532" t="str">
        <f>IF($AS54&lt;&gt;0,_xlfn.XLOOKUP($G54,UDs!$E$34:$E$55,UDs!$B$34:$B$55,,-1),0)</f>
        <v>UD01</v>
      </c>
      <c r="F54" s="532" t="str">
        <f t="shared" ca="1" si="16"/>
        <v>UD01</v>
      </c>
      <c r="G54" s="569">
        <f>IF(AU54&lt;&gt;0,MAX($AU$13:$AU53)+1,0)</f>
        <v>17</v>
      </c>
      <c r="H54" s="569">
        <f>IF(AS54&lt;&gt;0,COUNT($H$14:H53,1),"")</f>
        <v>17</v>
      </c>
      <c r="I54" s="533">
        <f t="shared" si="22"/>
        <v>45937</v>
      </c>
      <c r="J54" s="534"/>
      <c r="K54" s="535"/>
      <c r="L54" s="126">
        <f t="shared" ca="1" si="15"/>
        <v>1</v>
      </c>
      <c r="M54" s="127">
        <f t="shared" ca="1" si="15"/>
        <v>1</v>
      </c>
      <c r="N54" s="127">
        <f t="shared" ca="1" si="15"/>
        <v>1</v>
      </c>
      <c r="O54" s="127">
        <f t="shared" ca="1" si="15"/>
        <v>1</v>
      </c>
      <c r="P54" s="128">
        <f t="shared" ca="1" si="15"/>
        <v>1</v>
      </c>
      <c r="Q54" s="126">
        <f t="shared" ca="1" si="15"/>
        <v>1</v>
      </c>
      <c r="R54" s="127">
        <f t="shared" ca="1" si="15"/>
        <v>1</v>
      </c>
      <c r="S54" s="127">
        <f t="shared" ca="1" si="15"/>
        <v>1</v>
      </c>
      <c r="T54" s="127">
        <f t="shared" ca="1" si="15"/>
        <v>1</v>
      </c>
      <c r="U54" s="128">
        <f t="shared" ca="1" si="15"/>
        <v>1</v>
      </c>
      <c r="V54" s="126">
        <f t="shared" ca="1" si="15"/>
        <v>1</v>
      </c>
      <c r="W54" s="127">
        <f t="shared" ca="1" si="15"/>
        <v>1</v>
      </c>
      <c r="X54" s="127">
        <f t="shared" ca="1" si="15"/>
        <v>1</v>
      </c>
      <c r="Y54" s="127">
        <f t="shared" ca="1" si="15"/>
        <v>1</v>
      </c>
      <c r="Z54" s="128">
        <f t="shared" ca="1" si="15"/>
        <v>1</v>
      </c>
      <c r="AA54" s="126">
        <f t="shared" ref="AA54:AN69" ca="1" si="23">$AT54</f>
        <v>1</v>
      </c>
      <c r="AB54" s="127">
        <f t="shared" ca="1" si="23"/>
        <v>1</v>
      </c>
      <c r="AC54" s="127">
        <f t="shared" ca="1" si="23"/>
        <v>1</v>
      </c>
      <c r="AD54" s="127">
        <f t="shared" ca="1" si="23"/>
        <v>1</v>
      </c>
      <c r="AE54" s="128">
        <f t="shared" ca="1" si="23"/>
        <v>1</v>
      </c>
      <c r="AF54" s="126">
        <f t="shared" ca="1" si="23"/>
        <v>1</v>
      </c>
      <c r="AG54" s="127">
        <f t="shared" ca="1" si="23"/>
        <v>1</v>
      </c>
      <c r="AH54" s="127">
        <f t="shared" ca="1" si="23"/>
        <v>1</v>
      </c>
      <c r="AI54" s="127">
        <f t="shared" ca="1" si="23"/>
        <v>1</v>
      </c>
      <c r="AJ54" s="128">
        <f t="shared" ca="1" si="23"/>
        <v>1</v>
      </c>
      <c r="AK54" s="126">
        <f t="shared" ca="1" si="23"/>
        <v>1</v>
      </c>
      <c r="AL54" s="127">
        <f t="shared" ca="1" si="23"/>
        <v>1</v>
      </c>
      <c r="AM54" s="127">
        <f t="shared" ca="1" si="23"/>
        <v>1</v>
      </c>
      <c r="AN54" s="127">
        <f t="shared" ca="1" si="23"/>
        <v>1</v>
      </c>
      <c r="AO54" s="129">
        <f t="shared" ca="1" si="12"/>
        <v>1</v>
      </c>
      <c r="AP54" s="536" t="str">
        <f t="shared" si="18"/>
        <v>X</v>
      </c>
      <c r="AQ54" s="536" t="str">
        <f t="shared" si="19"/>
        <v/>
      </c>
      <c r="AR54" s="536" t="str">
        <f t="shared" si="20"/>
        <v/>
      </c>
      <c r="AS54" s="537">
        <f>IF(OR(J54&lt;&gt;"",AP54&amp;AQ54&amp;AR54&lt;&gt;"X",WEEKDAY(I54,2)&gt;5,C54&lt;&gt;0,(FechaInicio1Tri&gt;I54),(FechaFinEEva&lt;I54)),0,_xlfn.XLOOKUP(WEEKDAY(I54,2),Fchs!$J$10:$N$10,Fchs!$J$12:$N$12))</f>
        <v>1</v>
      </c>
      <c r="AT54" s="536">
        <f t="shared" ca="1" si="21"/>
        <v>1</v>
      </c>
      <c r="AU54" s="538">
        <f>IF(AS54&lt;&gt;0,MAXA($AU$14:AU53)+AS54,0)</f>
        <v>17</v>
      </c>
      <c r="AV54" s="538">
        <f ca="1">IF(AT54&lt;&gt;0,MAXA($AU$14:AU53)+AT54,0)</f>
        <v>17</v>
      </c>
      <c r="AW54" s="68"/>
    </row>
    <row r="55" spans="1:49" ht="18.75" customHeight="1" x14ac:dyDescent="0.25">
      <c r="A55" s="68"/>
      <c r="B55" s="56" t="str">
        <f>MID(Info!$AZ$3,(WEEKDAY(I55,2)-1)*3+1,3)</f>
        <v>Mié</v>
      </c>
      <c r="C55" s="523">
        <f>_xlfn.XLOOKUP(I55,Fchs!$F$60:$F$101,Fchs!$G$60:$G$101,0)</f>
        <v>0</v>
      </c>
      <c r="D55" s="523">
        <f>_xlfn.XLOOKUP(I55,Fchs!$F$60:$F$101,Fchs!$H$60:$H$101)</f>
        <v>0</v>
      </c>
      <c r="E55" s="532" t="str">
        <f>IF($AS55&lt;&gt;0,_xlfn.XLOOKUP($G55,UDs!$E$34:$E$55,UDs!$B$34:$B$55,,-1),0)</f>
        <v>UD01</v>
      </c>
      <c r="F55" s="532" t="str">
        <f t="shared" ca="1" si="16"/>
        <v>UD01</v>
      </c>
      <c r="G55" s="569">
        <f>IF(AU55&lt;&gt;0,MAX($AU$13:$AU54)+1,0)</f>
        <v>18</v>
      </c>
      <c r="H55" s="569">
        <f>IF(AS55&lt;&gt;0,COUNT($H$14:H54,1),"")</f>
        <v>18</v>
      </c>
      <c r="I55" s="533">
        <f t="shared" si="22"/>
        <v>45938</v>
      </c>
      <c r="J55" s="534"/>
      <c r="K55" s="535"/>
      <c r="L55" s="126">
        <f t="shared" ref="L55:AA70" ca="1" si="24">$AT55</f>
        <v>1</v>
      </c>
      <c r="M55" s="127">
        <f t="shared" ca="1" si="24"/>
        <v>1</v>
      </c>
      <c r="N55" s="127">
        <f t="shared" ca="1" si="24"/>
        <v>1</v>
      </c>
      <c r="O55" s="127">
        <f t="shared" ca="1" si="24"/>
        <v>1</v>
      </c>
      <c r="P55" s="128">
        <f t="shared" ca="1" si="24"/>
        <v>1</v>
      </c>
      <c r="Q55" s="126">
        <f t="shared" ca="1" si="24"/>
        <v>1</v>
      </c>
      <c r="R55" s="127">
        <f t="shared" ca="1" si="24"/>
        <v>1</v>
      </c>
      <c r="S55" s="127">
        <f t="shared" ca="1" si="24"/>
        <v>1</v>
      </c>
      <c r="T55" s="127">
        <f t="shared" ca="1" si="24"/>
        <v>1</v>
      </c>
      <c r="U55" s="128">
        <f t="shared" ca="1" si="24"/>
        <v>1</v>
      </c>
      <c r="V55" s="126">
        <f t="shared" ca="1" si="24"/>
        <v>1</v>
      </c>
      <c r="W55" s="127">
        <f t="shared" ca="1" si="24"/>
        <v>1</v>
      </c>
      <c r="X55" s="127">
        <f t="shared" ca="1" si="24"/>
        <v>1</v>
      </c>
      <c r="Y55" s="127">
        <f t="shared" ca="1" si="24"/>
        <v>1</v>
      </c>
      <c r="Z55" s="128">
        <f t="shared" ca="1" si="24"/>
        <v>1</v>
      </c>
      <c r="AA55" s="126">
        <f t="shared" ca="1" si="24"/>
        <v>1</v>
      </c>
      <c r="AB55" s="127">
        <f t="shared" ca="1" si="23"/>
        <v>1</v>
      </c>
      <c r="AC55" s="127">
        <f t="shared" ca="1" si="23"/>
        <v>1</v>
      </c>
      <c r="AD55" s="127">
        <f t="shared" ca="1" si="23"/>
        <v>1</v>
      </c>
      <c r="AE55" s="128">
        <f t="shared" ca="1" si="23"/>
        <v>1</v>
      </c>
      <c r="AF55" s="126">
        <f t="shared" ca="1" si="23"/>
        <v>1</v>
      </c>
      <c r="AG55" s="127">
        <f t="shared" ca="1" si="23"/>
        <v>1</v>
      </c>
      <c r="AH55" s="127">
        <f t="shared" ca="1" si="23"/>
        <v>1</v>
      </c>
      <c r="AI55" s="127">
        <f t="shared" ca="1" si="23"/>
        <v>1</v>
      </c>
      <c r="AJ55" s="128">
        <f t="shared" ca="1" si="23"/>
        <v>1</v>
      </c>
      <c r="AK55" s="126">
        <f t="shared" ca="1" si="23"/>
        <v>1</v>
      </c>
      <c r="AL55" s="127">
        <f t="shared" ca="1" si="23"/>
        <v>1</v>
      </c>
      <c r="AM55" s="127">
        <f t="shared" ca="1" si="23"/>
        <v>1</v>
      </c>
      <c r="AN55" s="127">
        <f t="shared" ca="1" si="23"/>
        <v>1</v>
      </c>
      <c r="AO55" s="129">
        <f t="shared" ca="1" si="12"/>
        <v>1</v>
      </c>
      <c r="AP55" s="536" t="str">
        <f t="shared" si="18"/>
        <v>X</v>
      </c>
      <c r="AQ55" s="536" t="str">
        <f t="shared" si="19"/>
        <v/>
      </c>
      <c r="AR55" s="536" t="str">
        <f t="shared" si="20"/>
        <v/>
      </c>
      <c r="AS55" s="537">
        <f>IF(OR(J55&lt;&gt;"",AP55&amp;AQ55&amp;AR55&lt;&gt;"X",WEEKDAY(I55,2)&gt;5,C55&lt;&gt;0,(FechaInicio1Tri&gt;I55),(FechaFinEEva&lt;I55)),0,_xlfn.XLOOKUP(WEEKDAY(I55,2),Fchs!$J$10:$N$10,Fchs!$J$12:$N$12))</f>
        <v>1</v>
      </c>
      <c r="AT55" s="536">
        <f t="shared" ca="1" si="21"/>
        <v>1</v>
      </c>
      <c r="AU55" s="538">
        <f>IF(AS55&lt;&gt;0,MAXA($AU$14:AU54)+AS55,0)</f>
        <v>18</v>
      </c>
      <c r="AV55" s="538">
        <f ca="1">IF(AT55&lt;&gt;0,MAXA($AU$14:AU54)+AT55,0)</f>
        <v>18</v>
      </c>
      <c r="AW55" s="68"/>
    </row>
    <row r="56" spans="1:49" ht="18.75" customHeight="1" x14ac:dyDescent="0.25">
      <c r="A56" s="68"/>
      <c r="B56" s="56" t="str">
        <f>MID(Info!$AZ$3,(WEEKDAY(I56,2)-1)*3+1,3)</f>
        <v>Jue</v>
      </c>
      <c r="C56" s="523">
        <f>_xlfn.XLOOKUP(I56,Fchs!$F$60:$F$101,Fchs!$G$60:$G$101,0)</f>
        <v>0</v>
      </c>
      <c r="D56" s="523">
        <f>_xlfn.XLOOKUP(I56,Fchs!$F$60:$F$101,Fchs!$H$60:$H$101)</f>
        <v>0</v>
      </c>
      <c r="E56" s="532" t="str">
        <f>IF($AS56&lt;&gt;0,_xlfn.XLOOKUP($G56,UDs!$E$34:$E$55,UDs!$B$34:$B$55,,-1),0)</f>
        <v>UD01</v>
      </c>
      <c r="F56" s="532" t="str">
        <f t="shared" ca="1" si="16"/>
        <v>UD01</v>
      </c>
      <c r="G56" s="569">
        <f>IF(AU56&lt;&gt;0,MAX($AU$13:$AU55)+1,0)</f>
        <v>19</v>
      </c>
      <c r="H56" s="569">
        <f>IF(AS56&lt;&gt;0,COUNT($H$14:H55,1),"")</f>
        <v>19</v>
      </c>
      <c r="I56" s="533">
        <f t="shared" si="22"/>
        <v>45939</v>
      </c>
      <c r="J56" s="534"/>
      <c r="K56" s="535"/>
      <c r="L56" s="126">
        <f t="shared" ca="1" si="24"/>
        <v>1</v>
      </c>
      <c r="M56" s="127">
        <f t="shared" ca="1" si="24"/>
        <v>1</v>
      </c>
      <c r="N56" s="127">
        <f t="shared" ca="1" si="24"/>
        <v>1</v>
      </c>
      <c r="O56" s="127">
        <f t="shared" ca="1" si="24"/>
        <v>1</v>
      </c>
      <c r="P56" s="128">
        <f t="shared" ca="1" si="24"/>
        <v>1</v>
      </c>
      <c r="Q56" s="126">
        <f t="shared" ca="1" si="24"/>
        <v>1</v>
      </c>
      <c r="R56" s="127">
        <f t="shared" ca="1" si="24"/>
        <v>1</v>
      </c>
      <c r="S56" s="127">
        <f t="shared" ca="1" si="24"/>
        <v>1</v>
      </c>
      <c r="T56" s="127">
        <f t="shared" ca="1" si="24"/>
        <v>1</v>
      </c>
      <c r="U56" s="128">
        <f t="shared" ca="1" si="24"/>
        <v>1</v>
      </c>
      <c r="V56" s="126">
        <f t="shared" ca="1" si="24"/>
        <v>1</v>
      </c>
      <c r="W56" s="127">
        <f t="shared" ca="1" si="24"/>
        <v>1</v>
      </c>
      <c r="X56" s="127">
        <f t="shared" ca="1" si="24"/>
        <v>1</v>
      </c>
      <c r="Y56" s="127">
        <f t="shared" ca="1" si="24"/>
        <v>1</v>
      </c>
      <c r="Z56" s="128">
        <f t="shared" ca="1" si="24"/>
        <v>1</v>
      </c>
      <c r="AA56" s="126">
        <f t="shared" ca="1" si="24"/>
        <v>1</v>
      </c>
      <c r="AB56" s="127">
        <f t="shared" ca="1" si="23"/>
        <v>1</v>
      </c>
      <c r="AC56" s="127">
        <f t="shared" ca="1" si="23"/>
        <v>1</v>
      </c>
      <c r="AD56" s="127">
        <f t="shared" ca="1" si="23"/>
        <v>1</v>
      </c>
      <c r="AE56" s="128">
        <f t="shared" ca="1" si="23"/>
        <v>1</v>
      </c>
      <c r="AF56" s="126">
        <f t="shared" ca="1" si="23"/>
        <v>1</v>
      </c>
      <c r="AG56" s="127">
        <f t="shared" ca="1" si="23"/>
        <v>1</v>
      </c>
      <c r="AH56" s="127">
        <f t="shared" ca="1" si="23"/>
        <v>1</v>
      </c>
      <c r="AI56" s="127">
        <f t="shared" ca="1" si="23"/>
        <v>1</v>
      </c>
      <c r="AJ56" s="128">
        <f t="shared" ca="1" si="23"/>
        <v>1</v>
      </c>
      <c r="AK56" s="126">
        <f t="shared" ca="1" si="23"/>
        <v>1</v>
      </c>
      <c r="AL56" s="127">
        <f t="shared" ca="1" si="23"/>
        <v>1</v>
      </c>
      <c r="AM56" s="127">
        <f t="shared" ca="1" si="23"/>
        <v>1</v>
      </c>
      <c r="AN56" s="127">
        <f t="shared" ca="1" si="23"/>
        <v>1</v>
      </c>
      <c r="AO56" s="129">
        <f t="shared" ca="1" si="12"/>
        <v>1</v>
      </c>
      <c r="AP56" s="536" t="str">
        <f t="shared" si="18"/>
        <v>X</v>
      </c>
      <c r="AQ56" s="536" t="str">
        <f t="shared" si="19"/>
        <v/>
      </c>
      <c r="AR56" s="536" t="str">
        <f t="shared" si="20"/>
        <v/>
      </c>
      <c r="AS56" s="537">
        <f>IF(OR(J56&lt;&gt;"",AP56&amp;AQ56&amp;AR56&lt;&gt;"X",WEEKDAY(I56,2)&gt;5,C56&lt;&gt;0,(FechaInicio1Tri&gt;I56),(FechaFinEEva&lt;I56)),0,_xlfn.XLOOKUP(WEEKDAY(I56,2),Fchs!$J$10:$N$10,Fchs!$J$12:$N$12))</f>
        <v>1</v>
      </c>
      <c r="AT56" s="536">
        <f t="shared" ca="1" si="21"/>
        <v>1</v>
      </c>
      <c r="AU56" s="538">
        <f>IF(AS56&lt;&gt;0,MAXA($AU$14:AU55)+AS56,0)</f>
        <v>19</v>
      </c>
      <c r="AV56" s="538">
        <f ca="1">IF(AT56&lt;&gt;0,MAXA($AU$14:AU55)+AT56,0)</f>
        <v>19</v>
      </c>
      <c r="AW56" s="68"/>
    </row>
    <row r="57" spans="1:49" ht="18.75" customHeight="1" x14ac:dyDescent="0.25">
      <c r="A57" s="68"/>
      <c r="B57" s="56" t="str">
        <f>MID(Info!$AZ$3,(WEEKDAY(I57,2)-1)*3+1,3)</f>
        <v>Vie</v>
      </c>
      <c r="C57" s="523" t="str">
        <f>_xlfn.XLOOKUP(I57,Fchs!$F$60:$F$101,Fchs!$G$60:$G$101,0)</f>
        <v>Pilares</v>
      </c>
      <c r="D57" s="523">
        <f>_xlfn.XLOOKUP(I57,Fchs!$F$60:$F$101,Fchs!$H$60:$H$101)</f>
        <v>0</v>
      </c>
      <c r="E57" s="532">
        <f>IF($AS57&lt;&gt;0,_xlfn.XLOOKUP($G57,UDs!$E$34:$E$55,UDs!$B$34:$B$55,,-1),0)</f>
        <v>0</v>
      </c>
      <c r="F57" s="532">
        <f t="shared" ca="1" si="16"/>
        <v>0</v>
      </c>
      <c r="G57" s="569">
        <f>IF(AU57&lt;&gt;0,MAX($AU$13:$AU56)+1,0)</f>
        <v>0</v>
      </c>
      <c r="H57" s="569" t="str">
        <f>IF(AS57&lt;&gt;0,COUNT($H$14:H56,1),"")</f>
        <v/>
      </c>
      <c r="I57" s="533">
        <f t="shared" si="22"/>
        <v>45940</v>
      </c>
      <c r="J57" s="534"/>
      <c r="K57" s="535"/>
      <c r="L57" s="126">
        <f t="shared" ca="1" si="24"/>
        <v>0</v>
      </c>
      <c r="M57" s="127">
        <f t="shared" ca="1" si="24"/>
        <v>0</v>
      </c>
      <c r="N57" s="127">
        <f t="shared" ca="1" si="24"/>
        <v>0</v>
      </c>
      <c r="O57" s="127">
        <f t="shared" ca="1" si="24"/>
        <v>0</v>
      </c>
      <c r="P57" s="128">
        <f t="shared" ca="1" si="24"/>
        <v>0</v>
      </c>
      <c r="Q57" s="126">
        <f t="shared" ca="1" si="24"/>
        <v>0</v>
      </c>
      <c r="R57" s="127">
        <f t="shared" ca="1" si="24"/>
        <v>0</v>
      </c>
      <c r="S57" s="127">
        <f t="shared" ca="1" si="24"/>
        <v>0</v>
      </c>
      <c r="T57" s="127">
        <f t="shared" ca="1" si="24"/>
        <v>0</v>
      </c>
      <c r="U57" s="128">
        <f t="shared" ca="1" si="24"/>
        <v>0</v>
      </c>
      <c r="V57" s="126">
        <f t="shared" ca="1" si="24"/>
        <v>0</v>
      </c>
      <c r="W57" s="127">
        <f t="shared" ca="1" si="24"/>
        <v>0</v>
      </c>
      <c r="X57" s="127">
        <f t="shared" ca="1" si="24"/>
        <v>0</v>
      </c>
      <c r="Y57" s="127">
        <f t="shared" ca="1" si="24"/>
        <v>0</v>
      </c>
      <c r="Z57" s="128">
        <f t="shared" ca="1" si="24"/>
        <v>0</v>
      </c>
      <c r="AA57" s="126">
        <f t="shared" ca="1" si="24"/>
        <v>0</v>
      </c>
      <c r="AB57" s="127">
        <f t="shared" ca="1" si="23"/>
        <v>0</v>
      </c>
      <c r="AC57" s="127">
        <f t="shared" ca="1" si="23"/>
        <v>0</v>
      </c>
      <c r="AD57" s="127">
        <f t="shared" ca="1" si="23"/>
        <v>0</v>
      </c>
      <c r="AE57" s="128">
        <f t="shared" ca="1" si="23"/>
        <v>0</v>
      </c>
      <c r="AF57" s="126">
        <f t="shared" ca="1" si="23"/>
        <v>0</v>
      </c>
      <c r="AG57" s="127">
        <f t="shared" ca="1" si="23"/>
        <v>0</v>
      </c>
      <c r="AH57" s="127">
        <f t="shared" ca="1" si="23"/>
        <v>0</v>
      </c>
      <c r="AI57" s="127">
        <f t="shared" ca="1" si="23"/>
        <v>0</v>
      </c>
      <c r="AJ57" s="128">
        <f t="shared" ca="1" si="23"/>
        <v>0</v>
      </c>
      <c r="AK57" s="126">
        <f t="shared" ca="1" si="23"/>
        <v>0</v>
      </c>
      <c r="AL57" s="127">
        <f t="shared" ca="1" si="23"/>
        <v>0</v>
      </c>
      <c r="AM57" s="127">
        <f t="shared" ca="1" si="23"/>
        <v>0</v>
      </c>
      <c r="AN57" s="127">
        <f t="shared" ca="1" si="23"/>
        <v>0</v>
      </c>
      <c r="AO57" s="129">
        <f t="shared" ca="1" si="12"/>
        <v>0</v>
      </c>
      <c r="AP57" s="536" t="str">
        <f t="shared" si="18"/>
        <v>X</v>
      </c>
      <c r="AQ57" s="536" t="str">
        <f t="shared" si="19"/>
        <v/>
      </c>
      <c r="AR57" s="536" t="str">
        <f t="shared" si="20"/>
        <v/>
      </c>
      <c r="AS57" s="537">
        <f>IF(OR(J57&lt;&gt;"",AP57&amp;AQ57&amp;AR57&lt;&gt;"X",WEEKDAY(I57,2)&gt;5,C57&lt;&gt;0,(FechaInicio1Tri&gt;I57),(FechaFinEEva&lt;I57)),0,_xlfn.XLOOKUP(WEEKDAY(I57,2),Fchs!$J$10:$N$10,Fchs!$J$12:$N$12))</f>
        <v>0</v>
      </c>
      <c r="AT57" s="536">
        <f t="shared" ca="1" si="21"/>
        <v>0</v>
      </c>
      <c r="AU57" s="538">
        <f>IF(AS57&lt;&gt;0,MAXA($AU$14:AU56)+AS57,0)</f>
        <v>0</v>
      </c>
      <c r="AV57" s="538">
        <f ca="1">IF(AT57&lt;&gt;0,MAXA($AU$14:AU56)+AT57,0)</f>
        <v>0</v>
      </c>
      <c r="AW57" s="68"/>
    </row>
    <row r="58" spans="1:49" ht="18.75" customHeight="1" x14ac:dyDescent="0.25">
      <c r="A58" s="68"/>
      <c r="B58" s="56" t="str">
        <f>MID(Info!$AZ$3,(WEEKDAY(I58,2)-1)*3+1,3)</f>
        <v>Sáb</v>
      </c>
      <c r="C58" s="523">
        <f>_xlfn.XLOOKUP(I58,Fchs!$F$60:$F$101,Fchs!$G$60:$G$101,0)</f>
        <v>0</v>
      </c>
      <c r="D58" s="523">
        <f>_xlfn.XLOOKUP(I58,Fchs!$F$60:$F$101,Fchs!$H$60:$H$101)</f>
        <v>0</v>
      </c>
      <c r="E58" s="532">
        <f>IF($AS58&lt;&gt;0,_xlfn.XLOOKUP($G58,UDs!$E$34:$E$55,UDs!$B$34:$B$55,,-1),0)</f>
        <v>0</v>
      </c>
      <c r="F58" s="532">
        <f t="shared" ca="1" si="16"/>
        <v>0</v>
      </c>
      <c r="G58" s="569">
        <f>IF(AU58&lt;&gt;0,MAX($AU$13:$AU57)+1,0)</f>
        <v>0</v>
      </c>
      <c r="H58" s="569" t="str">
        <f>IF(AS58&lt;&gt;0,COUNT($H$14:H57,1),"")</f>
        <v/>
      </c>
      <c r="I58" s="533">
        <f t="shared" si="22"/>
        <v>45941</v>
      </c>
      <c r="J58" s="534"/>
      <c r="K58" s="535"/>
      <c r="L58" s="126">
        <f t="shared" ca="1" si="24"/>
        <v>0</v>
      </c>
      <c r="M58" s="127">
        <f t="shared" ca="1" si="24"/>
        <v>0</v>
      </c>
      <c r="N58" s="127">
        <f t="shared" ca="1" si="24"/>
        <v>0</v>
      </c>
      <c r="O58" s="127">
        <f t="shared" ca="1" si="24"/>
        <v>0</v>
      </c>
      <c r="P58" s="128">
        <f t="shared" ca="1" si="24"/>
        <v>0</v>
      </c>
      <c r="Q58" s="126">
        <f t="shared" ca="1" si="24"/>
        <v>0</v>
      </c>
      <c r="R58" s="127">
        <f t="shared" ca="1" si="24"/>
        <v>0</v>
      </c>
      <c r="S58" s="127">
        <f t="shared" ca="1" si="24"/>
        <v>0</v>
      </c>
      <c r="T58" s="127">
        <f t="shared" ca="1" si="24"/>
        <v>0</v>
      </c>
      <c r="U58" s="128">
        <f t="shared" ca="1" si="24"/>
        <v>0</v>
      </c>
      <c r="V58" s="126">
        <f t="shared" ca="1" si="24"/>
        <v>0</v>
      </c>
      <c r="W58" s="127">
        <f t="shared" ca="1" si="24"/>
        <v>0</v>
      </c>
      <c r="X58" s="127">
        <f t="shared" ca="1" si="24"/>
        <v>0</v>
      </c>
      <c r="Y58" s="127">
        <f t="shared" ca="1" si="24"/>
        <v>0</v>
      </c>
      <c r="Z58" s="128">
        <f t="shared" ca="1" si="24"/>
        <v>0</v>
      </c>
      <c r="AA58" s="126">
        <f t="shared" ca="1" si="24"/>
        <v>0</v>
      </c>
      <c r="AB58" s="127">
        <f t="shared" ca="1" si="23"/>
        <v>0</v>
      </c>
      <c r="AC58" s="127">
        <f t="shared" ca="1" si="23"/>
        <v>0</v>
      </c>
      <c r="AD58" s="127">
        <f t="shared" ca="1" si="23"/>
        <v>0</v>
      </c>
      <c r="AE58" s="128">
        <f t="shared" ca="1" si="23"/>
        <v>0</v>
      </c>
      <c r="AF58" s="126">
        <f t="shared" ca="1" si="23"/>
        <v>0</v>
      </c>
      <c r="AG58" s="127">
        <f t="shared" ca="1" si="23"/>
        <v>0</v>
      </c>
      <c r="AH58" s="127">
        <f t="shared" ca="1" si="23"/>
        <v>0</v>
      </c>
      <c r="AI58" s="127">
        <f t="shared" ca="1" si="23"/>
        <v>0</v>
      </c>
      <c r="AJ58" s="128">
        <f t="shared" ca="1" si="23"/>
        <v>0</v>
      </c>
      <c r="AK58" s="126">
        <f t="shared" ca="1" si="23"/>
        <v>0</v>
      </c>
      <c r="AL58" s="127">
        <f t="shared" ca="1" si="23"/>
        <v>0</v>
      </c>
      <c r="AM58" s="127">
        <f t="shared" ca="1" si="23"/>
        <v>0</v>
      </c>
      <c r="AN58" s="127">
        <f t="shared" ca="1" si="23"/>
        <v>0</v>
      </c>
      <c r="AO58" s="129">
        <f t="shared" ca="1" si="12"/>
        <v>0</v>
      </c>
      <c r="AP58" s="536" t="str">
        <f t="shared" si="18"/>
        <v/>
      </c>
      <c r="AQ58" s="536" t="str">
        <f t="shared" si="19"/>
        <v/>
      </c>
      <c r="AR58" s="536" t="str">
        <f t="shared" si="20"/>
        <v/>
      </c>
      <c r="AS58" s="537">
        <f>IF(OR(J58&lt;&gt;"",AP58&amp;AQ58&amp;AR58&lt;&gt;"X",WEEKDAY(I58,2)&gt;5,C58&lt;&gt;0,(FechaInicio1Tri&gt;I58),(FechaFinEEva&lt;I58)),0,_xlfn.XLOOKUP(WEEKDAY(I58,2),Fchs!$J$10:$N$10,Fchs!$J$12:$N$12))</f>
        <v>0</v>
      </c>
      <c r="AT58" s="536">
        <f t="shared" ca="1" si="21"/>
        <v>0</v>
      </c>
      <c r="AU58" s="538">
        <f>IF(AS58&lt;&gt;0,MAXA($AU$14:AU57)+AS58,0)</f>
        <v>0</v>
      </c>
      <c r="AV58" s="538">
        <f ca="1">IF(AT58&lt;&gt;0,MAXA($AU$14:AU57)+AT58,0)</f>
        <v>0</v>
      </c>
      <c r="AW58" s="68"/>
    </row>
    <row r="59" spans="1:49" ht="18.75" customHeight="1" x14ac:dyDescent="0.25">
      <c r="A59" s="68"/>
      <c r="B59" s="56" t="str">
        <f>MID(Info!$AZ$3,(WEEKDAY(I59,2)-1)*3+1,3)</f>
        <v>Dom</v>
      </c>
      <c r="C59" s="523">
        <f>_xlfn.XLOOKUP(I59,Fchs!$F$60:$F$101,Fchs!$G$60:$G$101,0)</f>
        <v>0</v>
      </c>
      <c r="D59" s="523">
        <f>_xlfn.XLOOKUP(I59,Fchs!$F$60:$F$101,Fchs!$H$60:$H$101)</f>
        <v>0</v>
      </c>
      <c r="E59" s="532">
        <f>IF($AS59&lt;&gt;0,_xlfn.XLOOKUP($G59,UDs!$E$34:$E$55,UDs!$B$34:$B$55,,-1),0)</f>
        <v>0</v>
      </c>
      <c r="F59" s="532">
        <f t="shared" ca="1" si="16"/>
        <v>0</v>
      </c>
      <c r="G59" s="569">
        <f>IF(AU59&lt;&gt;0,MAX($AU$13:$AU58)+1,0)</f>
        <v>0</v>
      </c>
      <c r="H59" s="569" t="str">
        <f>IF(AS59&lt;&gt;0,COUNT($H$14:H58,1),"")</f>
        <v/>
      </c>
      <c r="I59" s="533">
        <f t="shared" si="22"/>
        <v>45942</v>
      </c>
      <c r="J59" s="534"/>
      <c r="K59" s="535"/>
      <c r="L59" s="126">
        <f t="shared" ca="1" si="24"/>
        <v>0</v>
      </c>
      <c r="M59" s="127">
        <f t="shared" ca="1" si="24"/>
        <v>0</v>
      </c>
      <c r="N59" s="127">
        <f t="shared" ca="1" si="24"/>
        <v>0</v>
      </c>
      <c r="O59" s="127">
        <f t="shared" ca="1" si="24"/>
        <v>0</v>
      </c>
      <c r="P59" s="128">
        <f t="shared" ca="1" si="24"/>
        <v>0</v>
      </c>
      <c r="Q59" s="126">
        <f t="shared" ca="1" si="24"/>
        <v>0</v>
      </c>
      <c r="R59" s="127">
        <f t="shared" ca="1" si="24"/>
        <v>0</v>
      </c>
      <c r="S59" s="127">
        <f t="shared" ca="1" si="24"/>
        <v>0</v>
      </c>
      <c r="T59" s="127">
        <f t="shared" ca="1" si="24"/>
        <v>0</v>
      </c>
      <c r="U59" s="128">
        <f t="shared" ca="1" si="24"/>
        <v>0</v>
      </c>
      <c r="V59" s="126">
        <f t="shared" ca="1" si="24"/>
        <v>0</v>
      </c>
      <c r="W59" s="127">
        <f t="shared" ca="1" si="24"/>
        <v>0</v>
      </c>
      <c r="X59" s="127">
        <f t="shared" ca="1" si="24"/>
        <v>0</v>
      </c>
      <c r="Y59" s="127">
        <f t="shared" ca="1" si="24"/>
        <v>0</v>
      </c>
      <c r="Z59" s="128">
        <f t="shared" ca="1" si="24"/>
        <v>0</v>
      </c>
      <c r="AA59" s="126">
        <f t="shared" ca="1" si="24"/>
        <v>0</v>
      </c>
      <c r="AB59" s="127">
        <f t="shared" ca="1" si="23"/>
        <v>0</v>
      </c>
      <c r="AC59" s="127">
        <f t="shared" ca="1" si="23"/>
        <v>0</v>
      </c>
      <c r="AD59" s="127">
        <f t="shared" ca="1" si="23"/>
        <v>0</v>
      </c>
      <c r="AE59" s="128">
        <f t="shared" ca="1" si="23"/>
        <v>0</v>
      </c>
      <c r="AF59" s="126">
        <f t="shared" ca="1" si="23"/>
        <v>0</v>
      </c>
      <c r="AG59" s="127">
        <f t="shared" ca="1" si="23"/>
        <v>0</v>
      </c>
      <c r="AH59" s="127">
        <f t="shared" ca="1" si="23"/>
        <v>0</v>
      </c>
      <c r="AI59" s="127">
        <f t="shared" ca="1" si="23"/>
        <v>0</v>
      </c>
      <c r="AJ59" s="128">
        <f t="shared" ca="1" si="23"/>
        <v>0</v>
      </c>
      <c r="AK59" s="126">
        <f t="shared" ca="1" si="23"/>
        <v>0</v>
      </c>
      <c r="AL59" s="127">
        <f t="shared" ca="1" si="23"/>
        <v>0</v>
      </c>
      <c r="AM59" s="127">
        <f t="shared" ca="1" si="23"/>
        <v>0</v>
      </c>
      <c r="AN59" s="127">
        <f t="shared" ca="1" si="23"/>
        <v>0</v>
      </c>
      <c r="AO59" s="129">
        <f t="shared" ca="1" si="12"/>
        <v>0</v>
      </c>
      <c r="AP59" s="536" t="str">
        <f t="shared" si="18"/>
        <v/>
      </c>
      <c r="AQ59" s="536" t="str">
        <f t="shared" si="19"/>
        <v/>
      </c>
      <c r="AR59" s="536" t="str">
        <f t="shared" si="20"/>
        <v/>
      </c>
      <c r="AS59" s="537">
        <f>IF(OR(J59&lt;&gt;"",AP59&amp;AQ59&amp;AR59&lt;&gt;"X",WEEKDAY(I59,2)&gt;5,C59&lt;&gt;0,(FechaInicio1Tri&gt;I59),(FechaFinEEva&lt;I59)),0,_xlfn.XLOOKUP(WEEKDAY(I59,2),Fchs!$J$10:$N$10,Fchs!$J$12:$N$12))</f>
        <v>0</v>
      </c>
      <c r="AT59" s="536">
        <f t="shared" ca="1" si="21"/>
        <v>0</v>
      </c>
      <c r="AU59" s="538">
        <f>IF(AS59&lt;&gt;0,MAXA($AU$14:AU58)+AS59,0)</f>
        <v>0</v>
      </c>
      <c r="AV59" s="538">
        <f ca="1">IF(AT59&lt;&gt;0,MAXA($AU$14:AU58)+AT59,0)</f>
        <v>0</v>
      </c>
      <c r="AW59" s="68"/>
    </row>
    <row r="60" spans="1:49" ht="18.75" customHeight="1" x14ac:dyDescent="0.25">
      <c r="A60" s="68"/>
      <c r="B60" s="56" t="str">
        <f>MID(Info!$AZ$3,(WEEKDAY(I60,2)-1)*3+1,3)</f>
        <v>Lun</v>
      </c>
      <c r="C60" s="523" t="str">
        <f>_xlfn.XLOOKUP(I60,Fchs!$F$60:$F$101,Fchs!$G$60:$G$101,0)</f>
        <v>Pilares</v>
      </c>
      <c r="D60" s="523">
        <f>_xlfn.XLOOKUP(I60,Fchs!$F$60:$F$101,Fchs!$H$60:$H$101)</f>
        <v>0</v>
      </c>
      <c r="E60" s="532">
        <f>IF($AS60&lt;&gt;0,_xlfn.XLOOKUP($G60,UDs!$E$34:$E$55,UDs!$B$34:$B$55,,-1),0)</f>
        <v>0</v>
      </c>
      <c r="F60" s="532">
        <f t="shared" ca="1" si="16"/>
        <v>0</v>
      </c>
      <c r="G60" s="569">
        <f>IF(AU60&lt;&gt;0,MAX($AU$13:$AU59)+1,0)</f>
        <v>0</v>
      </c>
      <c r="H60" s="569" t="str">
        <f>IF(AS60&lt;&gt;0,COUNT($H$14:H59,1),"")</f>
        <v/>
      </c>
      <c r="I60" s="533">
        <f t="shared" si="22"/>
        <v>45943</v>
      </c>
      <c r="J60" s="534"/>
      <c r="K60" s="535"/>
      <c r="L60" s="126">
        <f t="shared" ca="1" si="24"/>
        <v>0</v>
      </c>
      <c r="M60" s="127">
        <f t="shared" ca="1" si="24"/>
        <v>0</v>
      </c>
      <c r="N60" s="127">
        <f t="shared" ca="1" si="24"/>
        <v>0</v>
      </c>
      <c r="O60" s="127">
        <f t="shared" ca="1" si="24"/>
        <v>0</v>
      </c>
      <c r="P60" s="128">
        <f t="shared" ca="1" si="24"/>
        <v>0</v>
      </c>
      <c r="Q60" s="126">
        <f t="shared" ca="1" si="24"/>
        <v>0</v>
      </c>
      <c r="R60" s="127">
        <f t="shared" ca="1" si="24"/>
        <v>0</v>
      </c>
      <c r="S60" s="127">
        <f t="shared" ca="1" si="24"/>
        <v>0</v>
      </c>
      <c r="T60" s="127">
        <f t="shared" ca="1" si="24"/>
        <v>0</v>
      </c>
      <c r="U60" s="128">
        <f t="shared" ca="1" si="24"/>
        <v>0</v>
      </c>
      <c r="V60" s="126">
        <f t="shared" ca="1" si="24"/>
        <v>0</v>
      </c>
      <c r="W60" s="127">
        <f t="shared" ca="1" si="24"/>
        <v>0</v>
      </c>
      <c r="X60" s="127">
        <f t="shared" ca="1" si="24"/>
        <v>0</v>
      </c>
      <c r="Y60" s="127">
        <f t="shared" ca="1" si="24"/>
        <v>0</v>
      </c>
      <c r="Z60" s="128">
        <f t="shared" ca="1" si="24"/>
        <v>0</v>
      </c>
      <c r="AA60" s="126">
        <f t="shared" ca="1" si="24"/>
        <v>0</v>
      </c>
      <c r="AB60" s="127">
        <f t="shared" ca="1" si="23"/>
        <v>0</v>
      </c>
      <c r="AC60" s="127">
        <f t="shared" ca="1" si="23"/>
        <v>0</v>
      </c>
      <c r="AD60" s="127">
        <f t="shared" ca="1" si="23"/>
        <v>0</v>
      </c>
      <c r="AE60" s="128">
        <f t="shared" ca="1" si="23"/>
        <v>0</v>
      </c>
      <c r="AF60" s="126">
        <f t="shared" ca="1" si="23"/>
        <v>0</v>
      </c>
      <c r="AG60" s="127">
        <f t="shared" ca="1" si="23"/>
        <v>0</v>
      </c>
      <c r="AH60" s="127">
        <f t="shared" ca="1" si="23"/>
        <v>0</v>
      </c>
      <c r="AI60" s="127">
        <f t="shared" ca="1" si="23"/>
        <v>0</v>
      </c>
      <c r="AJ60" s="128">
        <f t="shared" ca="1" si="23"/>
        <v>0</v>
      </c>
      <c r="AK60" s="126">
        <f t="shared" ca="1" si="23"/>
        <v>0</v>
      </c>
      <c r="AL60" s="127">
        <f t="shared" ca="1" si="23"/>
        <v>0</v>
      </c>
      <c r="AM60" s="127">
        <f t="shared" ca="1" si="23"/>
        <v>0</v>
      </c>
      <c r="AN60" s="127">
        <f t="shared" ca="1" si="23"/>
        <v>0</v>
      </c>
      <c r="AO60" s="129">
        <f t="shared" ca="1" si="12"/>
        <v>0</v>
      </c>
      <c r="AP60" s="536" t="str">
        <f t="shared" si="18"/>
        <v>X</v>
      </c>
      <c r="AQ60" s="536" t="str">
        <f t="shared" si="19"/>
        <v/>
      </c>
      <c r="AR60" s="536" t="str">
        <f t="shared" si="20"/>
        <v/>
      </c>
      <c r="AS60" s="537">
        <f>IF(OR(J60&lt;&gt;"",AP60&amp;AQ60&amp;AR60&lt;&gt;"X",WEEKDAY(I60,2)&gt;5,C60&lt;&gt;0,(FechaInicio1Tri&gt;I60),(FechaFinEEva&lt;I60)),0,_xlfn.XLOOKUP(WEEKDAY(I60,2),Fchs!$J$10:$N$10,Fchs!$J$12:$N$12))</f>
        <v>0</v>
      </c>
      <c r="AT60" s="536">
        <f t="shared" ca="1" si="21"/>
        <v>0</v>
      </c>
      <c r="AU60" s="538">
        <f>IF(AS60&lt;&gt;0,MAXA($AU$14:AU59)+AS60,0)</f>
        <v>0</v>
      </c>
      <c r="AV60" s="538">
        <f ca="1">IF(AT60&lt;&gt;0,MAXA($AU$14:AU59)+AT60,0)</f>
        <v>0</v>
      </c>
      <c r="AW60" s="68"/>
    </row>
    <row r="61" spans="1:49" ht="18.75" customHeight="1" x14ac:dyDescent="0.25">
      <c r="A61" s="68"/>
      <c r="B61" s="56" t="str">
        <f>MID(Info!$AZ$3,(WEEKDAY(I61,2)-1)*3+1,3)</f>
        <v>Mar</v>
      </c>
      <c r="C61" s="523">
        <f>_xlfn.XLOOKUP(I61,Fchs!$F$60:$F$101,Fchs!$G$60:$G$101,0)</f>
        <v>0</v>
      </c>
      <c r="D61" s="523">
        <f>_xlfn.XLOOKUP(I61,Fchs!$F$60:$F$101,Fchs!$H$60:$H$101)</f>
        <v>0</v>
      </c>
      <c r="E61" s="532" t="str">
        <f>IF($AS61&lt;&gt;0,_xlfn.XLOOKUP($G61,UDs!$E$34:$E$55,UDs!$B$34:$B$55,,-1),0)</f>
        <v>UD01</v>
      </c>
      <c r="F61" s="532" t="str">
        <f t="shared" ca="1" si="16"/>
        <v>UD01</v>
      </c>
      <c r="G61" s="569">
        <f>IF(AU61&lt;&gt;0,MAX($AU$13:$AU60)+1,0)</f>
        <v>20</v>
      </c>
      <c r="H61" s="569">
        <f>IF(AS61&lt;&gt;0,COUNT($H$14:H60,1),"")</f>
        <v>20</v>
      </c>
      <c r="I61" s="533">
        <f t="shared" si="22"/>
        <v>45944</v>
      </c>
      <c r="J61" s="534"/>
      <c r="K61" s="535"/>
      <c r="L61" s="126">
        <f t="shared" ca="1" si="24"/>
        <v>1</v>
      </c>
      <c r="M61" s="127">
        <f t="shared" ca="1" si="24"/>
        <v>1</v>
      </c>
      <c r="N61" s="127">
        <f t="shared" ca="1" si="24"/>
        <v>1</v>
      </c>
      <c r="O61" s="127">
        <f t="shared" ca="1" si="24"/>
        <v>1</v>
      </c>
      <c r="P61" s="128">
        <f t="shared" ca="1" si="24"/>
        <v>1</v>
      </c>
      <c r="Q61" s="126">
        <f t="shared" ca="1" si="24"/>
        <v>1</v>
      </c>
      <c r="R61" s="127">
        <f t="shared" ca="1" si="24"/>
        <v>1</v>
      </c>
      <c r="S61" s="127">
        <f t="shared" ca="1" si="24"/>
        <v>1</v>
      </c>
      <c r="T61" s="127">
        <f t="shared" ca="1" si="24"/>
        <v>1</v>
      </c>
      <c r="U61" s="128">
        <f t="shared" ca="1" si="24"/>
        <v>1</v>
      </c>
      <c r="V61" s="126">
        <f t="shared" ca="1" si="24"/>
        <v>1</v>
      </c>
      <c r="W61" s="127">
        <f t="shared" ca="1" si="24"/>
        <v>1</v>
      </c>
      <c r="X61" s="127">
        <f t="shared" ca="1" si="24"/>
        <v>1</v>
      </c>
      <c r="Y61" s="127">
        <f t="shared" ca="1" si="24"/>
        <v>1</v>
      </c>
      <c r="Z61" s="128">
        <f t="shared" ca="1" si="24"/>
        <v>1</v>
      </c>
      <c r="AA61" s="126">
        <f t="shared" ca="1" si="24"/>
        <v>1</v>
      </c>
      <c r="AB61" s="127">
        <f t="shared" ca="1" si="23"/>
        <v>1</v>
      </c>
      <c r="AC61" s="127">
        <f t="shared" ca="1" si="23"/>
        <v>1</v>
      </c>
      <c r="AD61" s="127">
        <f t="shared" ca="1" si="23"/>
        <v>1</v>
      </c>
      <c r="AE61" s="128">
        <f t="shared" ca="1" si="23"/>
        <v>1</v>
      </c>
      <c r="AF61" s="126">
        <f t="shared" ca="1" si="23"/>
        <v>1</v>
      </c>
      <c r="AG61" s="127">
        <f t="shared" ca="1" si="23"/>
        <v>1</v>
      </c>
      <c r="AH61" s="127">
        <f t="shared" ca="1" si="23"/>
        <v>1</v>
      </c>
      <c r="AI61" s="127">
        <f t="shared" ca="1" si="23"/>
        <v>1</v>
      </c>
      <c r="AJ61" s="128">
        <f t="shared" ca="1" si="23"/>
        <v>1</v>
      </c>
      <c r="AK61" s="126">
        <f t="shared" ca="1" si="23"/>
        <v>1</v>
      </c>
      <c r="AL61" s="127">
        <f t="shared" ca="1" si="23"/>
        <v>1</v>
      </c>
      <c r="AM61" s="127">
        <f t="shared" ca="1" si="23"/>
        <v>1</v>
      </c>
      <c r="AN61" s="127">
        <f t="shared" ca="1" si="23"/>
        <v>1</v>
      </c>
      <c r="AO61" s="129">
        <f t="shared" ca="1" si="12"/>
        <v>1</v>
      </c>
      <c r="AP61" s="536" t="str">
        <f t="shared" si="18"/>
        <v>X</v>
      </c>
      <c r="AQ61" s="536" t="str">
        <f t="shared" si="19"/>
        <v/>
      </c>
      <c r="AR61" s="536" t="str">
        <f t="shared" si="20"/>
        <v/>
      </c>
      <c r="AS61" s="537">
        <f>IF(OR(J61&lt;&gt;"",AP61&amp;AQ61&amp;AR61&lt;&gt;"X",WEEKDAY(I61,2)&gt;5,C61&lt;&gt;0,(FechaInicio1Tri&gt;I61),(FechaFinEEva&lt;I61)),0,_xlfn.XLOOKUP(WEEKDAY(I61,2),Fchs!$J$10:$N$10,Fchs!$J$12:$N$12))</f>
        <v>1</v>
      </c>
      <c r="AT61" s="536">
        <f t="shared" ca="1" si="21"/>
        <v>1</v>
      </c>
      <c r="AU61" s="538">
        <f>IF(AS61&lt;&gt;0,MAXA($AU$14:AU60)+AS61,0)</f>
        <v>20</v>
      </c>
      <c r="AV61" s="538">
        <f ca="1">IF(AT61&lt;&gt;0,MAXA($AU$14:AU60)+AT61,0)</f>
        <v>20</v>
      </c>
      <c r="AW61" s="68"/>
    </row>
    <row r="62" spans="1:49" ht="18.75" customHeight="1" x14ac:dyDescent="0.25">
      <c r="A62" s="68"/>
      <c r="B62" s="56" t="str">
        <f>MID(Info!$AZ$3,(WEEKDAY(I62,2)-1)*3+1,3)</f>
        <v>Mié</v>
      </c>
      <c r="C62" s="523">
        <f>_xlfn.XLOOKUP(I62,Fchs!$F$60:$F$101,Fchs!$G$60:$G$101,0)</f>
        <v>0</v>
      </c>
      <c r="D62" s="523">
        <f>_xlfn.XLOOKUP(I62,Fchs!$F$60:$F$101,Fchs!$H$60:$H$101)</f>
        <v>0</v>
      </c>
      <c r="E62" s="532" t="str">
        <f>IF($AS62&lt;&gt;0,_xlfn.XLOOKUP($G62,UDs!$E$34:$E$55,UDs!$B$34:$B$55,,-1),0)</f>
        <v>UD01</v>
      </c>
      <c r="F62" s="532" t="str">
        <f t="shared" ca="1" si="16"/>
        <v>UD01</v>
      </c>
      <c r="G62" s="569">
        <f>IF(AU62&lt;&gt;0,MAX($AU$13:$AU61)+1,0)</f>
        <v>21</v>
      </c>
      <c r="H62" s="569">
        <f>IF(AS62&lt;&gt;0,COUNT($H$14:H61,1),"")</f>
        <v>21</v>
      </c>
      <c r="I62" s="533">
        <f t="shared" si="22"/>
        <v>45945</v>
      </c>
      <c r="J62" s="534"/>
      <c r="K62" s="535"/>
      <c r="L62" s="126">
        <f t="shared" ca="1" si="24"/>
        <v>1</v>
      </c>
      <c r="M62" s="127">
        <f t="shared" ca="1" si="24"/>
        <v>1</v>
      </c>
      <c r="N62" s="127">
        <f t="shared" ca="1" si="24"/>
        <v>1</v>
      </c>
      <c r="O62" s="127">
        <f t="shared" ca="1" si="24"/>
        <v>1</v>
      </c>
      <c r="P62" s="128">
        <f t="shared" ca="1" si="24"/>
        <v>1</v>
      </c>
      <c r="Q62" s="126">
        <f t="shared" ca="1" si="24"/>
        <v>1</v>
      </c>
      <c r="R62" s="127">
        <f t="shared" ca="1" si="24"/>
        <v>1</v>
      </c>
      <c r="S62" s="127">
        <f t="shared" ca="1" si="24"/>
        <v>1</v>
      </c>
      <c r="T62" s="127">
        <f t="shared" ca="1" si="24"/>
        <v>1</v>
      </c>
      <c r="U62" s="128">
        <f t="shared" ca="1" si="24"/>
        <v>1</v>
      </c>
      <c r="V62" s="126">
        <f t="shared" ca="1" si="24"/>
        <v>1</v>
      </c>
      <c r="W62" s="127">
        <f t="shared" ca="1" si="24"/>
        <v>1</v>
      </c>
      <c r="X62" s="127">
        <f t="shared" ca="1" si="24"/>
        <v>1</v>
      </c>
      <c r="Y62" s="127">
        <f t="shared" ca="1" si="24"/>
        <v>1</v>
      </c>
      <c r="Z62" s="128">
        <f t="shared" ca="1" si="24"/>
        <v>1</v>
      </c>
      <c r="AA62" s="126">
        <f t="shared" ca="1" si="24"/>
        <v>1</v>
      </c>
      <c r="AB62" s="127">
        <f t="shared" ca="1" si="23"/>
        <v>1</v>
      </c>
      <c r="AC62" s="127">
        <f t="shared" ca="1" si="23"/>
        <v>1</v>
      </c>
      <c r="AD62" s="127">
        <f t="shared" ca="1" si="23"/>
        <v>1</v>
      </c>
      <c r="AE62" s="128">
        <f t="shared" ca="1" si="23"/>
        <v>1</v>
      </c>
      <c r="AF62" s="126">
        <f t="shared" ca="1" si="23"/>
        <v>1</v>
      </c>
      <c r="AG62" s="127">
        <f t="shared" ca="1" si="23"/>
        <v>1</v>
      </c>
      <c r="AH62" s="127">
        <f t="shared" ca="1" si="23"/>
        <v>1</v>
      </c>
      <c r="AI62" s="127">
        <f t="shared" ca="1" si="23"/>
        <v>1</v>
      </c>
      <c r="AJ62" s="128">
        <f t="shared" ca="1" si="23"/>
        <v>1</v>
      </c>
      <c r="AK62" s="126">
        <f t="shared" ca="1" si="23"/>
        <v>1</v>
      </c>
      <c r="AL62" s="127">
        <f t="shared" ca="1" si="23"/>
        <v>1</v>
      </c>
      <c r="AM62" s="127">
        <f t="shared" ca="1" si="23"/>
        <v>1</v>
      </c>
      <c r="AN62" s="127">
        <f t="shared" ca="1" si="23"/>
        <v>1</v>
      </c>
      <c r="AO62" s="129">
        <f t="shared" ca="1" si="12"/>
        <v>1</v>
      </c>
      <c r="AP62" s="536" t="str">
        <f t="shared" si="18"/>
        <v>X</v>
      </c>
      <c r="AQ62" s="536" t="str">
        <f t="shared" si="19"/>
        <v/>
      </c>
      <c r="AR62" s="536" t="str">
        <f t="shared" si="20"/>
        <v/>
      </c>
      <c r="AS62" s="537">
        <f>IF(OR(J62&lt;&gt;"",AP62&amp;AQ62&amp;AR62&lt;&gt;"X",WEEKDAY(I62,2)&gt;5,C62&lt;&gt;0,(FechaInicio1Tri&gt;I62),(FechaFinEEva&lt;I62)),0,_xlfn.XLOOKUP(WEEKDAY(I62,2),Fchs!$J$10:$N$10,Fchs!$J$12:$N$12))</f>
        <v>1</v>
      </c>
      <c r="AT62" s="536">
        <f t="shared" ca="1" si="21"/>
        <v>1</v>
      </c>
      <c r="AU62" s="538">
        <f>IF(AS62&lt;&gt;0,MAXA($AU$14:AU61)+AS62,0)</f>
        <v>21</v>
      </c>
      <c r="AV62" s="538">
        <f ca="1">IF(AT62&lt;&gt;0,MAXA($AU$14:AU61)+AT62,0)</f>
        <v>21</v>
      </c>
      <c r="AW62" s="68"/>
    </row>
    <row r="63" spans="1:49" ht="18.75" customHeight="1" x14ac:dyDescent="0.25">
      <c r="A63" s="68"/>
      <c r="B63" s="56" t="str">
        <f>MID(Info!$AZ$3,(WEEKDAY(I63,2)-1)*3+1,3)</f>
        <v>Jue</v>
      </c>
      <c r="C63" s="523">
        <f>_xlfn.XLOOKUP(I63,Fchs!$F$60:$F$101,Fchs!$G$60:$G$101,0)</f>
        <v>0</v>
      </c>
      <c r="D63" s="523">
        <f>_xlfn.XLOOKUP(I63,Fchs!$F$60:$F$101,Fchs!$H$60:$H$101)</f>
        <v>0</v>
      </c>
      <c r="E63" s="532" t="str">
        <f>IF($AS63&lt;&gt;0,_xlfn.XLOOKUP($G63,UDs!$E$34:$E$55,UDs!$B$34:$B$55,,-1),0)</f>
        <v>UD01</v>
      </c>
      <c r="F63" s="532" t="str">
        <f t="shared" ca="1" si="16"/>
        <v>UD01</v>
      </c>
      <c r="G63" s="569">
        <f>IF(AU63&lt;&gt;0,MAX($AU$13:$AU62)+1,0)</f>
        <v>22</v>
      </c>
      <c r="H63" s="569">
        <f>IF(AS63&lt;&gt;0,COUNT($H$14:H62,1),"")</f>
        <v>22</v>
      </c>
      <c r="I63" s="533">
        <f t="shared" si="22"/>
        <v>45946</v>
      </c>
      <c r="J63" s="534"/>
      <c r="K63" s="535"/>
      <c r="L63" s="126">
        <f t="shared" ca="1" si="24"/>
        <v>1</v>
      </c>
      <c r="M63" s="127">
        <f t="shared" ca="1" si="24"/>
        <v>1</v>
      </c>
      <c r="N63" s="127">
        <f t="shared" ca="1" si="24"/>
        <v>1</v>
      </c>
      <c r="O63" s="127">
        <f t="shared" ca="1" si="24"/>
        <v>1</v>
      </c>
      <c r="P63" s="128">
        <f t="shared" ca="1" si="24"/>
        <v>1</v>
      </c>
      <c r="Q63" s="126">
        <f t="shared" ca="1" si="24"/>
        <v>1</v>
      </c>
      <c r="R63" s="127">
        <f t="shared" ca="1" si="24"/>
        <v>1</v>
      </c>
      <c r="S63" s="127">
        <f t="shared" ca="1" si="24"/>
        <v>1</v>
      </c>
      <c r="T63" s="127">
        <f t="shared" ca="1" si="24"/>
        <v>1</v>
      </c>
      <c r="U63" s="128">
        <f t="shared" ca="1" si="24"/>
        <v>1</v>
      </c>
      <c r="V63" s="126">
        <f t="shared" ca="1" si="24"/>
        <v>1</v>
      </c>
      <c r="W63" s="127">
        <f t="shared" ca="1" si="24"/>
        <v>1</v>
      </c>
      <c r="X63" s="127">
        <f t="shared" ca="1" si="24"/>
        <v>1</v>
      </c>
      <c r="Y63" s="127">
        <f t="shared" ca="1" si="24"/>
        <v>1</v>
      </c>
      <c r="Z63" s="128">
        <f t="shared" ca="1" si="24"/>
        <v>1</v>
      </c>
      <c r="AA63" s="126">
        <f t="shared" ca="1" si="24"/>
        <v>1</v>
      </c>
      <c r="AB63" s="127">
        <f t="shared" ca="1" si="23"/>
        <v>1</v>
      </c>
      <c r="AC63" s="127">
        <f t="shared" ca="1" si="23"/>
        <v>1</v>
      </c>
      <c r="AD63" s="127">
        <f t="shared" ca="1" si="23"/>
        <v>1</v>
      </c>
      <c r="AE63" s="128">
        <f t="shared" ca="1" si="23"/>
        <v>1</v>
      </c>
      <c r="AF63" s="126">
        <f t="shared" ca="1" si="23"/>
        <v>1</v>
      </c>
      <c r="AG63" s="127">
        <f t="shared" ca="1" si="23"/>
        <v>1</v>
      </c>
      <c r="AH63" s="127">
        <f t="shared" ca="1" si="23"/>
        <v>1</v>
      </c>
      <c r="AI63" s="127">
        <f t="shared" ca="1" si="23"/>
        <v>1</v>
      </c>
      <c r="AJ63" s="128">
        <f t="shared" ca="1" si="23"/>
        <v>1</v>
      </c>
      <c r="AK63" s="126">
        <f t="shared" ca="1" si="23"/>
        <v>1</v>
      </c>
      <c r="AL63" s="127">
        <f t="shared" ca="1" si="23"/>
        <v>1</v>
      </c>
      <c r="AM63" s="127">
        <f t="shared" ca="1" si="23"/>
        <v>1</v>
      </c>
      <c r="AN63" s="127">
        <f t="shared" ca="1" si="23"/>
        <v>1</v>
      </c>
      <c r="AO63" s="129">
        <f t="shared" ca="1" si="12"/>
        <v>1</v>
      </c>
      <c r="AP63" s="536" t="str">
        <f t="shared" si="18"/>
        <v>X</v>
      </c>
      <c r="AQ63" s="536" t="str">
        <f t="shared" si="19"/>
        <v/>
      </c>
      <c r="AR63" s="536" t="str">
        <f t="shared" si="20"/>
        <v/>
      </c>
      <c r="AS63" s="537">
        <f>IF(OR(J63&lt;&gt;"",AP63&amp;AQ63&amp;AR63&lt;&gt;"X",WEEKDAY(I63,2)&gt;5,C63&lt;&gt;0,(FechaInicio1Tri&gt;I63),(FechaFinEEva&lt;I63)),0,_xlfn.XLOOKUP(WEEKDAY(I63,2),Fchs!$J$10:$N$10,Fchs!$J$12:$N$12))</f>
        <v>1</v>
      </c>
      <c r="AT63" s="536">
        <f t="shared" ca="1" si="21"/>
        <v>1</v>
      </c>
      <c r="AU63" s="538">
        <f>IF(AS63&lt;&gt;0,MAXA($AU$14:AU62)+AS63,0)</f>
        <v>22</v>
      </c>
      <c r="AV63" s="538">
        <f ca="1">IF(AT63&lt;&gt;0,MAXA($AU$14:AU62)+AT63,0)</f>
        <v>22</v>
      </c>
      <c r="AW63" s="68"/>
    </row>
    <row r="64" spans="1:49" ht="18.75" customHeight="1" x14ac:dyDescent="0.25">
      <c r="A64" s="68"/>
      <c r="B64" s="56" t="str">
        <f>MID(Info!$AZ$3,(WEEKDAY(I64,2)-1)*3+1,3)</f>
        <v>Vie</v>
      </c>
      <c r="C64" s="523">
        <f>_xlfn.XLOOKUP(I64,Fchs!$F$60:$F$101,Fchs!$G$60:$G$101,0)</f>
        <v>0</v>
      </c>
      <c r="D64" s="523">
        <f>_xlfn.XLOOKUP(I64,Fchs!$F$60:$F$101,Fchs!$H$60:$H$101)</f>
        <v>0</v>
      </c>
      <c r="E64" s="532" t="str">
        <f>IF($AS64&lt;&gt;0,_xlfn.XLOOKUP($G64,UDs!$E$34:$E$55,UDs!$B$34:$B$55,,-1),0)</f>
        <v>UD01</v>
      </c>
      <c r="F64" s="532" t="str">
        <f t="shared" ca="1" si="16"/>
        <v>UD01</v>
      </c>
      <c r="G64" s="569">
        <f>IF(AU64&lt;&gt;0,MAX($AU$13:$AU63)+1,0)</f>
        <v>23</v>
      </c>
      <c r="H64" s="569">
        <f>IF(AS64&lt;&gt;0,COUNT($H$14:H63,1),"")</f>
        <v>23</v>
      </c>
      <c r="I64" s="533">
        <f t="shared" si="22"/>
        <v>45947</v>
      </c>
      <c r="J64" s="534"/>
      <c r="K64" s="535"/>
      <c r="L64" s="126">
        <f t="shared" ca="1" si="24"/>
        <v>1</v>
      </c>
      <c r="M64" s="127">
        <f t="shared" ca="1" si="24"/>
        <v>1</v>
      </c>
      <c r="N64" s="127">
        <f t="shared" ca="1" si="24"/>
        <v>1</v>
      </c>
      <c r="O64" s="127">
        <f t="shared" ca="1" si="24"/>
        <v>1</v>
      </c>
      <c r="P64" s="128">
        <f t="shared" ca="1" si="24"/>
        <v>1</v>
      </c>
      <c r="Q64" s="126">
        <f t="shared" ca="1" si="24"/>
        <v>1</v>
      </c>
      <c r="R64" s="127">
        <f t="shared" ca="1" si="24"/>
        <v>1</v>
      </c>
      <c r="S64" s="127">
        <f t="shared" ca="1" si="24"/>
        <v>1</v>
      </c>
      <c r="T64" s="127">
        <f t="shared" ca="1" si="24"/>
        <v>1</v>
      </c>
      <c r="U64" s="128">
        <f t="shared" ca="1" si="24"/>
        <v>1</v>
      </c>
      <c r="V64" s="126">
        <f t="shared" ca="1" si="24"/>
        <v>1</v>
      </c>
      <c r="W64" s="127">
        <f t="shared" ca="1" si="24"/>
        <v>1</v>
      </c>
      <c r="X64" s="127">
        <f t="shared" ca="1" si="24"/>
        <v>1</v>
      </c>
      <c r="Y64" s="127">
        <f t="shared" ca="1" si="24"/>
        <v>1</v>
      </c>
      <c r="Z64" s="128">
        <f t="shared" ca="1" si="24"/>
        <v>1</v>
      </c>
      <c r="AA64" s="126">
        <f t="shared" ca="1" si="24"/>
        <v>1</v>
      </c>
      <c r="AB64" s="127">
        <f t="shared" ca="1" si="23"/>
        <v>1</v>
      </c>
      <c r="AC64" s="127">
        <f t="shared" ca="1" si="23"/>
        <v>1</v>
      </c>
      <c r="AD64" s="127">
        <f t="shared" ca="1" si="23"/>
        <v>1</v>
      </c>
      <c r="AE64" s="128">
        <f t="shared" ca="1" si="23"/>
        <v>1</v>
      </c>
      <c r="AF64" s="126">
        <f t="shared" ca="1" si="23"/>
        <v>1</v>
      </c>
      <c r="AG64" s="127">
        <f t="shared" ca="1" si="23"/>
        <v>1</v>
      </c>
      <c r="AH64" s="127">
        <f t="shared" ca="1" si="23"/>
        <v>1</v>
      </c>
      <c r="AI64" s="127">
        <f t="shared" ca="1" si="23"/>
        <v>1</v>
      </c>
      <c r="AJ64" s="128">
        <f t="shared" ca="1" si="23"/>
        <v>1</v>
      </c>
      <c r="AK64" s="126">
        <f t="shared" ca="1" si="23"/>
        <v>1</v>
      </c>
      <c r="AL64" s="127">
        <f t="shared" ca="1" si="23"/>
        <v>1</v>
      </c>
      <c r="AM64" s="127">
        <f t="shared" ca="1" si="23"/>
        <v>1</v>
      </c>
      <c r="AN64" s="127">
        <f t="shared" ca="1" si="23"/>
        <v>1</v>
      </c>
      <c r="AO64" s="129">
        <f t="shared" ca="1" si="12"/>
        <v>1</v>
      </c>
      <c r="AP64" s="536" t="str">
        <f t="shared" si="18"/>
        <v>X</v>
      </c>
      <c r="AQ64" s="536" t="str">
        <f t="shared" si="19"/>
        <v/>
      </c>
      <c r="AR64" s="536" t="str">
        <f t="shared" si="20"/>
        <v/>
      </c>
      <c r="AS64" s="537">
        <f>IF(OR(J64&lt;&gt;"",AP64&amp;AQ64&amp;AR64&lt;&gt;"X",WEEKDAY(I64,2)&gt;5,C64&lt;&gt;0,(FechaInicio1Tri&gt;I64),(FechaFinEEva&lt;I64)),0,_xlfn.XLOOKUP(WEEKDAY(I64,2),Fchs!$J$10:$N$10,Fchs!$J$12:$N$12))</f>
        <v>1</v>
      </c>
      <c r="AT64" s="536">
        <f t="shared" ca="1" si="21"/>
        <v>1</v>
      </c>
      <c r="AU64" s="538">
        <f>IF(AS64&lt;&gt;0,MAXA($AU$14:AU63)+AS64,0)</f>
        <v>23</v>
      </c>
      <c r="AV64" s="538">
        <f ca="1">IF(AT64&lt;&gt;0,MAXA($AU$14:AU63)+AT64,0)</f>
        <v>23</v>
      </c>
      <c r="AW64" s="68"/>
    </row>
    <row r="65" spans="1:49" ht="18.75" customHeight="1" x14ac:dyDescent="0.25">
      <c r="A65" s="68"/>
      <c r="B65" s="56" t="str">
        <f>MID(Info!$AZ$3,(WEEKDAY(I65,2)-1)*3+1,3)</f>
        <v>Sáb</v>
      </c>
      <c r="C65" s="523">
        <f>_xlfn.XLOOKUP(I65,Fchs!$F$60:$F$101,Fchs!$G$60:$G$101,0)</f>
        <v>0</v>
      </c>
      <c r="D65" s="523">
        <f>_xlfn.XLOOKUP(I65,Fchs!$F$60:$F$101,Fchs!$H$60:$H$101)</f>
        <v>0</v>
      </c>
      <c r="E65" s="532">
        <f>IF($AS65&lt;&gt;0,_xlfn.XLOOKUP($G65,UDs!$E$34:$E$55,UDs!$B$34:$B$55,,-1),0)</f>
        <v>0</v>
      </c>
      <c r="F65" s="532">
        <f t="shared" ca="1" si="16"/>
        <v>0</v>
      </c>
      <c r="G65" s="569">
        <f>IF(AU65&lt;&gt;0,MAX($AU$13:$AU64)+1,0)</f>
        <v>0</v>
      </c>
      <c r="H65" s="569" t="str">
        <f>IF(AS65&lt;&gt;0,COUNT($H$14:H64,1),"")</f>
        <v/>
      </c>
      <c r="I65" s="533">
        <f t="shared" si="22"/>
        <v>45948</v>
      </c>
      <c r="J65" s="534"/>
      <c r="K65" s="535"/>
      <c r="L65" s="126">
        <f t="shared" ca="1" si="24"/>
        <v>0</v>
      </c>
      <c r="M65" s="127">
        <f t="shared" ca="1" si="24"/>
        <v>0</v>
      </c>
      <c r="N65" s="127">
        <f t="shared" ca="1" si="24"/>
        <v>0</v>
      </c>
      <c r="O65" s="127">
        <f t="shared" ca="1" si="24"/>
        <v>0</v>
      </c>
      <c r="P65" s="128">
        <f t="shared" ca="1" si="24"/>
        <v>0</v>
      </c>
      <c r="Q65" s="126">
        <f t="shared" ca="1" si="24"/>
        <v>0</v>
      </c>
      <c r="R65" s="127">
        <f t="shared" ca="1" si="24"/>
        <v>0</v>
      </c>
      <c r="S65" s="127">
        <f t="shared" ca="1" si="24"/>
        <v>0</v>
      </c>
      <c r="T65" s="127">
        <f t="shared" ca="1" si="24"/>
        <v>0</v>
      </c>
      <c r="U65" s="128">
        <f t="shared" ca="1" si="24"/>
        <v>0</v>
      </c>
      <c r="V65" s="126">
        <f t="shared" ca="1" si="24"/>
        <v>0</v>
      </c>
      <c r="W65" s="127">
        <f t="shared" ca="1" si="24"/>
        <v>0</v>
      </c>
      <c r="X65" s="127">
        <f t="shared" ca="1" si="24"/>
        <v>0</v>
      </c>
      <c r="Y65" s="127">
        <f t="shared" ca="1" si="24"/>
        <v>0</v>
      </c>
      <c r="Z65" s="128">
        <f t="shared" ca="1" si="24"/>
        <v>0</v>
      </c>
      <c r="AA65" s="126">
        <f t="shared" ca="1" si="24"/>
        <v>0</v>
      </c>
      <c r="AB65" s="127">
        <f t="shared" ca="1" si="23"/>
        <v>0</v>
      </c>
      <c r="AC65" s="127">
        <f t="shared" ca="1" si="23"/>
        <v>0</v>
      </c>
      <c r="AD65" s="127">
        <f t="shared" ca="1" si="23"/>
        <v>0</v>
      </c>
      <c r="AE65" s="128">
        <f t="shared" ca="1" si="23"/>
        <v>0</v>
      </c>
      <c r="AF65" s="126">
        <f t="shared" ca="1" si="23"/>
        <v>0</v>
      </c>
      <c r="AG65" s="127">
        <f t="shared" ca="1" si="23"/>
        <v>0</v>
      </c>
      <c r="AH65" s="127">
        <f t="shared" ca="1" si="23"/>
        <v>0</v>
      </c>
      <c r="AI65" s="127">
        <f t="shared" ca="1" si="23"/>
        <v>0</v>
      </c>
      <c r="AJ65" s="128">
        <f t="shared" ca="1" si="23"/>
        <v>0</v>
      </c>
      <c r="AK65" s="126">
        <f t="shared" ca="1" si="23"/>
        <v>0</v>
      </c>
      <c r="AL65" s="127">
        <f t="shared" ca="1" si="23"/>
        <v>0</v>
      </c>
      <c r="AM65" s="127">
        <f t="shared" ca="1" si="23"/>
        <v>0</v>
      </c>
      <c r="AN65" s="127">
        <f t="shared" ca="1" si="23"/>
        <v>0</v>
      </c>
      <c r="AO65" s="129">
        <f t="shared" ca="1" si="12"/>
        <v>0</v>
      </c>
      <c r="AP65" s="536" t="str">
        <f t="shared" si="18"/>
        <v/>
      </c>
      <c r="AQ65" s="536" t="str">
        <f t="shared" si="19"/>
        <v/>
      </c>
      <c r="AR65" s="536" t="str">
        <f t="shared" si="20"/>
        <v/>
      </c>
      <c r="AS65" s="537">
        <f>IF(OR(J65&lt;&gt;"",AP65&amp;AQ65&amp;AR65&lt;&gt;"X",WEEKDAY(I65,2)&gt;5,C65&lt;&gt;0,(FechaInicio1Tri&gt;I65),(FechaFinEEva&lt;I65)),0,_xlfn.XLOOKUP(WEEKDAY(I65,2),Fchs!$J$10:$N$10,Fchs!$J$12:$N$12))</f>
        <v>0</v>
      </c>
      <c r="AT65" s="536">
        <f t="shared" ca="1" si="21"/>
        <v>0</v>
      </c>
      <c r="AU65" s="538">
        <f>IF(AS65&lt;&gt;0,MAXA($AU$14:AU64)+AS65,0)</f>
        <v>0</v>
      </c>
      <c r="AV65" s="538">
        <f ca="1">IF(AT65&lt;&gt;0,MAXA($AU$14:AU64)+AT65,0)</f>
        <v>0</v>
      </c>
      <c r="AW65" s="68"/>
    </row>
    <row r="66" spans="1:49" ht="18.75" customHeight="1" x14ac:dyDescent="0.25">
      <c r="A66" s="68"/>
      <c r="B66" s="56" t="str">
        <f>MID(Info!$AZ$3,(WEEKDAY(I66,2)-1)*3+1,3)</f>
        <v>Dom</v>
      </c>
      <c r="C66" s="523">
        <f>_xlfn.XLOOKUP(I66,Fchs!$F$60:$F$101,Fchs!$G$60:$G$101,0)</f>
        <v>0</v>
      </c>
      <c r="D66" s="523">
        <f>_xlfn.XLOOKUP(I66,Fchs!$F$60:$F$101,Fchs!$H$60:$H$101)</f>
        <v>0</v>
      </c>
      <c r="E66" s="532">
        <f>IF($AS66&lt;&gt;0,_xlfn.XLOOKUP($G66,UDs!$E$34:$E$55,UDs!$B$34:$B$55,,-1),0)</f>
        <v>0</v>
      </c>
      <c r="F66" s="532">
        <f t="shared" ca="1" si="16"/>
        <v>0</v>
      </c>
      <c r="G66" s="569">
        <f>IF(AU66&lt;&gt;0,MAX($AU$13:$AU65)+1,0)</f>
        <v>0</v>
      </c>
      <c r="H66" s="569" t="str">
        <f>IF(AS66&lt;&gt;0,COUNT($H$14:H65,1),"")</f>
        <v/>
      </c>
      <c r="I66" s="533">
        <f t="shared" si="22"/>
        <v>45949</v>
      </c>
      <c r="J66" s="534"/>
      <c r="K66" s="535"/>
      <c r="L66" s="126">
        <f t="shared" ca="1" si="24"/>
        <v>0</v>
      </c>
      <c r="M66" s="127">
        <f t="shared" ca="1" si="24"/>
        <v>0</v>
      </c>
      <c r="N66" s="127">
        <f t="shared" ca="1" si="24"/>
        <v>0</v>
      </c>
      <c r="O66" s="127">
        <f t="shared" ca="1" si="24"/>
        <v>0</v>
      </c>
      <c r="P66" s="128">
        <f t="shared" ca="1" si="24"/>
        <v>0</v>
      </c>
      <c r="Q66" s="126">
        <f t="shared" ca="1" si="24"/>
        <v>0</v>
      </c>
      <c r="R66" s="127">
        <f t="shared" ca="1" si="24"/>
        <v>0</v>
      </c>
      <c r="S66" s="127">
        <f t="shared" ca="1" si="24"/>
        <v>0</v>
      </c>
      <c r="T66" s="127">
        <f t="shared" ca="1" si="24"/>
        <v>0</v>
      </c>
      <c r="U66" s="128">
        <f t="shared" ca="1" si="24"/>
        <v>0</v>
      </c>
      <c r="V66" s="126">
        <f t="shared" ca="1" si="24"/>
        <v>0</v>
      </c>
      <c r="W66" s="127">
        <f t="shared" ca="1" si="24"/>
        <v>0</v>
      </c>
      <c r="X66" s="127">
        <f t="shared" ca="1" si="24"/>
        <v>0</v>
      </c>
      <c r="Y66" s="127">
        <f t="shared" ca="1" si="24"/>
        <v>0</v>
      </c>
      <c r="Z66" s="128">
        <f t="shared" ca="1" si="24"/>
        <v>0</v>
      </c>
      <c r="AA66" s="126">
        <f t="shared" ca="1" si="24"/>
        <v>0</v>
      </c>
      <c r="AB66" s="127">
        <f t="shared" ca="1" si="23"/>
        <v>0</v>
      </c>
      <c r="AC66" s="127">
        <f t="shared" ca="1" si="23"/>
        <v>0</v>
      </c>
      <c r="AD66" s="127">
        <f t="shared" ca="1" si="23"/>
        <v>0</v>
      </c>
      <c r="AE66" s="128">
        <f t="shared" ca="1" si="23"/>
        <v>0</v>
      </c>
      <c r="AF66" s="126">
        <f t="shared" ca="1" si="23"/>
        <v>0</v>
      </c>
      <c r="AG66" s="127">
        <f t="shared" ca="1" si="23"/>
        <v>0</v>
      </c>
      <c r="AH66" s="127">
        <f t="shared" ca="1" si="23"/>
        <v>0</v>
      </c>
      <c r="AI66" s="127">
        <f t="shared" ca="1" si="23"/>
        <v>0</v>
      </c>
      <c r="AJ66" s="128">
        <f t="shared" ca="1" si="23"/>
        <v>0</v>
      </c>
      <c r="AK66" s="126">
        <f t="shared" ca="1" si="23"/>
        <v>0</v>
      </c>
      <c r="AL66" s="127">
        <f t="shared" ca="1" si="23"/>
        <v>0</v>
      </c>
      <c r="AM66" s="127">
        <f t="shared" ca="1" si="23"/>
        <v>0</v>
      </c>
      <c r="AN66" s="127">
        <f t="shared" ca="1" si="23"/>
        <v>0</v>
      </c>
      <c r="AO66" s="129">
        <f t="shared" ca="1" si="12"/>
        <v>0</v>
      </c>
      <c r="AP66" s="536" t="str">
        <f t="shared" si="18"/>
        <v/>
      </c>
      <c r="AQ66" s="536" t="str">
        <f t="shared" si="19"/>
        <v/>
      </c>
      <c r="AR66" s="536" t="str">
        <f t="shared" si="20"/>
        <v/>
      </c>
      <c r="AS66" s="537">
        <f>IF(OR(J66&lt;&gt;"",AP66&amp;AQ66&amp;AR66&lt;&gt;"X",WEEKDAY(I66,2)&gt;5,C66&lt;&gt;0,(FechaInicio1Tri&gt;I66),(FechaFinEEva&lt;I66)),0,_xlfn.XLOOKUP(WEEKDAY(I66,2),Fchs!$J$10:$N$10,Fchs!$J$12:$N$12))</f>
        <v>0</v>
      </c>
      <c r="AT66" s="536">
        <f t="shared" ca="1" si="21"/>
        <v>0</v>
      </c>
      <c r="AU66" s="538">
        <f>IF(AS66&lt;&gt;0,MAXA($AU$14:AU65)+AS66,0)</f>
        <v>0</v>
      </c>
      <c r="AV66" s="538">
        <f ca="1">IF(AT66&lt;&gt;0,MAXA($AU$14:AU65)+AT66,0)</f>
        <v>0</v>
      </c>
      <c r="AW66" s="68"/>
    </row>
    <row r="67" spans="1:49" ht="18.75" customHeight="1" x14ac:dyDescent="0.25">
      <c r="A67" s="68"/>
      <c r="B67" s="56" t="str">
        <f>MID(Info!$AZ$3,(WEEKDAY(I67,2)-1)*3+1,3)</f>
        <v>Lun</v>
      </c>
      <c r="C67" s="523">
        <f>_xlfn.XLOOKUP(I67,Fchs!$F$60:$F$101,Fchs!$G$60:$G$101,0)</f>
        <v>0</v>
      </c>
      <c r="D67" s="523">
        <f>_xlfn.XLOOKUP(I67,Fchs!$F$60:$F$101,Fchs!$H$60:$H$101)</f>
        <v>0</v>
      </c>
      <c r="E67" s="532" t="str">
        <f>IF($AS67&lt;&gt;0,_xlfn.XLOOKUP($G67,UDs!$E$34:$E$55,UDs!$B$34:$B$55,,-1),0)</f>
        <v>UD01</v>
      </c>
      <c r="F67" s="532" t="str">
        <f t="shared" ca="1" si="16"/>
        <v>UD01</v>
      </c>
      <c r="G67" s="569">
        <f>IF(AU67&lt;&gt;0,MAX($AU$13:$AU66)+1,0)</f>
        <v>24</v>
      </c>
      <c r="H67" s="569">
        <f>IF(AS67&lt;&gt;0,COUNT($H$14:H66,1),"")</f>
        <v>24</v>
      </c>
      <c r="I67" s="533">
        <f t="shared" si="22"/>
        <v>45950</v>
      </c>
      <c r="J67" s="534"/>
      <c r="K67" s="535"/>
      <c r="L67" s="126">
        <f t="shared" ca="1" si="24"/>
        <v>1</v>
      </c>
      <c r="M67" s="127">
        <f t="shared" ca="1" si="24"/>
        <v>1</v>
      </c>
      <c r="N67" s="127">
        <f t="shared" ca="1" si="24"/>
        <v>1</v>
      </c>
      <c r="O67" s="127">
        <f t="shared" ca="1" si="24"/>
        <v>1</v>
      </c>
      <c r="P67" s="128">
        <f t="shared" ca="1" si="24"/>
        <v>1</v>
      </c>
      <c r="Q67" s="126">
        <f t="shared" ca="1" si="24"/>
        <v>1</v>
      </c>
      <c r="R67" s="127">
        <f t="shared" ca="1" si="24"/>
        <v>1</v>
      </c>
      <c r="S67" s="127">
        <f t="shared" ca="1" si="24"/>
        <v>1</v>
      </c>
      <c r="T67" s="127">
        <f t="shared" ca="1" si="24"/>
        <v>1</v>
      </c>
      <c r="U67" s="128">
        <f t="shared" ca="1" si="24"/>
        <v>1</v>
      </c>
      <c r="V67" s="126">
        <f t="shared" ca="1" si="24"/>
        <v>1</v>
      </c>
      <c r="W67" s="127">
        <f t="shared" ca="1" si="24"/>
        <v>1</v>
      </c>
      <c r="X67" s="127">
        <f t="shared" ca="1" si="24"/>
        <v>1</v>
      </c>
      <c r="Y67" s="127">
        <f t="shared" ca="1" si="24"/>
        <v>1</v>
      </c>
      <c r="Z67" s="128">
        <f t="shared" ca="1" si="24"/>
        <v>1</v>
      </c>
      <c r="AA67" s="126">
        <f t="shared" ca="1" si="24"/>
        <v>1</v>
      </c>
      <c r="AB67" s="127">
        <f t="shared" ca="1" si="23"/>
        <v>1</v>
      </c>
      <c r="AC67" s="127">
        <f t="shared" ca="1" si="23"/>
        <v>1</v>
      </c>
      <c r="AD67" s="127">
        <f t="shared" ca="1" si="23"/>
        <v>1</v>
      </c>
      <c r="AE67" s="128">
        <f t="shared" ca="1" si="23"/>
        <v>1</v>
      </c>
      <c r="AF67" s="126">
        <f t="shared" ca="1" si="23"/>
        <v>1</v>
      </c>
      <c r="AG67" s="127">
        <f t="shared" ca="1" si="23"/>
        <v>1</v>
      </c>
      <c r="AH67" s="127">
        <f t="shared" ca="1" si="23"/>
        <v>1</v>
      </c>
      <c r="AI67" s="127">
        <f t="shared" ca="1" si="23"/>
        <v>1</v>
      </c>
      <c r="AJ67" s="128">
        <f t="shared" ca="1" si="23"/>
        <v>1</v>
      </c>
      <c r="AK67" s="126">
        <f t="shared" ca="1" si="23"/>
        <v>1</v>
      </c>
      <c r="AL67" s="127">
        <f t="shared" ca="1" si="23"/>
        <v>1</v>
      </c>
      <c r="AM67" s="127">
        <f t="shared" ca="1" si="23"/>
        <v>1</v>
      </c>
      <c r="AN67" s="127">
        <f t="shared" ca="1" si="23"/>
        <v>1</v>
      </c>
      <c r="AO67" s="129">
        <f t="shared" ca="1" si="12"/>
        <v>1</v>
      </c>
      <c r="AP67" s="536" t="str">
        <f t="shared" si="18"/>
        <v>X</v>
      </c>
      <c r="AQ67" s="536" t="str">
        <f t="shared" si="19"/>
        <v/>
      </c>
      <c r="AR67" s="536" t="str">
        <f t="shared" si="20"/>
        <v/>
      </c>
      <c r="AS67" s="537">
        <f>IF(OR(J67&lt;&gt;"",AP67&amp;AQ67&amp;AR67&lt;&gt;"X",WEEKDAY(I67,2)&gt;5,C67&lt;&gt;0,(FechaInicio1Tri&gt;I67),(FechaFinEEva&lt;I67)),0,_xlfn.XLOOKUP(WEEKDAY(I67,2),Fchs!$J$10:$N$10,Fchs!$J$12:$N$12))</f>
        <v>1</v>
      </c>
      <c r="AT67" s="536">
        <f t="shared" ca="1" si="21"/>
        <v>1</v>
      </c>
      <c r="AU67" s="538">
        <f>IF(AS67&lt;&gt;0,MAXA($AU$14:AU66)+AS67,0)</f>
        <v>24</v>
      </c>
      <c r="AV67" s="538">
        <f ca="1">IF(AT67&lt;&gt;0,MAXA($AU$14:AU66)+AT67,0)</f>
        <v>24</v>
      </c>
      <c r="AW67" s="68"/>
    </row>
    <row r="68" spans="1:49" ht="18.75" customHeight="1" x14ac:dyDescent="0.25">
      <c r="A68" s="68"/>
      <c r="B68" s="56" t="str">
        <f>MID(Info!$AZ$3,(WEEKDAY(I68,2)-1)*3+1,3)</f>
        <v>Mar</v>
      </c>
      <c r="C68" s="523">
        <f>_xlfn.XLOOKUP(I68,Fchs!$F$60:$F$101,Fchs!$G$60:$G$101,0)</f>
        <v>0</v>
      </c>
      <c r="D68" s="523">
        <f>_xlfn.XLOOKUP(I68,Fchs!$F$60:$F$101,Fchs!$H$60:$H$101)</f>
        <v>0</v>
      </c>
      <c r="E68" s="532" t="str">
        <f>IF($AS68&lt;&gt;0,_xlfn.XLOOKUP($G68,UDs!$E$34:$E$55,UDs!$B$34:$B$55,,-1),0)</f>
        <v>UD01</v>
      </c>
      <c r="F68" s="532" t="str">
        <f t="shared" ca="1" si="16"/>
        <v>UD01</v>
      </c>
      <c r="G68" s="569">
        <f>IF(AU68&lt;&gt;0,MAX($AU$13:$AU67)+1,0)</f>
        <v>25</v>
      </c>
      <c r="H68" s="569">
        <f>IF(AS68&lt;&gt;0,COUNT($H$14:H67,1),"")</f>
        <v>25</v>
      </c>
      <c r="I68" s="533">
        <f t="shared" si="22"/>
        <v>45951</v>
      </c>
      <c r="J68" s="534"/>
      <c r="K68" s="535"/>
      <c r="L68" s="126">
        <f t="shared" ca="1" si="24"/>
        <v>1</v>
      </c>
      <c r="M68" s="127">
        <f t="shared" ca="1" si="24"/>
        <v>1</v>
      </c>
      <c r="N68" s="127">
        <f t="shared" ca="1" si="24"/>
        <v>1</v>
      </c>
      <c r="O68" s="127">
        <f t="shared" ca="1" si="24"/>
        <v>1</v>
      </c>
      <c r="P68" s="128">
        <f t="shared" ca="1" si="24"/>
        <v>1</v>
      </c>
      <c r="Q68" s="126">
        <f t="shared" ca="1" si="24"/>
        <v>1</v>
      </c>
      <c r="R68" s="127">
        <f t="shared" ca="1" si="24"/>
        <v>1</v>
      </c>
      <c r="S68" s="127">
        <f t="shared" ca="1" si="24"/>
        <v>1</v>
      </c>
      <c r="T68" s="127">
        <f t="shared" ca="1" si="24"/>
        <v>1</v>
      </c>
      <c r="U68" s="128">
        <f t="shared" ca="1" si="24"/>
        <v>1</v>
      </c>
      <c r="V68" s="126">
        <f t="shared" ca="1" si="24"/>
        <v>1</v>
      </c>
      <c r="W68" s="127">
        <f t="shared" ca="1" si="24"/>
        <v>1</v>
      </c>
      <c r="X68" s="127">
        <f t="shared" ca="1" si="24"/>
        <v>1</v>
      </c>
      <c r="Y68" s="127">
        <f t="shared" ca="1" si="24"/>
        <v>1</v>
      </c>
      <c r="Z68" s="128">
        <f t="shared" ca="1" si="24"/>
        <v>1</v>
      </c>
      <c r="AA68" s="126">
        <f t="shared" ca="1" si="24"/>
        <v>1</v>
      </c>
      <c r="AB68" s="127">
        <f t="shared" ca="1" si="23"/>
        <v>1</v>
      </c>
      <c r="AC68" s="127">
        <f t="shared" ca="1" si="23"/>
        <v>1</v>
      </c>
      <c r="AD68" s="127">
        <f t="shared" ca="1" si="23"/>
        <v>1</v>
      </c>
      <c r="AE68" s="128">
        <f t="shared" ca="1" si="23"/>
        <v>1</v>
      </c>
      <c r="AF68" s="126">
        <f t="shared" ca="1" si="23"/>
        <v>1</v>
      </c>
      <c r="AG68" s="127">
        <f t="shared" ca="1" si="23"/>
        <v>1</v>
      </c>
      <c r="AH68" s="127">
        <f t="shared" ca="1" si="23"/>
        <v>1</v>
      </c>
      <c r="AI68" s="127">
        <f t="shared" ca="1" si="23"/>
        <v>1</v>
      </c>
      <c r="AJ68" s="128">
        <f t="shared" ca="1" si="23"/>
        <v>1</v>
      </c>
      <c r="AK68" s="126">
        <f t="shared" ca="1" si="23"/>
        <v>1</v>
      </c>
      <c r="AL68" s="127">
        <f t="shared" ca="1" si="23"/>
        <v>1</v>
      </c>
      <c r="AM68" s="127">
        <f t="shared" ca="1" si="23"/>
        <v>1</v>
      </c>
      <c r="AN68" s="127">
        <f t="shared" ca="1" si="23"/>
        <v>1</v>
      </c>
      <c r="AO68" s="129">
        <f t="shared" ca="1" si="12"/>
        <v>1</v>
      </c>
      <c r="AP68" s="536" t="str">
        <f t="shared" si="18"/>
        <v>X</v>
      </c>
      <c r="AQ68" s="536" t="str">
        <f t="shared" si="19"/>
        <v/>
      </c>
      <c r="AR68" s="536" t="str">
        <f t="shared" si="20"/>
        <v/>
      </c>
      <c r="AS68" s="537">
        <f>IF(OR(J68&lt;&gt;"",AP68&amp;AQ68&amp;AR68&lt;&gt;"X",WEEKDAY(I68,2)&gt;5,C68&lt;&gt;0,(FechaInicio1Tri&gt;I68),(FechaFinEEva&lt;I68)),0,_xlfn.XLOOKUP(WEEKDAY(I68,2),Fchs!$J$10:$N$10,Fchs!$J$12:$N$12))</f>
        <v>1</v>
      </c>
      <c r="AT68" s="536">
        <f t="shared" ca="1" si="21"/>
        <v>1</v>
      </c>
      <c r="AU68" s="538">
        <f>IF(AS68&lt;&gt;0,MAXA($AU$14:AU67)+AS68,0)</f>
        <v>25</v>
      </c>
      <c r="AV68" s="538">
        <f ca="1">IF(AT68&lt;&gt;0,MAXA($AU$14:AU67)+AT68,0)</f>
        <v>25</v>
      </c>
      <c r="AW68" s="68"/>
    </row>
    <row r="69" spans="1:49" ht="18.75" customHeight="1" x14ac:dyDescent="0.25">
      <c r="A69" s="68"/>
      <c r="B69" s="56" t="str">
        <f>MID(Info!$AZ$3,(WEEKDAY(I69,2)-1)*3+1,3)</f>
        <v>Mié</v>
      </c>
      <c r="C69" s="523">
        <f>_xlfn.XLOOKUP(I69,Fchs!$F$60:$F$101,Fchs!$G$60:$G$101,0)</f>
        <v>0</v>
      </c>
      <c r="D69" s="523">
        <f>_xlfn.XLOOKUP(I69,Fchs!$F$60:$F$101,Fchs!$H$60:$H$101)</f>
        <v>0</v>
      </c>
      <c r="E69" s="532" t="str">
        <f>IF($AS69&lt;&gt;0,_xlfn.XLOOKUP($G69,UDs!$E$34:$E$55,UDs!$B$34:$B$55,,-1),0)</f>
        <v>UD01</v>
      </c>
      <c r="F69" s="532" t="str">
        <f t="shared" ca="1" si="16"/>
        <v>UD01</v>
      </c>
      <c r="G69" s="569">
        <f>IF(AU69&lt;&gt;0,MAX($AU$13:$AU68)+1,0)</f>
        <v>26</v>
      </c>
      <c r="H69" s="569">
        <f>IF(AS69&lt;&gt;0,COUNT($H$14:H68,1),"")</f>
        <v>26</v>
      </c>
      <c r="I69" s="533">
        <f t="shared" si="22"/>
        <v>45952</v>
      </c>
      <c r="J69" s="534"/>
      <c r="K69" s="535"/>
      <c r="L69" s="126">
        <f t="shared" ca="1" si="24"/>
        <v>1</v>
      </c>
      <c r="M69" s="127">
        <f t="shared" ca="1" si="24"/>
        <v>1</v>
      </c>
      <c r="N69" s="127">
        <f t="shared" ca="1" si="24"/>
        <v>1</v>
      </c>
      <c r="O69" s="127">
        <f t="shared" ca="1" si="24"/>
        <v>1</v>
      </c>
      <c r="P69" s="128">
        <f t="shared" ca="1" si="24"/>
        <v>1</v>
      </c>
      <c r="Q69" s="126">
        <f t="shared" ca="1" si="24"/>
        <v>1</v>
      </c>
      <c r="R69" s="127">
        <f t="shared" ca="1" si="24"/>
        <v>1</v>
      </c>
      <c r="S69" s="127">
        <f t="shared" ca="1" si="24"/>
        <v>1</v>
      </c>
      <c r="T69" s="127">
        <f t="shared" ca="1" si="24"/>
        <v>1</v>
      </c>
      <c r="U69" s="128">
        <f t="shared" ca="1" si="24"/>
        <v>1</v>
      </c>
      <c r="V69" s="126">
        <f t="shared" ca="1" si="24"/>
        <v>1</v>
      </c>
      <c r="W69" s="127">
        <f t="shared" ca="1" si="24"/>
        <v>1</v>
      </c>
      <c r="X69" s="127">
        <f t="shared" ca="1" si="24"/>
        <v>1</v>
      </c>
      <c r="Y69" s="127">
        <f t="shared" ca="1" si="24"/>
        <v>1</v>
      </c>
      <c r="Z69" s="128">
        <f t="shared" ca="1" si="24"/>
        <v>1</v>
      </c>
      <c r="AA69" s="126">
        <f t="shared" ca="1" si="24"/>
        <v>1</v>
      </c>
      <c r="AB69" s="127">
        <f t="shared" ca="1" si="23"/>
        <v>1</v>
      </c>
      <c r="AC69" s="127">
        <f t="shared" ca="1" si="23"/>
        <v>1</v>
      </c>
      <c r="AD69" s="127">
        <f t="shared" ca="1" si="23"/>
        <v>1</v>
      </c>
      <c r="AE69" s="128">
        <f t="shared" ca="1" si="23"/>
        <v>1</v>
      </c>
      <c r="AF69" s="126">
        <f t="shared" ca="1" si="23"/>
        <v>1</v>
      </c>
      <c r="AG69" s="127">
        <f t="shared" ca="1" si="23"/>
        <v>1</v>
      </c>
      <c r="AH69" s="127">
        <f t="shared" ca="1" si="23"/>
        <v>1</v>
      </c>
      <c r="AI69" s="127">
        <f t="shared" ca="1" si="23"/>
        <v>1</v>
      </c>
      <c r="AJ69" s="128">
        <f t="shared" ca="1" si="23"/>
        <v>1</v>
      </c>
      <c r="AK69" s="126">
        <f t="shared" ca="1" si="23"/>
        <v>1</v>
      </c>
      <c r="AL69" s="127">
        <f t="shared" ca="1" si="23"/>
        <v>1</v>
      </c>
      <c r="AM69" s="127">
        <f t="shared" ca="1" si="23"/>
        <v>1</v>
      </c>
      <c r="AN69" s="127">
        <f t="shared" ca="1" si="23"/>
        <v>1</v>
      </c>
      <c r="AO69" s="129">
        <f t="shared" ca="1" si="12"/>
        <v>1</v>
      </c>
      <c r="AP69" s="536" t="str">
        <f t="shared" si="18"/>
        <v>X</v>
      </c>
      <c r="AQ69" s="536" t="str">
        <f t="shared" si="19"/>
        <v/>
      </c>
      <c r="AR69" s="536" t="str">
        <f t="shared" si="20"/>
        <v/>
      </c>
      <c r="AS69" s="537">
        <f>IF(OR(J69&lt;&gt;"",AP69&amp;AQ69&amp;AR69&lt;&gt;"X",WEEKDAY(I69,2)&gt;5,C69&lt;&gt;0,(FechaInicio1Tri&gt;I69),(FechaFinEEva&lt;I69)),0,_xlfn.XLOOKUP(WEEKDAY(I69,2),Fchs!$J$10:$N$10,Fchs!$J$12:$N$12))</f>
        <v>1</v>
      </c>
      <c r="AT69" s="536">
        <f t="shared" ca="1" si="21"/>
        <v>1</v>
      </c>
      <c r="AU69" s="538">
        <f>IF(AS69&lt;&gt;0,MAXA($AU$14:AU68)+AS69,0)</f>
        <v>26</v>
      </c>
      <c r="AV69" s="538">
        <f ca="1">IF(AT69&lt;&gt;0,MAXA($AU$14:AU68)+AT69,0)</f>
        <v>26</v>
      </c>
      <c r="AW69" s="68"/>
    </row>
    <row r="70" spans="1:49" ht="18.75" customHeight="1" x14ac:dyDescent="0.25">
      <c r="A70" s="68"/>
      <c r="B70" s="56" t="str">
        <f>MID(Info!$AZ$3,(WEEKDAY(I70,2)-1)*3+1,3)</f>
        <v>Jue</v>
      </c>
      <c r="C70" s="523">
        <f>_xlfn.XLOOKUP(I70,Fchs!$F$60:$F$101,Fchs!$G$60:$G$101,0)</f>
        <v>0</v>
      </c>
      <c r="D70" s="523">
        <f>_xlfn.XLOOKUP(I70,Fchs!$F$60:$F$101,Fchs!$H$60:$H$101)</f>
        <v>0</v>
      </c>
      <c r="E70" s="532" t="str">
        <f>IF($AS70&lt;&gt;0,_xlfn.XLOOKUP($G70,UDs!$E$34:$E$55,UDs!$B$34:$B$55,,-1),0)</f>
        <v>UD01</v>
      </c>
      <c r="F70" s="532" t="str">
        <f t="shared" ca="1" si="16"/>
        <v>UD01</v>
      </c>
      <c r="G70" s="569">
        <f>IF(AU70&lt;&gt;0,MAX($AU$13:$AU69)+1,0)</f>
        <v>27</v>
      </c>
      <c r="H70" s="569">
        <f>IF(AS70&lt;&gt;0,COUNT($H$14:H69,1),"")</f>
        <v>27</v>
      </c>
      <c r="I70" s="533">
        <f t="shared" si="22"/>
        <v>45953</v>
      </c>
      <c r="J70" s="534"/>
      <c r="K70" s="535"/>
      <c r="L70" s="126">
        <f t="shared" ca="1" si="24"/>
        <v>1</v>
      </c>
      <c r="M70" s="127">
        <f t="shared" ca="1" si="24"/>
        <v>1</v>
      </c>
      <c r="N70" s="127">
        <f t="shared" ca="1" si="24"/>
        <v>1</v>
      </c>
      <c r="O70" s="127">
        <f t="shared" ca="1" si="24"/>
        <v>1</v>
      </c>
      <c r="P70" s="128">
        <f t="shared" ca="1" si="24"/>
        <v>1</v>
      </c>
      <c r="Q70" s="126">
        <f t="shared" ca="1" si="24"/>
        <v>1</v>
      </c>
      <c r="R70" s="127">
        <f t="shared" ca="1" si="24"/>
        <v>1</v>
      </c>
      <c r="S70" s="127">
        <f t="shared" ca="1" si="24"/>
        <v>1</v>
      </c>
      <c r="T70" s="127">
        <f t="shared" ca="1" si="24"/>
        <v>1</v>
      </c>
      <c r="U70" s="128">
        <f t="shared" ca="1" si="24"/>
        <v>1</v>
      </c>
      <c r="V70" s="126">
        <f t="shared" ca="1" si="24"/>
        <v>1</v>
      </c>
      <c r="W70" s="127">
        <f t="shared" ca="1" si="24"/>
        <v>1</v>
      </c>
      <c r="X70" s="127">
        <f t="shared" ca="1" si="24"/>
        <v>1</v>
      </c>
      <c r="Y70" s="127">
        <f t="shared" ca="1" si="24"/>
        <v>1</v>
      </c>
      <c r="Z70" s="128">
        <f t="shared" ca="1" si="24"/>
        <v>1</v>
      </c>
      <c r="AA70" s="126">
        <f t="shared" ref="AA70:AN85" ca="1" si="25">$AT70</f>
        <v>1</v>
      </c>
      <c r="AB70" s="127">
        <f t="shared" ca="1" si="25"/>
        <v>1</v>
      </c>
      <c r="AC70" s="127">
        <f t="shared" ca="1" si="25"/>
        <v>1</v>
      </c>
      <c r="AD70" s="127">
        <f t="shared" ca="1" si="25"/>
        <v>1</v>
      </c>
      <c r="AE70" s="128">
        <f t="shared" ca="1" si="25"/>
        <v>1</v>
      </c>
      <c r="AF70" s="126">
        <f t="shared" ca="1" si="25"/>
        <v>1</v>
      </c>
      <c r="AG70" s="127">
        <f t="shared" ca="1" si="25"/>
        <v>1</v>
      </c>
      <c r="AH70" s="127">
        <f t="shared" ca="1" si="25"/>
        <v>1</v>
      </c>
      <c r="AI70" s="127">
        <f t="shared" ca="1" si="25"/>
        <v>1</v>
      </c>
      <c r="AJ70" s="128">
        <f t="shared" ca="1" si="25"/>
        <v>1</v>
      </c>
      <c r="AK70" s="126">
        <f t="shared" ca="1" si="25"/>
        <v>1</v>
      </c>
      <c r="AL70" s="127">
        <f t="shared" ca="1" si="25"/>
        <v>1</v>
      </c>
      <c r="AM70" s="127">
        <f t="shared" ca="1" si="25"/>
        <v>1</v>
      </c>
      <c r="AN70" s="127">
        <f t="shared" ca="1" si="25"/>
        <v>1</v>
      </c>
      <c r="AO70" s="129">
        <f t="shared" ca="1" si="12"/>
        <v>1</v>
      </c>
      <c r="AP70" s="536" t="str">
        <f t="shared" si="18"/>
        <v>X</v>
      </c>
      <c r="AQ70" s="536" t="str">
        <f t="shared" si="19"/>
        <v/>
      </c>
      <c r="AR70" s="536" t="str">
        <f t="shared" si="20"/>
        <v/>
      </c>
      <c r="AS70" s="537">
        <f>IF(OR(J70&lt;&gt;"",AP70&amp;AQ70&amp;AR70&lt;&gt;"X",WEEKDAY(I70,2)&gt;5,C70&lt;&gt;0,(FechaInicio1Tri&gt;I70),(FechaFinEEva&lt;I70)),0,_xlfn.XLOOKUP(WEEKDAY(I70,2),Fchs!$J$10:$N$10,Fchs!$J$12:$N$12))</f>
        <v>1</v>
      </c>
      <c r="AT70" s="536">
        <f t="shared" ca="1" si="21"/>
        <v>1</v>
      </c>
      <c r="AU70" s="538">
        <f>IF(AS70&lt;&gt;0,MAXA($AU$14:AU69)+AS70,0)</f>
        <v>27</v>
      </c>
      <c r="AV70" s="538">
        <f ca="1">IF(AT70&lt;&gt;0,MAXA($AU$14:AU69)+AT70,0)</f>
        <v>27</v>
      </c>
      <c r="AW70" s="68"/>
    </row>
    <row r="71" spans="1:49" ht="18.75" customHeight="1" x14ac:dyDescent="0.25">
      <c r="A71" s="68"/>
      <c r="B71" s="56" t="str">
        <f>MID(Info!$AZ$3,(WEEKDAY(I71,2)-1)*3+1,3)</f>
        <v>Vie</v>
      </c>
      <c r="C71" s="523">
        <f>_xlfn.XLOOKUP(I71,Fchs!$F$60:$F$101,Fchs!$G$60:$G$101,0)</f>
        <v>0</v>
      </c>
      <c r="D71" s="523">
        <f>_xlfn.XLOOKUP(I71,Fchs!$F$60:$F$101,Fchs!$H$60:$H$101)</f>
        <v>0</v>
      </c>
      <c r="E71" s="532" t="str">
        <f>IF($AS71&lt;&gt;0,_xlfn.XLOOKUP($G71,UDs!$E$34:$E$55,UDs!$B$34:$B$55,,-1),0)</f>
        <v>UD01</v>
      </c>
      <c r="F71" s="532" t="str">
        <f t="shared" ca="1" si="16"/>
        <v>UD01</v>
      </c>
      <c r="G71" s="569">
        <f>IF(AU71&lt;&gt;0,MAX($AU$13:$AU70)+1,0)</f>
        <v>28</v>
      </c>
      <c r="H71" s="569">
        <f>IF(AS71&lt;&gt;0,COUNT($H$14:H70,1),"")</f>
        <v>28</v>
      </c>
      <c r="I71" s="533">
        <f t="shared" si="22"/>
        <v>45954</v>
      </c>
      <c r="J71" s="534"/>
      <c r="K71" s="535"/>
      <c r="L71" s="126">
        <f t="shared" ref="L71:AA86" ca="1" si="26">$AT71</f>
        <v>1</v>
      </c>
      <c r="M71" s="127">
        <f t="shared" ca="1" si="26"/>
        <v>1</v>
      </c>
      <c r="N71" s="127">
        <f t="shared" ca="1" si="26"/>
        <v>1</v>
      </c>
      <c r="O71" s="127">
        <f t="shared" ca="1" si="26"/>
        <v>1</v>
      </c>
      <c r="P71" s="128">
        <f t="shared" ca="1" si="26"/>
        <v>1</v>
      </c>
      <c r="Q71" s="126">
        <f t="shared" ca="1" si="26"/>
        <v>1</v>
      </c>
      <c r="R71" s="127">
        <f t="shared" ca="1" si="26"/>
        <v>1</v>
      </c>
      <c r="S71" s="127">
        <f t="shared" ca="1" si="26"/>
        <v>1</v>
      </c>
      <c r="T71" s="127">
        <f t="shared" ca="1" si="26"/>
        <v>1</v>
      </c>
      <c r="U71" s="128">
        <f t="shared" ca="1" si="26"/>
        <v>1</v>
      </c>
      <c r="V71" s="126">
        <f t="shared" ca="1" si="26"/>
        <v>1</v>
      </c>
      <c r="W71" s="127">
        <f t="shared" ca="1" si="26"/>
        <v>1</v>
      </c>
      <c r="X71" s="127">
        <f t="shared" ca="1" si="26"/>
        <v>1</v>
      </c>
      <c r="Y71" s="127">
        <f t="shared" ca="1" si="26"/>
        <v>1</v>
      </c>
      <c r="Z71" s="128">
        <f t="shared" ca="1" si="26"/>
        <v>1</v>
      </c>
      <c r="AA71" s="126">
        <f t="shared" ca="1" si="26"/>
        <v>1</v>
      </c>
      <c r="AB71" s="127">
        <f t="shared" ca="1" si="25"/>
        <v>1</v>
      </c>
      <c r="AC71" s="127">
        <f t="shared" ca="1" si="25"/>
        <v>1</v>
      </c>
      <c r="AD71" s="127">
        <f t="shared" ca="1" si="25"/>
        <v>1</v>
      </c>
      <c r="AE71" s="128">
        <f t="shared" ca="1" si="25"/>
        <v>1</v>
      </c>
      <c r="AF71" s="126">
        <f t="shared" ca="1" si="25"/>
        <v>1</v>
      </c>
      <c r="AG71" s="127">
        <f t="shared" ca="1" si="25"/>
        <v>1</v>
      </c>
      <c r="AH71" s="127">
        <f t="shared" ca="1" si="25"/>
        <v>1</v>
      </c>
      <c r="AI71" s="127">
        <f t="shared" ca="1" si="25"/>
        <v>1</v>
      </c>
      <c r="AJ71" s="128">
        <f t="shared" ca="1" si="25"/>
        <v>1</v>
      </c>
      <c r="AK71" s="126">
        <f t="shared" ca="1" si="25"/>
        <v>1</v>
      </c>
      <c r="AL71" s="127">
        <f t="shared" ca="1" si="25"/>
        <v>1</v>
      </c>
      <c r="AM71" s="127">
        <f t="shared" ca="1" si="25"/>
        <v>1</v>
      </c>
      <c r="AN71" s="127">
        <f t="shared" ca="1" si="25"/>
        <v>1</v>
      </c>
      <c r="AO71" s="129">
        <f t="shared" ca="1" si="12"/>
        <v>1</v>
      </c>
      <c r="AP71" s="536" t="str">
        <f t="shared" si="18"/>
        <v>X</v>
      </c>
      <c r="AQ71" s="536" t="str">
        <f t="shared" si="19"/>
        <v/>
      </c>
      <c r="AR71" s="536" t="str">
        <f t="shared" si="20"/>
        <v/>
      </c>
      <c r="AS71" s="537">
        <f>IF(OR(J71&lt;&gt;"",AP71&amp;AQ71&amp;AR71&lt;&gt;"X",WEEKDAY(I71,2)&gt;5,C71&lt;&gt;0,(FechaInicio1Tri&gt;I71),(FechaFinEEva&lt;I71)),0,_xlfn.XLOOKUP(WEEKDAY(I71,2),Fchs!$J$10:$N$10,Fchs!$J$12:$N$12))</f>
        <v>1</v>
      </c>
      <c r="AT71" s="536">
        <f t="shared" ca="1" si="21"/>
        <v>1</v>
      </c>
      <c r="AU71" s="538">
        <f>IF(AS71&lt;&gt;0,MAXA($AU$14:AU70)+AS71,0)</f>
        <v>28</v>
      </c>
      <c r="AV71" s="538">
        <f ca="1">IF(AT71&lt;&gt;0,MAXA($AU$14:AU70)+AT71,0)</f>
        <v>28</v>
      </c>
      <c r="AW71" s="68"/>
    </row>
    <row r="72" spans="1:49" ht="18.75" customHeight="1" x14ac:dyDescent="0.25">
      <c r="A72" s="68"/>
      <c r="B72" s="56" t="str">
        <f>MID(Info!$AZ$3,(WEEKDAY(I72,2)-1)*3+1,3)</f>
        <v>Sáb</v>
      </c>
      <c r="C72" s="523">
        <f>_xlfn.XLOOKUP(I72,Fchs!$F$60:$F$101,Fchs!$G$60:$G$101,0)</f>
        <v>0</v>
      </c>
      <c r="D72" s="523">
        <f>_xlfn.XLOOKUP(I72,Fchs!$F$60:$F$101,Fchs!$H$60:$H$101)</f>
        <v>0</v>
      </c>
      <c r="E72" s="532">
        <f>IF($AS72&lt;&gt;0,_xlfn.XLOOKUP($G72,UDs!$E$34:$E$55,UDs!$B$34:$B$55,,-1),0)</f>
        <v>0</v>
      </c>
      <c r="F72" s="532">
        <f t="shared" ca="1" si="16"/>
        <v>0</v>
      </c>
      <c r="G72" s="569">
        <f>IF(AU72&lt;&gt;0,MAX($AU$13:$AU71)+1,0)</f>
        <v>0</v>
      </c>
      <c r="H72" s="569" t="str">
        <f>IF(AS72&lt;&gt;0,COUNT($H$14:H71,1),"")</f>
        <v/>
      </c>
      <c r="I72" s="533">
        <f t="shared" si="22"/>
        <v>45955</v>
      </c>
      <c r="J72" s="534"/>
      <c r="K72" s="535"/>
      <c r="L72" s="126">
        <f t="shared" ca="1" si="26"/>
        <v>0</v>
      </c>
      <c r="M72" s="127">
        <f t="shared" ca="1" si="26"/>
        <v>0</v>
      </c>
      <c r="N72" s="127">
        <f t="shared" ca="1" si="26"/>
        <v>0</v>
      </c>
      <c r="O72" s="127">
        <f t="shared" ca="1" si="26"/>
        <v>0</v>
      </c>
      <c r="P72" s="128">
        <f t="shared" ca="1" si="26"/>
        <v>0</v>
      </c>
      <c r="Q72" s="126">
        <f t="shared" ca="1" si="26"/>
        <v>0</v>
      </c>
      <c r="R72" s="127">
        <f t="shared" ca="1" si="26"/>
        <v>0</v>
      </c>
      <c r="S72" s="127">
        <f t="shared" ca="1" si="26"/>
        <v>0</v>
      </c>
      <c r="T72" s="127">
        <f t="shared" ca="1" si="26"/>
        <v>0</v>
      </c>
      <c r="U72" s="128">
        <f t="shared" ca="1" si="26"/>
        <v>0</v>
      </c>
      <c r="V72" s="126">
        <f t="shared" ca="1" si="26"/>
        <v>0</v>
      </c>
      <c r="W72" s="127">
        <f t="shared" ca="1" si="26"/>
        <v>0</v>
      </c>
      <c r="X72" s="127">
        <f t="shared" ca="1" si="26"/>
        <v>0</v>
      </c>
      <c r="Y72" s="127">
        <f t="shared" ca="1" si="26"/>
        <v>0</v>
      </c>
      <c r="Z72" s="128">
        <f t="shared" ca="1" si="26"/>
        <v>0</v>
      </c>
      <c r="AA72" s="126">
        <f t="shared" ca="1" si="26"/>
        <v>0</v>
      </c>
      <c r="AB72" s="127">
        <f t="shared" ca="1" si="25"/>
        <v>0</v>
      </c>
      <c r="AC72" s="127">
        <f t="shared" ca="1" si="25"/>
        <v>0</v>
      </c>
      <c r="AD72" s="127">
        <f t="shared" ca="1" si="25"/>
        <v>0</v>
      </c>
      <c r="AE72" s="128">
        <f t="shared" ca="1" si="25"/>
        <v>0</v>
      </c>
      <c r="AF72" s="126">
        <f t="shared" ca="1" si="25"/>
        <v>0</v>
      </c>
      <c r="AG72" s="127">
        <f t="shared" ca="1" si="25"/>
        <v>0</v>
      </c>
      <c r="AH72" s="127">
        <f t="shared" ca="1" si="25"/>
        <v>0</v>
      </c>
      <c r="AI72" s="127">
        <f t="shared" ca="1" si="25"/>
        <v>0</v>
      </c>
      <c r="AJ72" s="128">
        <f t="shared" ca="1" si="25"/>
        <v>0</v>
      </c>
      <c r="AK72" s="126">
        <f t="shared" ca="1" si="25"/>
        <v>0</v>
      </c>
      <c r="AL72" s="127">
        <f t="shared" ca="1" si="25"/>
        <v>0</v>
      </c>
      <c r="AM72" s="127">
        <f t="shared" ca="1" si="25"/>
        <v>0</v>
      </c>
      <c r="AN72" s="127">
        <f t="shared" ca="1" si="25"/>
        <v>0</v>
      </c>
      <c r="AO72" s="129">
        <f t="shared" ca="1" si="12"/>
        <v>0</v>
      </c>
      <c r="AP72" s="536" t="str">
        <f t="shared" si="18"/>
        <v/>
      </c>
      <c r="AQ72" s="536" t="str">
        <f t="shared" si="19"/>
        <v/>
      </c>
      <c r="AR72" s="536" t="str">
        <f t="shared" si="20"/>
        <v/>
      </c>
      <c r="AS72" s="537">
        <f>IF(OR(J72&lt;&gt;"",AP72&amp;AQ72&amp;AR72&lt;&gt;"X",WEEKDAY(I72,2)&gt;5,C72&lt;&gt;0,(FechaInicio1Tri&gt;I72),(FechaFinEEva&lt;I72)),0,_xlfn.XLOOKUP(WEEKDAY(I72,2),Fchs!$J$10:$N$10,Fchs!$J$12:$N$12))</f>
        <v>0</v>
      </c>
      <c r="AT72" s="536">
        <f t="shared" ca="1" si="21"/>
        <v>0</v>
      </c>
      <c r="AU72" s="538">
        <f>IF(AS72&lt;&gt;0,MAXA($AU$14:AU71)+AS72,0)</f>
        <v>0</v>
      </c>
      <c r="AV72" s="538">
        <f ca="1">IF(AT72&lt;&gt;0,MAXA($AU$14:AU71)+AT72,0)</f>
        <v>0</v>
      </c>
      <c r="AW72" s="68"/>
    </row>
    <row r="73" spans="1:49" ht="18.75" customHeight="1" x14ac:dyDescent="0.25">
      <c r="A73" s="68"/>
      <c r="B73" s="56" t="str">
        <f>MID(Info!$AZ$3,(WEEKDAY(I73,2)-1)*3+1,3)</f>
        <v>Dom</v>
      </c>
      <c r="C73" s="523">
        <f>_xlfn.XLOOKUP(I73,Fchs!$F$60:$F$101,Fchs!$G$60:$G$101,0)</f>
        <v>0</v>
      </c>
      <c r="D73" s="523">
        <f>_xlfn.XLOOKUP(I73,Fchs!$F$60:$F$101,Fchs!$H$60:$H$101)</f>
        <v>0</v>
      </c>
      <c r="E73" s="532">
        <f>IF($AS73&lt;&gt;0,_xlfn.XLOOKUP($G73,UDs!$E$34:$E$55,UDs!$B$34:$B$55,,-1),0)</f>
        <v>0</v>
      </c>
      <c r="F73" s="532">
        <f t="shared" ca="1" si="16"/>
        <v>0</v>
      </c>
      <c r="G73" s="569">
        <f>IF(AU73&lt;&gt;0,MAX($AU$13:$AU72)+1,0)</f>
        <v>0</v>
      </c>
      <c r="H73" s="569" t="str">
        <f>IF(AS73&lt;&gt;0,COUNT($H$14:H72,1),"")</f>
        <v/>
      </c>
      <c r="I73" s="533">
        <f t="shared" si="22"/>
        <v>45956</v>
      </c>
      <c r="J73" s="534"/>
      <c r="K73" s="535"/>
      <c r="L73" s="126">
        <f t="shared" ca="1" si="26"/>
        <v>0</v>
      </c>
      <c r="M73" s="127">
        <f t="shared" ca="1" si="26"/>
        <v>0</v>
      </c>
      <c r="N73" s="127">
        <f t="shared" ca="1" si="26"/>
        <v>0</v>
      </c>
      <c r="O73" s="127">
        <f t="shared" ca="1" si="26"/>
        <v>0</v>
      </c>
      <c r="P73" s="128">
        <f t="shared" ca="1" si="26"/>
        <v>0</v>
      </c>
      <c r="Q73" s="126">
        <f t="shared" ca="1" si="26"/>
        <v>0</v>
      </c>
      <c r="R73" s="127">
        <f t="shared" ca="1" si="26"/>
        <v>0</v>
      </c>
      <c r="S73" s="127">
        <f t="shared" ca="1" si="26"/>
        <v>0</v>
      </c>
      <c r="T73" s="127">
        <f t="shared" ca="1" si="26"/>
        <v>0</v>
      </c>
      <c r="U73" s="128">
        <f t="shared" ca="1" si="26"/>
        <v>0</v>
      </c>
      <c r="V73" s="126">
        <f t="shared" ca="1" si="26"/>
        <v>0</v>
      </c>
      <c r="W73" s="127">
        <f t="shared" ca="1" si="26"/>
        <v>0</v>
      </c>
      <c r="X73" s="127">
        <f t="shared" ca="1" si="26"/>
        <v>0</v>
      </c>
      <c r="Y73" s="127">
        <f t="shared" ca="1" si="26"/>
        <v>0</v>
      </c>
      <c r="Z73" s="128">
        <f t="shared" ca="1" si="26"/>
        <v>0</v>
      </c>
      <c r="AA73" s="126">
        <f t="shared" ca="1" si="26"/>
        <v>0</v>
      </c>
      <c r="AB73" s="127">
        <f t="shared" ca="1" si="25"/>
        <v>0</v>
      </c>
      <c r="AC73" s="127">
        <f t="shared" ca="1" si="25"/>
        <v>0</v>
      </c>
      <c r="AD73" s="127">
        <f t="shared" ca="1" si="25"/>
        <v>0</v>
      </c>
      <c r="AE73" s="128">
        <f t="shared" ca="1" si="25"/>
        <v>0</v>
      </c>
      <c r="AF73" s="126">
        <f t="shared" ca="1" si="25"/>
        <v>0</v>
      </c>
      <c r="AG73" s="127">
        <f t="shared" ca="1" si="25"/>
        <v>0</v>
      </c>
      <c r="AH73" s="127">
        <f t="shared" ca="1" si="25"/>
        <v>0</v>
      </c>
      <c r="AI73" s="127">
        <f t="shared" ca="1" si="25"/>
        <v>0</v>
      </c>
      <c r="AJ73" s="128">
        <f t="shared" ca="1" si="25"/>
        <v>0</v>
      </c>
      <c r="AK73" s="126">
        <f t="shared" ca="1" si="25"/>
        <v>0</v>
      </c>
      <c r="AL73" s="127">
        <f t="shared" ca="1" si="25"/>
        <v>0</v>
      </c>
      <c r="AM73" s="127">
        <f t="shared" ca="1" si="25"/>
        <v>0</v>
      </c>
      <c r="AN73" s="127">
        <f t="shared" ca="1" si="25"/>
        <v>0</v>
      </c>
      <c r="AO73" s="129">
        <f t="shared" ca="1" si="12"/>
        <v>0</v>
      </c>
      <c r="AP73" s="536" t="str">
        <f t="shared" si="18"/>
        <v/>
      </c>
      <c r="AQ73" s="536" t="str">
        <f t="shared" si="19"/>
        <v/>
      </c>
      <c r="AR73" s="536" t="str">
        <f t="shared" si="20"/>
        <v/>
      </c>
      <c r="AS73" s="537">
        <f>IF(OR(J73&lt;&gt;"",AP73&amp;AQ73&amp;AR73&lt;&gt;"X",WEEKDAY(I73,2)&gt;5,C73&lt;&gt;0,(FechaInicio1Tri&gt;I73),(FechaFinEEva&lt;I73)),0,_xlfn.XLOOKUP(WEEKDAY(I73,2),Fchs!$J$10:$N$10,Fchs!$J$12:$N$12))</f>
        <v>0</v>
      </c>
      <c r="AT73" s="536">
        <f t="shared" ca="1" si="21"/>
        <v>0</v>
      </c>
      <c r="AU73" s="538">
        <f>IF(AS73&lt;&gt;0,MAXA($AU$14:AU72)+AS73,0)</f>
        <v>0</v>
      </c>
      <c r="AV73" s="538">
        <f ca="1">IF(AT73&lt;&gt;0,MAXA($AU$14:AU72)+AT73,0)</f>
        <v>0</v>
      </c>
      <c r="AW73" s="68"/>
    </row>
    <row r="74" spans="1:49" ht="18.75" customHeight="1" x14ac:dyDescent="0.25">
      <c r="A74" s="68"/>
      <c r="B74" s="56" t="str">
        <f>MID(Info!$AZ$3,(WEEKDAY(I74,2)-1)*3+1,3)</f>
        <v>Lun</v>
      </c>
      <c r="C74" s="523">
        <f>_xlfn.XLOOKUP(I74,Fchs!$F$60:$F$101,Fchs!$G$60:$G$101,0)</f>
        <v>0</v>
      </c>
      <c r="D74" s="523">
        <f>_xlfn.XLOOKUP(I74,Fchs!$F$60:$F$101,Fchs!$H$60:$H$101)</f>
        <v>0</v>
      </c>
      <c r="E74" s="532" t="str">
        <f>IF($AS74&lt;&gt;0,_xlfn.XLOOKUP($G74,UDs!$E$34:$E$55,UDs!$B$34:$B$55,,-1),0)</f>
        <v>UD01</v>
      </c>
      <c r="F74" s="532" t="str">
        <f t="shared" ca="1" si="16"/>
        <v>UD01</v>
      </c>
      <c r="G74" s="569">
        <f>IF(AU74&lt;&gt;0,MAX($AU$13:$AU73)+1,0)</f>
        <v>29</v>
      </c>
      <c r="H74" s="569">
        <f>IF(AS74&lt;&gt;0,COUNT($H$14:H73,1),"")</f>
        <v>29</v>
      </c>
      <c r="I74" s="533">
        <f t="shared" si="22"/>
        <v>45957</v>
      </c>
      <c r="J74" s="534"/>
      <c r="K74" s="535"/>
      <c r="L74" s="126">
        <f t="shared" ca="1" si="26"/>
        <v>1</v>
      </c>
      <c r="M74" s="127">
        <f t="shared" ca="1" si="26"/>
        <v>1</v>
      </c>
      <c r="N74" s="127">
        <f t="shared" ca="1" si="26"/>
        <v>1</v>
      </c>
      <c r="O74" s="127">
        <f t="shared" ca="1" si="26"/>
        <v>1</v>
      </c>
      <c r="P74" s="128">
        <f t="shared" ca="1" si="26"/>
        <v>1</v>
      </c>
      <c r="Q74" s="126">
        <f t="shared" ca="1" si="26"/>
        <v>1</v>
      </c>
      <c r="R74" s="127">
        <f t="shared" ca="1" si="26"/>
        <v>1</v>
      </c>
      <c r="S74" s="127">
        <f t="shared" ca="1" si="26"/>
        <v>1</v>
      </c>
      <c r="T74" s="127">
        <f t="shared" ca="1" si="26"/>
        <v>1</v>
      </c>
      <c r="U74" s="128">
        <f t="shared" ca="1" si="26"/>
        <v>1</v>
      </c>
      <c r="V74" s="126">
        <f t="shared" ca="1" si="26"/>
        <v>1</v>
      </c>
      <c r="W74" s="127">
        <f t="shared" ca="1" si="26"/>
        <v>1</v>
      </c>
      <c r="X74" s="127">
        <f t="shared" ca="1" si="26"/>
        <v>1</v>
      </c>
      <c r="Y74" s="127">
        <f t="shared" ca="1" si="26"/>
        <v>1</v>
      </c>
      <c r="Z74" s="128">
        <f t="shared" ca="1" si="26"/>
        <v>1</v>
      </c>
      <c r="AA74" s="126">
        <f t="shared" ca="1" si="26"/>
        <v>1</v>
      </c>
      <c r="AB74" s="127">
        <f t="shared" ca="1" si="25"/>
        <v>1</v>
      </c>
      <c r="AC74" s="127">
        <f t="shared" ca="1" si="25"/>
        <v>1</v>
      </c>
      <c r="AD74" s="127">
        <f t="shared" ca="1" si="25"/>
        <v>1</v>
      </c>
      <c r="AE74" s="128">
        <f t="shared" ca="1" si="25"/>
        <v>1</v>
      </c>
      <c r="AF74" s="126">
        <f t="shared" ca="1" si="25"/>
        <v>1</v>
      </c>
      <c r="AG74" s="127">
        <f t="shared" ca="1" si="25"/>
        <v>1</v>
      </c>
      <c r="AH74" s="127">
        <f t="shared" ca="1" si="25"/>
        <v>1</v>
      </c>
      <c r="AI74" s="127">
        <f t="shared" ca="1" si="25"/>
        <v>1</v>
      </c>
      <c r="AJ74" s="128">
        <f t="shared" ca="1" si="25"/>
        <v>1</v>
      </c>
      <c r="AK74" s="126">
        <f t="shared" ca="1" si="25"/>
        <v>1</v>
      </c>
      <c r="AL74" s="127">
        <f t="shared" ca="1" si="25"/>
        <v>1</v>
      </c>
      <c r="AM74" s="127">
        <f t="shared" ca="1" si="25"/>
        <v>1</v>
      </c>
      <c r="AN74" s="127">
        <f t="shared" ca="1" si="25"/>
        <v>1</v>
      </c>
      <c r="AO74" s="129">
        <f t="shared" ca="1" si="12"/>
        <v>1</v>
      </c>
      <c r="AP74" s="536" t="str">
        <f t="shared" si="18"/>
        <v>X</v>
      </c>
      <c r="AQ74" s="536" t="str">
        <f t="shared" si="19"/>
        <v/>
      </c>
      <c r="AR74" s="536" t="str">
        <f t="shared" si="20"/>
        <v/>
      </c>
      <c r="AS74" s="537">
        <f>IF(OR(J74&lt;&gt;"",AP74&amp;AQ74&amp;AR74&lt;&gt;"X",WEEKDAY(I74,2)&gt;5,C74&lt;&gt;0,(FechaInicio1Tri&gt;I74),(FechaFinEEva&lt;I74)),0,_xlfn.XLOOKUP(WEEKDAY(I74,2),Fchs!$J$10:$N$10,Fchs!$J$12:$N$12))</f>
        <v>1</v>
      </c>
      <c r="AT74" s="536">
        <f t="shared" ca="1" si="21"/>
        <v>1</v>
      </c>
      <c r="AU74" s="538">
        <f>IF(AS74&lt;&gt;0,MAXA($AU$14:AU73)+AS74,0)</f>
        <v>29</v>
      </c>
      <c r="AV74" s="538">
        <f ca="1">IF(AT74&lt;&gt;0,MAXA($AU$14:AU73)+AT74,0)</f>
        <v>29</v>
      </c>
      <c r="AW74" s="68"/>
    </row>
    <row r="75" spans="1:49" ht="18.75" customHeight="1" x14ac:dyDescent="0.25">
      <c r="A75" s="68"/>
      <c r="B75" s="56" t="str">
        <f>MID(Info!$AZ$3,(WEEKDAY(I75,2)-1)*3+1,3)</f>
        <v>Mar</v>
      </c>
      <c r="C75" s="523">
        <f>_xlfn.XLOOKUP(I75,Fchs!$F$60:$F$101,Fchs!$G$60:$G$101,0)</f>
        <v>0</v>
      </c>
      <c r="D75" s="523">
        <f>_xlfn.XLOOKUP(I75,Fchs!$F$60:$F$101,Fchs!$H$60:$H$101)</f>
        <v>0</v>
      </c>
      <c r="E75" s="532" t="str">
        <f>IF($AS75&lt;&gt;0,_xlfn.XLOOKUP($G75,UDs!$E$34:$E$55,UDs!$B$34:$B$55,,-1),0)</f>
        <v>UD01</v>
      </c>
      <c r="F75" s="532" t="str">
        <f t="shared" ca="1" si="16"/>
        <v>UD01</v>
      </c>
      <c r="G75" s="569">
        <f>IF(AU75&lt;&gt;0,MAX($AU$13:$AU74)+1,0)</f>
        <v>30</v>
      </c>
      <c r="H75" s="569">
        <f>IF(AS75&lt;&gt;0,COUNT($H$14:H74,1),"")</f>
        <v>30</v>
      </c>
      <c r="I75" s="533">
        <f t="shared" si="22"/>
        <v>45958</v>
      </c>
      <c r="J75" s="534"/>
      <c r="K75" s="535"/>
      <c r="L75" s="126">
        <f t="shared" ca="1" si="26"/>
        <v>1</v>
      </c>
      <c r="M75" s="127">
        <f t="shared" ca="1" si="26"/>
        <v>1</v>
      </c>
      <c r="N75" s="127">
        <f t="shared" ca="1" si="26"/>
        <v>1</v>
      </c>
      <c r="O75" s="127">
        <f t="shared" ca="1" si="26"/>
        <v>1</v>
      </c>
      <c r="P75" s="128">
        <f t="shared" ca="1" si="26"/>
        <v>1</v>
      </c>
      <c r="Q75" s="126">
        <f t="shared" ca="1" si="26"/>
        <v>1</v>
      </c>
      <c r="R75" s="127">
        <f t="shared" ca="1" si="26"/>
        <v>1</v>
      </c>
      <c r="S75" s="127">
        <f t="shared" ca="1" si="26"/>
        <v>1</v>
      </c>
      <c r="T75" s="127">
        <f t="shared" ca="1" si="26"/>
        <v>1</v>
      </c>
      <c r="U75" s="128">
        <f t="shared" ca="1" si="26"/>
        <v>1</v>
      </c>
      <c r="V75" s="126">
        <f t="shared" ca="1" si="26"/>
        <v>1</v>
      </c>
      <c r="W75" s="127">
        <f t="shared" ca="1" si="26"/>
        <v>1</v>
      </c>
      <c r="X75" s="127">
        <f t="shared" ca="1" si="26"/>
        <v>1</v>
      </c>
      <c r="Y75" s="127">
        <f t="shared" ca="1" si="26"/>
        <v>1</v>
      </c>
      <c r="Z75" s="128">
        <f t="shared" ca="1" si="26"/>
        <v>1</v>
      </c>
      <c r="AA75" s="126">
        <f t="shared" ca="1" si="26"/>
        <v>1</v>
      </c>
      <c r="AB75" s="127">
        <f t="shared" ca="1" si="25"/>
        <v>1</v>
      </c>
      <c r="AC75" s="127">
        <f t="shared" ca="1" si="25"/>
        <v>1</v>
      </c>
      <c r="AD75" s="127">
        <f t="shared" ca="1" si="25"/>
        <v>1</v>
      </c>
      <c r="AE75" s="128">
        <f t="shared" ca="1" si="25"/>
        <v>1</v>
      </c>
      <c r="AF75" s="126">
        <f t="shared" ca="1" si="25"/>
        <v>1</v>
      </c>
      <c r="AG75" s="127">
        <f t="shared" ca="1" si="25"/>
        <v>1</v>
      </c>
      <c r="AH75" s="127">
        <f t="shared" ca="1" si="25"/>
        <v>1</v>
      </c>
      <c r="AI75" s="127">
        <f t="shared" ca="1" si="25"/>
        <v>1</v>
      </c>
      <c r="AJ75" s="128">
        <f t="shared" ca="1" si="25"/>
        <v>1</v>
      </c>
      <c r="AK75" s="126">
        <f t="shared" ca="1" si="25"/>
        <v>1</v>
      </c>
      <c r="AL75" s="127">
        <f t="shared" ca="1" si="25"/>
        <v>1</v>
      </c>
      <c r="AM75" s="127">
        <f t="shared" ca="1" si="25"/>
        <v>1</v>
      </c>
      <c r="AN75" s="127">
        <f t="shared" ca="1" si="25"/>
        <v>1</v>
      </c>
      <c r="AO75" s="129">
        <f t="shared" ca="1" si="12"/>
        <v>1</v>
      </c>
      <c r="AP75" s="536" t="str">
        <f t="shared" si="18"/>
        <v>X</v>
      </c>
      <c r="AQ75" s="536" t="str">
        <f t="shared" si="19"/>
        <v/>
      </c>
      <c r="AR75" s="536" t="str">
        <f t="shared" si="20"/>
        <v/>
      </c>
      <c r="AS75" s="537">
        <f>IF(OR(J75&lt;&gt;"",AP75&amp;AQ75&amp;AR75&lt;&gt;"X",WEEKDAY(I75,2)&gt;5,C75&lt;&gt;0,(FechaInicio1Tri&gt;I75),(FechaFinEEva&lt;I75)),0,_xlfn.XLOOKUP(WEEKDAY(I75,2),Fchs!$J$10:$N$10,Fchs!$J$12:$N$12))</f>
        <v>1</v>
      </c>
      <c r="AT75" s="536">
        <f t="shared" ca="1" si="21"/>
        <v>1</v>
      </c>
      <c r="AU75" s="538">
        <f>IF(AS75&lt;&gt;0,MAXA($AU$14:AU74)+AS75,0)</f>
        <v>30</v>
      </c>
      <c r="AV75" s="538">
        <f ca="1">IF(AT75&lt;&gt;0,MAXA($AU$14:AU74)+AT75,0)</f>
        <v>30</v>
      </c>
      <c r="AW75" s="68"/>
    </row>
    <row r="76" spans="1:49" ht="18.75" customHeight="1" x14ac:dyDescent="0.25">
      <c r="A76" s="68"/>
      <c r="B76" s="56" t="str">
        <f>MID(Info!$AZ$3,(WEEKDAY(I76,2)-1)*3+1,3)</f>
        <v>Mié</v>
      </c>
      <c r="C76" s="523">
        <f>_xlfn.XLOOKUP(I76,Fchs!$F$60:$F$101,Fchs!$G$60:$G$101,0)</f>
        <v>0</v>
      </c>
      <c r="D76" s="523">
        <f>_xlfn.XLOOKUP(I76,Fchs!$F$60:$F$101,Fchs!$H$60:$H$101)</f>
        <v>0</v>
      </c>
      <c r="E76" s="532" t="str">
        <f>IF($AS76&lt;&gt;0,_xlfn.XLOOKUP($G76,UDs!$E$34:$E$55,UDs!$B$34:$B$55,,-1),0)</f>
        <v>UD01</v>
      </c>
      <c r="F76" s="532" t="str">
        <f t="shared" ca="1" si="16"/>
        <v>UD01</v>
      </c>
      <c r="G76" s="569">
        <f>IF(AU76&lt;&gt;0,MAX($AU$13:$AU75)+1,0)</f>
        <v>31</v>
      </c>
      <c r="H76" s="569">
        <f>IF(AS76&lt;&gt;0,COUNT($H$14:H75,1),"")</f>
        <v>31</v>
      </c>
      <c r="I76" s="533">
        <f t="shared" si="22"/>
        <v>45959</v>
      </c>
      <c r="J76" s="534"/>
      <c r="K76" s="535"/>
      <c r="L76" s="126">
        <f t="shared" ca="1" si="26"/>
        <v>1</v>
      </c>
      <c r="M76" s="127">
        <f t="shared" ca="1" si="26"/>
        <v>1</v>
      </c>
      <c r="N76" s="127">
        <f t="shared" ca="1" si="26"/>
        <v>1</v>
      </c>
      <c r="O76" s="127">
        <f t="shared" ca="1" si="26"/>
        <v>1</v>
      </c>
      <c r="P76" s="128">
        <f t="shared" ca="1" si="26"/>
        <v>1</v>
      </c>
      <c r="Q76" s="126">
        <f t="shared" ca="1" si="26"/>
        <v>1</v>
      </c>
      <c r="R76" s="127">
        <f t="shared" ca="1" si="26"/>
        <v>1</v>
      </c>
      <c r="S76" s="127">
        <f t="shared" ca="1" si="26"/>
        <v>1</v>
      </c>
      <c r="T76" s="127">
        <f t="shared" ca="1" si="26"/>
        <v>1</v>
      </c>
      <c r="U76" s="128">
        <f t="shared" ca="1" si="26"/>
        <v>1</v>
      </c>
      <c r="V76" s="126">
        <f t="shared" ca="1" si="26"/>
        <v>1</v>
      </c>
      <c r="W76" s="127">
        <f t="shared" ca="1" si="26"/>
        <v>1</v>
      </c>
      <c r="X76" s="127">
        <f t="shared" ca="1" si="26"/>
        <v>1</v>
      </c>
      <c r="Y76" s="127">
        <f t="shared" ca="1" si="26"/>
        <v>1</v>
      </c>
      <c r="Z76" s="128">
        <f t="shared" ca="1" si="26"/>
        <v>1</v>
      </c>
      <c r="AA76" s="126">
        <f t="shared" ca="1" si="26"/>
        <v>1</v>
      </c>
      <c r="AB76" s="127">
        <f t="shared" ca="1" si="25"/>
        <v>1</v>
      </c>
      <c r="AC76" s="127">
        <f t="shared" ca="1" si="25"/>
        <v>1</v>
      </c>
      <c r="AD76" s="127">
        <f t="shared" ca="1" si="25"/>
        <v>1</v>
      </c>
      <c r="AE76" s="128">
        <f t="shared" ca="1" si="25"/>
        <v>1</v>
      </c>
      <c r="AF76" s="126">
        <f t="shared" ca="1" si="25"/>
        <v>1</v>
      </c>
      <c r="AG76" s="127">
        <f t="shared" ca="1" si="25"/>
        <v>1</v>
      </c>
      <c r="AH76" s="127">
        <f t="shared" ca="1" si="25"/>
        <v>1</v>
      </c>
      <c r="AI76" s="127">
        <f t="shared" ca="1" si="25"/>
        <v>1</v>
      </c>
      <c r="AJ76" s="128">
        <f t="shared" ca="1" si="25"/>
        <v>1</v>
      </c>
      <c r="AK76" s="126">
        <f t="shared" ca="1" si="25"/>
        <v>1</v>
      </c>
      <c r="AL76" s="127">
        <f t="shared" ca="1" si="25"/>
        <v>1</v>
      </c>
      <c r="AM76" s="127">
        <f t="shared" ca="1" si="25"/>
        <v>1</v>
      </c>
      <c r="AN76" s="127">
        <f t="shared" ca="1" si="25"/>
        <v>1</v>
      </c>
      <c r="AO76" s="129">
        <f t="shared" ca="1" si="12"/>
        <v>1</v>
      </c>
      <c r="AP76" s="536" t="str">
        <f t="shared" si="18"/>
        <v>X</v>
      </c>
      <c r="AQ76" s="536" t="str">
        <f t="shared" si="19"/>
        <v/>
      </c>
      <c r="AR76" s="536" t="str">
        <f t="shared" si="20"/>
        <v/>
      </c>
      <c r="AS76" s="537">
        <f>IF(OR(J76&lt;&gt;"",AP76&amp;AQ76&amp;AR76&lt;&gt;"X",WEEKDAY(I76,2)&gt;5,C76&lt;&gt;0,(FechaInicio1Tri&gt;I76),(FechaFinEEva&lt;I76)),0,_xlfn.XLOOKUP(WEEKDAY(I76,2),Fchs!$J$10:$N$10,Fchs!$J$12:$N$12))</f>
        <v>1</v>
      </c>
      <c r="AT76" s="536">
        <f t="shared" ca="1" si="21"/>
        <v>1</v>
      </c>
      <c r="AU76" s="538">
        <f>IF(AS76&lt;&gt;0,MAXA($AU$14:AU75)+AS76,0)</f>
        <v>31</v>
      </c>
      <c r="AV76" s="538">
        <f ca="1">IF(AT76&lt;&gt;0,MAXA($AU$14:AU75)+AT76,0)</f>
        <v>31</v>
      </c>
      <c r="AW76" s="68"/>
    </row>
    <row r="77" spans="1:49" ht="18.600000000000001" customHeight="1" x14ac:dyDescent="0.25">
      <c r="A77" s="68"/>
      <c r="B77" s="56" t="str">
        <f>MID(Info!$AZ$3,(WEEKDAY(I77,2)-1)*3+1,3)</f>
        <v>Jue</v>
      </c>
      <c r="C77" s="523">
        <f>_xlfn.XLOOKUP(I77,Fchs!$F$60:$F$101,Fchs!$G$60:$G$101,0)</f>
        <v>0</v>
      </c>
      <c r="D77" s="523">
        <f>_xlfn.XLOOKUP(I77,Fchs!$F$60:$F$101,Fchs!$H$60:$H$101)</f>
        <v>0</v>
      </c>
      <c r="E77" s="532" t="str">
        <f>IF($AS77&lt;&gt;0,_xlfn.XLOOKUP($G77,UDs!$E$34:$E$55,UDs!$B$34:$B$55,,-1),0)</f>
        <v>UD01</v>
      </c>
      <c r="F77" s="532" t="str">
        <f t="shared" ca="1" si="16"/>
        <v>UD01</v>
      </c>
      <c r="G77" s="569">
        <f>IF(AU77&lt;&gt;0,MAX($AU$13:$AU76)+1,0)</f>
        <v>32</v>
      </c>
      <c r="H77" s="569">
        <f>IF(AS77&lt;&gt;0,COUNT($H$14:H76,1),"")</f>
        <v>32</v>
      </c>
      <c r="I77" s="533">
        <f t="shared" si="22"/>
        <v>45960</v>
      </c>
      <c r="J77" s="534"/>
      <c r="K77" s="535"/>
      <c r="L77" s="126">
        <f t="shared" ca="1" si="26"/>
        <v>1</v>
      </c>
      <c r="M77" s="127">
        <f t="shared" ca="1" si="26"/>
        <v>1</v>
      </c>
      <c r="N77" s="127">
        <f t="shared" ca="1" si="26"/>
        <v>1</v>
      </c>
      <c r="O77" s="127">
        <f t="shared" ca="1" si="26"/>
        <v>1</v>
      </c>
      <c r="P77" s="128">
        <f t="shared" ca="1" si="26"/>
        <v>1</v>
      </c>
      <c r="Q77" s="126">
        <f t="shared" ca="1" si="26"/>
        <v>1</v>
      </c>
      <c r="R77" s="127">
        <f t="shared" ca="1" si="26"/>
        <v>1</v>
      </c>
      <c r="S77" s="127">
        <f t="shared" ca="1" si="26"/>
        <v>1</v>
      </c>
      <c r="T77" s="127">
        <f t="shared" ca="1" si="26"/>
        <v>1</v>
      </c>
      <c r="U77" s="128">
        <f t="shared" ca="1" si="26"/>
        <v>1</v>
      </c>
      <c r="V77" s="126">
        <f t="shared" ca="1" si="26"/>
        <v>1</v>
      </c>
      <c r="W77" s="127">
        <f t="shared" ca="1" si="26"/>
        <v>1</v>
      </c>
      <c r="X77" s="127">
        <f t="shared" ca="1" si="26"/>
        <v>1</v>
      </c>
      <c r="Y77" s="127">
        <f t="shared" ca="1" si="26"/>
        <v>1</v>
      </c>
      <c r="Z77" s="128">
        <f t="shared" ca="1" si="26"/>
        <v>1</v>
      </c>
      <c r="AA77" s="126">
        <f t="shared" ca="1" si="26"/>
        <v>1</v>
      </c>
      <c r="AB77" s="127">
        <f t="shared" ca="1" si="25"/>
        <v>1</v>
      </c>
      <c r="AC77" s="127">
        <f t="shared" ca="1" si="25"/>
        <v>1</v>
      </c>
      <c r="AD77" s="127">
        <f t="shared" ca="1" si="25"/>
        <v>1</v>
      </c>
      <c r="AE77" s="128">
        <f t="shared" ca="1" si="25"/>
        <v>1</v>
      </c>
      <c r="AF77" s="126">
        <f t="shared" ca="1" si="25"/>
        <v>1</v>
      </c>
      <c r="AG77" s="127">
        <f t="shared" ca="1" si="25"/>
        <v>1</v>
      </c>
      <c r="AH77" s="127">
        <f t="shared" ca="1" si="25"/>
        <v>1</v>
      </c>
      <c r="AI77" s="127">
        <f t="shared" ca="1" si="25"/>
        <v>1</v>
      </c>
      <c r="AJ77" s="128">
        <f t="shared" ca="1" si="25"/>
        <v>1</v>
      </c>
      <c r="AK77" s="126">
        <f t="shared" ca="1" si="25"/>
        <v>1</v>
      </c>
      <c r="AL77" s="127">
        <f t="shared" ca="1" si="25"/>
        <v>1</v>
      </c>
      <c r="AM77" s="127">
        <f t="shared" ca="1" si="25"/>
        <v>1</v>
      </c>
      <c r="AN77" s="127">
        <f t="shared" ca="1" si="25"/>
        <v>1</v>
      </c>
      <c r="AO77" s="129">
        <f t="shared" ca="1" si="12"/>
        <v>1</v>
      </c>
      <c r="AP77" s="536" t="str">
        <f t="shared" si="18"/>
        <v>X</v>
      </c>
      <c r="AQ77" s="536" t="str">
        <f t="shared" si="19"/>
        <v/>
      </c>
      <c r="AR77" s="536" t="str">
        <f t="shared" si="20"/>
        <v/>
      </c>
      <c r="AS77" s="537">
        <f>IF(OR(J77&lt;&gt;"",AP77&amp;AQ77&amp;AR77&lt;&gt;"X",WEEKDAY(I77,2)&gt;5,C77&lt;&gt;0,(FechaInicio1Tri&gt;I77),(FechaFinEEva&lt;I77)),0,_xlfn.XLOOKUP(WEEKDAY(I77,2),Fchs!$J$10:$N$10,Fchs!$J$12:$N$12))</f>
        <v>1</v>
      </c>
      <c r="AT77" s="536">
        <f t="shared" ca="1" si="21"/>
        <v>1</v>
      </c>
      <c r="AU77" s="538">
        <f>IF(AS77&lt;&gt;0,MAXA($AU$14:AU76)+AS77,0)</f>
        <v>32</v>
      </c>
      <c r="AV77" s="538">
        <f ca="1">IF(AT77&lt;&gt;0,MAXA($AU$14:AU76)+AT77,0)</f>
        <v>32</v>
      </c>
      <c r="AW77" s="68"/>
    </row>
    <row r="78" spans="1:49" ht="18.75" customHeight="1" x14ac:dyDescent="0.25">
      <c r="A78" s="68"/>
      <c r="B78" s="530" t="str">
        <f>MID(Info!$AZ$3,(WEEKDAY(I78,2)-1)*3+1,3)</f>
        <v>Vie</v>
      </c>
      <c r="C78" s="611">
        <f>_xlfn.XLOOKUP(I78,Fchs!$F$60:$F$101,Fchs!$G$60:$G$101,0)</f>
        <v>0</v>
      </c>
      <c r="D78" s="611">
        <f>_xlfn.XLOOKUP(I78,Fchs!$F$60:$F$101,Fchs!$H$60:$H$101)</f>
        <v>0</v>
      </c>
      <c r="E78" s="539" t="str">
        <f>IF($AS78&lt;&gt;0,_xlfn.XLOOKUP($G78,UDs!$E$34:$E$55,UDs!$B$34:$B$55,,-1),0)</f>
        <v>UD01</v>
      </c>
      <c r="F78" s="539" t="str">
        <f t="shared" ca="1" si="16"/>
        <v>UD01</v>
      </c>
      <c r="G78" s="570">
        <f>IF(AU78&lt;&gt;0,MAX($AU$13:$AU77)+1,0)</f>
        <v>33</v>
      </c>
      <c r="H78" s="570">
        <f>IF(AS78&lt;&gt;0,COUNT($H$14:H77,1),"")</f>
        <v>33</v>
      </c>
      <c r="I78" s="540">
        <f t="shared" si="22"/>
        <v>45961</v>
      </c>
      <c r="J78" s="541"/>
      <c r="K78" s="542"/>
      <c r="L78" s="121">
        <f t="shared" ca="1" si="26"/>
        <v>1</v>
      </c>
      <c r="M78" s="122">
        <f t="shared" ca="1" si="26"/>
        <v>1</v>
      </c>
      <c r="N78" s="122">
        <f t="shared" ca="1" si="26"/>
        <v>1</v>
      </c>
      <c r="O78" s="122">
        <f t="shared" ca="1" si="26"/>
        <v>1</v>
      </c>
      <c r="P78" s="123">
        <f t="shared" ca="1" si="26"/>
        <v>1</v>
      </c>
      <c r="Q78" s="121">
        <f t="shared" ca="1" si="26"/>
        <v>1</v>
      </c>
      <c r="R78" s="122">
        <f t="shared" ca="1" si="26"/>
        <v>1</v>
      </c>
      <c r="S78" s="122">
        <f t="shared" ca="1" si="26"/>
        <v>1</v>
      </c>
      <c r="T78" s="122">
        <f t="shared" ca="1" si="26"/>
        <v>1</v>
      </c>
      <c r="U78" s="123">
        <f t="shared" ca="1" si="26"/>
        <v>1</v>
      </c>
      <c r="V78" s="121">
        <f t="shared" ca="1" si="26"/>
        <v>1</v>
      </c>
      <c r="W78" s="122">
        <f t="shared" ca="1" si="26"/>
        <v>1</v>
      </c>
      <c r="X78" s="122">
        <f t="shared" ca="1" si="26"/>
        <v>1</v>
      </c>
      <c r="Y78" s="122">
        <f t="shared" ca="1" si="26"/>
        <v>1</v>
      </c>
      <c r="Z78" s="123">
        <f t="shared" ca="1" si="26"/>
        <v>1</v>
      </c>
      <c r="AA78" s="121">
        <f t="shared" ca="1" si="26"/>
        <v>1</v>
      </c>
      <c r="AB78" s="122">
        <f t="shared" ca="1" si="25"/>
        <v>1</v>
      </c>
      <c r="AC78" s="122">
        <f t="shared" ca="1" si="25"/>
        <v>1</v>
      </c>
      <c r="AD78" s="122">
        <f t="shared" ca="1" si="25"/>
        <v>1</v>
      </c>
      <c r="AE78" s="123">
        <f t="shared" ca="1" si="25"/>
        <v>1</v>
      </c>
      <c r="AF78" s="121">
        <f t="shared" ca="1" si="25"/>
        <v>1</v>
      </c>
      <c r="AG78" s="122">
        <f t="shared" ca="1" si="25"/>
        <v>1</v>
      </c>
      <c r="AH78" s="122">
        <f t="shared" ca="1" si="25"/>
        <v>1</v>
      </c>
      <c r="AI78" s="122">
        <f t="shared" ca="1" si="25"/>
        <v>1</v>
      </c>
      <c r="AJ78" s="123">
        <f t="shared" ca="1" si="25"/>
        <v>1</v>
      </c>
      <c r="AK78" s="121">
        <f t="shared" ca="1" si="25"/>
        <v>1</v>
      </c>
      <c r="AL78" s="122">
        <f t="shared" ca="1" si="25"/>
        <v>1</v>
      </c>
      <c r="AM78" s="122">
        <f t="shared" ca="1" si="25"/>
        <v>1</v>
      </c>
      <c r="AN78" s="122">
        <f t="shared" ca="1" si="25"/>
        <v>1</v>
      </c>
      <c r="AO78" s="123">
        <f t="shared" ca="1" si="12"/>
        <v>1</v>
      </c>
      <c r="AP78" s="536" t="str">
        <f t="shared" si="18"/>
        <v>X</v>
      </c>
      <c r="AQ78" s="536" t="str">
        <f t="shared" si="19"/>
        <v/>
      </c>
      <c r="AR78" s="536" t="str">
        <f t="shared" si="20"/>
        <v/>
      </c>
      <c r="AS78" s="537">
        <f>IF(OR(J78&lt;&gt;"",AP78&amp;AQ78&amp;AR78&lt;&gt;"X",WEEKDAY(I78,2)&gt;5,C78&lt;&gt;0,(FechaInicio1Tri&gt;I78),(FechaFinEEva&lt;I78)),0,_xlfn.XLOOKUP(WEEKDAY(I78,2),Fchs!$J$10:$N$10,Fchs!$J$12:$N$12))</f>
        <v>1</v>
      </c>
      <c r="AT78" s="536">
        <f t="shared" ca="1" si="21"/>
        <v>1</v>
      </c>
      <c r="AU78" s="538">
        <f>IF(AS78&lt;&gt;0,MAXA($AU$14:AU77)+AS78,0)</f>
        <v>33</v>
      </c>
      <c r="AV78" s="538">
        <f ca="1">IF(AT78&lt;&gt;0,MAXA($AU$14:AU77)+AT78,0)</f>
        <v>33</v>
      </c>
      <c r="AW78" s="68"/>
    </row>
    <row r="79" spans="1:49" ht="18.75" customHeight="1" thickBot="1" x14ac:dyDescent="0.3">
      <c r="A79" s="68"/>
      <c r="B79" s="79"/>
      <c r="C79" s="543"/>
      <c r="D79" s="543"/>
      <c r="E79" s="106"/>
      <c r="F79" s="543"/>
      <c r="G79" s="124"/>
      <c r="H79" s="124"/>
      <c r="I79" s="544"/>
      <c r="J79" s="106"/>
      <c r="K79" s="106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3"/>
      <c r="AB79" s="543"/>
      <c r="AC79" s="543"/>
      <c r="AD79" s="543"/>
      <c r="AE79" s="543"/>
      <c r="AF79" s="543"/>
      <c r="AG79" s="543"/>
      <c r="AH79" s="543"/>
      <c r="AI79" s="543"/>
      <c r="AJ79" s="543"/>
      <c r="AK79" s="543"/>
      <c r="AL79" s="543"/>
      <c r="AM79" s="543"/>
      <c r="AN79" s="543"/>
      <c r="AO79" s="543"/>
      <c r="AP79" s="124"/>
      <c r="AQ79" s="124"/>
      <c r="AR79" s="124"/>
      <c r="AS79" s="543"/>
      <c r="AT79" s="543"/>
      <c r="AU79" s="545"/>
      <c r="AV79" s="545"/>
      <c r="AW79" s="68"/>
    </row>
    <row r="80" spans="1:49" ht="18.75" customHeight="1" x14ac:dyDescent="0.25">
      <c r="A80" s="68"/>
      <c r="B80" s="546" t="str">
        <f>MID(Info!$AZ$5,(MONTH(I82)-1)*3+1,3)&amp;" "&amp;YEAR(I82)</f>
        <v xml:space="preserve"> 2025</v>
      </c>
      <c r="C80" s="543"/>
      <c r="D80" s="543"/>
      <c r="E80" s="106"/>
      <c r="F80" s="543"/>
      <c r="G80" s="124"/>
      <c r="H80" s="124"/>
      <c r="I80" s="544"/>
      <c r="J80" s="106"/>
      <c r="K80" s="106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3"/>
      <c r="AB80" s="543"/>
      <c r="AC80" s="543"/>
      <c r="AD80" s="543"/>
      <c r="AE80" s="543"/>
      <c r="AF80" s="543"/>
      <c r="AG80" s="543"/>
      <c r="AH80" s="543"/>
      <c r="AI80" s="543"/>
      <c r="AJ80" s="543"/>
      <c r="AK80" s="543"/>
      <c r="AL80" s="543"/>
      <c r="AM80" s="543"/>
      <c r="AN80" s="543"/>
      <c r="AO80" s="543"/>
      <c r="AP80" s="547">
        <f>SUMIF(AP82:AP112,"X",$AS82:$AS112)</f>
        <v>19</v>
      </c>
      <c r="AQ80" s="547">
        <f>SUMIF(AQ82:AQ112,"X",$AS82:$AS112)</f>
        <v>0</v>
      </c>
      <c r="AR80" s="547">
        <f>SUMIF(AR82:AR112,"X",$AS82:$AS112)</f>
        <v>0</v>
      </c>
      <c r="AS80" s="543"/>
      <c r="AT80" s="543"/>
      <c r="AU80" s="545"/>
      <c r="AV80" s="545"/>
      <c r="AW80" s="68"/>
    </row>
    <row r="81" spans="1:49" ht="18.75" customHeight="1" thickBot="1" x14ac:dyDescent="0.3">
      <c r="A81" s="68"/>
      <c r="B81" s="527">
        <f ca="1">IFERROR(SUM(AP81:AR81)/SUM(AP80:AR80),"--")</f>
        <v>1</v>
      </c>
      <c r="C81" s="549"/>
      <c r="D81" s="549"/>
      <c r="E81" s="548"/>
      <c r="F81" s="549"/>
      <c r="G81" s="125"/>
      <c r="H81" s="125"/>
      <c r="I81" s="550"/>
      <c r="J81" s="548"/>
      <c r="K81" s="548"/>
      <c r="L81" s="549"/>
      <c r="M81" s="549"/>
      <c r="N81" s="549"/>
      <c r="O81" s="549"/>
      <c r="P81" s="549"/>
      <c r="Q81" s="549"/>
      <c r="R81" s="549"/>
      <c r="S81" s="549"/>
      <c r="T81" s="549"/>
      <c r="U81" s="549"/>
      <c r="V81" s="549"/>
      <c r="W81" s="549"/>
      <c r="X81" s="549"/>
      <c r="Y81" s="549"/>
      <c r="Z81" s="549"/>
      <c r="AA81" s="549"/>
      <c r="AB81" s="549"/>
      <c r="AC81" s="549"/>
      <c r="AD81" s="549"/>
      <c r="AE81" s="549"/>
      <c r="AF81" s="549"/>
      <c r="AG81" s="549"/>
      <c r="AH81" s="549"/>
      <c r="AI81" s="549"/>
      <c r="AJ81" s="549"/>
      <c r="AK81" s="549"/>
      <c r="AL81" s="549"/>
      <c r="AM81" s="549"/>
      <c r="AN81" s="549"/>
      <c r="AO81" s="549"/>
      <c r="AP81" s="531">
        <f ca="1">SUMIF(AP82:AP112,"X",$AT82:$AT112)</f>
        <v>19</v>
      </c>
      <c r="AQ81" s="531">
        <f>SUMIF(AQ82:AQ112,"X",$AT82:$AT112)</f>
        <v>0</v>
      </c>
      <c r="AR81" s="531">
        <f>SUMIF(AR82:AR112,"X",$AT82:$AT112)</f>
        <v>0</v>
      </c>
      <c r="AS81" s="543"/>
      <c r="AT81" s="543"/>
      <c r="AU81" s="545"/>
      <c r="AV81" s="545"/>
      <c r="AW81" s="68"/>
    </row>
    <row r="82" spans="1:49" ht="18.75" customHeight="1" x14ac:dyDescent="0.25">
      <c r="A82" s="68"/>
      <c r="B82" s="56" t="str">
        <f>MID(Info!$AZ$3,(WEEKDAY(I82,2)-1)*3+1,3)</f>
        <v>Sáb</v>
      </c>
      <c r="C82" s="523">
        <f>_xlfn.XLOOKUP(I82,Fchs!$I$60:$I$101,Fchs!$J$60:$J$101,0)</f>
        <v>0</v>
      </c>
      <c r="D82" s="523">
        <f>_xlfn.XLOOKUP(I82,Fchs!$I$60:$I$101,Fchs!$K$60:$K$101)</f>
        <v>0</v>
      </c>
      <c r="E82" s="532">
        <f>IF($AS82&lt;&gt;0,_xlfn.XLOOKUP($G82,UDs!$E$34:$E$55,UDs!$B$34:$B$55,,-1),0)</f>
        <v>0</v>
      </c>
      <c r="F82" s="552">
        <f t="shared" ref="F82:F111" ca="1" si="27">IF(AT82&lt;&gt;0,E82,0)</f>
        <v>0</v>
      </c>
      <c r="G82" s="127">
        <f>IF(AU82&lt;&gt;0,MAX($AU$13:$AU81)+1,0)</f>
        <v>0</v>
      </c>
      <c r="H82" s="127" t="str">
        <f>IF(AS82&lt;&gt;0,COUNT($H$14:H81,1),"")</f>
        <v/>
      </c>
      <c r="I82" s="533">
        <f>DATE(YEAR(FechaInicio1Tri),MONTH(FechaInicio1Tri)+2,1)</f>
        <v>45962</v>
      </c>
      <c r="J82" s="553"/>
      <c r="K82" s="554"/>
      <c r="L82" s="126">
        <f t="shared" ca="1" si="26"/>
        <v>0</v>
      </c>
      <c r="M82" s="127">
        <f t="shared" ca="1" si="26"/>
        <v>0</v>
      </c>
      <c r="N82" s="127">
        <f t="shared" ca="1" si="26"/>
        <v>0</v>
      </c>
      <c r="O82" s="127">
        <f t="shared" ca="1" si="26"/>
        <v>0</v>
      </c>
      <c r="P82" s="128">
        <f t="shared" ca="1" si="26"/>
        <v>0</v>
      </c>
      <c r="Q82" s="126">
        <f t="shared" ca="1" si="26"/>
        <v>0</v>
      </c>
      <c r="R82" s="127">
        <f t="shared" ca="1" si="26"/>
        <v>0</v>
      </c>
      <c r="S82" s="127">
        <f t="shared" ca="1" si="26"/>
        <v>0</v>
      </c>
      <c r="T82" s="127">
        <f t="shared" ca="1" si="26"/>
        <v>0</v>
      </c>
      <c r="U82" s="128">
        <f t="shared" ca="1" si="26"/>
        <v>0</v>
      </c>
      <c r="V82" s="126">
        <f t="shared" ca="1" si="26"/>
        <v>0</v>
      </c>
      <c r="W82" s="127">
        <f t="shared" ca="1" si="26"/>
        <v>0</v>
      </c>
      <c r="X82" s="127">
        <f t="shared" ca="1" si="26"/>
        <v>0</v>
      </c>
      <c r="Y82" s="127">
        <f t="shared" ca="1" si="26"/>
        <v>0</v>
      </c>
      <c r="Z82" s="128">
        <f t="shared" ca="1" si="26"/>
        <v>0</v>
      </c>
      <c r="AA82" s="126">
        <f t="shared" ca="1" si="26"/>
        <v>0</v>
      </c>
      <c r="AB82" s="127">
        <f t="shared" ca="1" si="25"/>
        <v>0</v>
      </c>
      <c r="AC82" s="127">
        <f t="shared" ca="1" si="25"/>
        <v>0</v>
      </c>
      <c r="AD82" s="127">
        <f t="shared" ca="1" si="25"/>
        <v>0</v>
      </c>
      <c r="AE82" s="128">
        <f t="shared" ca="1" si="25"/>
        <v>0</v>
      </c>
      <c r="AF82" s="126">
        <f t="shared" ca="1" si="25"/>
        <v>0</v>
      </c>
      <c r="AG82" s="127">
        <f t="shared" ca="1" si="25"/>
        <v>0</v>
      </c>
      <c r="AH82" s="127">
        <f t="shared" ca="1" si="25"/>
        <v>0</v>
      </c>
      <c r="AI82" s="127">
        <f t="shared" ca="1" si="25"/>
        <v>0</v>
      </c>
      <c r="AJ82" s="128">
        <f t="shared" ca="1" si="25"/>
        <v>0</v>
      </c>
      <c r="AK82" s="126">
        <f t="shared" ca="1" si="25"/>
        <v>0</v>
      </c>
      <c r="AL82" s="127">
        <f t="shared" ca="1" si="25"/>
        <v>0</v>
      </c>
      <c r="AM82" s="127">
        <f t="shared" ca="1" si="25"/>
        <v>0</v>
      </c>
      <c r="AN82" s="127">
        <f t="shared" ca="1" si="25"/>
        <v>0</v>
      </c>
      <c r="AO82" s="129">
        <f t="shared" ca="1" si="12"/>
        <v>0</v>
      </c>
      <c r="AP82" s="536" t="str">
        <f t="shared" ref="AP82:AP111" si="28">IF(AND(FechaInicio1Tri&lt;=$I82, FechaFin1Tri&gt;=$I82,WEEKDAY($I82,2)&lt;=5),"X","")</f>
        <v/>
      </c>
      <c r="AQ82" s="536" t="str">
        <f t="shared" ref="AQ82:AQ111" si="29">IF(AND(FechaInicio2Tri&lt;=$I82, FechaFin2Tri&gt;=$I82,WEEKDAY($I82,2)&lt;=5),"X","")</f>
        <v/>
      </c>
      <c r="AR82" s="536" t="str">
        <f t="shared" ref="AR82:AR111" si="30">IF(AND(FechaInicio3Tri&lt;=$I82, FechaFin3Tri&gt;=$I82, NTri&gt;=3,WEEKDAY($I82,2)&lt;=5),"X","")</f>
        <v/>
      </c>
      <c r="AS82" s="537">
        <f>IF(OR(J82&lt;&gt;"",AP82&amp;AQ82&amp;AR82&lt;&gt;"X",WEEKDAY(I82,2)&gt;5,C82&lt;&gt;0,(FechaInicio1Tri&gt;I82),(FechaFinEEva&lt;I82)),0,_xlfn.XLOOKUP(WEEKDAY(I82,2),Fchs!$J$10:$N$10,Fchs!$J$12:$N$12))</f>
        <v>0</v>
      </c>
      <c r="AT82" s="536">
        <f t="shared" ref="AT82:AT111" ca="1" si="31">IF(OR(AS82=0,FechaHoy&lt;I82,(FechaInicio1Tri&gt;I82),(FechaFinEEva&lt;I82)),0,AS82)</f>
        <v>0</v>
      </c>
      <c r="AU82" s="538">
        <f>IF(AS82&lt;&gt;0,MAXA($AU$14:AU81)+AS82,0)</f>
        <v>0</v>
      </c>
      <c r="AV82" s="538">
        <f ca="1">IF(AT82&lt;&gt;0,MAXA($AU$14:AU81)+AT82,0)</f>
        <v>0</v>
      </c>
      <c r="AW82" s="68"/>
    </row>
    <row r="83" spans="1:49" ht="18.75" customHeight="1" x14ac:dyDescent="0.25">
      <c r="A83" s="68"/>
      <c r="B83" s="56" t="str">
        <f>MID(Info!$AZ$3,(WEEKDAY(I83,2)-1)*3+1,3)</f>
        <v>Dom</v>
      </c>
      <c r="C83" s="523">
        <f>_xlfn.XLOOKUP(I83,Fchs!$I$60:$I$101,Fchs!$J$60:$J$101,0)</f>
        <v>0</v>
      </c>
      <c r="D83" s="523">
        <f>_xlfn.XLOOKUP(I83,Fchs!$I$60:$I$101,Fchs!$K$60:$K$101)</f>
        <v>0</v>
      </c>
      <c r="E83" s="532">
        <f>IF($AS83&lt;&gt;0,_xlfn.XLOOKUP($G83,UDs!$E$34:$E$55,UDs!$B$34:$B$55,,-1),0)</f>
        <v>0</v>
      </c>
      <c r="F83" s="532">
        <f t="shared" ca="1" si="27"/>
        <v>0</v>
      </c>
      <c r="G83" s="569">
        <f>IF(AU83&lt;&gt;0,MAX($AU$13:$AU82)+1,0)</f>
        <v>0</v>
      </c>
      <c r="H83" s="569" t="str">
        <f>IF(AS83&lt;&gt;0,COUNT($H$14:H82,1),"")</f>
        <v/>
      </c>
      <c r="I83" s="533">
        <f t="shared" ref="I83:I111" si="32">I82+1</f>
        <v>45963</v>
      </c>
      <c r="J83" s="534"/>
      <c r="K83" s="535"/>
      <c r="L83" s="126">
        <f t="shared" ca="1" si="26"/>
        <v>0</v>
      </c>
      <c r="M83" s="127">
        <f t="shared" ca="1" si="26"/>
        <v>0</v>
      </c>
      <c r="N83" s="127">
        <f t="shared" ca="1" si="26"/>
        <v>0</v>
      </c>
      <c r="O83" s="127">
        <f t="shared" ca="1" si="26"/>
        <v>0</v>
      </c>
      <c r="P83" s="128">
        <f t="shared" ca="1" si="26"/>
        <v>0</v>
      </c>
      <c r="Q83" s="126">
        <f t="shared" ca="1" si="26"/>
        <v>0</v>
      </c>
      <c r="R83" s="127">
        <f t="shared" ca="1" si="26"/>
        <v>0</v>
      </c>
      <c r="S83" s="127">
        <f t="shared" ca="1" si="26"/>
        <v>0</v>
      </c>
      <c r="T83" s="127">
        <f t="shared" ca="1" si="26"/>
        <v>0</v>
      </c>
      <c r="U83" s="128">
        <f t="shared" ca="1" si="26"/>
        <v>0</v>
      </c>
      <c r="V83" s="126">
        <f t="shared" ca="1" si="26"/>
        <v>0</v>
      </c>
      <c r="W83" s="127">
        <f t="shared" ca="1" si="26"/>
        <v>0</v>
      </c>
      <c r="X83" s="127">
        <f t="shared" ca="1" si="26"/>
        <v>0</v>
      </c>
      <c r="Y83" s="127">
        <f t="shared" ca="1" si="26"/>
        <v>0</v>
      </c>
      <c r="Z83" s="128">
        <f t="shared" ca="1" si="26"/>
        <v>0</v>
      </c>
      <c r="AA83" s="126">
        <f t="shared" ca="1" si="26"/>
        <v>0</v>
      </c>
      <c r="AB83" s="127">
        <f t="shared" ca="1" si="25"/>
        <v>0</v>
      </c>
      <c r="AC83" s="127">
        <f t="shared" ca="1" si="25"/>
        <v>0</v>
      </c>
      <c r="AD83" s="127">
        <f t="shared" ca="1" si="25"/>
        <v>0</v>
      </c>
      <c r="AE83" s="128">
        <f t="shared" ca="1" si="25"/>
        <v>0</v>
      </c>
      <c r="AF83" s="126">
        <f t="shared" ca="1" si="25"/>
        <v>0</v>
      </c>
      <c r="AG83" s="127">
        <f t="shared" ca="1" si="25"/>
        <v>0</v>
      </c>
      <c r="AH83" s="127">
        <f t="shared" ca="1" si="25"/>
        <v>0</v>
      </c>
      <c r="AI83" s="127">
        <f t="shared" ca="1" si="25"/>
        <v>0</v>
      </c>
      <c r="AJ83" s="128">
        <f t="shared" ca="1" si="25"/>
        <v>0</v>
      </c>
      <c r="AK83" s="126">
        <f t="shared" ca="1" si="25"/>
        <v>0</v>
      </c>
      <c r="AL83" s="127">
        <f t="shared" ca="1" si="25"/>
        <v>0</v>
      </c>
      <c r="AM83" s="127">
        <f t="shared" ca="1" si="25"/>
        <v>0</v>
      </c>
      <c r="AN83" s="127">
        <f t="shared" ca="1" si="25"/>
        <v>0</v>
      </c>
      <c r="AO83" s="129">
        <f t="shared" ca="1" si="12"/>
        <v>0</v>
      </c>
      <c r="AP83" s="536" t="str">
        <f t="shared" si="28"/>
        <v/>
      </c>
      <c r="AQ83" s="536" t="str">
        <f t="shared" si="29"/>
        <v/>
      </c>
      <c r="AR83" s="536" t="str">
        <f t="shared" si="30"/>
        <v/>
      </c>
      <c r="AS83" s="537">
        <f>IF(OR(J83&lt;&gt;"",AP83&amp;AQ83&amp;AR83&lt;&gt;"X",WEEKDAY(I83,2)&gt;5,C83&lt;&gt;0,(FechaInicio1Tri&gt;I83),(FechaFinEEva&lt;I83)),0,_xlfn.XLOOKUP(WEEKDAY(I83,2),Fchs!$J$10:$N$10,Fchs!$J$12:$N$12))</f>
        <v>0</v>
      </c>
      <c r="AT83" s="536">
        <f t="shared" ca="1" si="31"/>
        <v>0</v>
      </c>
      <c r="AU83" s="538">
        <f>IF(AS83&lt;&gt;0,MAXA($AU$14:AU82)+AS83,0)</f>
        <v>0</v>
      </c>
      <c r="AV83" s="538">
        <f ca="1">IF(AT83&lt;&gt;0,MAXA($AU$14:AU82)+AT83,0)</f>
        <v>0</v>
      </c>
      <c r="AW83" s="68"/>
    </row>
    <row r="84" spans="1:49" ht="18.75" customHeight="1" x14ac:dyDescent="0.25">
      <c r="A84" s="68"/>
      <c r="B84" s="56" t="str">
        <f>MID(Info!$AZ$3,(WEEKDAY(I84,2)-1)*3+1,3)</f>
        <v>Lun</v>
      </c>
      <c r="C84" s="523" t="str">
        <f>_xlfn.XLOOKUP(I84,Fchs!$I$60:$I$101,Fchs!$J$60:$J$101,0)</f>
        <v>TodosSantos</v>
      </c>
      <c r="D84" s="523">
        <f>_xlfn.XLOOKUP(I84,Fchs!$I$60:$I$101,Fchs!$K$60:$K$101)</f>
        <v>0</v>
      </c>
      <c r="E84" s="532">
        <f>IF($AS84&lt;&gt;0,_xlfn.XLOOKUP($G84,UDs!$E$34:$E$55,UDs!$B$34:$B$55,,-1),0)</f>
        <v>0</v>
      </c>
      <c r="F84" s="532">
        <f t="shared" ca="1" si="27"/>
        <v>0</v>
      </c>
      <c r="G84" s="569">
        <f>IF(AU84&lt;&gt;0,MAX($AU$13:$AU83)+1,0)</f>
        <v>0</v>
      </c>
      <c r="H84" s="569" t="str">
        <f>IF(AS84&lt;&gt;0,COUNT($H$14:H83,1),"")</f>
        <v/>
      </c>
      <c r="I84" s="533">
        <f t="shared" si="32"/>
        <v>45964</v>
      </c>
      <c r="J84" s="534"/>
      <c r="K84" s="535"/>
      <c r="L84" s="126">
        <f t="shared" ca="1" si="26"/>
        <v>0</v>
      </c>
      <c r="M84" s="127">
        <f t="shared" ca="1" si="26"/>
        <v>0</v>
      </c>
      <c r="N84" s="127">
        <f t="shared" ca="1" si="26"/>
        <v>0</v>
      </c>
      <c r="O84" s="127">
        <f t="shared" ca="1" si="26"/>
        <v>0</v>
      </c>
      <c r="P84" s="128">
        <f t="shared" ca="1" si="26"/>
        <v>0</v>
      </c>
      <c r="Q84" s="126">
        <f t="shared" ca="1" si="26"/>
        <v>0</v>
      </c>
      <c r="R84" s="127">
        <f t="shared" ca="1" si="26"/>
        <v>0</v>
      </c>
      <c r="S84" s="127">
        <f t="shared" ca="1" si="26"/>
        <v>0</v>
      </c>
      <c r="T84" s="127">
        <f t="shared" ca="1" si="26"/>
        <v>0</v>
      </c>
      <c r="U84" s="128">
        <f t="shared" ca="1" si="26"/>
        <v>0</v>
      </c>
      <c r="V84" s="126">
        <f t="shared" ca="1" si="26"/>
        <v>0</v>
      </c>
      <c r="W84" s="127">
        <f t="shared" ca="1" si="26"/>
        <v>0</v>
      </c>
      <c r="X84" s="127">
        <f t="shared" ca="1" si="26"/>
        <v>0</v>
      </c>
      <c r="Y84" s="127">
        <f t="shared" ca="1" si="26"/>
        <v>0</v>
      </c>
      <c r="Z84" s="128">
        <f t="shared" ca="1" si="26"/>
        <v>0</v>
      </c>
      <c r="AA84" s="126">
        <f t="shared" ca="1" si="26"/>
        <v>0</v>
      </c>
      <c r="AB84" s="127">
        <f t="shared" ca="1" si="25"/>
        <v>0</v>
      </c>
      <c r="AC84" s="127">
        <f t="shared" ca="1" si="25"/>
        <v>0</v>
      </c>
      <c r="AD84" s="127">
        <f t="shared" ca="1" si="25"/>
        <v>0</v>
      </c>
      <c r="AE84" s="128">
        <f t="shared" ca="1" si="25"/>
        <v>0</v>
      </c>
      <c r="AF84" s="126">
        <f t="shared" ca="1" si="25"/>
        <v>0</v>
      </c>
      <c r="AG84" s="127">
        <f t="shared" ca="1" si="25"/>
        <v>0</v>
      </c>
      <c r="AH84" s="127">
        <f t="shared" ca="1" si="25"/>
        <v>0</v>
      </c>
      <c r="AI84" s="127">
        <f t="shared" ca="1" si="25"/>
        <v>0</v>
      </c>
      <c r="AJ84" s="128">
        <f t="shared" ca="1" si="25"/>
        <v>0</v>
      </c>
      <c r="AK84" s="126">
        <f t="shared" ca="1" si="25"/>
        <v>0</v>
      </c>
      <c r="AL84" s="127">
        <f t="shared" ca="1" si="25"/>
        <v>0</v>
      </c>
      <c r="AM84" s="127">
        <f t="shared" ca="1" si="25"/>
        <v>0</v>
      </c>
      <c r="AN84" s="127">
        <f t="shared" ca="1" si="25"/>
        <v>0</v>
      </c>
      <c r="AO84" s="129">
        <f t="shared" ca="1" si="12"/>
        <v>0</v>
      </c>
      <c r="AP84" s="536" t="str">
        <f t="shared" si="28"/>
        <v>X</v>
      </c>
      <c r="AQ84" s="536" t="str">
        <f t="shared" si="29"/>
        <v/>
      </c>
      <c r="AR84" s="536" t="str">
        <f t="shared" si="30"/>
        <v/>
      </c>
      <c r="AS84" s="537">
        <f>IF(OR(J84&lt;&gt;"",AP84&amp;AQ84&amp;AR84&lt;&gt;"X",WEEKDAY(I84,2)&gt;5,C84&lt;&gt;0,(FechaInicio1Tri&gt;I84),(FechaFinEEva&lt;I84)),0,_xlfn.XLOOKUP(WEEKDAY(I84,2),Fchs!$J$10:$N$10,Fchs!$J$12:$N$12))</f>
        <v>0</v>
      </c>
      <c r="AT84" s="536">
        <f t="shared" ca="1" si="31"/>
        <v>0</v>
      </c>
      <c r="AU84" s="538">
        <f>IF(AS84&lt;&gt;0,MAXA($AU$14:AU83)+AS84,0)</f>
        <v>0</v>
      </c>
      <c r="AV84" s="538">
        <f ca="1">IF(AT84&lt;&gt;0,MAXA($AU$14:AU83)+AT84,0)</f>
        <v>0</v>
      </c>
      <c r="AW84" s="68"/>
    </row>
    <row r="85" spans="1:49" ht="18.75" customHeight="1" x14ac:dyDescent="0.25">
      <c r="A85" s="68"/>
      <c r="B85" s="56" t="str">
        <f>MID(Info!$AZ$3,(WEEKDAY(I85,2)-1)*3+1,3)</f>
        <v>Mar</v>
      </c>
      <c r="C85" s="523">
        <f>_xlfn.XLOOKUP(I85,Fchs!$I$60:$I$101,Fchs!$J$60:$J$101,0)</f>
        <v>0</v>
      </c>
      <c r="D85" s="523">
        <f>_xlfn.XLOOKUP(I85,Fchs!$I$60:$I$101,Fchs!$K$60:$K$101)</f>
        <v>0</v>
      </c>
      <c r="E85" s="532" t="str">
        <f>IF($AS85&lt;&gt;0,_xlfn.XLOOKUP($G85,UDs!$E$34:$E$55,UDs!$B$34:$B$55,,-1),0)</f>
        <v>UD01</v>
      </c>
      <c r="F85" s="532" t="str">
        <f t="shared" ca="1" si="27"/>
        <v>UD01</v>
      </c>
      <c r="G85" s="569">
        <f>IF(AU85&lt;&gt;0,MAX($AU$13:$AU84)+1,0)</f>
        <v>34</v>
      </c>
      <c r="H85" s="569">
        <f>IF(AS85&lt;&gt;0,COUNT($H$14:H84,1),"")</f>
        <v>34</v>
      </c>
      <c r="I85" s="533">
        <f t="shared" si="32"/>
        <v>45965</v>
      </c>
      <c r="J85" s="534"/>
      <c r="K85" s="535"/>
      <c r="L85" s="126">
        <f t="shared" ca="1" si="26"/>
        <v>1</v>
      </c>
      <c r="M85" s="127">
        <f t="shared" ca="1" si="26"/>
        <v>1</v>
      </c>
      <c r="N85" s="127">
        <f t="shared" ca="1" si="26"/>
        <v>1</v>
      </c>
      <c r="O85" s="127">
        <f t="shared" ca="1" si="26"/>
        <v>1</v>
      </c>
      <c r="P85" s="128">
        <f t="shared" ca="1" si="26"/>
        <v>1</v>
      </c>
      <c r="Q85" s="126">
        <f t="shared" ca="1" si="26"/>
        <v>1</v>
      </c>
      <c r="R85" s="127">
        <f t="shared" ca="1" si="26"/>
        <v>1</v>
      </c>
      <c r="S85" s="127">
        <f t="shared" ca="1" si="26"/>
        <v>1</v>
      </c>
      <c r="T85" s="127">
        <f t="shared" ca="1" si="26"/>
        <v>1</v>
      </c>
      <c r="U85" s="128">
        <f t="shared" ca="1" si="26"/>
        <v>1</v>
      </c>
      <c r="V85" s="126">
        <f t="shared" ca="1" si="26"/>
        <v>1</v>
      </c>
      <c r="W85" s="127">
        <f t="shared" ca="1" si="26"/>
        <v>1</v>
      </c>
      <c r="X85" s="127">
        <f t="shared" ca="1" si="26"/>
        <v>1</v>
      </c>
      <c r="Y85" s="127">
        <f t="shared" ca="1" si="26"/>
        <v>1</v>
      </c>
      <c r="Z85" s="128">
        <f t="shared" ca="1" si="26"/>
        <v>1</v>
      </c>
      <c r="AA85" s="126">
        <f t="shared" ca="1" si="26"/>
        <v>1</v>
      </c>
      <c r="AB85" s="127">
        <f t="shared" ca="1" si="25"/>
        <v>1</v>
      </c>
      <c r="AC85" s="127">
        <f t="shared" ca="1" si="25"/>
        <v>1</v>
      </c>
      <c r="AD85" s="127">
        <f t="shared" ca="1" si="25"/>
        <v>1</v>
      </c>
      <c r="AE85" s="128">
        <f t="shared" ca="1" si="25"/>
        <v>1</v>
      </c>
      <c r="AF85" s="126">
        <f t="shared" ca="1" si="25"/>
        <v>1</v>
      </c>
      <c r="AG85" s="127">
        <f t="shared" ca="1" si="25"/>
        <v>1</v>
      </c>
      <c r="AH85" s="127">
        <f t="shared" ca="1" si="25"/>
        <v>1</v>
      </c>
      <c r="AI85" s="127">
        <f t="shared" ca="1" si="25"/>
        <v>1</v>
      </c>
      <c r="AJ85" s="128">
        <f t="shared" ca="1" si="25"/>
        <v>1</v>
      </c>
      <c r="AK85" s="126">
        <f t="shared" ca="1" si="25"/>
        <v>1</v>
      </c>
      <c r="AL85" s="127">
        <f t="shared" ca="1" si="25"/>
        <v>1</v>
      </c>
      <c r="AM85" s="127">
        <f t="shared" ca="1" si="25"/>
        <v>1</v>
      </c>
      <c r="AN85" s="127">
        <f t="shared" ca="1" si="25"/>
        <v>1</v>
      </c>
      <c r="AO85" s="129">
        <f t="shared" ca="1" si="12"/>
        <v>1</v>
      </c>
      <c r="AP85" s="536" t="str">
        <f t="shared" si="28"/>
        <v>X</v>
      </c>
      <c r="AQ85" s="536" t="str">
        <f t="shared" si="29"/>
        <v/>
      </c>
      <c r="AR85" s="536" t="str">
        <f t="shared" si="30"/>
        <v/>
      </c>
      <c r="AS85" s="537">
        <f>IF(OR(J85&lt;&gt;"",AP85&amp;AQ85&amp;AR85&lt;&gt;"X",WEEKDAY(I85,2)&gt;5,C85&lt;&gt;0,(FechaInicio1Tri&gt;I85),(FechaFinEEva&lt;I85)),0,_xlfn.XLOOKUP(WEEKDAY(I85,2),Fchs!$J$10:$N$10,Fchs!$J$12:$N$12))</f>
        <v>1</v>
      </c>
      <c r="AT85" s="536">
        <f t="shared" ca="1" si="31"/>
        <v>1</v>
      </c>
      <c r="AU85" s="538">
        <f>IF(AS85&lt;&gt;0,MAXA($AU$14:AU84)+AS85,0)</f>
        <v>34</v>
      </c>
      <c r="AV85" s="538">
        <f ca="1">IF(AT85&lt;&gt;0,MAXA($AU$14:AU84)+AT85,0)</f>
        <v>34</v>
      </c>
      <c r="AW85" s="68"/>
    </row>
    <row r="86" spans="1:49" ht="18.75" customHeight="1" x14ac:dyDescent="0.25">
      <c r="A86" s="68"/>
      <c r="B86" s="56" t="str">
        <f>MID(Info!$AZ$3,(WEEKDAY(I86,2)-1)*3+1,3)</f>
        <v>Mié</v>
      </c>
      <c r="C86" s="523">
        <f>_xlfn.XLOOKUP(I86,Fchs!$I$60:$I$101,Fchs!$J$60:$J$101,0)</f>
        <v>0</v>
      </c>
      <c r="D86" s="523">
        <f>_xlfn.XLOOKUP(I86,Fchs!$I$60:$I$101,Fchs!$K$60:$K$101)</f>
        <v>0</v>
      </c>
      <c r="E86" s="532" t="str">
        <f>IF($AS86&lt;&gt;0,_xlfn.XLOOKUP($G86,UDs!$E$34:$E$55,UDs!$B$34:$B$55,,-1),0)</f>
        <v>UD01</v>
      </c>
      <c r="F86" s="532" t="str">
        <f t="shared" ca="1" si="27"/>
        <v>UD01</v>
      </c>
      <c r="G86" s="569">
        <f>IF(AU86&lt;&gt;0,MAX($AU$13:$AU85)+1,0)</f>
        <v>35</v>
      </c>
      <c r="H86" s="569">
        <f>IF(AS86&lt;&gt;0,COUNT($H$14:H85,1),"")</f>
        <v>35</v>
      </c>
      <c r="I86" s="533">
        <f t="shared" si="32"/>
        <v>45966</v>
      </c>
      <c r="J86" s="534"/>
      <c r="K86" s="535"/>
      <c r="L86" s="126">
        <f t="shared" ca="1" si="26"/>
        <v>1</v>
      </c>
      <c r="M86" s="127">
        <f t="shared" ca="1" si="26"/>
        <v>1</v>
      </c>
      <c r="N86" s="127">
        <f t="shared" ca="1" si="26"/>
        <v>1</v>
      </c>
      <c r="O86" s="127">
        <f t="shared" ca="1" si="26"/>
        <v>1</v>
      </c>
      <c r="P86" s="128">
        <f t="shared" ca="1" si="26"/>
        <v>1</v>
      </c>
      <c r="Q86" s="126">
        <f t="shared" ca="1" si="26"/>
        <v>1</v>
      </c>
      <c r="R86" s="127">
        <f t="shared" ca="1" si="26"/>
        <v>1</v>
      </c>
      <c r="S86" s="127">
        <f t="shared" ca="1" si="26"/>
        <v>1</v>
      </c>
      <c r="T86" s="127">
        <f t="shared" ca="1" si="26"/>
        <v>1</v>
      </c>
      <c r="U86" s="128">
        <f t="shared" ca="1" si="26"/>
        <v>1</v>
      </c>
      <c r="V86" s="126">
        <f t="shared" ca="1" si="26"/>
        <v>1</v>
      </c>
      <c r="W86" s="127">
        <f t="shared" ca="1" si="26"/>
        <v>1</v>
      </c>
      <c r="X86" s="127">
        <f t="shared" ca="1" si="26"/>
        <v>1</v>
      </c>
      <c r="Y86" s="127">
        <f t="shared" ca="1" si="26"/>
        <v>1</v>
      </c>
      <c r="Z86" s="128">
        <f t="shared" ca="1" si="26"/>
        <v>1</v>
      </c>
      <c r="AA86" s="126">
        <f t="shared" ref="AA86:AO131" ca="1" si="33">$AT86</f>
        <v>1</v>
      </c>
      <c r="AB86" s="127">
        <f t="shared" ca="1" si="33"/>
        <v>1</v>
      </c>
      <c r="AC86" s="127">
        <f t="shared" ca="1" si="33"/>
        <v>1</v>
      </c>
      <c r="AD86" s="127">
        <f t="shared" ca="1" si="33"/>
        <v>1</v>
      </c>
      <c r="AE86" s="128">
        <f t="shared" ca="1" si="33"/>
        <v>1</v>
      </c>
      <c r="AF86" s="126">
        <f t="shared" ca="1" si="33"/>
        <v>1</v>
      </c>
      <c r="AG86" s="127">
        <f t="shared" ca="1" si="33"/>
        <v>1</v>
      </c>
      <c r="AH86" s="127">
        <f t="shared" ca="1" si="33"/>
        <v>1</v>
      </c>
      <c r="AI86" s="127">
        <f t="shared" ca="1" si="33"/>
        <v>1</v>
      </c>
      <c r="AJ86" s="128">
        <f t="shared" ca="1" si="33"/>
        <v>1</v>
      </c>
      <c r="AK86" s="126">
        <f t="shared" ca="1" si="33"/>
        <v>1</v>
      </c>
      <c r="AL86" s="127">
        <f t="shared" ca="1" si="33"/>
        <v>1</v>
      </c>
      <c r="AM86" s="127">
        <f t="shared" ca="1" si="33"/>
        <v>1</v>
      </c>
      <c r="AN86" s="127">
        <f t="shared" ca="1" si="33"/>
        <v>1</v>
      </c>
      <c r="AO86" s="129">
        <f t="shared" ca="1" si="33"/>
        <v>1</v>
      </c>
      <c r="AP86" s="536" t="str">
        <f t="shared" si="28"/>
        <v>X</v>
      </c>
      <c r="AQ86" s="536" t="str">
        <f t="shared" si="29"/>
        <v/>
      </c>
      <c r="AR86" s="536" t="str">
        <f t="shared" si="30"/>
        <v/>
      </c>
      <c r="AS86" s="537">
        <f>IF(OR(J86&lt;&gt;"",AP86&amp;AQ86&amp;AR86&lt;&gt;"X",WEEKDAY(I86,2)&gt;5,C86&lt;&gt;0,(FechaInicio1Tri&gt;I86),(FechaFinEEva&lt;I86)),0,_xlfn.XLOOKUP(WEEKDAY(I86,2),Fchs!$J$10:$N$10,Fchs!$J$12:$N$12))</f>
        <v>1</v>
      </c>
      <c r="AT86" s="536">
        <f t="shared" ca="1" si="31"/>
        <v>1</v>
      </c>
      <c r="AU86" s="538">
        <f>IF(AS86&lt;&gt;0,MAXA($AU$14:AU85)+AS86,0)</f>
        <v>35</v>
      </c>
      <c r="AV86" s="538">
        <f ca="1">IF(AT86&lt;&gt;0,MAXA($AU$14:AU85)+AT86,0)</f>
        <v>35</v>
      </c>
      <c r="AW86" s="68"/>
    </row>
    <row r="87" spans="1:49" ht="18.75" customHeight="1" x14ac:dyDescent="0.25">
      <c r="A87" s="68"/>
      <c r="B87" s="56" t="str">
        <f>MID(Info!$AZ$3,(WEEKDAY(I87,2)-1)*3+1,3)</f>
        <v>Jue</v>
      </c>
      <c r="C87" s="523">
        <f>_xlfn.XLOOKUP(I87,Fchs!$I$60:$I$101,Fchs!$J$60:$J$101,0)</f>
        <v>0</v>
      </c>
      <c r="D87" s="523">
        <f>_xlfn.XLOOKUP(I87,Fchs!$I$60:$I$101,Fchs!$K$60:$K$101)</f>
        <v>0</v>
      </c>
      <c r="E87" s="532" t="str">
        <f>IF($AS87&lt;&gt;0,_xlfn.XLOOKUP($G87,UDs!$E$34:$E$55,UDs!$B$34:$B$55,,-1),0)</f>
        <v>UD02</v>
      </c>
      <c r="F87" s="532" t="str">
        <f t="shared" ca="1" si="27"/>
        <v>UD02</v>
      </c>
      <c r="G87" s="569">
        <f>IF(AU87&lt;&gt;0,MAX($AU$13:$AU86)+1,0)</f>
        <v>36</v>
      </c>
      <c r="H87" s="569">
        <f>IF(AS87&lt;&gt;0,COUNT($H$14:H86,1),"")</f>
        <v>36</v>
      </c>
      <c r="I87" s="533">
        <f t="shared" si="32"/>
        <v>45967</v>
      </c>
      <c r="J87" s="534"/>
      <c r="K87" s="535"/>
      <c r="L87" s="126">
        <f t="shared" ref="L87:AA102" ca="1" si="34">$AT87</f>
        <v>1</v>
      </c>
      <c r="M87" s="127">
        <f t="shared" ca="1" si="34"/>
        <v>1</v>
      </c>
      <c r="N87" s="127">
        <f t="shared" ca="1" si="34"/>
        <v>1</v>
      </c>
      <c r="O87" s="127">
        <f t="shared" ca="1" si="34"/>
        <v>1</v>
      </c>
      <c r="P87" s="128">
        <f t="shared" ca="1" si="34"/>
        <v>1</v>
      </c>
      <c r="Q87" s="126">
        <f t="shared" ca="1" si="34"/>
        <v>1</v>
      </c>
      <c r="R87" s="127">
        <f t="shared" ca="1" si="34"/>
        <v>1</v>
      </c>
      <c r="S87" s="127">
        <f t="shared" ca="1" si="34"/>
        <v>1</v>
      </c>
      <c r="T87" s="127">
        <f t="shared" ca="1" si="34"/>
        <v>1</v>
      </c>
      <c r="U87" s="128">
        <f t="shared" ca="1" si="34"/>
        <v>1</v>
      </c>
      <c r="V87" s="126">
        <f t="shared" ca="1" si="34"/>
        <v>1</v>
      </c>
      <c r="W87" s="127">
        <f t="shared" ca="1" si="34"/>
        <v>1</v>
      </c>
      <c r="X87" s="127">
        <f t="shared" ca="1" si="34"/>
        <v>1</v>
      </c>
      <c r="Y87" s="127">
        <f t="shared" ca="1" si="34"/>
        <v>1</v>
      </c>
      <c r="Z87" s="128">
        <f t="shared" ca="1" si="34"/>
        <v>1</v>
      </c>
      <c r="AA87" s="126">
        <f t="shared" ca="1" si="34"/>
        <v>1</v>
      </c>
      <c r="AB87" s="127">
        <f t="shared" ca="1" si="33"/>
        <v>1</v>
      </c>
      <c r="AC87" s="127">
        <f t="shared" ca="1" si="33"/>
        <v>1</v>
      </c>
      <c r="AD87" s="127">
        <f t="shared" ca="1" si="33"/>
        <v>1</v>
      </c>
      <c r="AE87" s="128">
        <f t="shared" ca="1" si="33"/>
        <v>1</v>
      </c>
      <c r="AF87" s="126">
        <f t="shared" ca="1" si="33"/>
        <v>1</v>
      </c>
      <c r="AG87" s="127">
        <f t="shared" ca="1" si="33"/>
        <v>1</v>
      </c>
      <c r="AH87" s="127">
        <f t="shared" ca="1" si="33"/>
        <v>1</v>
      </c>
      <c r="AI87" s="127">
        <f t="shared" ca="1" si="33"/>
        <v>1</v>
      </c>
      <c r="AJ87" s="128">
        <f t="shared" ca="1" si="33"/>
        <v>1</v>
      </c>
      <c r="AK87" s="126">
        <f t="shared" ca="1" si="33"/>
        <v>1</v>
      </c>
      <c r="AL87" s="127">
        <f t="shared" ca="1" si="33"/>
        <v>1</v>
      </c>
      <c r="AM87" s="127">
        <f t="shared" ca="1" si="33"/>
        <v>1</v>
      </c>
      <c r="AN87" s="127">
        <f t="shared" ca="1" si="33"/>
        <v>1</v>
      </c>
      <c r="AO87" s="129">
        <f t="shared" ca="1" si="33"/>
        <v>1</v>
      </c>
      <c r="AP87" s="536" t="str">
        <f t="shared" si="28"/>
        <v>X</v>
      </c>
      <c r="AQ87" s="536" t="str">
        <f t="shared" si="29"/>
        <v/>
      </c>
      <c r="AR87" s="536" t="str">
        <f t="shared" si="30"/>
        <v/>
      </c>
      <c r="AS87" s="537">
        <f>IF(OR(J87&lt;&gt;"",AP87&amp;AQ87&amp;AR87&lt;&gt;"X",WEEKDAY(I87,2)&gt;5,C87&lt;&gt;0,(FechaInicio1Tri&gt;I87),(FechaFinEEva&lt;I87)),0,_xlfn.XLOOKUP(WEEKDAY(I87,2),Fchs!$J$10:$N$10,Fchs!$J$12:$N$12))</f>
        <v>1</v>
      </c>
      <c r="AT87" s="536">
        <f t="shared" ca="1" si="31"/>
        <v>1</v>
      </c>
      <c r="AU87" s="538">
        <f>IF(AS87&lt;&gt;0,MAXA($AU$14:AU86)+AS87,0)</f>
        <v>36</v>
      </c>
      <c r="AV87" s="538">
        <f ca="1">IF(AT87&lt;&gt;0,MAXA($AU$14:AU86)+AT87,0)</f>
        <v>36</v>
      </c>
      <c r="AW87" s="68"/>
    </row>
    <row r="88" spans="1:49" ht="18.75" customHeight="1" x14ac:dyDescent="0.25">
      <c r="A88" s="68"/>
      <c r="B88" s="56" t="str">
        <f>MID(Info!$AZ$3,(WEEKDAY(I88,2)-1)*3+1,3)</f>
        <v>Vie</v>
      </c>
      <c r="C88" s="523">
        <f>_xlfn.XLOOKUP(I88,Fchs!$I$60:$I$101,Fchs!$J$60:$J$101,0)</f>
        <v>0</v>
      </c>
      <c r="D88" s="523">
        <f>_xlfn.XLOOKUP(I88,Fchs!$I$60:$I$101,Fchs!$K$60:$K$101)</f>
        <v>0</v>
      </c>
      <c r="E88" s="532" t="str">
        <f>IF($AS88&lt;&gt;0,_xlfn.XLOOKUP($G88,UDs!$E$34:$E$55,UDs!$B$34:$B$55,,-1),0)</f>
        <v>UD02</v>
      </c>
      <c r="F88" s="532" t="str">
        <f t="shared" ca="1" si="27"/>
        <v>UD02</v>
      </c>
      <c r="G88" s="569">
        <f>IF(AU88&lt;&gt;0,MAX($AU$13:$AU87)+1,0)</f>
        <v>37</v>
      </c>
      <c r="H88" s="569">
        <f>IF(AS88&lt;&gt;0,COUNT($H$14:H87,1),"")</f>
        <v>37</v>
      </c>
      <c r="I88" s="533">
        <f t="shared" si="32"/>
        <v>45968</v>
      </c>
      <c r="J88" s="534"/>
      <c r="K88" s="535"/>
      <c r="L88" s="126">
        <f t="shared" ca="1" si="34"/>
        <v>1</v>
      </c>
      <c r="M88" s="127">
        <f t="shared" ca="1" si="34"/>
        <v>1</v>
      </c>
      <c r="N88" s="127">
        <f t="shared" ca="1" si="34"/>
        <v>1</v>
      </c>
      <c r="O88" s="127">
        <f t="shared" ca="1" si="34"/>
        <v>1</v>
      </c>
      <c r="P88" s="128">
        <f t="shared" ca="1" si="34"/>
        <v>1</v>
      </c>
      <c r="Q88" s="126">
        <f t="shared" ca="1" si="34"/>
        <v>1</v>
      </c>
      <c r="R88" s="127">
        <f t="shared" ca="1" si="34"/>
        <v>1</v>
      </c>
      <c r="S88" s="127">
        <f t="shared" ca="1" si="34"/>
        <v>1</v>
      </c>
      <c r="T88" s="127">
        <f t="shared" ca="1" si="34"/>
        <v>1</v>
      </c>
      <c r="U88" s="128">
        <f t="shared" ca="1" si="34"/>
        <v>1</v>
      </c>
      <c r="V88" s="126">
        <f t="shared" ca="1" si="34"/>
        <v>1</v>
      </c>
      <c r="W88" s="127">
        <f t="shared" ca="1" si="34"/>
        <v>1</v>
      </c>
      <c r="X88" s="127">
        <f t="shared" ca="1" si="34"/>
        <v>1</v>
      </c>
      <c r="Y88" s="127">
        <f t="shared" ca="1" si="34"/>
        <v>1</v>
      </c>
      <c r="Z88" s="128">
        <f t="shared" ca="1" si="34"/>
        <v>1</v>
      </c>
      <c r="AA88" s="126">
        <f t="shared" ca="1" si="34"/>
        <v>1</v>
      </c>
      <c r="AB88" s="127">
        <f t="shared" ca="1" si="33"/>
        <v>1</v>
      </c>
      <c r="AC88" s="127">
        <f t="shared" ca="1" si="33"/>
        <v>1</v>
      </c>
      <c r="AD88" s="127">
        <f t="shared" ca="1" si="33"/>
        <v>1</v>
      </c>
      <c r="AE88" s="128">
        <f t="shared" ca="1" si="33"/>
        <v>1</v>
      </c>
      <c r="AF88" s="126">
        <f t="shared" ca="1" si="33"/>
        <v>1</v>
      </c>
      <c r="AG88" s="127">
        <f t="shared" ca="1" si="33"/>
        <v>1</v>
      </c>
      <c r="AH88" s="127">
        <f t="shared" ca="1" si="33"/>
        <v>1</v>
      </c>
      <c r="AI88" s="127">
        <f t="shared" ca="1" si="33"/>
        <v>1</v>
      </c>
      <c r="AJ88" s="128">
        <f t="shared" ca="1" si="33"/>
        <v>1</v>
      </c>
      <c r="AK88" s="126">
        <f t="shared" ca="1" si="33"/>
        <v>1</v>
      </c>
      <c r="AL88" s="127">
        <f t="shared" ca="1" si="33"/>
        <v>1</v>
      </c>
      <c r="AM88" s="127">
        <f t="shared" ca="1" si="33"/>
        <v>1</v>
      </c>
      <c r="AN88" s="127">
        <f t="shared" ca="1" si="33"/>
        <v>1</v>
      </c>
      <c r="AO88" s="129">
        <f t="shared" ca="1" si="33"/>
        <v>1</v>
      </c>
      <c r="AP88" s="536" t="str">
        <f t="shared" si="28"/>
        <v>X</v>
      </c>
      <c r="AQ88" s="536" t="str">
        <f t="shared" si="29"/>
        <v/>
      </c>
      <c r="AR88" s="536" t="str">
        <f t="shared" si="30"/>
        <v/>
      </c>
      <c r="AS88" s="537">
        <f>IF(OR(J88&lt;&gt;"",AP88&amp;AQ88&amp;AR88&lt;&gt;"X",WEEKDAY(I88,2)&gt;5,C88&lt;&gt;0,(FechaInicio1Tri&gt;I88),(FechaFinEEva&lt;I88)),0,_xlfn.XLOOKUP(WEEKDAY(I88,2),Fchs!$J$10:$N$10,Fchs!$J$12:$N$12))</f>
        <v>1</v>
      </c>
      <c r="AT88" s="536">
        <f t="shared" ca="1" si="31"/>
        <v>1</v>
      </c>
      <c r="AU88" s="538">
        <f>IF(AS88&lt;&gt;0,MAXA($AU$14:AU87)+AS88,0)</f>
        <v>37</v>
      </c>
      <c r="AV88" s="538">
        <f ca="1">IF(AT88&lt;&gt;0,MAXA($AU$14:AU87)+AT88,0)</f>
        <v>37</v>
      </c>
      <c r="AW88" s="68"/>
    </row>
    <row r="89" spans="1:49" ht="18.75" customHeight="1" x14ac:dyDescent="0.25">
      <c r="A89" s="68"/>
      <c r="B89" s="56" t="str">
        <f>MID(Info!$AZ$3,(WEEKDAY(I89,2)-1)*3+1,3)</f>
        <v>Sáb</v>
      </c>
      <c r="C89" s="523">
        <f>_xlfn.XLOOKUP(I89,Fchs!$I$60:$I$101,Fchs!$J$60:$J$101,0)</f>
        <v>0</v>
      </c>
      <c r="D89" s="523">
        <f>_xlfn.XLOOKUP(I89,Fchs!$I$60:$I$101,Fchs!$K$60:$K$101)</f>
        <v>0</v>
      </c>
      <c r="E89" s="532">
        <f>IF($AS89&lt;&gt;0,_xlfn.XLOOKUP($G89,UDs!$E$34:$E$55,UDs!$B$34:$B$55,,-1),0)</f>
        <v>0</v>
      </c>
      <c r="F89" s="532">
        <f t="shared" ca="1" si="27"/>
        <v>0</v>
      </c>
      <c r="G89" s="569">
        <f>IF(AU89&lt;&gt;0,MAX($AU$13:$AU88)+1,0)</f>
        <v>0</v>
      </c>
      <c r="H89" s="569" t="str">
        <f>IF(AS89&lt;&gt;0,COUNT($H$14:H88,1),"")</f>
        <v/>
      </c>
      <c r="I89" s="533">
        <f t="shared" si="32"/>
        <v>45969</v>
      </c>
      <c r="J89" s="534"/>
      <c r="K89" s="535"/>
      <c r="L89" s="126">
        <f t="shared" ca="1" si="34"/>
        <v>0</v>
      </c>
      <c r="M89" s="127">
        <f t="shared" ca="1" si="34"/>
        <v>0</v>
      </c>
      <c r="N89" s="127">
        <f t="shared" ca="1" si="34"/>
        <v>0</v>
      </c>
      <c r="O89" s="127">
        <f t="shared" ca="1" si="34"/>
        <v>0</v>
      </c>
      <c r="P89" s="128">
        <f t="shared" ca="1" si="34"/>
        <v>0</v>
      </c>
      <c r="Q89" s="126">
        <f t="shared" ca="1" si="34"/>
        <v>0</v>
      </c>
      <c r="R89" s="127">
        <f t="shared" ca="1" si="34"/>
        <v>0</v>
      </c>
      <c r="S89" s="127">
        <f t="shared" ca="1" si="34"/>
        <v>0</v>
      </c>
      <c r="T89" s="127">
        <f t="shared" ca="1" si="34"/>
        <v>0</v>
      </c>
      <c r="U89" s="128">
        <f t="shared" ca="1" si="34"/>
        <v>0</v>
      </c>
      <c r="V89" s="126">
        <f t="shared" ca="1" si="34"/>
        <v>0</v>
      </c>
      <c r="W89" s="127">
        <f t="shared" ca="1" si="34"/>
        <v>0</v>
      </c>
      <c r="X89" s="127">
        <f t="shared" ca="1" si="34"/>
        <v>0</v>
      </c>
      <c r="Y89" s="127">
        <f t="shared" ca="1" si="34"/>
        <v>0</v>
      </c>
      <c r="Z89" s="128">
        <f t="shared" ca="1" si="34"/>
        <v>0</v>
      </c>
      <c r="AA89" s="126">
        <f t="shared" ca="1" si="34"/>
        <v>0</v>
      </c>
      <c r="AB89" s="127">
        <f t="shared" ca="1" si="33"/>
        <v>0</v>
      </c>
      <c r="AC89" s="127">
        <f t="shared" ca="1" si="33"/>
        <v>0</v>
      </c>
      <c r="AD89" s="127">
        <f t="shared" ca="1" si="33"/>
        <v>0</v>
      </c>
      <c r="AE89" s="128">
        <f t="shared" ca="1" si="33"/>
        <v>0</v>
      </c>
      <c r="AF89" s="126">
        <f t="shared" ca="1" si="33"/>
        <v>0</v>
      </c>
      <c r="AG89" s="127">
        <f t="shared" ca="1" si="33"/>
        <v>0</v>
      </c>
      <c r="AH89" s="127">
        <f t="shared" ca="1" si="33"/>
        <v>0</v>
      </c>
      <c r="AI89" s="127">
        <f t="shared" ca="1" si="33"/>
        <v>0</v>
      </c>
      <c r="AJ89" s="128">
        <f t="shared" ca="1" si="33"/>
        <v>0</v>
      </c>
      <c r="AK89" s="126">
        <f t="shared" ca="1" si="33"/>
        <v>0</v>
      </c>
      <c r="AL89" s="127">
        <f t="shared" ca="1" si="33"/>
        <v>0</v>
      </c>
      <c r="AM89" s="127">
        <f t="shared" ca="1" si="33"/>
        <v>0</v>
      </c>
      <c r="AN89" s="127">
        <f t="shared" ca="1" si="33"/>
        <v>0</v>
      </c>
      <c r="AO89" s="129">
        <f t="shared" ca="1" si="33"/>
        <v>0</v>
      </c>
      <c r="AP89" s="536" t="str">
        <f t="shared" si="28"/>
        <v/>
      </c>
      <c r="AQ89" s="536" t="str">
        <f t="shared" si="29"/>
        <v/>
      </c>
      <c r="AR89" s="536" t="str">
        <f t="shared" si="30"/>
        <v/>
      </c>
      <c r="AS89" s="537">
        <f>IF(OR(J89&lt;&gt;"",AP89&amp;AQ89&amp;AR89&lt;&gt;"X",WEEKDAY(I89,2)&gt;5,C89&lt;&gt;0,(FechaInicio1Tri&gt;I89),(FechaFinEEva&lt;I89)),0,_xlfn.XLOOKUP(WEEKDAY(I89,2),Fchs!$J$10:$N$10,Fchs!$J$12:$N$12))</f>
        <v>0</v>
      </c>
      <c r="AT89" s="536">
        <f t="shared" ca="1" si="31"/>
        <v>0</v>
      </c>
      <c r="AU89" s="538">
        <f>IF(AS89&lt;&gt;0,MAXA($AU$14:AU88)+AS89,0)</f>
        <v>0</v>
      </c>
      <c r="AV89" s="538">
        <f ca="1">IF(AT89&lt;&gt;0,MAXA($AU$14:AU88)+AT89,0)</f>
        <v>0</v>
      </c>
      <c r="AW89" s="68"/>
    </row>
    <row r="90" spans="1:49" ht="18.75" customHeight="1" x14ac:dyDescent="0.25">
      <c r="A90" s="68"/>
      <c r="B90" s="56" t="str">
        <f>MID(Info!$AZ$3,(WEEKDAY(I90,2)-1)*3+1,3)</f>
        <v>Dom</v>
      </c>
      <c r="C90" s="523">
        <f>_xlfn.XLOOKUP(I90,Fchs!$I$60:$I$101,Fchs!$J$60:$J$101,0)</f>
        <v>0</v>
      </c>
      <c r="D90" s="523">
        <f>_xlfn.XLOOKUP(I90,Fchs!$I$60:$I$101,Fchs!$K$60:$K$101)</f>
        <v>0</v>
      </c>
      <c r="E90" s="532">
        <f>IF($AS90&lt;&gt;0,_xlfn.XLOOKUP($G90,UDs!$E$34:$E$55,UDs!$B$34:$B$55,,-1),0)</f>
        <v>0</v>
      </c>
      <c r="F90" s="532">
        <f t="shared" ca="1" si="27"/>
        <v>0</v>
      </c>
      <c r="G90" s="569">
        <f>IF(AU90&lt;&gt;0,MAX($AU$13:$AU89)+1,0)</f>
        <v>0</v>
      </c>
      <c r="H90" s="569" t="str">
        <f>IF(AS90&lt;&gt;0,COUNT($H$14:H89,1),"")</f>
        <v/>
      </c>
      <c r="I90" s="533">
        <f t="shared" si="32"/>
        <v>45970</v>
      </c>
      <c r="J90" s="534"/>
      <c r="K90" s="535"/>
      <c r="L90" s="126">
        <f t="shared" ca="1" si="34"/>
        <v>0</v>
      </c>
      <c r="M90" s="127">
        <f t="shared" ca="1" si="34"/>
        <v>0</v>
      </c>
      <c r="N90" s="127">
        <f t="shared" ca="1" si="34"/>
        <v>0</v>
      </c>
      <c r="O90" s="127">
        <f t="shared" ca="1" si="34"/>
        <v>0</v>
      </c>
      <c r="P90" s="128">
        <f t="shared" ca="1" si="34"/>
        <v>0</v>
      </c>
      <c r="Q90" s="126">
        <f t="shared" ca="1" si="34"/>
        <v>0</v>
      </c>
      <c r="R90" s="127">
        <f t="shared" ca="1" si="34"/>
        <v>0</v>
      </c>
      <c r="S90" s="127">
        <f t="shared" ca="1" si="34"/>
        <v>0</v>
      </c>
      <c r="T90" s="127">
        <f t="shared" ca="1" si="34"/>
        <v>0</v>
      </c>
      <c r="U90" s="128">
        <f t="shared" ca="1" si="34"/>
        <v>0</v>
      </c>
      <c r="V90" s="126">
        <f t="shared" ca="1" si="34"/>
        <v>0</v>
      </c>
      <c r="W90" s="127">
        <f t="shared" ca="1" si="34"/>
        <v>0</v>
      </c>
      <c r="X90" s="127">
        <f t="shared" ca="1" si="34"/>
        <v>0</v>
      </c>
      <c r="Y90" s="127">
        <f t="shared" ca="1" si="34"/>
        <v>0</v>
      </c>
      <c r="Z90" s="128">
        <f t="shared" ca="1" si="34"/>
        <v>0</v>
      </c>
      <c r="AA90" s="126">
        <f t="shared" ca="1" si="34"/>
        <v>0</v>
      </c>
      <c r="AB90" s="127">
        <f t="shared" ca="1" si="33"/>
        <v>0</v>
      </c>
      <c r="AC90" s="127">
        <f t="shared" ca="1" si="33"/>
        <v>0</v>
      </c>
      <c r="AD90" s="127">
        <f t="shared" ca="1" si="33"/>
        <v>0</v>
      </c>
      <c r="AE90" s="128">
        <f t="shared" ca="1" si="33"/>
        <v>0</v>
      </c>
      <c r="AF90" s="126">
        <f t="shared" ca="1" si="33"/>
        <v>0</v>
      </c>
      <c r="AG90" s="127">
        <f t="shared" ca="1" si="33"/>
        <v>0</v>
      </c>
      <c r="AH90" s="127">
        <f t="shared" ca="1" si="33"/>
        <v>0</v>
      </c>
      <c r="AI90" s="127">
        <f t="shared" ca="1" si="33"/>
        <v>0</v>
      </c>
      <c r="AJ90" s="128">
        <f t="shared" ca="1" si="33"/>
        <v>0</v>
      </c>
      <c r="AK90" s="126">
        <f t="shared" ca="1" si="33"/>
        <v>0</v>
      </c>
      <c r="AL90" s="127">
        <f t="shared" ca="1" si="33"/>
        <v>0</v>
      </c>
      <c r="AM90" s="127">
        <f t="shared" ca="1" si="33"/>
        <v>0</v>
      </c>
      <c r="AN90" s="127">
        <f t="shared" ca="1" si="33"/>
        <v>0</v>
      </c>
      <c r="AO90" s="129">
        <f t="shared" ca="1" si="33"/>
        <v>0</v>
      </c>
      <c r="AP90" s="536" t="str">
        <f t="shared" si="28"/>
        <v/>
      </c>
      <c r="AQ90" s="536" t="str">
        <f t="shared" si="29"/>
        <v/>
      </c>
      <c r="AR90" s="536" t="str">
        <f t="shared" si="30"/>
        <v/>
      </c>
      <c r="AS90" s="537">
        <f>IF(OR(J90&lt;&gt;"",AP90&amp;AQ90&amp;AR90&lt;&gt;"X",WEEKDAY(I90,2)&gt;5,C90&lt;&gt;0,(FechaInicio1Tri&gt;I90),(FechaFinEEva&lt;I90)),0,_xlfn.XLOOKUP(WEEKDAY(I90,2),Fchs!$J$10:$N$10,Fchs!$J$12:$N$12))</f>
        <v>0</v>
      </c>
      <c r="AT90" s="536">
        <f t="shared" ca="1" si="31"/>
        <v>0</v>
      </c>
      <c r="AU90" s="538">
        <f>IF(AS90&lt;&gt;0,MAXA($AU$14:AU89)+AS90,0)</f>
        <v>0</v>
      </c>
      <c r="AV90" s="538">
        <f ca="1">IF(AT90&lt;&gt;0,MAXA($AU$14:AU89)+AT90,0)</f>
        <v>0</v>
      </c>
      <c r="AW90" s="68"/>
    </row>
    <row r="91" spans="1:49" ht="18.75" customHeight="1" x14ac:dyDescent="0.25">
      <c r="A91" s="68"/>
      <c r="B91" s="56" t="str">
        <f>MID(Info!$AZ$3,(WEEKDAY(I91,2)-1)*3+1,3)</f>
        <v>Lun</v>
      </c>
      <c r="C91" s="523">
        <f>_xlfn.XLOOKUP(I91,Fchs!$I$60:$I$101,Fchs!$J$60:$J$101,0)</f>
        <v>0</v>
      </c>
      <c r="D91" s="523">
        <f>_xlfn.XLOOKUP(I91,Fchs!$I$60:$I$101,Fchs!$K$60:$K$101)</f>
        <v>0</v>
      </c>
      <c r="E91" s="532" t="str">
        <f>IF($AS91&lt;&gt;0,_xlfn.XLOOKUP($G91,UDs!$E$34:$E$55,UDs!$B$34:$B$55,,-1),0)</f>
        <v>UD02</v>
      </c>
      <c r="F91" s="532" t="str">
        <f t="shared" ca="1" si="27"/>
        <v>UD02</v>
      </c>
      <c r="G91" s="569">
        <f>IF(AU91&lt;&gt;0,MAX($AU$13:$AU90)+1,0)</f>
        <v>38</v>
      </c>
      <c r="H91" s="569">
        <f>IF(AS91&lt;&gt;0,COUNT($H$14:H90,1),"")</f>
        <v>38</v>
      </c>
      <c r="I91" s="533">
        <f t="shared" si="32"/>
        <v>45971</v>
      </c>
      <c r="J91" s="534"/>
      <c r="K91" s="535"/>
      <c r="L91" s="126">
        <f t="shared" ca="1" si="34"/>
        <v>1</v>
      </c>
      <c r="M91" s="127">
        <f t="shared" ca="1" si="34"/>
        <v>1</v>
      </c>
      <c r="N91" s="127">
        <f t="shared" ca="1" si="34"/>
        <v>1</v>
      </c>
      <c r="O91" s="127">
        <f t="shared" ca="1" si="34"/>
        <v>1</v>
      </c>
      <c r="P91" s="128">
        <f t="shared" ca="1" si="34"/>
        <v>1</v>
      </c>
      <c r="Q91" s="126">
        <f t="shared" ca="1" si="34"/>
        <v>1</v>
      </c>
      <c r="R91" s="127">
        <f t="shared" ca="1" si="34"/>
        <v>1</v>
      </c>
      <c r="S91" s="127">
        <f t="shared" ca="1" si="34"/>
        <v>1</v>
      </c>
      <c r="T91" s="127">
        <f t="shared" ca="1" si="34"/>
        <v>1</v>
      </c>
      <c r="U91" s="128">
        <f t="shared" ca="1" si="34"/>
        <v>1</v>
      </c>
      <c r="V91" s="126">
        <f t="shared" ca="1" si="34"/>
        <v>1</v>
      </c>
      <c r="W91" s="127">
        <f t="shared" ca="1" si="34"/>
        <v>1</v>
      </c>
      <c r="X91" s="127">
        <f t="shared" ca="1" si="34"/>
        <v>1</v>
      </c>
      <c r="Y91" s="127">
        <f t="shared" ca="1" si="34"/>
        <v>1</v>
      </c>
      <c r="Z91" s="128">
        <f t="shared" ca="1" si="34"/>
        <v>1</v>
      </c>
      <c r="AA91" s="126">
        <f t="shared" ca="1" si="34"/>
        <v>1</v>
      </c>
      <c r="AB91" s="127">
        <f t="shared" ca="1" si="33"/>
        <v>1</v>
      </c>
      <c r="AC91" s="127">
        <f t="shared" ca="1" si="33"/>
        <v>1</v>
      </c>
      <c r="AD91" s="127">
        <f t="shared" ca="1" si="33"/>
        <v>1</v>
      </c>
      <c r="AE91" s="128">
        <f t="shared" ca="1" si="33"/>
        <v>1</v>
      </c>
      <c r="AF91" s="126">
        <f t="shared" ca="1" si="33"/>
        <v>1</v>
      </c>
      <c r="AG91" s="127">
        <f t="shared" ca="1" si="33"/>
        <v>1</v>
      </c>
      <c r="AH91" s="127">
        <f t="shared" ca="1" si="33"/>
        <v>1</v>
      </c>
      <c r="AI91" s="127">
        <f t="shared" ca="1" si="33"/>
        <v>1</v>
      </c>
      <c r="AJ91" s="128">
        <f t="shared" ca="1" si="33"/>
        <v>1</v>
      </c>
      <c r="AK91" s="126">
        <f t="shared" ca="1" si="33"/>
        <v>1</v>
      </c>
      <c r="AL91" s="127">
        <f t="shared" ca="1" si="33"/>
        <v>1</v>
      </c>
      <c r="AM91" s="127">
        <f t="shared" ca="1" si="33"/>
        <v>1</v>
      </c>
      <c r="AN91" s="127">
        <f t="shared" ca="1" si="33"/>
        <v>1</v>
      </c>
      <c r="AO91" s="129">
        <f t="shared" ca="1" si="33"/>
        <v>1</v>
      </c>
      <c r="AP91" s="536" t="str">
        <f t="shared" si="28"/>
        <v>X</v>
      </c>
      <c r="AQ91" s="536" t="str">
        <f t="shared" si="29"/>
        <v/>
      </c>
      <c r="AR91" s="536" t="str">
        <f t="shared" si="30"/>
        <v/>
      </c>
      <c r="AS91" s="537">
        <f>IF(OR(J91&lt;&gt;"",AP91&amp;AQ91&amp;AR91&lt;&gt;"X",WEEKDAY(I91,2)&gt;5,C91&lt;&gt;0,(FechaInicio1Tri&gt;I91),(FechaFinEEva&lt;I91)),0,_xlfn.XLOOKUP(WEEKDAY(I91,2),Fchs!$J$10:$N$10,Fchs!$J$12:$N$12))</f>
        <v>1</v>
      </c>
      <c r="AT91" s="536">
        <f t="shared" ca="1" si="31"/>
        <v>1</v>
      </c>
      <c r="AU91" s="538">
        <f>IF(AS91&lt;&gt;0,MAXA($AU$14:AU90)+AS91,0)</f>
        <v>38</v>
      </c>
      <c r="AV91" s="538">
        <f ca="1">IF(AT91&lt;&gt;0,MAXA($AU$14:AU90)+AT91,0)</f>
        <v>38</v>
      </c>
      <c r="AW91" s="68"/>
    </row>
    <row r="92" spans="1:49" ht="18.75" customHeight="1" x14ac:dyDescent="0.25">
      <c r="A92" s="68"/>
      <c r="B92" s="56" t="str">
        <f>MID(Info!$AZ$3,(WEEKDAY(I92,2)-1)*3+1,3)</f>
        <v>Mar</v>
      </c>
      <c r="C92" s="523">
        <f>_xlfn.XLOOKUP(I92,Fchs!$I$60:$I$101,Fchs!$J$60:$J$101,0)</f>
        <v>0</v>
      </c>
      <c r="D92" s="523">
        <f>_xlfn.XLOOKUP(I92,Fchs!$I$60:$I$101,Fchs!$K$60:$K$101)</f>
        <v>0</v>
      </c>
      <c r="E92" s="532" t="str">
        <f>IF($AS92&lt;&gt;0,_xlfn.XLOOKUP($G92,UDs!$E$34:$E$55,UDs!$B$34:$B$55,,-1),0)</f>
        <v>UD02</v>
      </c>
      <c r="F92" s="532" t="str">
        <f t="shared" ca="1" si="27"/>
        <v>UD02</v>
      </c>
      <c r="G92" s="569">
        <f>IF(AU92&lt;&gt;0,MAX($AU$13:$AU91)+1,0)</f>
        <v>39</v>
      </c>
      <c r="H92" s="569">
        <f>IF(AS92&lt;&gt;0,COUNT($H$14:H91,1),"")</f>
        <v>39</v>
      </c>
      <c r="I92" s="533">
        <f t="shared" si="32"/>
        <v>45972</v>
      </c>
      <c r="J92" s="534"/>
      <c r="K92" s="535"/>
      <c r="L92" s="126">
        <f t="shared" ca="1" si="34"/>
        <v>1</v>
      </c>
      <c r="M92" s="127">
        <f t="shared" ca="1" si="34"/>
        <v>1</v>
      </c>
      <c r="N92" s="127">
        <f t="shared" ca="1" si="34"/>
        <v>1</v>
      </c>
      <c r="O92" s="127">
        <f t="shared" ca="1" si="34"/>
        <v>1</v>
      </c>
      <c r="P92" s="128">
        <f t="shared" ca="1" si="34"/>
        <v>1</v>
      </c>
      <c r="Q92" s="126">
        <f t="shared" ca="1" si="34"/>
        <v>1</v>
      </c>
      <c r="R92" s="127">
        <f t="shared" ca="1" si="34"/>
        <v>1</v>
      </c>
      <c r="S92" s="127">
        <f t="shared" ca="1" si="34"/>
        <v>1</v>
      </c>
      <c r="T92" s="127">
        <f t="shared" ca="1" si="34"/>
        <v>1</v>
      </c>
      <c r="U92" s="128">
        <f t="shared" ca="1" si="34"/>
        <v>1</v>
      </c>
      <c r="V92" s="126">
        <f t="shared" ca="1" si="34"/>
        <v>1</v>
      </c>
      <c r="W92" s="127">
        <f t="shared" ca="1" si="34"/>
        <v>1</v>
      </c>
      <c r="X92" s="127">
        <f t="shared" ca="1" si="34"/>
        <v>1</v>
      </c>
      <c r="Y92" s="127">
        <f t="shared" ca="1" si="34"/>
        <v>1</v>
      </c>
      <c r="Z92" s="128">
        <f t="shared" ca="1" si="34"/>
        <v>1</v>
      </c>
      <c r="AA92" s="126">
        <f t="shared" ca="1" si="34"/>
        <v>1</v>
      </c>
      <c r="AB92" s="127">
        <f t="shared" ca="1" si="33"/>
        <v>1</v>
      </c>
      <c r="AC92" s="127">
        <f t="shared" ca="1" si="33"/>
        <v>1</v>
      </c>
      <c r="AD92" s="127">
        <f t="shared" ca="1" si="33"/>
        <v>1</v>
      </c>
      <c r="AE92" s="128">
        <f t="shared" ca="1" si="33"/>
        <v>1</v>
      </c>
      <c r="AF92" s="126">
        <f t="shared" ca="1" si="33"/>
        <v>1</v>
      </c>
      <c r="AG92" s="127">
        <f t="shared" ca="1" si="33"/>
        <v>1</v>
      </c>
      <c r="AH92" s="127">
        <f t="shared" ca="1" si="33"/>
        <v>1</v>
      </c>
      <c r="AI92" s="127">
        <f t="shared" ca="1" si="33"/>
        <v>1</v>
      </c>
      <c r="AJ92" s="128">
        <f t="shared" ca="1" si="33"/>
        <v>1</v>
      </c>
      <c r="AK92" s="126">
        <f t="shared" ca="1" si="33"/>
        <v>1</v>
      </c>
      <c r="AL92" s="127">
        <f t="shared" ca="1" si="33"/>
        <v>1</v>
      </c>
      <c r="AM92" s="127">
        <f t="shared" ca="1" si="33"/>
        <v>1</v>
      </c>
      <c r="AN92" s="127">
        <f t="shared" ca="1" si="33"/>
        <v>1</v>
      </c>
      <c r="AO92" s="129">
        <f t="shared" ca="1" si="33"/>
        <v>1</v>
      </c>
      <c r="AP92" s="536" t="str">
        <f t="shared" si="28"/>
        <v>X</v>
      </c>
      <c r="AQ92" s="536" t="str">
        <f t="shared" si="29"/>
        <v/>
      </c>
      <c r="AR92" s="536" t="str">
        <f t="shared" si="30"/>
        <v/>
      </c>
      <c r="AS92" s="537">
        <f>IF(OR(J92&lt;&gt;"",AP92&amp;AQ92&amp;AR92&lt;&gt;"X",WEEKDAY(I92,2)&gt;5,C92&lt;&gt;0,(FechaInicio1Tri&gt;I92),(FechaFinEEva&lt;I92)),0,_xlfn.XLOOKUP(WEEKDAY(I92,2),Fchs!$J$10:$N$10,Fchs!$J$12:$N$12))</f>
        <v>1</v>
      </c>
      <c r="AT92" s="536">
        <f t="shared" ca="1" si="31"/>
        <v>1</v>
      </c>
      <c r="AU92" s="538">
        <f>IF(AS92&lt;&gt;0,MAXA($AU$14:AU91)+AS92,0)</f>
        <v>39</v>
      </c>
      <c r="AV92" s="538">
        <f ca="1">IF(AT92&lt;&gt;0,MAXA($AU$14:AU91)+AT92,0)</f>
        <v>39</v>
      </c>
      <c r="AW92" s="68"/>
    </row>
    <row r="93" spans="1:49" ht="18.75" customHeight="1" x14ac:dyDescent="0.25">
      <c r="A93" s="68"/>
      <c r="B93" s="56" t="str">
        <f>MID(Info!$AZ$3,(WEEKDAY(I93,2)-1)*3+1,3)</f>
        <v>Mié</v>
      </c>
      <c r="C93" s="523">
        <f>_xlfn.XLOOKUP(I93,Fchs!$I$60:$I$101,Fchs!$J$60:$J$101,0)</f>
        <v>0</v>
      </c>
      <c r="D93" s="523">
        <f>_xlfn.XLOOKUP(I93,Fchs!$I$60:$I$101,Fchs!$K$60:$K$101)</f>
        <v>0</v>
      </c>
      <c r="E93" s="532" t="str">
        <f>IF($AS93&lt;&gt;0,_xlfn.XLOOKUP($G93,UDs!$E$34:$E$55,UDs!$B$34:$B$55,,-1),0)</f>
        <v>UD02</v>
      </c>
      <c r="F93" s="532" t="str">
        <f t="shared" ca="1" si="27"/>
        <v>UD02</v>
      </c>
      <c r="G93" s="569">
        <f>IF(AU93&lt;&gt;0,MAX($AU$13:$AU92)+1,0)</f>
        <v>40</v>
      </c>
      <c r="H93" s="569">
        <f>IF(AS93&lt;&gt;0,COUNT($H$14:H92,1),"")</f>
        <v>40</v>
      </c>
      <c r="I93" s="533">
        <f t="shared" si="32"/>
        <v>45973</v>
      </c>
      <c r="J93" s="534"/>
      <c r="K93" s="535"/>
      <c r="L93" s="126">
        <f t="shared" ref="L93:L96" ca="1" si="35">$AT93</f>
        <v>1</v>
      </c>
      <c r="M93" s="127">
        <f t="shared" ca="1" si="34"/>
        <v>1</v>
      </c>
      <c r="N93" s="127">
        <f t="shared" ca="1" si="34"/>
        <v>1</v>
      </c>
      <c r="O93" s="127">
        <f t="shared" ca="1" si="34"/>
        <v>1</v>
      </c>
      <c r="P93" s="128">
        <f t="shared" ca="1" si="34"/>
        <v>1</v>
      </c>
      <c r="Q93" s="126">
        <f t="shared" ca="1" si="34"/>
        <v>1</v>
      </c>
      <c r="R93" s="127">
        <f t="shared" ca="1" si="34"/>
        <v>1</v>
      </c>
      <c r="S93" s="127">
        <f t="shared" ca="1" si="34"/>
        <v>1</v>
      </c>
      <c r="T93" s="127">
        <f t="shared" ca="1" si="34"/>
        <v>1</v>
      </c>
      <c r="U93" s="128">
        <f t="shared" ca="1" si="34"/>
        <v>1</v>
      </c>
      <c r="V93" s="126">
        <f t="shared" ca="1" si="34"/>
        <v>1</v>
      </c>
      <c r="W93" s="127">
        <f t="shared" ca="1" si="34"/>
        <v>1</v>
      </c>
      <c r="X93" s="127">
        <f t="shared" ca="1" si="34"/>
        <v>1</v>
      </c>
      <c r="Y93" s="127">
        <f t="shared" ca="1" si="34"/>
        <v>1</v>
      </c>
      <c r="Z93" s="128">
        <f t="shared" ca="1" si="34"/>
        <v>1</v>
      </c>
      <c r="AA93" s="126">
        <f t="shared" ca="1" si="34"/>
        <v>1</v>
      </c>
      <c r="AB93" s="127">
        <f t="shared" ca="1" si="33"/>
        <v>1</v>
      </c>
      <c r="AC93" s="127">
        <f t="shared" ca="1" si="33"/>
        <v>1</v>
      </c>
      <c r="AD93" s="127">
        <f t="shared" ca="1" si="33"/>
        <v>1</v>
      </c>
      <c r="AE93" s="128">
        <f t="shared" ca="1" si="33"/>
        <v>1</v>
      </c>
      <c r="AF93" s="126">
        <f t="shared" ca="1" si="33"/>
        <v>1</v>
      </c>
      <c r="AG93" s="127">
        <f t="shared" ca="1" si="33"/>
        <v>1</v>
      </c>
      <c r="AH93" s="127">
        <f t="shared" ca="1" si="33"/>
        <v>1</v>
      </c>
      <c r="AI93" s="127">
        <f t="shared" ca="1" si="33"/>
        <v>1</v>
      </c>
      <c r="AJ93" s="128">
        <f t="shared" ca="1" si="33"/>
        <v>1</v>
      </c>
      <c r="AK93" s="126">
        <f t="shared" ca="1" si="33"/>
        <v>1</v>
      </c>
      <c r="AL93" s="127">
        <f t="shared" ca="1" si="33"/>
        <v>1</v>
      </c>
      <c r="AM93" s="127">
        <f t="shared" ca="1" si="33"/>
        <v>1</v>
      </c>
      <c r="AN93" s="127">
        <f t="shared" ca="1" si="33"/>
        <v>1</v>
      </c>
      <c r="AO93" s="129">
        <f t="shared" ca="1" si="33"/>
        <v>1</v>
      </c>
      <c r="AP93" s="536" t="str">
        <f t="shared" si="28"/>
        <v>X</v>
      </c>
      <c r="AQ93" s="536" t="str">
        <f t="shared" si="29"/>
        <v/>
      </c>
      <c r="AR93" s="536" t="str">
        <f t="shared" si="30"/>
        <v/>
      </c>
      <c r="AS93" s="537">
        <f>IF(OR(J93&lt;&gt;"",AP93&amp;AQ93&amp;AR93&lt;&gt;"X",WEEKDAY(I93,2)&gt;5,C93&lt;&gt;0,(FechaInicio1Tri&gt;I93),(FechaFinEEva&lt;I93)),0,_xlfn.XLOOKUP(WEEKDAY(I93,2),Fchs!$J$10:$N$10,Fchs!$J$12:$N$12))</f>
        <v>1</v>
      </c>
      <c r="AT93" s="536">
        <f t="shared" ca="1" si="31"/>
        <v>1</v>
      </c>
      <c r="AU93" s="538">
        <f>IF(AS93&lt;&gt;0,MAXA($AU$14:AU92)+AS93,0)</f>
        <v>40</v>
      </c>
      <c r="AV93" s="538">
        <f ca="1">IF(AT93&lt;&gt;0,MAXA($AU$14:AU92)+AT93,0)</f>
        <v>40</v>
      </c>
      <c r="AW93" s="68"/>
    </row>
    <row r="94" spans="1:49" ht="18.75" customHeight="1" x14ac:dyDescent="0.25">
      <c r="A94" s="68"/>
      <c r="B94" s="56" t="str">
        <f>MID(Info!$AZ$3,(WEEKDAY(I94,2)-1)*3+1,3)</f>
        <v>Jue</v>
      </c>
      <c r="C94" s="523">
        <f>_xlfn.XLOOKUP(I94,Fchs!$I$60:$I$101,Fchs!$J$60:$J$101,0)</f>
        <v>0</v>
      </c>
      <c r="D94" s="523">
        <f>_xlfn.XLOOKUP(I94,Fchs!$I$60:$I$101,Fchs!$K$60:$K$101)</f>
        <v>0</v>
      </c>
      <c r="E94" s="532" t="str">
        <f>IF($AS94&lt;&gt;0,_xlfn.XLOOKUP($G94,UDs!$E$34:$E$55,UDs!$B$34:$B$55,,-1),0)</f>
        <v>UD02</v>
      </c>
      <c r="F94" s="532" t="str">
        <f t="shared" ca="1" si="27"/>
        <v>UD02</v>
      </c>
      <c r="G94" s="569">
        <f>IF(AU94&lt;&gt;0,MAX($AU$13:$AU93)+1,0)</f>
        <v>41</v>
      </c>
      <c r="H94" s="569">
        <f>IF(AS94&lt;&gt;0,COUNT($H$14:H93,1),"")</f>
        <v>41</v>
      </c>
      <c r="I94" s="533">
        <f t="shared" si="32"/>
        <v>45974</v>
      </c>
      <c r="J94" s="534"/>
      <c r="K94" s="535"/>
      <c r="L94" s="126">
        <f t="shared" ca="1" si="35"/>
        <v>1</v>
      </c>
      <c r="M94" s="127">
        <f t="shared" ca="1" si="34"/>
        <v>1</v>
      </c>
      <c r="N94" s="127">
        <f t="shared" ca="1" si="34"/>
        <v>1</v>
      </c>
      <c r="O94" s="127">
        <f t="shared" ca="1" si="34"/>
        <v>1</v>
      </c>
      <c r="P94" s="128">
        <f t="shared" ca="1" si="34"/>
        <v>1</v>
      </c>
      <c r="Q94" s="126">
        <f t="shared" ca="1" si="34"/>
        <v>1</v>
      </c>
      <c r="R94" s="127">
        <f t="shared" ca="1" si="34"/>
        <v>1</v>
      </c>
      <c r="S94" s="127">
        <f t="shared" ca="1" si="34"/>
        <v>1</v>
      </c>
      <c r="T94" s="127">
        <f t="shared" ca="1" si="34"/>
        <v>1</v>
      </c>
      <c r="U94" s="128">
        <f t="shared" ca="1" si="34"/>
        <v>1</v>
      </c>
      <c r="V94" s="126">
        <f t="shared" ca="1" si="34"/>
        <v>1</v>
      </c>
      <c r="W94" s="127">
        <f t="shared" ca="1" si="34"/>
        <v>1</v>
      </c>
      <c r="X94" s="127">
        <f t="shared" ca="1" si="34"/>
        <v>1</v>
      </c>
      <c r="Y94" s="127">
        <f t="shared" ca="1" si="34"/>
        <v>1</v>
      </c>
      <c r="Z94" s="128">
        <f t="shared" ca="1" si="34"/>
        <v>1</v>
      </c>
      <c r="AA94" s="126">
        <f t="shared" ca="1" si="34"/>
        <v>1</v>
      </c>
      <c r="AB94" s="127">
        <f t="shared" ca="1" si="33"/>
        <v>1</v>
      </c>
      <c r="AC94" s="127">
        <f t="shared" ca="1" si="33"/>
        <v>1</v>
      </c>
      <c r="AD94" s="127">
        <f t="shared" ca="1" si="33"/>
        <v>1</v>
      </c>
      <c r="AE94" s="128">
        <f t="shared" ca="1" si="33"/>
        <v>1</v>
      </c>
      <c r="AF94" s="126">
        <f t="shared" ca="1" si="33"/>
        <v>1</v>
      </c>
      <c r="AG94" s="127">
        <f t="shared" ca="1" si="33"/>
        <v>1</v>
      </c>
      <c r="AH94" s="127">
        <f t="shared" ca="1" si="33"/>
        <v>1</v>
      </c>
      <c r="AI94" s="127">
        <f t="shared" ca="1" si="33"/>
        <v>1</v>
      </c>
      <c r="AJ94" s="128">
        <f t="shared" ca="1" si="33"/>
        <v>1</v>
      </c>
      <c r="AK94" s="126">
        <f t="shared" ca="1" si="33"/>
        <v>1</v>
      </c>
      <c r="AL94" s="127">
        <f t="shared" ca="1" si="33"/>
        <v>1</v>
      </c>
      <c r="AM94" s="127">
        <f t="shared" ca="1" si="33"/>
        <v>1</v>
      </c>
      <c r="AN94" s="127">
        <f t="shared" ca="1" si="33"/>
        <v>1</v>
      </c>
      <c r="AO94" s="129">
        <f t="shared" ca="1" si="33"/>
        <v>1</v>
      </c>
      <c r="AP94" s="536" t="str">
        <f t="shared" si="28"/>
        <v>X</v>
      </c>
      <c r="AQ94" s="536" t="str">
        <f t="shared" si="29"/>
        <v/>
      </c>
      <c r="AR94" s="536" t="str">
        <f t="shared" si="30"/>
        <v/>
      </c>
      <c r="AS94" s="537">
        <f>IF(OR(J94&lt;&gt;"",AP94&amp;AQ94&amp;AR94&lt;&gt;"X",WEEKDAY(I94,2)&gt;5,C94&lt;&gt;0,(FechaInicio1Tri&gt;I94),(FechaFinEEva&lt;I94)),0,_xlfn.XLOOKUP(WEEKDAY(I94,2),Fchs!$J$10:$N$10,Fchs!$J$12:$N$12))</f>
        <v>1</v>
      </c>
      <c r="AT94" s="536">
        <f t="shared" ca="1" si="31"/>
        <v>1</v>
      </c>
      <c r="AU94" s="538">
        <f>IF(AS94&lt;&gt;0,MAXA($AU$14:AU93)+AS94,0)</f>
        <v>41</v>
      </c>
      <c r="AV94" s="538">
        <f ca="1">IF(AT94&lt;&gt;0,MAXA($AU$14:AU93)+AT94,0)</f>
        <v>41</v>
      </c>
      <c r="AW94" s="68"/>
    </row>
    <row r="95" spans="1:49" ht="18.75" customHeight="1" x14ac:dyDescent="0.25">
      <c r="A95" s="68"/>
      <c r="B95" s="56" t="str">
        <f>MID(Info!$AZ$3,(WEEKDAY(I95,2)-1)*3+1,3)</f>
        <v>Vie</v>
      </c>
      <c r="C95" s="523">
        <f>_xlfn.XLOOKUP(I95,Fchs!$I$60:$I$101,Fchs!$J$60:$J$101,0)</f>
        <v>0</v>
      </c>
      <c r="D95" s="523">
        <f>_xlfn.XLOOKUP(I95,Fchs!$I$60:$I$101,Fchs!$K$60:$K$101)</f>
        <v>0</v>
      </c>
      <c r="E95" s="532" t="str">
        <f>IF($AS95&lt;&gt;0,_xlfn.XLOOKUP($G95,UDs!$E$34:$E$55,UDs!$B$34:$B$55,,-1),0)</f>
        <v>UD02</v>
      </c>
      <c r="F95" s="532" t="str">
        <f t="shared" ca="1" si="27"/>
        <v>UD02</v>
      </c>
      <c r="G95" s="569">
        <f>IF(AU95&lt;&gt;0,MAX($AU$13:$AU94)+1,0)</f>
        <v>42</v>
      </c>
      <c r="H95" s="569">
        <f>IF(AS95&lt;&gt;0,COUNT($H$14:H94,1),"")</f>
        <v>42</v>
      </c>
      <c r="I95" s="533">
        <f t="shared" si="32"/>
        <v>45975</v>
      </c>
      <c r="J95" s="534"/>
      <c r="K95" s="535"/>
      <c r="L95" s="126">
        <f t="shared" ca="1" si="35"/>
        <v>1</v>
      </c>
      <c r="M95" s="127">
        <f t="shared" ca="1" si="34"/>
        <v>1</v>
      </c>
      <c r="N95" s="127">
        <f t="shared" ca="1" si="34"/>
        <v>1</v>
      </c>
      <c r="O95" s="127">
        <f t="shared" ca="1" si="34"/>
        <v>1</v>
      </c>
      <c r="P95" s="128">
        <f t="shared" ca="1" si="34"/>
        <v>1</v>
      </c>
      <c r="Q95" s="126">
        <f t="shared" ca="1" si="34"/>
        <v>1</v>
      </c>
      <c r="R95" s="127">
        <f t="shared" ca="1" si="34"/>
        <v>1</v>
      </c>
      <c r="S95" s="127">
        <f t="shared" ca="1" si="34"/>
        <v>1</v>
      </c>
      <c r="T95" s="127">
        <f t="shared" ca="1" si="34"/>
        <v>1</v>
      </c>
      <c r="U95" s="128">
        <f t="shared" ca="1" si="34"/>
        <v>1</v>
      </c>
      <c r="V95" s="126">
        <f t="shared" ca="1" si="34"/>
        <v>1</v>
      </c>
      <c r="W95" s="127">
        <f t="shared" ca="1" si="34"/>
        <v>1</v>
      </c>
      <c r="X95" s="127">
        <f t="shared" ca="1" si="34"/>
        <v>1</v>
      </c>
      <c r="Y95" s="127">
        <f t="shared" ca="1" si="34"/>
        <v>1</v>
      </c>
      <c r="Z95" s="128">
        <f t="shared" ca="1" si="34"/>
        <v>1</v>
      </c>
      <c r="AA95" s="126">
        <f t="shared" ca="1" si="34"/>
        <v>1</v>
      </c>
      <c r="AB95" s="127">
        <f t="shared" ca="1" si="33"/>
        <v>1</v>
      </c>
      <c r="AC95" s="127">
        <f t="shared" ca="1" si="33"/>
        <v>1</v>
      </c>
      <c r="AD95" s="127">
        <f t="shared" ca="1" si="33"/>
        <v>1</v>
      </c>
      <c r="AE95" s="128">
        <f t="shared" ca="1" si="33"/>
        <v>1</v>
      </c>
      <c r="AF95" s="126">
        <f t="shared" ca="1" si="33"/>
        <v>1</v>
      </c>
      <c r="AG95" s="127">
        <f t="shared" ca="1" si="33"/>
        <v>1</v>
      </c>
      <c r="AH95" s="127">
        <f t="shared" ca="1" si="33"/>
        <v>1</v>
      </c>
      <c r="AI95" s="127">
        <f t="shared" ca="1" si="33"/>
        <v>1</v>
      </c>
      <c r="AJ95" s="128">
        <f t="shared" ca="1" si="33"/>
        <v>1</v>
      </c>
      <c r="AK95" s="126">
        <f t="shared" ca="1" si="33"/>
        <v>1</v>
      </c>
      <c r="AL95" s="127">
        <f t="shared" ca="1" si="33"/>
        <v>1</v>
      </c>
      <c r="AM95" s="127">
        <f t="shared" ca="1" si="33"/>
        <v>1</v>
      </c>
      <c r="AN95" s="127">
        <f t="shared" ca="1" si="33"/>
        <v>1</v>
      </c>
      <c r="AO95" s="129">
        <f t="shared" ca="1" si="33"/>
        <v>1</v>
      </c>
      <c r="AP95" s="536" t="str">
        <f t="shared" si="28"/>
        <v>X</v>
      </c>
      <c r="AQ95" s="536" t="str">
        <f t="shared" si="29"/>
        <v/>
      </c>
      <c r="AR95" s="536" t="str">
        <f t="shared" si="30"/>
        <v/>
      </c>
      <c r="AS95" s="537">
        <f>IF(OR(J95&lt;&gt;"",AP95&amp;AQ95&amp;AR95&lt;&gt;"X",WEEKDAY(I95,2)&gt;5,C95&lt;&gt;0,(FechaInicio1Tri&gt;I95),(FechaFinEEva&lt;I95)),0,_xlfn.XLOOKUP(WEEKDAY(I95,2),Fchs!$J$10:$N$10,Fchs!$J$12:$N$12))</f>
        <v>1</v>
      </c>
      <c r="AT95" s="536">
        <f t="shared" ca="1" si="31"/>
        <v>1</v>
      </c>
      <c r="AU95" s="538">
        <f>IF(AS95&lt;&gt;0,MAXA($AU$14:AU94)+AS95,0)</f>
        <v>42</v>
      </c>
      <c r="AV95" s="538">
        <f ca="1">IF(AT95&lt;&gt;0,MAXA($AU$14:AU94)+AT95,0)</f>
        <v>42</v>
      </c>
      <c r="AW95" s="68"/>
    </row>
    <row r="96" spans="1:49" ht="18.75" customHeight="1" x14ac:dyDescent="0.25">
      <c r="A96" s="68"/>
      <c r="B96" s="56" t="str">
        <f>MID(Info!$AZ$3,(WEEKDAY(I96,2)-1)*3+1,3)</f>
        <v>Sáb</v>
      </c>
      <c r="C96" s="523">
        <f>_xlfn.XLOOKUP(I96,Fchs!$I$60:$I$101,Fchs!$J$60:$J$101,0)</f>
        <v>0</v>
      </c>
      <c r="D96" s="523">
        <f>_xlfn.XLOOKUP(I96,Fchs!$I$60:$I$101,Fchs!$K$60:$K$101)</f>
        <v>0</v>
      </c>
      <c r="E96" s="532">
        <f>IF($AS96&lt;&gt;0,_xlfn.XLOOKUP($G96,UDs!$E$34:$E$55,UDs!$B$34:$B$55,,-1),0)</f>
        <v>0</v>
      </c>
      <c r="F96" s="532">
        <f t="shared" ca="1" si="27"/>
        <v>0</v>
      </c>
      <c r="G96" s="569">
        <f>IF(AU96&lt;&gt;0,MAX($AU$13:$AU95)+1,0)</f>
        <v>0</v>
      </c>
      <c r="H96" s="569" t="str">
        <f>IF(AS96&lt;&gt;0,COUNT($H$14:H95,1),"")</f>
        <v/>
      </c>
      <c r="I96" s="533">
        <f t="shared" si="32"/>
        <v>45976</v>
      </c>
      <c r="J96" s="534"/>
      <c r="K96" s="535"/>
      <c r="L96" s="126">
        <f t="shared" ca="1" si="35"/>
        <v>0</v>
      </c>
      <c r="M96" s="127">
        <f t="shared" ca="1" si="34"/>
        <v>0</v>
      </c>
      <c r="N96" s="127">
        <f t="shared" ca="1" si="34"/>
        <v>0</v>
      </c>
      <c r="O96" s="127">
        <f t="shared" ca="1" si="34"/>
        <v>0</v>
      </c>
      <c r="P96" s="128">
        <f t="shared" ca="1" si="34"/>
        <v>0</v>
      </c>
      <c r="Q96" s="126">
        <f t="shared" ca="1" si="34"/>
        <v>0</v>
      </c>
      <c r="R96" s="127">
        <f t="shared" ca="1" si="34"/>
        <v>0</v>
      </c>
      <c r="S96" s="127">
        <f t="shared" ca="1" si="34"/>
        <v>0</v>
      </c>
      <c r="T96" s="127">
        <f t="shared" ca="1" si="34"/>
        <v>0</v>
      </c>
      <c r="U96" s="128">
        <f t="shared" ca="1" si="34"/>
        <v>0</v>
      </c>
      <c r="V96" s="126">
        <f t="shared" ca="1" si="34"/>
        <v>0</v>
      </c>
      <c r="W96" s="127">
        <f t="shared" ca="1" si="34"/>
        <v>0</v>
      </c>
      <c r="X96" s="127">
        <f t="shared" ca="1" si="34"/>
        <v>0</v>
      </c>
      <c r="Y96" s="127">
        <f t="shared" ca="1" si="34"/>
        <v>0</v>
      </c>
      <c r="Z96" s="128">
        <f t="shared" ca="1" si="34"/>
        <v>0</v>
      </c>
      <c r="AA96" s="126">
        <f t="shared" ca="1" si="34"/>
        <v>0</v>
      </c>
      <c r="AB96" s="127">
        <f t="shared" ca="1" si="33"/>
        <v>0</v>
      </c>
      <c r="AC96" s="127">
        <f t="shared" ca="1" si="33"/>
        <v>0</v>
      </c>
      <c r="AD96" s="127">
        <f t="shared" ca="1" si="33"/>
        <v>0</v>
      </c>
      <c r="AE96" s="128">
        <f t="shared" ca="1" si="33"/>
        <v>0</v>
      </c>
      <c r="AF96" s="126">
        <f t="shared" ca="1" si="33"/>
        <v>0</v>
      </c>
      <c r="AG96" s="127">
        <f t="shared" ca="1" si="33"/>
        <v>0</v>
      </c>
      <c r="AH96" s="127">
        <f t="shared" ca="1" si="33"/>
        <v>0</v>
      </c>
      <c r="AI96" s="127">
        <f t="shared" ca="1" si="33"/>
        <v>0</v>
      </c>
      <c r="AJ96" s="128">
        <f t="shared" ca="1" si="33"/>
        <v>0</v>
      </c>
      <c r="AK96" s="126">
        <f t="shared" ca="1" si="33"/>
        <v>0</v>
      </c>
      <c r="AL96" s="127">
        <f t="shared" ca="1" si="33"/>
        <v>0</v>
      </c>
      <c r="AM96" s="127">
        <f t="shared" ca="1" si="33"/>
        <v>0</v>
      </c>
      <c r="AN96" s="127">
        <f t="shared" ca="1" si="33"/>
        <v>0</v>
      </c>
      <c r="AO96" s="129">
        <f t="shared" ca="1" si="33"/>
        <v>0</v>
      </c>
      <c r="AP96" s="536" t="str">
        <f t="shared" si="28"/>
        <v/>
      </c>
      <c r="AQ96" s="536" t="str">
        <f t="shared" si="29"/>
        <v/>
      </c>
      <c r="AR96" s="536" t="str">
        <f t="shared" si="30"/>
        <v/>
      </c>
      <c r="AS96" s="537">
        <f>IF(OR(J96&lt;&gt;"",AP96&amp;AQ96&amp;AR96&lt;&gt;"X",WEEKDAY(I96,2)&gt;5,C96&lt;&gt;0,(FechaInicio1Tri&gt;I96),(FechaFinEEva&lt;I96)),0,_xlfn.XLOOKUP(WEEKDAY(I96,2),Fchs!$J$10:$N$10,Fchs!$J$12:$N$12))</f>
        <v>0</v>
      </c>
      <c r="AT96" s="536">
        <f t="shared" ca="1" si="31"/>
        <v>0</v>
      </c>
      <c r="AU96" s="538">
        <f>IF(AS96&lt;&gt;0,MAXA($AU$14:AU95)+AS96,0)</f>
        <v>0</v>
      </c>
      <c r="AV96" s="538">
        <f ca="1">IF(AT96&lt;&gt;0,MAXA($AU$14:AU95)+AT96,0)</f>
        <v>0</v>
      </c>
      <c r="AW96" s="68"/>
    </row>
    <row r="97" spans="1:49" ht="18.75" customHeight="1" x14ac:dyDescent="0.25">
      <c r="A97" s="68"/>
      <c r="B97" s="56" t="str">
        <f>MID(Info!$AZ$3,(WEEKDAY(I97,2)-1)*3+1,3)</f>
        <v>Dom</v>
      </c>
      <c r="C97" s="523">
        <f>_xlfn.XLOOKUP(I97,Fchs!$I$60:$I$101,Fchs!$J$60:$J$101,0)</f>
        <v>0</v>
      </c>
      <c r="D97" s="523">
        <f>_xlfn.XLOOKUP(I97,Fchs!$I$60:$I$101,Fchs!$K$60:$K$101)</f>
        <v>0</v>
      </c>
      <c r="E97" s="532">
        <f>IF($AS97&lt;&gt;0,_xlfn.XLOOKUP($G97,UDs!$E$34:$E$55,UDs!$B$34:$B$55,,-1),0)</f>
        <v>0</v>
      </c>
      <c r="F97" s="532">
        <f t="shared" ca="1" si="27"/>
        <v>0</v>
      </c>
      <c r="G97" s="569">
        <f>IF(AU97&lt;&gt;0,MAX($AU$13:$AU96)+1,0)</f>
        <v>0</v>
      </c>
      <c r="H97" s="569" t="str">
        <f>IF(AS97&lt;&gt;0,COUNT($H$14:H96,1),"")</f>
        <v/>
      </c>
      <c r="I97" s="533">
        <f t="shared" si="32"/>
        <v>45977</v>
      </c>
      <c r="J97" s="534"/>
      <c r="K97" s="535"/>
      <c r="L97" s="126">
        <f t="shared" ca="1" si="34"/>
        <v>0</v>
      </c>
      <c r="M97" s="127">
        <f t="shared" ca="1" si="34"/>
        <v>0</v>
      </c>
      <c r="N97" s="127">
        <f t="shared" ca="1" si="34"/>
        <v>0</v>
      </c>
      <c r="O97" s="127">
        <f t="shared" ca="1" si="34"/>
        <v>0</v>
      </c>
      <c r="P97" s="128">
        <f t="shared" ca="1" si="34"/>
        <v>0</v>
      </c>
      <c r="Q97" s="126">
        <f t="shared" ca="1" si="34"/>
        <v>0</v>
      </c>
      <c r="R97" s="127">
        <f t="shared" ca="1" si="34"/>
        <v>0</v>
      </c>
      <c r="S97" s="127">
        <f t="shared" ca="1" si="34"/>
        <v>0</v>
      </c>
      <c r="T97" s="127">
        <f t="shared" ca="1" si="34"/>
        <v>0</v>
      </c>
      <c r="U97" s="128">
        <f t="shared" ca="1" si="34"/>
        <v>0</v>
      </c>
      <c r="V97" s="126">
        <f t="shared" ca="1" si="34"/>
        <v>0</v>
      </c>
      <c r="W97" s="127">
        <f t="shared" ca="1" si="34"/>
        <v>0</v>
      </c>
      <c r="X97" s="127">
        <f t="shared" ca="1" si="34"/>
        <v>0</v>
      </c>
      <c r="Y97" s="127">
        <f t="shared" ca="1" si="34"/>
        <v>0</v>
      </c>
      <c r="Z97" s="128">
        <f t="shared" ca="1" si="34"/>
        <v>0</v>
      </c>
      <c r="AA97" s="126">
        <f t="shared" ca="1" si="34"/>
        <v>0</v>
      </c>
      <c r="AB97" s="127">
        <f t="shared" ca="1" si="33"/>
        <v>0</v>
      </c>
      <c r="AC97" s="127">
        <f t="shared" ca="1" si="33"/>
        <v>0</v>
      </c>
      <c r="AD97" s="127">
        <f t="shared" ca="1" si="33"/>
        <v>0</v>
      </c>
      <c r="AE97" s="128">
        <f t="shared" ca="1" si="33"/>
        <v>0</v>
      </c>
      <c r="AF97" s="126">
        <f t="shared" ca="1" si="33"/>
        <v>0</v>
      </c>
      <c r="AG97" s="127">
        <f t="shared" ca="1" si="33"/>
        <v>0</v>
      </c>
      <c r="AH97" s="127">
        <f t="shared" ca="1" si="33"/>
        <v>0</v>
      </c>
      <c r="AI97" s="127">
        <f t="shared" ca="1" si="33"/>
        <v>0</v>
      </c>
      <c r="AJ97" s="128">
        <f t="shared" ca="1" si="33"/>
        <v>0</v>
      </c>
      <c r="AK97" s="126">
        <f t="shared" ca="1" si="33"/>
        <v>0</v>
      </c>
      <c r="AL97" s="127">
        <f t="shared" ca="1" si="33"/>
        <v>0</v>
      </c>
      <c r="AM97" s="127">
        <f t="shared" ca="1" si="33"/>
        <v>0</v>
      </c>
      <c r="AN97" s="127">
        <f t="shared" ca="1" si="33"/>
        <v>0</v>
      </c>
      <c r="AO97" s="129">
        <f t="shared" ca="1" si="33"/>
        <v>0</v>
      </c>
      <c r="AP97" s="536" t="str">
        <f t="shared" si="28"/>
        <v/>
      </c>
      <c r="AQ97" s="536" t="str">
        <f t="shared" si="29"/>
        <v/>
      </c>
      <c r="AR97" s="536" t="str">
        <f t="shared" si="30"/>
        <v/>
      </c>
      <c r="AS97" s="537">
        <f>IF(OR(J97&lt;&gt;"",AP97&amp;AQ97&amp;AR97&lt;&gt;"X",WEEKDAY(I97,2)&gt;5,C97&lt;&gt;0,(FechaInicio1Tri&gt;I97),(FechaFinEEva&lt;I97)),0,_xlfn.XLOOKUP(WEEKDAY(I97,2),Fchs!$J$10:$N$10,Fchs!$J$12:$N$12))</f>
        <v>0</v>
      </c>
      <c r="AT97" s="536">
        <f t="shared" ca="1" si="31"/>
        <v>0</v>
      </c>
      <c r="AU97" s="538">
        <f>IF(AS97&lt;&gt;0,MAXA($AU$14:AU96)+AS97,0)</f>
        <v>0</v>
      </c>
      <c r="AV97" s="538">
        <f ca="1">IF(AT97&lt;&gt;0,MAXA($AU$14:AU96)+AT97,0)</f>
        <v>0</v>
      </c>
      <c r="AW97" s="68"/>
    </row>
    <row r="98" spans="1:49" ht="18.75" customHeight="1" x14ac:dyDescent="0.25">
      <c r="A98" s="68"/>
      <c r="B98" s="56" t="str">
        <f>MID(Info!$AZ$3,(WEEKDAY(I98,2)-1)*3+1,3)</f>
        <v>Lun</v>
      </c>
      <c r="C98" s="523">
        <f>_xlfn.XLOOKUP(I98,Fchs!$I$60:$I$101,Fchs!$J$60:$J$101,0)</f>
        <v>0</v>
      </c>
      <c r="D98" s="523" t="str">
        <f>_xlfn.XLOOKUP(I98,Fchs!$I$60:$I$101,Fchs!$K$60:$K$101)</f>
        <v>1ºGx-Exam.1ªEv.</v>
      </c>
      <c r="E98" s="532" t="str">
        <f>IF($AS98&lt;&gt;0,_xlfn.XLOOKUP($G98,UDs!$E$34:$E$55,UDs!$B$34:$B$55,,-1),0)</f>
        <v>UD02</v>
      </c>
      <c r="F98" s="532" t="str">
        <f t="shared" ca="1" si="27"/>
        <v>UD02</v>
      </c>
      <c r="G98" s="569">
        <f>IF(AU98&lt;&gt;0,MAX($AU$13:$AU97)+1,0)</f>
        <v>43</v>
      </c>
      <c r="H98" s="569">
        <f>IF(AS98&lt;&gt;0,COUNT($H$14:H97,1),"")</f>
        <v>43</v>
      </c>
      <c r="I98" s="533">
        <f t="shared" si="32"/>
        <v>45978</v>
      </c>
      <c r="J98" s="534"/>
      <c r="K98" s="535"/>
      <c r="L98" s="126">
        <f t="shared" ca="1" si="34"/>
        <v>1</v>
      </c>
      <c r="M98" s="127">
        <f t="shared" ca="1" si="34"/>
        <v>1</v>
      </c>
      <c r="N98" s="127">
        <f t="shared" ca="1" si="34"/>
        <v>1</v>
      </c>
      <c r="O98" s="127">
        <f t="shared" ca="1" si="34"/>
        <v>1</v>
      </c>
      <c r="P98" s="128">
        <f t="shared" ca="1" si="34"/>
        <v>1</v>
      </c>
      <c r="Q98" s="126">
        <f t="shared" ca="1" si="34"/>
        <v>1</v>
      </c>
      <c r="R98" s="127">
        <f t="shared" ca="1" si="34"/>
        <v>1</v>
      </c>
      <c r="S98" s="127">
        <f t="shared" ca="1" si="34"/>
        <v>1</v>
      </c>
      <c r="T98" s="127">
        <f t="shared" ca="1" si="34"/>
        <v>1</v>
      </c>
      <c r="U98" s="128">
        <f t="shared" ca="1" si="34"/>
        <v>1</v>
      </c>
      <c r="V98" s="126">
        <f t="shared" ca="1" si="34"/>
        <v>1</v>
      </c>
      <c r="W98" s="127">
        <f t="shared" ca="1" si="34"/>
        <v>1</v>
      </c>
      <c r="X98" s="127">
        <f t="shared" ca="1" si="34"/>
        <v>1</v>
      </c>
      <c r="Y98" s="127">
        <f t="shared" ca="1" si="34"/>
        <v>1</v>
      </c>
      <c r="Z98" s="128">
        <f t="shared" ca="1" si="34"/>
        <v>1</v>
      </c>
      <c r="AA98" s="126">
        <f t="shared" ca="1" si="34"/>
        <v>1</v>
      </c>
      <c r="AB98" s="127">
        <f t="shared" ca="1" si="33"/>
        <v>1</v>
      </c>
      <c r="AC98" s="127">
        <f t="shared" ca="1" si="33"/>
        <v>1</v>
      </c>
      <c r="AD98" s="127">
        <f t="shared" ca="1" si="33"/>
        <v>1</v>
      </c>
      <c r="AE98" s="128">
        <f t="shared" ca="1" si="33"/>
        <v>1</v>
      </c>
      <c r="AF98" s="126">
        <f t="shared" ca="1" si="33"/>
        <v>1</v>
      </c>
      <c r="AG98" s="127">
        <f t="shared" ca="1" si="33"/>
        <v>1</v>
      </c>
      <c r="AH98" s="127">
        <f t="shared" ca="1" si="33"/>
        <v>1</v>
      </c>
      <c r="AI98" s="127">
        <f t="shared" ca="1" si="33"/>
        <v>1</v>
      </c>
      <c r="AJ98" s="128">
        <f t="shared" ca="1" si="33"/>
        <v>1</v>
      </c>
      <c r="AK98" s="126">
        <f t="shared" ca="1" si="33"/>
        <v>1</v>
      </c>
      <c r="AL98" s="127">
        <f t="shared" ca="1" si="33"/>
        <v>1</v>
      </c>
      <c r="AM98" s="127">
        <f t="shared" ca="1" si="33"/>
        <v>1</v>
      </c>
      <c r="AN98" s="127">
        <f t="shared" ca="1" si="33"/>
        <v>1</v>
      </c>
      <c r="AO98" s="129">
        <f t="shared" ca="1" si="33"/>
        <v>1</v>
      </c>
      <c r="AP98" s="536" t="str">
        <f t="shared" si="28"/>
        <v>X</v>
      </c>
      <c r="AQ98" s="536" t="str">
        <f t="shared" si="29"/>
        <v/>
      </c>
      <c r="AR98" s="536" t="str">
        <f t="shared" si="30"/>
        <v/>
      </c>
      <c r="AS98" s="537">
        <f>IF(OR(J98&lt;&gt;"",AP98&amp;AQ98&amp;AR98&lt;&gt;"X",WEEKDAY(I98,2)&gt;5,C98&lt;&gt;0,(FechaInicio1Tri&gt;I98),(FechaFinEEva&lt;I98)),0,_xlfn.XLOOKUP(WEEKDAY(I98,2),Fchs!$J$10:$N$10,Fchs!$J$12:$N$12))</f>
        <v>1</v>
      </c>
      <c r="AT98" s="536">
        <f t="shared" ca="1" si="31"/>
        <v>1</v>
      </c>
      <c r="AU98" s="538">
        <f>IF(AS98&lt;&gt;0,MAXA($AU$14:AU97)+AS98,0)</f>
        <v>43</v>
      </c>
      <c r="AV98" s="538">
        <f ca="1">IF(AT98&lt;&gt;0,MAXA($AU$14:AU97)+AT98,0)</f>
        <v>43</v>
      </c>
      <c r="AW98" s="68"/>
    </row>
    <row r="99" spans="1:49" ht="18.75" customHeight="1" x14ac:dyDescent="0.25">
      <c r="A99" s="68"/>
      <c r="B99" s="56" t="str">
        <f>MID(Info!$AZ$3,(WEEKDAY(I99,2)-1)*3+1,3)</f>
        <v>Mar</v>
      </c>
      <c r="C99" s="523">
        <f>_xlfn.XLOOKUP(I99,Fchs!$I$60:$I$101,Fchs!$J$60:$J$101,0)</f>
        <v>0</v>
      </c>
      <c r="D99" s="523">
        <f>_xlfn.XLOOKUP(I99,Fchs!$I$60:$I$101,Fchs!$K$60:$K$101)</f>
        <v>0</v>
      </c>
      <c r="E99" s="532" t="str">
        <f>IF($AS99&lt;&gt;0,_xlfn.XLOOKUP($G99,UDs!$E$34:$E$55,UDs!$B$34:$B$55,,-1),0)</f>
        <v>UD02</v>
      </c>
      <c r="F99" s="532" t="str">
        <f t="shared" ca="1" si="27"/>
        <v>UD02</v>
      </c>
      <c r="G99" s="569">
        <f>IF(AU99&lt;&gt;0,MAX($AU$13:$AU98)+1,0)</f>
        <v>44</v>
      </c>
      <c r="H99" s="569">
        <f>IF(AS99&lt;&gt;0,COUNT($H$14:H98,1),"")</f>
        <v>44</v>
      </c>
      <c r="I99" s="533">
        <f t="shared" si="32"/>
        <v>45979</v>
      </c>
      <c r="J99" s="534"/>
      <c r="K99" s="535"/>
      <c r="L99" s="126">
        <f t="shared" ca="1" si="34"/>
        <v>1</v>
      </c>
      <c r="M99" s="127">
        <f t="shared" ca="1" si="34"/>
        <v>1</v>
      </c>
      <c r="N99" s="127">
        <f t="shared" ca="1" si="34"/>
        <v>1</v>
      </c>
      <c r="O99" s="127">
        <f t="shared" ca="1" si="34"/>
        <v>1</v>
      </c>
      <c r="P99" s="128">
        <f t="shared" ca="1" si="34"/>
        <v>1</v>
      </c>
      <c r="Q99" s="126">
        <f t="shared" ca="1" si="34"/>
        <v>1</v>
      </c>
      <c r="R99" s="127">
        <f t="shared" ca="1" si="34"/>
        <v>1</v>
      </c>
      <c r="S99" s="127">
        <f t="shared" ca="1" si="34"/>
        <v>1</v>
      </c>
      <c r="T99" s="127">
        <f t="shared" ca="1" si="34"/>
        <v>1</v>
      </c>
      <c r="U99" s="128">
        <f t="shared" ca="1" si="34"/>
        <v>1</v>
      </c>
      <c r="V99" s="126">
        <f t="shared" ca="1" si="34"/>
        <v>1</v>
      </c>
      <c r="W99" s="127">
        <f t="shared" ca="1" si="34"/>
        <v>1</v>
      </c>
      <c r="X99" s="127">
        <f t="shared" ca="1" si="34"/>
        <v>1</v>
      </c>
      <c r="Y99" s="127">
        <f t="shared" ca="1" si="34"/>
        <v>1</v>
      </c>
      <c r="Z99" s="128">
        <f t="shared" ca="1" si="34"/>
        <v>1</v>
      </c>
      <c r="AA99" s="126">
        <f t="shared" ca="1" si="34"/>
        <v>1</v>
      </c>
      <c r="AB99" s="127">
        <f t="shared" ca="1" si="33"/>
        <v>1</v>
      </c>
      <c r="AC99" s="127">
        <f t="shared" ca="1" si="33"/>
        <v>1</v>
      </c>
      <c r="AD99" s="127">
        <f t="shared" ca="1" si="33"/>
        <v>1</v>
      </c>
      <c r="AE99" s="128">
        <f t="shared" ca="1" si="33"/>
        <v>1</v>
      </c>
      <c r="AF99" s="126">
        <f t="shared" ca="1" si="33"/>
        <v>1</v>
      </c>
      <c r="AG99" s="127">
        <f t="shared" ca="1" si="33"/>
        <v>1</v>
      </c>
      <c r="AH99" s="127">
        <f t="shared" ca="1" si="33"/>
        <v>1</v>
      </c>
      <c r="AI99" s="127">
        <f t="shared" ca="1" si="33"/>
        <v>1</v>
      </c>
      <c r="AJ99" s="128">
        <f t="shared" ca="1" si="33"/>
        <v>1</v>
      </c>
      <c r="AK99" s="126">
        <f t="shared" ca="1" si="33"/>
        <v>1</v>
      </c>
      <c r="AL99" s="127">
        <f t="shared" ca="1" si="33"/>
        <v>1</v>
      </c>
      <c r="AM99" s="127">
        <f t="shared" ca="1" si="33"/>
        <v>1</v>
      </c>
      <c r="AN99" s="127">
        <f t="shared" ca="1" si="33"/>
        <v>1</v>
      </c>
      <c r="AO99" s="129">
        <f t="shared" ca="1" si="33"/>
        <v>1</v>
      </c>
      <c r="AP99" s="536" t="str">
        <f t="shared" si="28"/>
        <v>X</v>
      </c>
      <c r="AQ99" s="536" t="str">
        <f t="shared" si="29"/>
        <v/>
      </c>
      <c r="AR99" s="536" t="str">
        <f t="shared" si="30"/>
        <v/>
      </c>
      <c r="AS99" s="537">
        <f>IF(OR(J99&lt;&gt;"",AP99&amp;AQ99&amp;AR99&lt;&gt;"X",WEEKDAY(I99,2)&gt;5,C99&lt;&gt;0,(FechaInicio1Tri&gt;I99),(FechaFinEEva&lt;I99)),0,_xlfn.XLOOKUP(WEEKDAY(I99,2),Fchs!$J$10:$N$10,Fchs!$J$12:$N$12))</f>
        <v>1</v>
      </c>
      <c r="AT99" s="536">
        <f t="shared" ca="1" si="31"/>
        <v>1</v>
      </c>
      <c r="AU99" s="538">
        <f>IF(AS99&lt;&gt;0,MAXA($AU$14:AU98)+AS99,0)</f>
        <v>44</v>
      </c>
      <c r="AV99" s="538">
        <f ca="1">IF(AT99&lt;&gt;0,MAXA($AU$14:AU98)+AT99,0)</f>
        <v>44</v>
      </c>
      <c r="AW99" s="68"/>
    </row>
    <row r="100" spans="1:49" ht="18.75" customHeight="1" x14ac:dyDescent="0.25">
      <c r="A100" s="68"/>
      <c r="B100" s="56" t="str">
        <f>MID(Info!$AZ$3,(WEEKDAY(I100,2)-1)*3+1,3)</f>
        <v>Mié</v>
      </c>
      <c r="C100" s="523">
        <f>_xlfn.XLOOKUP(I100,Fchs!$I$60:$I$101,Fchs!$J$60:$J$101,0)</f>
        <v>0</v>
      </c>
      <c r="D100" s="523">
        <f>_xlfn.XLOOKUP(I100,Fchs!$I$60:$I$101,Fchs!$K$60:$K$101)</f>
        <v>0</v>
      </c>
      <c r="E100" s="532" t="str">
        <f>IF($AS100&lt;&gt;0,_xlfn.XLOOKUP($G100,UDs!$E$34:$E$55,UDs!$B$34:$B$55,,-1),0)</f>
        <v>UD02</v>
      </c>
      <c r="F100" s="532" t="str">
        <f t="shared" ca="1" si="27"/>
        <v>UD02</v>
      </c>
      <c r="G100" s="569">
        <f>IF(AU100&lt;&gt;0,MAX($AU$13:$AU99)+1,0)</f>
        <v>45</v>
      </c>
      <c r="H100" s="569">
        <f>IF(AS100&lt;&gt;0,COUNT($H$14:H99,1),"")</f>
        <v>45</v>
      </c>
      <c r="I100" s="533">
        <f t="shared" si="32"/>
        <v>45980</v>
      </c>
      <c r="J100" s="534"/>
      <c r="K100" s="535"/>
      <c r="L100" s="126">
        <f t="shared" ca="1" si="34"/>
        <v>1</v>
      </c>
      <c r="M100" s="127">
        <f t="shared" ca="1" si="34"/>
        <v>1</v>
      </c>
      <c r="N100" s="127">
        <f t="shared" ca="1" si="34"/>
        <v>1</v>
      </c>
      <c r="O100" s="127">
        <f t="shared" ca="1" si="34"/>
        <v>1</v>
      </c>
      <c r="P100" s="128">
        <f t="shared" ca="1" si="34"/>
        <v>1</v>
      </c>
      <c r="Q100" s="126">
        <f t="shared" ca="1" si="34"/>
        <v>1</v>
      </c>
      <c r="R100" s="127">
        <f t="shared" ca="1" si="34"/>
        <v>1</v>
      </c>
      <c r="S100" s="127">
        <f t="shared" ca="1" si="34"/>
        <v>1</v>
      </c>
      <c r="T100" s="127">
        <f t="shared" ca="1" si="34"/>
        <v>1</v>
      </c>
      <c r="U100" s="128">
        <f t="shared" ca="1" si="34"/>
        <v>1</v>
      </c>
      <c r="V100" s="126">
        <f t="shared" ca="1" si="34"/>
        <v>1</v>
      </c>
      <c r="W100" s="127">
        <f t="shared" ca="1" si="34"/>
        <v>1</v>
      </c>
      <c r="X100" s="127">
        <f t="shared" ca="1" si="34"/>
        <v>1</v>
      </c>
      <c r="Y100" s="127">
        <f t="shared" ca="1" si="34"/>
        <v>1</v>
      </c>
      <c r="Z100" s="128">
        <f t="shared" ca="1" si="34"/>
        <v>1</v>
      </c>
      <c r="AA100" s="126">
        <f t="shared" ca="1" si="34"/>
        <v>1</v>
      </c>
      <c r="AB100" s="127">
        <f t="shared" ca="1" si="33"/>
        <v>1</v>
      </c>
      <c r="AC100" s="127">
        <f t="shared" ca="1" si="33"/>
        <v>1</v>
      </c>
      <c r="AD100" s="127">
        <f t="shared" ca="1" si="33"/>
        <v>1</v>
      </c>
      <c r="AE100" s="128">
        <f t="shared" ca="1" si="33"/>
        <v>1</v>
      </c>
      <c r="AF100" s="126">
        <f t="shared" ca="1" si="33"/>
        <v>1</v>
      </c>
      <c r="AG100" s="127">
        <f t="shared" ca="1" si="33"/>
        <v>1</v>
      </c>
      <c r="AH100" s="127">
        <f t="shared" ca="1" si="33"/>
        <v>1</v>
      </c>
      <c r="AI100" s="127">
        <f t="shared" ca="1" si="33"/>
        <v>1</v>
      </c>
      <c r="AJ100" s="128">
        <f t="shared" ca="1" si="33"/>
        <v>1</v>
      </c>
      <c r="AK100" s="126">
        <f t="shared" ca="1" si="33"/>
        <v>1</v>
      </c>
      <c r="AL100" s="127">
        <f t="shared" ca="1" si="33"/>
        <v>1</v>
      </c>
      <c r="AM100" s="127">
        <f t="shared" ca="1" si="33"/>
        <v>1</v>
      </c>
      <c r="AN100" s="127">
        <f t="shared" ca="1" si="33"/>
        <v>1</v>
      </c>
      <c r="AO100" s="129">
        <f t="shared" ca="1" si="33"/>
        <v>1</v>
      </c>
      <c r="AP100" s="536" t="str">
        <f t="shared" si="28"/>
        <v>X</v>
      </c>
      <c r="AQ100" s="536" t="str">
        <f t="shared" si="29"/>
        <v/>
      </c>
      <c r="AR100" s="536" t="str">
        <f t="shared" si="30"/>
        <v/>
      </c>
      <c r="AS100" s="537">
        <f>IF(OR(J100&lt;&gt;"",AP100&amp;AQ100&amp;AR100&lt;&gt;"X",WEEKDAY(I100,2)&gt;5,C100&lt;&gt;0,(FechaInicio1Tri&gt;I100),(FechaFinEEva&lt;I100)),0,_xlfn.XLOOKUP(WEEKDAY(I100,2),Fchs!$J$10:$N$10,Fchs!$J$12:$N$12))</f>
        <v>1</v>
      </c>
      <c r="AT100" s="536">
        <f t="shared" ca="1" si="31"/>
        <v>1</v>
      </c>
      <c r="AU100" s="538">
        <f>IF(AS100&lt;&gt;0,MAXA($AU$14:AU99)+AS100,0)</f>
        <v>45</v>
      </c>
      <c r="AV100" s="538">
        <f ca="1">IF(AT100&lt;&gt;0,MAXA($AU$14:AU99)+AT100,0)</f>
        <v>45</v>
      </c>
      <c r="AW100" s="68"/>
    </row>
    <row r="101" spans="1:49" ht="18.75" customHeight="1" x14ac:dyDescent="0.25">
      <c r="A101" s="68"/>
      <c r="B101" s="56" t="str">
        <f>MID(Info!$AZ$3,(WEEKDAY(I101,2)-1)*3+1,3)</f>
        <v>Jue</v>
      </c>
      <c r="C101" s="523">
        <f>_xlfn.XLOOKUP(I101,Fchs!$I$60:$I$101,Fchs!$J$60:$J$101,0)</f>
        <v>0</v>
      </c>
      <c r="D101" s="523">
        <f>_xlfn.XLOOKUP(I101,Fchs!$I$60:$I$101,Fchs!$K$60:$K$101)</f>
        <v>0</v>
      </c>
      <c r="E101" s="532" t="str">
        <f>IF($AS101&lt;&gt;0,_xlfn.XLOOKUP($G101,UDs!$E$34:$E$55,UDs!$B$34:$B$55,,-1),0)</f>
        <v>UD02</v>
      </c>
      <c r="F101" s="532" t="str">
        <f t="shared" ca="1" si="27"/>
        <v>UD02</v>
      </c>
      <c r="G101" s="569">
        <f>IF(AU101&lt;&gt;0,MAX($AU$13:$AU100)+1,0)</f>
        <v>46</v>
      </c>
      <c r="H101" s="569">
        <f>IF(AS101&lt;&gt;0,COUNT($H$14:H100,1),"")</f>
        <v>46</v>
      </c>
      <c r="I101" s="533">
        <f t="shared" si="32"/>
        <v>45981</v>
      </c>
      <c r="J101" s="534"/>
      <c r="K101" s="535"/>
      <c r="L101" s="126">
        <f t="shared" ca="1" si="34"/>
        <v>1</v>
      </c>
      <c r="M101" s="127">
        <f t="shared" ca="1" si="34"/>
        <v>1</v>
      </c>
      <c r="N101" s="127">
        <f t="shared" ca="1" si="34"/>
        <v>1</v>
      </c>
      <c r="O101" s="127">
        <f t="shared" ca="1" si="34"/>
        <v>1</v>
      </c>
      <c r="P101" s="128">
        <f t="shared" ca="1" si="34"/>
        <v>1</v>
      </c>
      <c r="Q101" s="126">
        <f t="shared" ca="1" si="34"/>
        <v>1</v>
      </c>
      <c r="R101" s="127">
        <f t="shared" ca="1" si="34"/>
        <v>1</v>
      </c>
      <c r="S101" s="127">
        <f t="shared" ca="1" si="34"/>
        <v>1</v>
      </c>
      <c r="T101" s="127">
        <f t="shared" ca="1" si="34"/>
        <v>1</v>
      </c>
      <c r="U101" s="128">
        <f t="shared" ca="1" si="34"/>
        <v>1</v>
      </c>
      <c r="V101" s="126">
        <f t="shared" ca="1" si="34"/>
        <v>1</v>
      </c>
      <c r="W101" s="127">
        <f t="shared" ca="1" si="34"/>
        <v>1</v>
      </c>
      <c r="X101" s="127">
        <f t="shared" ca="1" si="34"/>
        <v>1</v>
      </c>
      <c r="Y101" s="127">
        <f t="shared" ca="1" si="34"/>
        <v>1</v>
      </c>
      <c r="Z101" s="128">
        <f t="shared" ca="1" si="34"/>
        <v>1</v>
      </c>
      <c r="AA101" s="126">
        <f t="shared" ca="1" si="34"/>
        <v>1</v>
      </c>
      <c r="AB101" s="127">
        <f t="shared" ca="1" si="33"/>
        <v>1</v>
      </c>
      <c r="AC101" s="127">
        <f t="shared" ca="1" si="33"/>
        <v>1</v>
      </c>
      <c r="AD101" s="127">
        <f t="shared" ca="1" si="33"/>
        <v>1</v>
      </c>
      <c r="AE101" s="128">
        <f t="shared" ca="1" si="33"/>
        <v>1</v>
      </c>
      <c r="AF101" s="126">
        <f t="shared" ca="1" si="33"/>
        <v>1</v>
      </c>
      <c r="AG101" s="127">
        <f t="shared" ca="1" si="33"/>
        <v>1</v>
      </c>
      <c r="AH101" s="127">
        <f t="shared" ca="1" si="33"/>
        <v>1</v>
      </c>
      <c r="AI101" s="127">
        <f t="shared" ca="1" si="33"/>
        <v>1</v>
      </c>
      <c r="AJ101" s="128">
        <f t="shared" ca="1" si="33"/>
        <v>1</v>
      </c>
      <c r="AK101" s="126">
        <f t="shared" ca="1" si="33"/>
        <v>1</v>
      </c>
      <c r="AL101" s="127">
        <f t="shared" ca="1" si="33"/>
        <v>1</v>
      </c>
      <c r="AM101" s="127">
        <f t="shared" ca="1" si="33"/>
        <v>1</v>
      </c>
      <c r="AN101" s="127">
        <f t="shared" ca="1" si="33"/>
        <v>1</v>
      </c>
      <c r="AO101" s="129">
        <f t="shared" ca="1" si="33"/>
        <v>1</v>
      </c>
      <c r="AP101" s="536" t="str">
        <f t="shared" si="28"/>
        <v>X</v>
      </c>
      <c r="AQ101" s="536" t="str">
        <f t="shared" si="29"/>
        <v/>
      </c>
      <c r="AR101" s="536" t="str">
        <f t="shared" si="30"/>
        <v/>
      </c>
      <c r="AS101" s="537">
        <f>IF(OR(J101&lt;&gt;"",AP101&amp;AQ101&amp;AR101&lt;&gt;"X",WEEKDAY(I101,2)&gt;5,C101&lt;&gt;0,(FechaInicio1Tri&gt;I101),(FechaFinEEva&lt;I101)),0,_xlfn.XLOOKUP(WEEKDAY(I101,2),Fchs!$J$10:$N$10,Fchs!$J$12:$N$12))</f>
        <v>1</v>
      </c>
      <c r="AT101" s="536">
        <f t="shared" ca="1" si="31"/>
        <v>1</v>
      </c>
      <c r="AU101" s="538">
        <f>IF(AS101&lt;&gt;0,MAXA($AU$14:AU100)+AS101,0)</f>
        <v>46</v>
      </c>
      <c r="AV101" s="538">
        <f ca="1">IF(AT101&lt;&gt;0,MAXA($AU$14:AU100)+AT101,0)</f>
        <v>46</v>
      </c>
      <c r="AW101" s="68"/>
    </row>
    <row r="102" spans="1:49" ht="18.75" customHeight="1" x14ac:dyDescent="0.25">
      <c r="A102" s="68"/>
      <c r="B102" s="56" t="str">
        <f>MID(Info!$AZ$3,(WEEKDAY(I102,2)-1)*3+1,3)</f>
        <v>Vie</v>
      </c>
      <c r="C102" s="523">
        <f>_xlfn.XLOOKUP(I102,Fchs!$I$60:$I$101,Fchs!$J$60:$J$101,0)</f>
        <v>0</v>
      </c>
      <c r="D102" s="523">
        <f>_xlfn.XLOOKUP(I102,Fchs!$I$60:$I$101,Fchs!$K$60:$K$101)</f>
        <v>0</v>
      </c>
      <c r="E102" s="532" t="str">
        <f>IF($AS102&lt;&gt;0,_xlfn.XLOOKUP($G102,UDs!$E$34:$E$55,UDs!$B$34:$B$55,,-1),0)</f>
        <v>UD02</v>
      </c>
      <c r="F102" s="532" t="str">
        <f t="shared" ca="1" si="27"/>
        <v>UD02</v>
      </c>
      <c r="G102" s="569">
        <f>IF(AU102&lt;&gt;0,MAX($AU$13:$AU101)+1,0)</f>
        <v>47</v>
      </c>
      <c r="H102" s="569">
        <f>IF(AS102&lt;&gt;0,COUNT($H$14:H101,1),"")</f>
        <v>47</v>
      </c>
      <c r="I102" s="533">
        <f t="shared" si="32"/>
        <v>45982</v>
      </c>
      <c r="J102" s="534"/>
      <c r="K102" s="535"/>
      <c r="L102" s="126">
        <f t="shared" ca="1" si="34"/>
        <v>1</v>
      </c>
      <c r="M102" s="127">
        <f t="shared" ca="1" si="34"/>
        <v>1</v>
      </c>
      <c r="N102" s="127">
        <f t="shared" ca="1" si="34"/>
        <v>1</v>
      </c>
      <c r="O102" s="127">
        <f t="shared" ca="1" si="34"/>
        <v>1</v>
      </c>
      <c r="P102" s="128">
        <f t="shared" ca="1" si="34"/>
        <v>1</v>
      </c>
      <c r="Q102" s="126">
        <f t="shared" ca="1" si="34"/>
        <v>1</v>
      </c>
      <c r="R102" s="127">
        <f t="shared" ca="1" si="34"/>
        <v>1</v>
      </c>
      <c r="S102" s="127">
        <f t="shared" ca="1" si="34"/>
        <v>1</v>
      </c>
      <c r="T102" s="127">
        <f t="shared" ca="1" si="34"/>
        <v>1</v>
      </c>
      <c r="U102" s="128">
        <f t="shared" ca="1" si="34"/>
        <v>1</v>
      </c>
      <c r="V102" s="126">
        <f t="shared" ca="1" si="34"/>
        <v>1</v>
      </c>
      <c r="W102" s="127">
        <f t="shared" ca="1" si="34"/>
        <v>1</v>
      </c>
      <c r="X102" s="127">
        <f t="shared" ca="1" si="34"/>
        <v>1</v>
      </c>
      <c r="Y102" s="127">
        <f t="shared" ca="1" si="34"/>
        <v>1</v>
      </c>
      <c r="Z102" s="128">
        <f t="shared" ca="1" si="34"/>
        <v>1</v>
      </c>
      <c r="AA102" s="126">
        <f t="shared" ref="AA102:AN117" ca="1" si="36">$AT102</f>
        <v>1</v>
      </c>
      <c r="AB102" s="127">
        <f t="shared" ca="1" si="36"/>
        <v>1</v>
      </c>
      <c r="AC102" s="127">
        <f t="shared" ca="1" si="36"/>
        <v>1</v>
      </c>
      <c r="AD102" s="127">
        <f t="shared" ca="1" si="36"/>
        <v>1</v>
      </c>
      <c r="AE102" s="128">
        <f t="shared" ca="1" si="36"/>
        <v>1</v>
      </c>
      <c r="AF102" s="126">
        <f t="shared" ca="1" si="36"/>
        <v>1</v>
      </c>
      <c r="AG102" s="127">
        <f t="shared" ca="1" si="36"/>
        <v>1</v>
      </c>
      <c r="AH102" s="127">
        <f t="shared" ca="1" si="36"/>
        <v>1</v>
      </c>
      <c r="AI102" s="127">
        <f t="shared" ca="1" si="36"/>
        <v>1</v>
      </c>
      <c r="AJ102" s="128">
        <f t="shared" ca="1" si="36"/>
        <v>1</v>
      </c>
      <c r="AK102" s="126">
        <f t="shared" ca="1" si="36"/>
        <v>1</v>
      </c>
      <c r="AL102" s="127">
        <f t="shared" ca="1" si="36"/>
        <v>1</v>
      </c>
      <c r="AM102" s="127">
        <f t="shared" ca="1" si="36"/>
        <v>1</v>
      </c>
      <c r="AN102" s="127">
        <f t="shared" ca="1" si="36"/>
        <v>1</v>
      </c>
      <c r="AO102" s="129">
        <f t="shared" ca="1" si="33"/>
        <v>1</v>
      </c>
      <c r="AP102" s="536" t="str">
        <f t="shared" si="28"/>
        <v>X</v>
      </c>
      <c r="AQ102" s="536" t="str">
        <f t="shared" si="29"/>
        <v/>
      </c>
      <c r="AR102" s="536" t="str">
        <f t="shared" si="30"/>
        <v/>
      </c>
      <c r="AS102" s="537">
        <f>IF(OR(J102&lt;&gt;"",AP102&amp;AQ102&amp;AR102&lt;&gt;"X",WEEKDAY(I102,2)&gt;5,C102&lt;&gt;0,(FechaInicio1Tri&gt;I102),(FechaFinEEva&lt;I102)),0,_xlfn.XLOOKUP(WEEKDAY(I102,2),Fchs!$J$10:$N$10,Fchs!$J$12:$N$12))</f>
        <v>1</v>
      </c>
      <c r="AT102" s="536">
        <f t="shared" ca="1" si="31"/>
        <v>1</v>
      </c>
      <c r="AU102" s="538">
        <f>IF(AS102&lt;&gt;0,MAXA($AU$14:AU101)+AS102,0)</f>
        <v>47</v>
      </c>
      <c r="AV102" s="538">
        <f ca="1">IF(AT102&lt;&gt;0,MAXA($AU$14:AU101)+AT102,0)</f>
        <v>47</v>
      </c>
      <c r="AW102" s="68"/>
    </row>
    <row r="103" spans="1:49" ht="18.75" customHeight="1" x14ac:dyDescent="0.25">
      <c r="A103" s="68"/>
      <c r="B103" s="56" t="str">
        <f>MID(Info!$AZ$3,(WEEKDAY(I103,2)-1)*3+1,3)</f>
        <v>Sáb</v>
      </c>
      <c r="C103" s="523">
        <f>_xlfn.XLOOKUP(I103,Fchs!$I$60:$I$101,Fchs!$J$60:$J$101,0)</f>
        <v>0</v>
      </c>
      <c r="D103" s="523">
        <f>_xlfn.XLOOKUP(I103,Fchs!$I$60:$I$101,Fchs!$K$60:$K$101)</f>
        <v>0</v>
      </c>
      <c r="E103" s="532">
        <f>IF($AS103&lt;&gt;0,_xlfn.XLOOKUP($G103,UDs!$E$34:$E$55,UDs!$B$34:$B$55,,-1),0)</f>
        <v>0</v>
      </c>
      <c r="F103" s="532">
        <f t="shared" ca="1" si="27"/>
        <v>0</v>
      </c>
      <c r="G103" s="569">
        <f>IF(AU103&lt;&gt;0,MAX($AU$13:$AU102)+1,0)</f>
        <v>0</v>
      </c>
      <c r="H103" s="569" t="str">
        <f>IF(AS103&lt;&gt;0,COUNT($H$14:H102,1),"")</f>
        <v/>
      </c>
      <c r="I103" s="533">
        <f t="shared" si="32"/>
        <v>45983</v>
      </c>
      <c r="J103" s="534"/>
      <c r="K103" s="535"/>
      <c r="L103" s="126">
        <f t="shared" ref="L103:AA118" ca="1" si="37">$AT103</f>
        <v>0</v>
      </c>
      <c r="M103" s="127">
        <f t="shared" ca="1" si="37"/>
        <v>0</v>
      </c>
      <c r="N103" s="127">
        <f t="shared" ca="1" si="37"/>
        <v>0</v>
      </c>
      <c r="O103" s="127">
        <f t="shared" ca="1" si="37"/>
        <v>0</v>
      </c>
      <c r="P103" s="128">
        <f t="shared" ca="1" si="37"/>
        <v>0</v>
      </c>
      <c r="Q103" s="126">
        <f t="shared" ca="1" si="37"/>
        <v>0</v>
      </c>
      <c r="R103" s="127">
        <f t="shared" ca="1" si="37"/>
        <v>0</v>
      </c>
      <c r="S103" s="127">
        <f t="shared" ca="1" si="37"/>
        <v>0</v>
      </c>
      <c r="T103" s="127">
        <f t="shared" ca="1" si="37"/>
        <v>0</v>
      </c>
      <c r="U103" s="128">
        <f t="shared" ca="1" si="37"/>
        <v>0</v>
      </c>
      <c r="V103" s="126">
        <f t="shared" ca="1" si="37"/>
        <v>0</v>
      </c>
      <c r="W103" s="127">
        <f t="shared" ca="1" si="37"/>
        <v>0</v>
      </c>
      <c r="X103" s="127">
        <f t="shared" ca="1" si="37"/>
        <v>0</v>
      </c>
      <c r="Y103" s="127">
        <f t="shared" ca="1" si="37"/>
        <v>0</v>
      </c>
      <c r="Z103" s="128">
        <f t="shared" ca="1" si="37"/>
        <v>0</v>
      </c>
      <c r="AA103" s="126">
        <f t="shared" ca="1" si="37"/>
        <v>0</v>
      </c>
      <c r="AB103" s="127">
        <f t="shared" ca="1" si="36"/>
        <v>0</v>
      </c>
      <c r="AC103" s="127">
        <f t="shared" ca="1" si="36"/>
        <v>0</v>
      </c>
      <c r="AD103" s="127">
        <f t="shared" ca="1" si="36"/>
        <v>0</v>
      </c>
      <c r="AE103" s="128">
        <f t="shared" ca="1" si="36"/>
        <v>0</v>
      </c>
      <c r="AF103" s="126">
        <f t="shared" ca="1" si="36"/>
        <v>0</v>
      </c>
      <c r="AG103" s="127">
        <f t="shared" ca="1" si="36"/>
        <v>0</v>
      </c>
      <c r="AH103" s="127">
        <f t="shared" ca="1" si="36"/>
        <v>0</v>
      </c>
      <c r="AI103" s="127">
        <f t="shared" ca="1" si="36"/>
        <v>0</v>
      </c>
      <c r="AJ103" s="128">
        <f t="shared" ca="1" si="36"/>
        <v>0</v>
      </c>
      <c r="AK103" s="126">
        <f t="shared" ca="1" si="36"/>
        <v>0</v>
      </c>
      <c r="AL103" s="127">
        <f t="shared" ca="1" si="36"/>
        <v>0</v>
      </c>
      <c r="AM103" s="127">
        <f t="shared" ca="1" si="36"/>
        <v>0</v>
      </c>
      <c r="AN103" s="127">
        <f t="shared" ca="1" si="36"/>
        <v>0</v>
      </c>
      <c r="AO103" s="129">
        <f t="shared" ca="1" si="33"/>
        <v>0</v>
      </c>
      <c r="AP103" s="536" t="str">
        <f t="shared" si="28"/>
        <v/>
      </c>
      <c r="AQ103" s="536" t="str">
        <f t="shared" si="29"/>
        <v/>
      </c>
      <c r="AR103" s="536" t="str">
        <f t="shared" si="30"/>
        <v/>
      </c>
      <c r="AS103" s="537">
        <f>IF(OR(J103&lt;&gt;"",AP103&amp;AQ103&amp;AR103&lt;&gt;"X",WEEKDAY(I103,2)&gt;5,C103&lt;&gt;0,(FechaInicio1Tri&gt;I103),(FechaFinEEva&lt;I103)),0,_xlfn.XLOOKUP(WEEKDAY(I103,2),Fchs!$J$10:$N$10,Fchs!$J$12:$N$12))</f>
        <v>0</v>
      </c>
      <c r="AT103" s="536">
        <f t="shared" ca="1" si="31"/>
        <v>0</v>
      </c>
      <c r="AU103" s="538">
        <f>IF(AS103&lt;&gt;0,MAXA($AU$14:AU102)+AS103,0)</f>
        <v>0</v>
      </c>
      <c r="AV103" s="538">
        <f ca="1">IF(AT103&lt;&gt;0,MAXA($AU$14:AU102)+AT103,0)</f>
        <v>0</v>
      </c>
      <c r="AW103" s="68"/>
    </row>
    <row r="104" spans="1:49" ht="18.75" customHeight="1" x14ac:dyDescent="0.25">
      <c r="A104" s="68"/>
      <c r="B104" s="56" t="str">
        <f>MID(Info!$AZ$3,(WEEKDAY(I104,2)-1)*3+1,3)</f>
        <v>Dom</v>
      </c>
      <c r="C104" s="523">
        <f>_xlfn.XLOOKUP(I104,Fchs!$I$60:$I$101,Fchs!$J$60:$J$101,0)</f>
        <v>0</v>
      </c>
      <c r="D104" s="523">
        <f>_xlfn.XLOOKUP(I104,Fchs!$I$60:$I$101,Fchs!$K$60:$K$101)</f>
        <v>0</v>
      </c>
      <c r="E104" s="532">
        <f>IF($AS104&lt;&gt;0,_xlfn.XLOOKUP($G104,UDs!$E$34:$E$55,UDs!$B$34:$B$55,,-1),0)</f>
        <v>0</v>
      </c>
      <c r="F104" s="532">
        <f t="shared" ca="1" si="27"/>
        <v>0</v>
      </c>
      <c r="G104" s="569">
        <f>IF(AU104&lt;&gt;0,MAX($AU$13:$AU103)+1,0)</f>
        <v>0</v>
      </c>
      <c r="H104" s="569" t="str">
        <f>IF(AS104&lt;&gt;0,COUNT($H$14:H103,1),"")</f>
        <v/>
      </c>
      <c r="I104" s="533">
        <f t="shared" si="32"/>
        <v>45984</v>
      </c>
      <c r="J104" s="534"/>
      <c r="K104" s="535"/>
      <c r="L104" s="126">
        <f t="shared" ca="1" si="37"/>
        <v>0</v>
      </c>
      <c r="M104" s="127">
        <f t="shared" ca="1" si="37"/>
        <v>0</v>
      </c>
      <c r="N104" s="127">
        <f t="shared" ca="1" si="37"/>
        <v>0</v>
      </c>
      <c r="O104" s="127">
        <f t="shared" ca="1" si="37"/>
        <v>0</v>
      </c>
      <c r="P104" s="128">
        <f t="shared" ca="1" si="37"/>
        <v>0</v>
      </c>
      <c r="Q104" s="126">
        <f t="shared" ca="1" si="37"/>
        <v>0</v>
      </c>
      <c r="R104" s="127">
        <f t="shared" ca="1" si="37"/>
        <v>0</v>
      </c>
      <c r="S104" s="127">
        <f t="shared" ca="1" si="37"/>
        <v>0</v>
      </c>
      <c r="T104" s="127">
        <f t="shared" ca="1" si="37"/>
        <v>0</v>
      </c>
      <c r="U104" s="128">
        <f t="shared" ca="1" si="37"/>
        <v>0</v>
      </c>
      <c r="V104" s="126">
        <f t="shared" ca="1" si="37"/>
        <v>0</v>
      </c>
      <c r="W104" s="127">
        <f t="shared" ca="1" si="37"/>
        <v>0</v>
      </c>
      <c r="X104" s="127">
        <f t="shared" ca="1" si="37"/>
        <v>0</v>
      </c>
      <c r="Y104" s="127">
        <f t="shared" ca="1" si="37"/>
        <v>0</v>
      </c>
      <c r="Z104" s="128">
        <f t="shared" ca="1" si="37"/>
        <v>0</v>
      </c>
      <c r="AA104" s="126">
        <f t="shared" ca="1" si="37"/>
        <v>0</v>
      </c>
      <c r="AB104" s="127">
        <f t="shared" ca="1" si="36"/>
        <v>0</v>
      </c>
      <c r="AC104" s="127">
        <f t="shared" ca="1" si="36"/>
        <v>0</v>
      </c>
      <c r="AD104" s="127">
        <f t="shared" ca="1" si="36"/>
        <v>0</v>
      </c>
      <c r="AE104" s="128">
        <f t="shared" ca="1" si="36"/>
        <v>0</v>
      </c>
      <c r="AF104" s="126">
        <f t="shared" ca="1" si="36"/>
        <v>0</v>
      </c>
      <c r="AG104" s="127">
        <f t="shared" ca="1" si="36"/>
        <v>0</v>
      </c>
      <c r="AH104" s="127">
        <f t="shared" ca="1" si="36"/>
        <v>0</v>
      </c>
      <c r="AI104" s="127">
        <f t="shared" ca="1" si="36"/>
        <v>0</v>
      </c>
      <c r="AJ104" s="128">
        <f t="shared" ca="1" si="36"/>
        <v>0</v>
      </c>
      <c r="AK104" s="126">
        <f t="shared" ca="1" si="36"/>
        <v>0</v>
      </c>
      <c r="AL104" s="127">
        <f t="shared" ca="1" si="36"/>
        <v>0</v>
      </c>
      <c r="AM104" s="127">
        <f t="shared" ca="1" si="36"/>
        <v>0</v>
      </c>
      <c r="AN104" s="127">
        <f t="shared" ca="1" si="36"/>
        <v>0</v>
      </c>
      <c r="AO104" s="129">
        <f t="shared" ca="1" si="33"/>
        <v>0</v>
      </c>
      <c r="AP104" s="536" t="str">
        <f t="shared" si="28"/>
        <v/>
      </c>
      <c r="AQ104" s="536" t="str">
        <f t="shared" si="29"/>
        <v/>
      </c>
      <c r="AR104" s="536" t="str">
        <f t="shared" si="30"/>
        <v/>
      </c>
      <c r="AS104" s="537">
        <f>IF(OR(J104&lt;&gt;"",AP104&amp;AQ104&amp;AR104&lt;&gt;"X",WEEKDAY(I104,2)&gt;5,C104&lt;&gt;0,(FechaInicio1Tri&gt;I104),(FechaFinEEva&lt;I104)),0,_xlfn.XLOOKUP(WEEKDAY(I104,2),Fchs!$J$10:$N$10,Fchs!$J$12:$N$12))</f>
        <v>0</v>
      </c>
      <c r="AT104" s="536">
        <f t="shared" ca="1" si="31"/>
        <v>0</v>
      </c>
      <c r="AU104" s="538">
        <f>IF(AS104&lt;&gt;0,MAXA($AU$14:AU103)+AS104,0)</f>
        <v>0</v>
      </c>
      <c r="AV104" s="538">
        <f ca="1">IF(AT104&lt;&gt;0,MAXA($AU$14:AU103)+AT104,0)</f>
        <v>0</v>
      </c>
      <c r="AW104" s="68"/>
    </row>
    <row r="105" spans="1:49" ht="18.75" customHeight="1" x14ac:dyDescent="0.25">
      <c r="A105" s="68"/>
      <c r="B105" s="56" t="str">
        <f>MID(Info!$AZ$3,(WEEKDAY(I105,2)-1)*3+1,3)</f>
        <v>Lun</v>
      </c>
      <c r="C105" s="523">
        <f>_xlfn.XLOOKUP(I105,Fchs!$I$60:$I$101,Fchs!$J$60:$J$101,0)</f>
        <v>0</v>
      </c>
      <c r="D105" s="523">
        <f>_xlfn.XLOOKUP(I105,Fchs!$I$60:$I$101,Fchs!$K$60:$K$101)</f>
        <v>0</v>
      </c>
      <c r="E105" s="532" t="str">
        <f>IF($AS105&lt;&gt;0,_xlfn.XLOOKUP($G105,UDs!$E$34:$E$55,UDs!$B$34:$B$55,,-1),0)</f>
        <v>UD02</v>
      </c>
      <c r="F105" s="532" t="str">
        <f t="shared" ca="1" si="27"/>
        <v>UD02</v>
      </c>
      <c r="G105" s="569">
        <f>IF(AU105&lt;&gt;0,MAX($AU$13:$AU104)+1,0)</f>
        <v>48</v>
      </c>
      <c r="H105" s="569">
        <f>IF(AS105&lt;&gt;0,COUNT($H$14:H104,1),"")</f>
        <v>48</v>
      </c>
      <c r="I105" s="533">
        <f t="shared" si="32"/>
        <v>45985</v>
      </c>
      <c r="J105" s="534"/>
      <c r="K105" s="535"/>
      <c r="L105" s="126">
        <f t="shared" ca="1" si="37"/>
        <v>1</v>
      </c>
      <c r="M105" s="127">
        <f t="shared" ca="1" si="37"/>
        <v>1</v>
      </c>
      <c r="N105" s="127">
        <f t="shared" ca="1" si="37"/>
        <v>1</v>
      </c>
      <c r="O105" s="127">
        <f t="shared" ca="1" si="37"/>
        <v>1</v>
      </c>
      <c r="P105" s="128">
        <f t="shared" ca="1" si="37"/>
        <v>1</v>
      </c>
      <c r="Q105" s="126">
        <f t="shared" ca="1" si="37"/>
        <v>1</v>
      </c>
      <c r="R105" s="127">
        <f t="shared" ca="1" si="37"/>
        <v>1</v>
      </c>
      <c r="S105" s="127">
        <f t="shared" ca="1" si="37"/>
        <v>1</v>
      </c>
      <c r="T105" s="127">
        <f t="shared" ca="1" si="37"/>
        <v>1</v>
      </c>
      <c r="U105" s="128">
        <f t="shared" ca="1" si="37"/>
        <v>1</v>
      </c>
      <c r="V105" s="126">
        <f t="shared" ca="1" si="37"/>
        <v>1</v>
      </c>
      <c r="W105" s="127">
        <f t="shared" ca="1" si="37"/>
        <v>1</v>
      </c>
      <c r="X105" s="127">
        <f t="shared" ca="1" si="37"/>
        <v>1</v>
      </c>
      <c r="Y105" s="127">
        <f t="shared" ca="1" si="37"/>
        <v>1</v>
      </c>
      <c r="Z105" s="128">
        <f t="shared" ca="1" si="37"/>
        <v>1</v>
      </c>
      <c r="AA105" s="126">
        <f t="shared" ca="1" si="37"/>
        <v>1</v>
      </c>
      <c r="AB105" s="127">
        <f t="shared" ca="1" si="36"/>
        <v>1</v>
      </c>
      <c r="AC105" s="127">
        <f t="shared" ca="1" si="36"/>
        <v>1</v>
      </c>
      <c r="AD105" s="127">
        <f t="shared" ca="1" si="36"/>
        <v>1</v>
      </c>
      <c r="AE105" s="128">
        <f t="shared" ca="1" si="36"/>
        <v>1</v>
      </c>
      <c r="AF105" s="126">
        <f t="shared" ca="1" si="36"/>
        <v>1</v>
      </c>
      <c r="AG105" s="127">
        <f t="shared" ca="1" si="36"/>
        <v>1</v>
      </c>
      <c r="AH105" s="127">
        <f t="shared" ca="1" si="36"/>
        <v>1</v>
      </c>
      <c r="AI105" s="127">
        <f t="shared" ca="1" si="36"/>
        <v>1</v>
      </c>
      <c r="AJ105" s="128">
        <f t="shared" ca="1" si="36"/>
        <v>1</v>
      </c>
      <c r="AK105" s="126">
        <f t="shared" ca="1" si="36"/>
        <v>1</v>
      </c>
      <c r="AL105" s="127">
        <f t="shared" ca="1" si="36"/>
        <v>1</v>
      </c>
      <c r="AM105" s="127">
        <f t="shared" ca="1" si="36"/>
        <v>1</v>
      </c>
      <c r="AN105" s="127">
        <f t="shared" ca="1" si="36"/>
        <v>1</v>
      </c>
      <c r="AO105" s="129">
        <f t="shared" ca="1" si="33"/>
        <v>1</v>
      </c>
      <c r="AP105" s="536" t="str">
        <f t="shared" si="28"/>
        <v>X</v>
      </c>
      <c r="AQ105" s="536" t="str">
        <f t="shared" si="29"/>
        <v/>
      </c>
      <c r="AR105" s="536" t="str">
        <f t="shared" si="30"/>
        <v/>
      </c>
      <c r="AS105" s="537">
        <f>IF(OR(J105&lt;&gt;"",AP105&amp;AQ105&amp;AR105&lt;&gt;"X",WEEKDAY(I105,2)&gt;5,C105&lt;&gt;0,(FechaInicio1Tri&gt;I105),(FechaFinEEva&lt;I105)),0,_xlfn.XLOOKUP(WEEKDAY(I105,2),Fchs!$J$10:$N$10,Fchs!$J$12:$N$12))</f>
        <v>1</v>
      </c>
      <c r="AT105" s="536">
        <f t="shared" ca="1" si="31"/>
        <v>1</v>
      </c>
      <c r="AU105" s="538">
        <f>IF(AS105&lt;&gt;0,MAXA($AU$14:AU104)+AS105,0)</f>
        <v>48</v>
      </c>
      <c r="AV105" s="538">
        <f ca="1">IF(AT105&lt;&gt;0,MAXA($AU$14:AU104)+AT105,0)</f>
        <v>48</v>
      </c>
      <c r="AW105" s="68"/>
    </row>
    <row r="106" spans="1:49" ht="18.75" customHeight="1" x14ac:dyDescent="0.25">
      <c r="A106" s="68"/>
      <c r="B106" s="56" t="str">
        <f>MID(Info!$AZ$3,(WEEKDAY(I106,2)-1)*3+1,3)</f>
        <v>Mar</v>
      </c>
      <c r="C106" s="523">
        <f>_xlfn.XLOOKUP(I106,Fchs!$I$60:$I$101,Fchs!$J$60:$J$101,0)</f>
        <v>0</v>
      </c>
      <c r="D106" s="523">
        <f>_xlfn.XLOOKUP(I106,Fchs!$I$60:$I$101,Fchs!$K$60:$K$101)</f>
        <v>0</v>
      </c>
      <c r="E106" s="532" t="str">
        <f>IF($AS106&lt;&gt;0,_xlfn.XLOOKUP($G106,UDs!$E$34:$E$55,UDs!$B$34:$B$55,,-1),0)</f>
        <v>UD02</v>
      </c>
      <c r="F106" s="532" t="str">
        <f t="shared" ca="1" si="27"/>
        <v>UD02</v>
      </c>
      <c r="G106" s="569">
        <f>IF(AU106&lt;&gt;0,MAX($AU$13:$AU105)+1,0)</f>
        <v>49</v>
      </c>
      <c r="H106" s="569">
        <f>IF(AS106&lt;&gt;0,COUNT($H$14:H105,1),"")</f>
        <v>49</v>
      </c>
      <c r="I106" s="533">
        <f t="shared" si="32"/>
        <v>45986</v>
      </c>
      <c r="J106" s="534"/>
      <c r="K106" s="535"/>
      <c r="L106" s="126">
        <f t="shared" ca="1" si="37"/>
        <v>1</v>
      </c>
      <c r="M106" s="127">
        <f t="shared" ca="1" si="37"/>
        <v>1</v>
      </c>
      <c r="N106" s="127">
        <f t="shared" ca="1" si="37"/>
        <v>1</v>
      </c>
      <c r="O106" s="127">
        <f t="shared" ca="1" si="37"/>
        <v>1</v>
      </c>
      <c r="P106" s="128">
        <f t="shared" ca="1" si="37"/>
        <v>1</v>
      </c>
      <c r="Q106" s="126">
        <f t="shared" ca="1" si="37"/>
        <v>1</v>
      </c>
      <c r="R106" s="127">
        <f t="shared" ca="1" si="37"/>
        <v>1</v>
      </c>
      <c r="S106" s="127">
        <f t="shared" ca="1" si="37"/>
        <v>1</v>
      </c>
      <c r="T106" s="127">
        <f t="shared" ca="1" si="37"/>
        <v>1</v>
      </c>
      <c r="U106" s="128">
        <f t="shared" ca="1" si="37"/>
        <v>1</v>
      </c>
      <c r="V106" s="126">
        <f t="shared" ca="1" si="37"/>
        <v>1</v>
      </c>
      <c r="W106" s="127">
        <f t="shared" ca="1" si="37"/>
        <v>1</v>
      </c>
      <c r="X106" s="127">
        <f t="shared" ca="1" si="37"/>
        <v>1</v>
      </c>
      <c r="Y106" s="127">
        <f t="shared" ca="1" si="37"/>
        <v>1</v>
      </c>
      <c r="Z106" s="128">
        <f t="shared" ca="1" si="37"/>
        <v>1</v>
      </c>
      <c r="AA106" s="126">
        <f t="shared" ca="1" si="37"/>
        <v>1</v>
      </c>
      <c r="AB106" s="127">
        <f t="shared" ca="1" si="36"/>
        <v>1</v>
      </c>
      <c r="AC106" s="127">
        <f t="shared" ca="1" si="36"/>
        <v>1</v>
      </c>
      <c r="AD106" s="127">
        <f t="shared" ca="1" si="36"/>
        <v>1</v>
      </c>
      <c r="AE106" s="128">
        <f t="shared" ca="1" si="36"/>
        <v>1</v>
      </c>
      <c r="AF106" s="126">
        <f t="shared" ca="1" si="36"/>
        <v>1</v>
      </c>
      <c r="AG106" s="127">
        <f t="shared" ca="1" si="36"/>
        <v>1</v>
      </c>
      <c r="AH106" s="127">
        <f t="shared" ca="1" si="36"/>
        <v>1</v>
      </c>
      <c r="AI106" s="127">
        <f t="shared" ca="1" si="36"/>
        <v>1</v>
      </c>
      <c r="AJ106" s="128">
        <f t="shared" ca="1" si="36"/>
        <v>1</v>
      </c>
      <c r="AK106" s="126">
        <f t="shared" ca="1" si="36"/>
        <v>1</v>
      </c>
      <c r="AL106" s="127">
        <f t="shared" ca="1" si="36"/>
        <v>1</v>
      </c>
      <c r="AM106" s="127">
        <f t="shared" ca="1" si="36"/>
        <v>1</v>
      </c>
      <c r="AN106" s="127">
        <f t="shared" ca="1" si="36"/>
        <v>1</v>
      </c>
      <c r="AO106" s="129">
        <f t="shared" ca="1" si="33"/>
        <v>1</v>
      </c>
      <c r="AP106" s="536" t="str">
        <f t="shared" si="28"/>
        <v>X</v>
      </c>
      <c r="AQ106" s="536" t="str">
        <f t="shared" si="29"/>
        <v/>
      </c>
      <c r="AR106" s="536" t="str">
        <f t="shared" si="30"/>
        <v/>
      </c>
      <c r="AS106" s="537">
        <f>IF(OR(J106&lt;&gt;"",AP106&amp;AQ106&amp;AR106&lt;&gt;"X",WEEKDAY(I106,2)&gt;5,C106&lt;&gt;0,(FechaInicio1Tri&gt;I106),(FechaFinEEva&lt;I106)),0,_xlfn.XLOOKUP(WEEKDAY(I106,2),Fchs!$J$10:$N$10,Fchs!$J$12:$N$12))</f>
        <v>1</v>
      </c>
      <c r="AT106" s="536">
        <f t="shared" ca="1" si="31"/>
        <v>1</v>
      </c>
      <c r="AU106" s="538">
        <f>IF(AS106&lt;&gt;0,MAXA($AU$14:AU105)+AS106,0)</f>
        <v>49</v>
      </c>
      <c r="AV106" s="538">
        <f ca="1">IF(AT106&lt;&gt;0,MAXA($AU$14:AU105)+AT106,0)</f>
        <v>49</v>
      </c>
      <c r="AW106" s="68"/>
    </row>
    <row r="107" spans="1:49" ht="18.75" customHeight="1" x14ac:dyDescent="0.25">
      <c r="A107" s="68"/>
      <c r="B107" s="56" t="str">
        <f>MID(Info!$AZ$3,(WEEKDAY(I107,2)-1)*3+1,3)</f>
        <v>Mié</v>
      </c>
      <c r="C107" s="523">
        <f>_xlfn.XLOOKUP(I107,Fchs!$I$60:$I$101,Fchs!$J$60:$J$101,0)</f>
        <v>0</v>
      </c>
      <c r="D107" s="523" t="str">
        <f>_xlfn.XLOOKUP(I107,Fchs!$I$60:$I$101,Fchs!$K$60:$K$101)</f>
        <v>1ºGx-Junta 1ªEv.</v>
      </c>
      <c r="E107" s="532" t="str">
        <f>IF($AS107&lt;&gt;0,_xlfn.XLOOKUP($G107,UDs!$E$34:$E$55,UDs!$B$34:$B$55,,-1),0)</f>
        <v>UD02</v>
      </c>
      <c r="F107" s="532" t="str">
        <f t="shared" ca="1" si="27"/>
        <v>UD02</v>
      </c>
      <c r="G107" s="569">
        <f>IF(AU107&lt;&gt;0,MAX($AU$13:$AU106)+1,0)</f>
        <v>50</v>
      </c>
      <c r="H107" s="569">
        <f>IF(AS107&lt;&gt;0,COUNT($H$14:H106,1),"")</f>
        <v>50</v>
      </c>
      <c r="I107" s="533">
        <f t="shared" si="32"/>
        <v>45987</v>
      </c>
      <c r="J107" s="534"/>
      <c r="K107" s="535"/>
      <c r="L107" s="126">
        <f t="shared" ca="1" si="37"/>
        <v>1</v>
      </c>
      <c r="M107" s="127">
        <f t="shared" ca="1" si="37"/>
        <v>1</v>
      </c>
      <c r="N107" s="127">
        <f t="shared" ca="1" si="37"/>
        <v>1</v>
      </c>
      <c r="O107" s="127">
        <f t="shared" ca="1" si="37"/>
        <v>1</v>
      </c>
      <c r="P107" s="128">
        <f t="shared" ca="1" si="37"/>
        <v>1</v>
      </c>
      <c r="Q107" s="126">
        <f t="shared" ca="1" si="37"/>
        <v>1</v>
      </c>
      <c r="R107" s="127">
        <f t="shared" ca="1" si="37"/>
        <v>1</v>
      </c>
      <c r="S107" s="127">
        <f t="shared" ca="1" si="37"/>
        <v>1</v>
      </c>
      <c r="T107" s="127">
        <f t="shared" ca="1" si="37"/>
        <v>1</v>
      </c>
      <c r="U107" s="128">
        <f t="shared" ca="1" si="37"/>
        <v>1</v>
      </c>
      <c r="V107" s="126">
        <f t="shared" ca="1" si="37"/>
        <v>1</v>
      </c>
      <c r="W107" s="127">
        <f t="shared" ca="1" si="37"/>
        <v>1</v>
      </c>
      <c r="X107" s="127">
        <f t="shared" ca="1" si="37"/>
        <v>1</v>
      </c>
      <c r="Y107" s="127">
        <f t="shared" ca="1" si="37"/>
        <v>1</v>
      </c>
      <c r="Z107" s="128">
        <f t="shared" ca="1" si="37"/>
        <v>1</v>
      </c>
      <c r="AA107" s="126">
        <f t="shared" ca="1" si="37"/>
        <v>1</v>
      </c>
      <c r="AB107" s="127">
        <f t="shared" ca="1" si="36"/>
        <v>1</v>
      </c>
      <c r="AC107" s="127">
        <f t="shared" ca="1" si="36"/>
        <v>1</v>
      </c>
      <c r="AD107" s="127">
        <f t="shared" ca="1" si="36"/>
        <v>1</v>
      </c>
      <c r="AE107" s="128">
        <f t="shared" ca="1" si="36"/>
        <v>1</v>
      </c>
      <c r="AF107" s="126">
        <f t="shared" ca="1" si="36"/>
        <v>1</v>
      </c>
      <c r="AG107" s="127">
        <f t="shared" ca="1" si="36"/>
        <v>1</v>
      </c>
      <c r="AH107" s="127">
        <f t="shared" ca="1" si="36"/>
        <v>1</v>
      </c>
      <c r="AI107" s="127">
        <f t="shared" ca="1" si="36"/>
        <v>1</v>
      </c>
      <c r="AJ107" s="128">
        <f t="shared" ca="1" si="36"/>
        <v>1</v>
      </c>
      <c r="AK107" s="126">
        <f t="shared" ca="1" si="36"/>
        <v>1</v>
      </c>
      <c r="AL107" s="127">
        <f t="shared" ca="1" si="36"/>
        <v>1</v>
      </c>
      <c r="AM107" s="127">
        <f t="shared" ca="1" si="36"/>
        <v>1</v>
      </c>
      <c r="AN107" s="127">
        <f t="shared" ca="1" si="36"/>
        <v>1</v>
      </c>
      <c r="AO107" s="129">
        <f t="shared" ca="1" si="33"/>
        <v>1</v>
      </c>
      <c r="AP107" s="536" t="str">
        <f t="shared" si="28"/>
        <v>X</v>
      </c>
      <c r="AQ107" s="536" t="str">
        <f t="shared" si="29"/>
        <v/>
      </c>
      <c r="AR107" s="536" t="str">
        <f t="shared" si="30"/>
        <v/>
      </c>
      <c r="AS107" s="537">
        <f>IF(OR(J107&lt;&gt;"",AP107&amp;AQ107&amp;AR107&lt;&gt;"X",WEEKDAY(I107,2)&gt;5,C107&lt;&gt;0,(FechaInicio1Tri&gt;I107),(FechaFinEEva&lt;I107)),0,_xlfn.XLOOKUP(WEEKDAY(I107,2),Fchs!$J$10:$N$10,Fchs!$J$12:$N$12))</f>
        <v>1</v>
      </c>
      <c r="AT107" s="536">
        <f t="shared" ca="1" si="31"/>
        <v>1</v>
      </c>
      <c r="AU107" s="538">
        <f>IF(AS107&lt;&gt;0,MAXA($AU$14:AU106)+AS107,0)</f>
        <v>50</v>
      </c>
      <c r="AV107" s="538">
        <f ca="1">IF(AT107&lt;&gt;0,MAXA($AU$14:AU106)+AT107,0)</f>
        <v>50</v>
      </c>
      <c r="AW107" s="68"/>
    </row>
    <row r="108" spans="1:49" ht="18.75" customHeight="1" x14ac:dyDescent="0.25">
      <c r="A108" s="68"/>
      <c r="B108" s="56" t="str">
        <f>MID(Info!$AZ$3,(WEEKDAY(I108,2)-1)*3+1,3)</f>
        <v>Jue</v>
      </c>
      <c r="C108" s="523">
        <f>_xlfn.XLOOKUP(I108,Fchs!$I$60:$I$101,Fchs!$J$60:$J$101,0)</f>
        <v>0</v>
      </c>
      <c r="D108" s="523">
        <f>_xlfn.XLOOKUP(I108,Fchs!$I$60:$I$101,Fchs!$K$60:$K$101)</f>
        <v>0</v>
      </c>
      <c r="E108" s="532" t="str">
        <f>IF($AS108&lt;&gt;0,_xlfn.XLOOKUP($G108,UDs!$E$34:$E$55,UDs!$B$34:$B$55,,-1),0)</f>
        <v>UD02</v>
      </c>
      <c r="F108" s="532" t="str">
        <f t="shared" ca="1" si="27"/>
        <v>UD02</v>
      </c>
      <c r="G108" s="569">
        <f>IF(AU108&lt;&gt;0,MAX($AU$13:$AU107)+1,0)</f>
        <v>51</v>
      </c>
      <c r="H108" s="569">
        <f>IF(AS108&lt;&gt;0,COUNT($H$14:H107,1),"")</f>
        <v>51</v>
      </c>
      <c r="I108" s="533">
        <f t="shared" si="32"/>
        <v>45988</v>
      </c>
      <c r="J108" s="534"/>
      <c r="K108" s="535"/>
      <c r="L108" s="126">
        <f t="shared" ca="1" si="37"/>
        <v>1</v>
      </c>
      <c r="M108" s="127">
        <f t="shared" ca="1" si="37"/>
        <v>1</v>
      </c>
      <c r="N108" s="127">
        <f t="shared" ca="1" si="37"/>
        <v>1</v>
      </c>
      <c r="O108" s="127">
        <f t="shared" ca="1" si="37"/>
        <v>1</v>
      </c>
      <c r="P108" s="128">
        <f t="shared" ca="1" si="37"/>
        <v>1</v>
      </c>
      <c r="Q108" s="126">
        <f t="shared" ca="1" si="37"/>
        <v>1</v>
      </c>
      <c r="R108" s="127">
        <f t="shared" ca="1" si="37"/>
        <v>1</v>
      </c>
      <c r="S108" s="127">
        <f t="shared" ca="1" si="37"/>
        <v>1</v>
      </c>
      <c r="T108" s="127">
        <f t="shared" ca="1" si="37"/>
        <v>1</v>
      </c>
      <c r="U108" s="128">
        <f t="shared" ca="1" si="37"/>
        <v>1</v>
      </c>
      <c r="V108" s="126">
        <f t="shared" ca="1" si="37"/>
        <v>1</v>
      </c>
      <c r="W108" s="127">
        <f t="shared" ca="1" si="37"/>
        <v>1</v>
      </c>
      <c r="X108" s="127">
        <f t="shared" ca="1" si="37"/>
        <v>1</v>
      </c>
      <c r="Y108" s="127">
        <f t="shared" ca="1" si="37"/>
        <v>1</v>
      </c>
      <c r="Z108" s="128">
        <f t="shared" ca="1" si="37"/>
        <v>1</v>
      </c>
      <c r="AA108" s="126">
        <f t="shared" ca="1" si="37"/>
        <v>1</v>
      </c>
      <c r="AB108" s="127">
        <f t="shared" ca="1" si="36"/>
        <v>1</v>
      </c>
      <c r="AC108" s="127">
        <f t="shared" ca="1" si="36"/>
        <v>1</v>
      </c>
      <c r="AD108" s="127">
        <f t="shared" ca="1" si="36"/>
        <v>1</v>
      </c>
      <c r="AE108" s="128">
        <f t="shared" ca="1" si="36"/>
        <v>1</v>
      </c>
      <c r="AF108" s="126">
        <f t="shared" ca="1" si="36"/>
        <v>1</v>
      </c>
      <c r="AG108" s="127">
        <f t="shared" ca="1" si="36"/>
        <v>1</v>
      </c>
      <c r="AH108" s="127">
        <f t="shared" ca="1" si="36"/>
        <v>1</v>
      </c>
      <c r="AI108" s="127">
        <f t="shared" ca="1" si="36"/>
        <v>1</v>
      </c>
      <c r="AJ108" s="128">
        <f t="shared" ca="1" si="36"/>
        <v>1</v>
      </c>
      <c r="AK108" s="126">
        <f t="shared" ca="1" si="36"/>
        <v>1</v>
      </c>
      <c r="AL108" s="127">
        <f t="shared" ca="1" si="36"/>
        <v>1</v>
      </c>
      <c r="AM108" s="127">
        <f t="shared" ca="1" si="36"/>
        <v>1</v>
      </c>
      <c r="AN108" s="127">
        <f t="shared" ca="1" si="36"/>
        <v>1</v>
      </c>
      <c r="AO108" s="129">
        <f t="shared" ca="1" si="33"/>
        <v>1</v>
      </c>
      <c r="AP108" s="536" t="str">
        <f t="shared" si="28"/>
        <v>X</v>
      </c>
      <c r="AQ108" s="536" t="str">
        <f t="shared" si="29"/>
        <v/>
      </c>
      <c r="AR108" s="536" t="str">
        <f t="shared" si="30"/>
        <v/>
      </c>
      <c r="AS108" s="537">
        <f>IF(OR(J108&lt;&gt;"",AP108&amp;AQ108&amp;AR108&lt;&gt;"X",WEEKDAY(I108,2)&gt;5,C108&lt;&gt;0,(FechaInicio1Tri&gt;I108),(FechaFinEEva&lt;I108)),0,_xlfn.XLOOKUP(WEEKDAY(I108,2),Fchs!$J$10:$N$10,Fchs!$J$12:$N$12))</f>
        <v>1</v>
      </c>
      <c r="AT108" s="536">
        <f t="shared" ca="1" si="31"/>
        <v>1</v>
      </c>
      <c r="AU108" s="538">
        <f>IF(AS108&lt;&gt;0,MAXA($AU$14:AU107)+AS108,0)</f>
        <v>51</v>
      </c>
      <c r="AV108" s="538">
        <f ca="1">IF(AT108&lt;&gt;0,MAXA($AU$14:AU107)+AT108,0)</f>
        <v>51</v>
      </c>
      <c r="AW108" s="68"/>
    </row>
    <row r="109" spans="1:49" ht="18.75" customHeight="1" x14ac:dyDescent="0.25">
      <c r="A109" s="68"/>
      <c r="B109" s="56" t="str">
        <f>MID(Info!$AZ$3,(WEEKDAY(I109,2)-1)*3+1,3)</f>
        <v>Vie</v>
      </c>
      <c r="C109" s="523">
        <f>_xlfn.XLOOKUP(I109,Fchs!$I$60:$I$101,Fchs!$J$60:$J$101,0)</f>
        <v>0</v>
      </c>
      <c r="D109" s="523" t="str">
        <f>_xlfn.XLOOKUP(I109,Fchs!$I$60:$I$101,Fchs!$K$60:$K$101)</f>
        <v>1ºGx-Boletín 1ªEv.</v>
      </c>
      <c r="E109" s="532" t="str">
        <f>IF($AS109&lt;&gt;0,_xlfn.XLOOKUP($G109,UDs!$E$34:$E$55,UDs!$B$34:$B$55,,-1),0)</f>
        <v>UD02</v>
      </c>
      <c r="F109" s="532" t="str">
        <f t="shared" ca="1" si="27"/>
        <v>UD02</v>
      </c>
      <c r="G109" s="569">
        <f>IF(AU109&lt;&gt;0,MAX($AU$13:$AU108)+1,0)</f>
        <v>52</v>
      </c>
      <c r="H109" s="569">
        <f>IF(AS109&lt;&gt;0,COUNT($H$14:H108,1),"")</f>
        <v>52</v>
      </c>
      <c r="I109" s="533">
        <f t="shared" si="32"/>
        <v>45989</v>
      </c>
      <c r="J109" s="534"/>
      <c r="K109" s="535"/>
      <c r="L109" s="126">
        <f t="shared" ca="1" si="37"/>
        <v>1</v>
      </c>
      <c r="M109" s="127">
        <f t="shared" ca="1" si="37"/>
        <v>1</v>
      </c>
      <c r="N109" s="127">
        <f t="shared" ca="1" si="37"/>
        <v>1</v>
      </c>
      <c r="O109" s="127">
        <f t="shared" ca="1" si="37"/>
        <v>1</v>
      </c>
      <c r="P109" s="128">
        <f t="shared" ca="1" si="37"/>
        <v>1</v>
      </c>
      <c r="Q109" s="126">
        <f t="shared" ca="1" si="37"/>
        <v>1</v>
      </c>
      <c r="R109" s="127">
        <f t="shared" ca="1" si="37"/>
        <v>1</v>
      </c>
      <c r="S109" s="127">
        <f t="shared" ca="1" si="37"/>
        <v>1</v>
      </c>
      <c r="T109" s="127">
        <f t="shared" ca="1" si="37"/>
        <v>1</v>
      </c>
      <c r="U109" s="128">
        <f t="shared" ca="1" si="37"/>
        <v>1</v>
      </c>
      <c r="V109" s="126">
        <f t="shared" ca="1" si="37"/>
        <v>1</v>
      </c>
      <c r="W109" s="127">
        <f t="shared" ca="1" si="37"/>
        <v>1</v>
      </c>
      <c r="X109" s="127">
        <f t="shared" ca="1" si="37"/>
        <v>1</v>
      </c>
      <c r="Y109" s="127">
        <f t="shared" ca="1" si="37"/>
        <v>1</v>
      </c>
      <c r="Z109" s="128">
        <f t="shared" ca="1" si="37"/>
        <v>1</v>
      </c>
      <c r="AA109" s="126">
        <f t="shared" ca="1" si="37"/>
        <v>1</v>
      </c>
      <c r="AB109" s="127">
        <f t="shared" ca="1" si="36"/>
        <v>1</v>
      </c>
      <c r="AC109" s="127">
        <f t="shared" ca="1" si="36"/>
        <v>1</v>
      </c>
      <c r="AD109" s="127">
        <f t="shared" ca="1" si="36"/>
        <v>1</v>
      </c>
      <c r="AE109" s="128">
        <f t="shared" ca="1" si="36"/>
        <v>1</v>
      </c>
      <c r="AF109" s="126">
        <f t="shared" ca="1" si="36"/>
        <v>1</v>
      </c>
      <c r="AG109" s="127">
        <f t="shared" ca="1" si="36"/>
        <v>1</v>
      </c>
      <c r="AH109" s="127">
        <f t="shared" ca="1" si="36"/>
        <v>1</v>
      </c>
      <c r="AI109" s="127">
        <f t="shared" ca="1" si="36"/>
        <v>1</v>
      </c>
      <c r="AJ109" s="128">
        <f t="shared" ca="1" si="36"/>
        <v>1</v>
      </c>
      <c r="AK109" s="126">
        <f t="shared" ca="1" si="36"/>
        <v>1</v>
      </c>
      <c r="AL109" s="127">
        <f t="shared" ca="1" si="36"/>
        <v>1</v>
      </c>
      <c r="AM109" s="127">
        <f t="shared" ca="1" si="36"/>
        <v>1</v>
      </c>
      <c r="AN109" s="127">
        <f t="shared" ca="1" si="36"/>
        <v>1</v>
      </c>
      <c r="AO109" s="129">
        <f t="shared" ca="1" si="33"/>
        <v>1</v>
      </c>
      <c r="AP109" s="536" t="str">
        <f t="shared" si="28"/>
        <v>X</v>
      </c>
      <c r="AQ109" s="536" t="str">
        <f t="shared" si="29"/>
        <v/>
      </c>
      <c r="AR109" s="536" t="str">
        <f t="shared" si="30"/>
        <v/>
      </c>
      <c r="AS109" s="537">
        <f>IF(OR(J109&lt;&gt;"",AP109&amp;AQ109&amp;AR109&lt;&gt;"X",WEEKDAY(I109,2)&gt;5,C109&lt;&gt;0,(FechaInicio1Tri&gt;I109),(FechaFinEEva&lt;I109)),0,_xlfn.XLOOKUP(WEEKDAY(I109,2),Fchs!$J$10:$N$10,Fchs!$J$12:$N$12))</f>
        <v>1</v>
      </c>
      <c r="AT109" s="536">
        <f t="shared" ca="1" si="31"/>
        <v>1</v>
      </c>
      <c r="AU109" s="538">
        <f>IF(AS109&lt;&gt;0,MAXA($AU$14:AU108)+AS109,0)</f>
        <v>52</v>
      </c>
      <c r="AV109" s="538">
        <f ca="1">IF(AT109&lt;&gt;0,MAXA($AU$14:AU108)+AT109,0)</f>
        <v>52</v>
      </c>
      <c r="AW109" s="68"/>
    </row>
    <row r="110" spans="1:49" ht="18.75" customHeight="1" x14ac:dyDescent="0.25">
      <c r="A110" s="68"/>
      <c r="B110" s="56" t="str">
        <f>MID(Info!$AZ$3,(WEEKDAY(I110,2)-1)*3+1,3)</f>
        <v>Sáb</v>
      </c>
      <c r="C110" s="523">
        <f>_xlfn.XLOOKUP(I110,Fchs!$I$60:$I$101,Fchs!$J$60:$J$101,0)</f>
        <v>0</v>
      </c>
      <c r="D110" s="523">
        <f>_xlfn.XLOOKUP(I110,Fchs!$I$60:$I$101,Fchs!$K$60:$K$101)</f>
        <v>0</v>
      </c>
      <c r="E110" s="532">
        <f>IF($AS110&lt;&gt;0,_xlfn.XLOOKUP($G110,UDs!$E$34:$E$55,UDs!$B$34:$B$55,,-1),0)</f>
        <v>0</v>
      </c>
      <c r="F110" s="532">
        <f t="shared" ca="1" si="27"/>
        <v>0</v>
      </c>
      <c r="G110" s="569">
        <f>IF(AU110&lt;&gt;0,MAX($AU$13:$AU109)+1,0)</f>
        <v>0</v>
      </c>
      <c r="H110" s="569" t="str">
        <f>IF(AS110&lt;&gt;0,COUNT($H$14:H109,1),"")</f>
        <v/>
      </c>
      <c r="I110" s="533">
        <f t="shared" si="32"/>
        <v>45990</v>
      </c>
      <c r="J110" s="534"/>
      <c r="K110" s="535"/>
      <c r="L110" s="126">
        <f t="shared" ca="1" si="37"/>
        <v>0</v>
      </c>
      <c r="M110" s="127">
        <f t="shared" ca="1" si="37"/>
        <v>0</v>
      </c>
      <c r="N110" s="127">
        <f t="shared" ca="1" si="37"/>
        <v>0</v>
      </c>
      <c r="O110" s="127">
        <f t="shared" ca="1" si="37"/>
        <v>0</v>
      </c>
      <c r="P110" s="128">
        <f t="shared" ca="1" si="37"/>
        <v>0</v>
      </c>
      <c r="Q110" s="126">
        <f t="shared" ca="1" si="37"/>
        <v>0</v>
      </c>
      <c r="R110" s="127">
        <f t="shared" ca="1" si="37"/>
        <v>0</v>
      </c>
      <c r="S110" s="127">
        <f t="shared" ca="1" si="37"/>
        <v>0</v>
      </c>
      <c r="T110" s="127">
        <f t="shared" ca="1" si="37"/>
        <v>0</v>
      </c>
      <c r="U110" s="128">
        <f t="shared" ca="1" si="37"/>
        <v>0</v>
      </c>
      <c r="V110" s="126">
        <f t="shared" ca="1" si="37"/>
        <v>0</v>
      </c>
      <c r="W110" s="127">
        <f t="shared" ca="1" si="37"/>
        <v>0</v>
      </c>
      <c r="X110" s="127">
        <f t="shared" ca="1" si="37"/>
        <v>0</v>
      </c>
      <c r="Y110" s="127">
        <f t="shared" ca="1" si="37"/>
        <v>0</v>
      </c>
      <c r="Z110" s="128">
        <f t="shared" ca="1" si="37"/>
        <v>0</v>
      </c>
      <c r="AA110" s="126">
        <f t="shared" ca="1" si="37"/>
        <v>0</v>
      </c>
      <c r="AB110" s="127">
        <f t="shared" ca="1" si="36"/>
        <v>0</v>
      </c>
      <c r="AC110" s="127">
        <f t="shared" ca="1" si="36"/>
        <v>0</v>
      </c>
      <c r="AD110" s="127">
        <f t="shared" ca="1" si="36"/>
        <v>0</v>
      </c>
      <c r="AE110" s="128">
        <f t="shared" ca="1" si="36"/>
        <v>0</v>
      </c>
      <c r="AF110" s="126">
        <f t="shared" ca="1" si="36"/>
        <v>0</v>
      </c>
      <c r="AG110" s="127">
        <f t="shared" ca="1" si="36"/>
        <v>0</v>
      </c>
      <c r="AH110" s="127">
        <f t="shared" ca="1" si="36"/>
        <v>0</v>
      </c>
      <c r="AI110" s="127">
        <f t="shared" ca="1" si="36"/>
        <v>0</v>
      </c>
      <c r="AJ110" s="128">
        <f t="shared" ca="1" si="36"/>
        <v>0</v>
      </c>
      <c r="AK110" s="126">
        <f t="shared" ca="1" si="36"/>
        <v>0</v>
      </c>
      <c r="AL110" s="127">
        <f t="shared" ca="1" si="36"/>
        <v>0</v>
      </c>
      <c r="AM110" s="127">
        <f t="shared" ca="1" si="36"/>
        <v>0</v>
      </c>
      <c r="AN110" s="127">
        <f t="shared" ca="1" si="36"/>
        <v>0</v>
      </c>
      <c r="AO110" s="129">
        <f t="shared" ca="1" si="33"/>
        <v>0</v>
      </c>
      <c r="AP110" s="536" t="str">
        <f t="shared" si="28"/>
        <v/>
      </c>
      <c r="AQ110" s="536" t="str">
        <f t="shared" si="29"/>
        <v/>
      </c>
      <c r="AR110" s="536" t="str">
        <f t="shared" si="30"/>
        <v/>
      </c>
      <c r="AS110" s="537">
        <f>IF(OR(J110&lt;&gt;"",AP110&amp;AQ110&amp;AR110&lt;&gt;"X",WEEKDAY(I110,2)&gt;5,C110&lt;&gt;0,(FechaInicio1Tri&gt;I110),(FechaFinEEva&lt;I110)),0,_xlfn.XLOOKUP(WEEKDAY(I110,2),Fchs!$J$10:$N$10,Fchs!$J$12:$N$12))</f>
        <v>0</v>
      </c>
      <c r="AT110" s="536">
        <f t="shared" ca="1" si="31"/>
        <v>0</v>
      </c>
      <c r="AU110" s="538">
        <f>IF(AS110&lt;&gt;0,MAXA($AU$14:AU109)+AS110,0)</f>
        <v>0</v>
      </c>
      <c r="AV110" s="538">
        <f ca="1">IF(AT110&lt;&gt;0,MAXA($AU$14:AU109)+AT110,0)</f>
        <v>0</v>
      </c>
      <c r="AW110" s="68"/>
    </row>
    <row r="111" spans="1:49" ht="18.75" customHeight="1" x14ac:dyDescent="0.25">
      <c r="A111" s="68"/>
      <c r="B111" s="530" t="str">
        <f>MID(Info!$AZ$3,(WEEKDAY(I111,2)-1)*3+1,3)</f>
        <v>Dom</v>
      </c>
      <c r="C111" s="611">
        <f>_xlfn.XLOOKUP(I111,Fchs!$I$60:$I$101,Fchs!$J$60:$J$101,0)</f>
        <v>0</v>
      </c>
      <c r="D111" s="611">
        <f>_xlfn.XLOOKUP(I111,Fchs!$I$60:$I$101,Fchs!$K$60:$K$101)</f>
        <v>0</v>
      </c>
      <c r="E111" s="539">
        <f>IF($AS111&lt;&gt;0,_xlfn.XLOOKUP($G111,UDs!$E$34:$E$55,UDs!$B$34:$B$55,,-1),0)</f>
        <v>0</v>
      </c>
      <c r="F111" s="539">
        <f t="shared" ca="1" si="27"/>
        <v>0</v>
      </c>
      <c r="G111" s="570">
        <f>IF(AU111&lt;&gt;0,MAX($AU$13:$AU110)+1,0)</f>
        <v>0</v>
      </c>
      <c r="H111" s="570" t="str">
        <f>IF(AS111&lt;&gt;0,COUNT($H$14:H110,1),"")</f>
        <v/>
      </c>
      <c r="I111" s="540">
        <f t="shared" si="32"/>
        <v>45991</v>
      </c>
      <c r="J111" s="541"/>
      <c r="K111" s="542"/>
      <c r="L111" s="121">
        <f t="shared" ca="1" si="37"/>
        <v>0</v>
      </c>
      <c r="M111" s="122">
        <f t="shared" ca="1" si="37"/>
        <v>0</v>
      </c>
      <c r="N111" s="122">
        <f t="shared" ca="1" si="37"/>
        <v>0</v>
      </c>
      <c r="O111" s="122">
        <f t="shared" ca="1" si="37"/>
        <v>0</v>
      </c>
      <c r="P111" s="123">
        <f t="shared" ca="1" si="37"/>
        <v>0</v>
      </c>
      <c r="Q111" s="121">
        <f t="shared" ca="1" si="37"/>
        <v>0</v>
      </c>
      <c r="R111" s="122">
        <f t="shared" ca="1" si="37"/>
        <v>0</v>
      </c>
      <c r="S111" s="122">
        <f t="shared" ca="1" si="37"/>
        <v>0</v>
      </c>
      <c r="T111" s="122">
        <f t="shared" ca="1" si="37"/>
        <v>0</v>
      </c>
      <c r="U111" s="123">
        <f t="shared" ca="1" si="37"/>
        <v>0</v>
      </c>
      <c r="V111" s="121">
        <f t="shared" ca="1" si="37"/>
        <v>0</v>
      </c>
      <c r="W111" s="122">
        <f t="shared" ca="1" si="37"/>
        <v>0</v>
      </c>
      <c r="X111" s="122">
        <f t="shared" ca="1" si="37"/>
        <v>0</v>
      </c>
      <c r="Y111" s="122">
        <f t="shared" ca="1" si="37"/>
        <v>0</v>
      </c>
      <c r="Z111" s="123">
        <f t="shared" ca="1" si="37"/>
        <v>0</v>
      </c>
      <c r="AA111" s="121">
        <f t="shared" ca="1" si="37"/>
        <v>0</v>
      </c>
      <c r="AB111" s="122">
        <f t="shared" ca="1" si="36"/>
        <v>0</v>
      </c>
      <c r="AC111" s="122">
        <f t="shared" ca="1" si="36"/>
        <v>0</v>
      </c>
      <c r="AD111" s="122">
        <f t="shared" ca="1" si="36"/>
        <v>0</v>
      </c>
      <c r="AE111" s="123">
        <f t="shared" ca="1" si="36"/>
        <v>0</v>
      </c>
      <c r="AF111" s="121">
        <f t="shared" ca="1" si="36"/>
        <v>0</v>
      </c>
      <c r="AG111" s="122">
        <f t="shared" ca="1" si="36"/>
        <v>0</v>
      </c>
      <c r="AH111" s="122">
        <f t="shared" ca="1" si="36"/>
        <v>0</v>
      </c>
      <c r="AI111" s="122">
        <f t="shared" ca="1" si="36"/>
        <v>0</v>
      </c>
      <c r="AJ111" s="123">
        <f t="shared" ca="1" si="36"/>
        <v>0</v>
      </c>
      <c r="AK111" s="121">
        <f t="shared" ca="1" si="36"/>
        <v>0</v>
      </c>
      <c r="AL111" s="122">
        <f t="shared" ca="1" si="36"/>
        <v>0</v>
      </c>
      <c r="AM111" s="122">
        <f t="shared" ca="1" si="36"/>
        <v>0</v>
      </c>
      <c r="AN111" s="122">
        <f t="shared" ca="1" si="36"/>
        <v>0</v>
      </c>
      <c r="AO111" s="123">
        <f t="shared" ca="1" si="33"/>
        <v>0</v>
      </c>
      <c r="AP111" s="536" t="str">
        <f t="shared" si="28"/>
        <v/>
      </c>
      <c r="AQ111" s="536" t="str">
        <f t="shared" si="29"/>
        <v/>
      </c>
      <c r="AR111" s="536" t="str">
        <f t="shared" si="30"/>
        <v/>
      </c>
      <c r="AS111" s="537">
        <f>IF(OR(J111&lt;&gt;"",AP111&amp;AQ111&amp;AR111&lt;&gt;"X",WEEKDAY(I111,2)&gt;5,C111&lt;&gt;0,(FechaInicio1Tri&gt;I111),(FechaFinEEva&lt;I111)),0,_xlfn.XLOOKUP(WEEKDAY(I111,2),Fchs!$J$10:$N$10,Fchs!$J$12:$N$12))</f>
        <v>0</v>
      </c>
      <c r="AT111" s="536">
        <f t="shared" ca="1" si="31"/>
        <v>0</v>
      </c>
      <c r="AU111" s="538">
        <f>IF(AS111&lt;&gt;0,MAXA($AU$14:AU110)+AS111,0)</f>
        <v>0</v>
      </c>
      <c r="AV111" s="538">
        <f ca="1">IF(AT111&lt;&gt;0,MAXA($AU$14:AU110)+AT111,0)</f>
        <v>0</v>
      </c>
      <c r="AW111" s="68"/>
    </row>
    <row r="112" spans="1:49" ht="18.75" customHeight="1" x14ac:dyDescent="0.25">
      <c r="A112" s="68"/>
      <c r="B112" s="79"/>
      <c r="C112" s="543"/>
      <c r="D112" s="543"/>
      <c r="E112" s="106"/>
      <c r="F112" s="543"/>
      <c r="G112" s="124"/>
      <c r="H112" s="124"/>
      <c r="I112" s="544"/>
      <c r="J112" s="106"/>
      <c r="K112" s="106"/>
      <c r="L112" s="543"/>
      <c r="M112" s="543"/>
      <c r="N112" s="543"/>
      <c r="O112" s="543"/>
      <c r="P112" s="543"/>
      <c r="Q112" s="543"/>
      <c r="R112" s="543"/>
      <c r="S112" s="543"/>
      <c r="T112" s="543"/>
      <c r="U112" s="543"/>
      <c r="V112" s="543"/>
      <c r="W112" s="543"/>
      <c r="X112" s="543"/>
      <c r="Y112" s="543"/>
      <c r="Z112" s="543"/>
      <c r="AA112" s="543"/>
      <c r="AB112" s="543"/>
      <c r="AC112" s="543"/>
      <c r="AD112" s="543"/>
      <c r="AE112" s="543"/>
      <c r="AF112" s="543"/>
      <c r="AG112" s="543"/>
      <c r="AH112" s="543"/>
      <c r="AI112" s="543"/>
      <c r="AJ112" s="543"/>
      <c r="AK112" s="543"/>
      <c r="AL112" s="543"/>
      <c r="AM112" s="543"/>
      <c r="AN112" s="543"/>
      <c r="AO112" s="543"/>
      <c r="AP112" s="124"/>
      <c r="AQ112" s="124"/>
      <c r="AR112" s="124"/>
      <c r="AS112" s="543"/>
      <c r="AT112" s="543"/>
      <c r="AU112" s="545"/>
      <c r="AV112" s="545"/>
      <c r="AW112" s="68"/>
    </row>
    <row r="113" spans="1:49" ht="18.75" customHeight="1" thickBot="1" x14ac:dyDescent="0.3">
      <c r="A113" s="68"/>
      <c r="B113" s="79"/>
      <c r="C113" s="543"/>
      <c r="D113" s="543"/>
      <c r="E113" s="106"/>
      <c r="F113" s="543"/>
      <c r="G113" s="124"/>
      <c r="H113" s="124"/>
      <c r="I113" s="544"/>
      <c r="J113" s="106"/>
      <c r="K113" s="106"/>
      <c r="L113" s="543"/>
      <c r="M113" s="543"/>
      <c r="N113" s="543"/>
      <c r="O113" s="543"/>
      <c r="P113" s="543"/>
      <c r="Q113" s="543"/>
      <c r="R113" s="543"/>
      <c r="S113" s="543"/>
      <c r="T113" s="543"/>
      <c r="U113" s="543"/>
      <c r="V113" s="543"/>
      <c r="W113" s="543"/>
      <c r="X113" s="543"/>
      <c r="Y113" s="543"/>
      <c r="Z113" s="543"/>
      <c r="AA113" s="543"/>
      <c r="AB113" s="543"/>
      <c r="AC113" s="543"/>
      <c r="AD113" s="543"/>
      <c r="AE113" s="543"/>
      <c r="AF113" s="543"/>
      <c r="AG113" s="543"/>
      <c r="AH113" s="543"/>
      <c r="AI113" s="543"/>
      <c r="AJ113" s="543"/>
      <c r="AK113" s="543"/>
      <c r="AL113" s="543"/>
      <c r="AM113" s="543"/>
      <c r="AN113" s="543"/>
      <c r="AO113" s="543"/>
      <c r="AP113" s="124"/>
      <c r="AQ113" s="124"/>
      <c r="AR113" s="124"/>
      <c r="AS113" s="543"/>
      <c r="AT113" s="543"/>
      <c r="AU113" s="545"/>
      <c r="AV113" s="545"/>
      <c r="AW113" s="68"/>
    </row>
    <row r="114" spans="1:49" ht="18.75" customHeight="1" x14ac:dyDescent="0.25">
      <c r="A114" s="68"/>
      <c r="B114" s="546" t="str">
        <f>MID(Info!$AZ$5,(MONTH(I116)-1)*3+1,3)&amp;" "&amp;YEAR(I116)</f>
        <v xml:space="preserve"> 2025</v>
      </c>
      <c r="C114" s="543"/>
      <c r="D114" s="543"/>
      <c r="E114" s="106"/>
      <c r="F114" s="543"/>
      <c r="G114" s="124"/>
      <c r="H114" s="124"/>
      <c r="I114" s="544"/>
      <c r="J114" s="106"/>
      <c r="K114" s="106"/>
      <c r="L114" s="543"/>
      <c r="M114" s="543"/>
      <c r="N114" s="543"/>
      <c r="O114" s="543"/>
      <c r="P114" s="543"/>
      <c r="Q114" s="543"/>
      <c r="R114" s="543"/>
      <c r="S114" s="543"/>
      <c r="T114" s="543"/>
      <c r="U114" s="543"/>
      <c r="V114" s="543"/>
      <c r="W114" s="543"/>
      <c r="X114" s="543"/>
      <c r="Y114" s="543"/>
      <c r="Z114" s="543"/>
      <c r="AA114" s="543"/>
      <c r="AB114" s="543"/>
      <c r="AC114" s="543"/>
      <c r="AD114" s="543"/>
      <c r="AE114" s="543"/>
      <c r="AF114" s="543"/>
      <c r="AG114" s="543"/>
      <c r="AH114" s="543"/>
      <c r="AI114" s="543"/>
      <c r="AJ114" s="543"/>
      <c r="AK114" s="543"/>
      <c r="AL114" s="543"/>
      <c r="AM114" s="543"/>
      <c r="AN114" s="543"/>
      <c r="AO114" s="543"/>
      <c r="AP114" s="547">
        <f>SUMIF(AP116:AP146,"X",$AS116:$AS146)</f>
        <v>0</v>
      </c>
      <c r="AQ114" s="547">
        <f>SUMIF(AQ116:AQ146,"X",$AS116:$AS146)</f>
        <v>14</v>
      </c>
      <c r="AR114" s="547">
        <f>SUMIF(AR116:AR146,"X",$AS116:$AS146)</f>
        <v>0</v>
      </c>
      <c r="AS114" s="543"/>
      <c r="AT114" s="543"/>
      <c r="AU114" s="545"/>
      <c r="AV114" s="545"/>
      <c r="AW114" s="68"/>
    </row>
    <row r="115" spans="1:49" ht="18.75" customHeight="1" thickBot="1" x14ac:dyDescent="0.3">
      <c r="A115" s="68"/>
      <c r="B115" s="527">
        <f ca="1">IFERROR(SUM(AP115:AR115)/SUM(AP114:AR114),"--")</f>
        <v>1</v>
      </c>
      <c r="C115" s="549"/>
      <c r="D115" s="549"/>
      <c r="E115" s="548"/>
      <c r="F115" s="549"/>
      <c r="G115" s="125"/>
      <c r="H115" s="125"/>
      <c r="I115" s="550"/>
      <c r="J115" s="548"/>
      <c r="K115" s="548"/>
      <c r="L115" s="549"/>
      <c r="M115" s="549"/>
      <c r="N115" s="549"/>
      <c r="O115" s="549"/>
      <c r="P115" s="549"/>
      <c r="Q115" s="549"/>
      <c r="R115" s="549"/>
      <c r="S115" s="549"/>
      <c r="T115" s="549"/>
      <c r="U115" s="549"/>
      <c r="V115" s="549"/>
      <c r="W115" s="549"/>
      <c r="X115" s="549"/>
      <c r="Y115" s="549"/>
      <c r="Z115" s="549"/>
      <c r="AA115" s="549"/>
      <c r="AB115" s="549"/>
      <c r="AC115" s="549"/>
      <c r="AD115" s="549"/>
      <c r="AE115" s="549"/>
      <c r="AF115" s="549"/>
      <c r="AG115" s="549"/>
      <c r="AH115" s="549"/>
      <c r="AI115" s="549"/>
      <c r="AJ115" s="549"/>
      <c r="AK115" s="549"/>
      <c r="AL115" s="549"/>
      <c r="AM115" s="549"/>
      <c r="AN115" s="549"/>
      <c r="AO115" s="549"/>
      <c r="AP115" s="531">
        <f>SUMIF(AP116:AP146,"X",$AT116:$AT146)</f>
        <v>0</v>
      </c>
      <c r="AQ115" s="531">
        <f ca="1">SUMIF(AQ116:AQ146,"X",$AT116:$AT146)</f>
        <v>14</v>
      </c>
      <c r="AR115" s="531">
        <f>SUMIF(AR116:AR146,"X",$AT116:$AT146)</f>
        <v>0</v>
      </c>
      <c r="AS115" s="543"/>
      <c r="AT115" s="543"/>
      <c r="AU115" s="545"/>
      <c r="AV115" s="545"/>
      <c r="AW115" s="68"/>
    </row>
    <row r="116" spans="1:49" ht="18.75" customHeight="1" x14ac:dyDescent="0.25">
      <c r="A116" s="68"/>
      <c r="B116" s="56" t="str">
        <f>MID(Info!$AZ$3,(WEEKDAY(I116,2)-1)*3+1,3)</f>
        <v>Lun</v>
      </c>
      <c r="C116" s="523">
        <f>_xlfn.XLOOKUP(I116,Fchs!$L$60:$L$101,Fchs!$M$60:$M$101,0)</f>
        <v>0</v>
      </c>
      <c r="D116" s="523">
        <f>_xlfn.XLOOKUP(I116,Fchs!$L$60:$L$101,Fchs!$N$60:$N$101)</f>
        <v>0</v>
      </c>
      <c r="E116" s="532" t="str">
        <f>IF($AS116&lt;&gt;0,_xlfn.XLOOKUP($G116,UDs!$E$34:$E$55,UDs!$B$34:$B$55,,-1),0)</f>
        <v>UD02</v>
      </c>
      <c r="F116" s="552" t="str">
        <f t="shared" ref="F116:F146" ca="1" si="38">IF(AT116&lt;&gt;0,E116,0)</f>
        <v>UD02</v>
      </c>
      <c r="G116" s="127">
        <f>IF(AU116&lt;&gt;0,MAX($AU$13:$AU115)+1,0)</f>
        <v>53</v>
      </c>
      <c r="H116" s="127">
        <f>IF(AS116&lt;&gt;0,COUNT($H$14:H115,1),"")</f>
        <v>53</v>
      </c>
      <c r="I116" s="533">
        <f>DATE(YEAR(FechaInicio1Tri),MONTH(FechaInicio1Tri)+3,1)</f>
        <v>45992</v>
      </c>
      <c r="J116" s="534"/>
      <c r="K116" s="535"/>
      <c r="L116" s="126">
        <f t="shared" ca="1" si="37"/>
        <v>1</v>
      </c>
      <c r="M116" s="127">
        <f t="shared" ca="1" si="37"/>
        <v>1</v>
      </c>
      <c r="N116" s="127">
        <f t="shared" ca="1" si="37"/>
        <v>1</v>
      </c>
      <c r="O116" s="127">
        <f t="shared" ca="1" si="37"/>
        <v>1</v>
      </c>
      <c r="P116" s="128">
        <f t="shared" ca="1" si="37"/>
        <v>1</v>
      </c>
      <c r="Q116" s="126">
        <f t="shared" ca="1" si="37"/>
        <v>1</v>
      </c>
      <c r="R116" s="127">
        <f t="shared" ca="1" si="37"/>
        <v>1</v>
      </c>
      <c r="S116" s="127">
        <f t="shared" ca="1" si="37"/>
        <v>1</v>
      </c>
      <c r="T116" s="127">
        <f t="shared" ca="1" si="37"/>
        <v>1</v>
      </c>
      <c r="U116" s="128">
        <f t="shared" ca="1" si="37"/>
        <v>1</v>
      </c>
      <c r="V116" s="126">
        <f t="shared" ca="1" si="37"/>
        <v>1</v>
      </c>
      <c r="W116" s="127">
        <f t="shared" ca="1" si="37"/>
        <v>1</v>
      </c>
      <c r="X116" s="127">
        <f t="shared" ca="1" si="37"/>
        <v>1</v>
      </c>
      <c r="Y116" s="127">
        <f t="shared" ca="1" si="37"/>
        <v>1</v>
      </c>
      <c r="Z116" s="128">
        <f t="shared" ca="1" si="37"/>
        <v>1</v>
      </c>
      <c r="AA116" s="126">
        <f t="shared" ca="1" si="37"/>
        <v>1</v>
      </c>
      <c r="AB116" s="127">
        <f t="shared" ca="1" si="36"/>
        <v>1</v>
      </c>
      <c r="AC116" s="127">
        <f t="shared" ca="1" si="36"/>
        <v>1</v>
      </c>
      <c r="AD116" s="127">
        <f t="shared" ca="1" si="36"/>
        <v>1</v>
      </c>
      <c r="AE116" s="128">
        <f t="shared" ca="1" si="36"/>
        <v>1</v>
      </c>
      <c r="AF116" s="126">
        <f t="shared" ca="1" si="36"/>
        <v>1</v>
      </c>
      <c r="AG116" s="127">
        <f t="shared" ca="1" si="36"/>
        <v>1</v>
      </c>
      <c r="AH116" s="127">
        <f t="shared" ca="1" si="36"/>
        <v>1</v>
      </c>
      <c r="AI116" s="127">
        <f t="shared" ca="1" si="36"/>
        <v>1</v>
      </c>
      <c r="AJ116" s="128">
        <f t="shared" ca="1" si="36"/>
        <v>1</v>
      </c>
      <c r="AK116" s="126">
        <f t="shared" ca="1" si="36"/>
        <v>1</v>
      </c>
      <c r="AL116" s="127">
        <f t="shared" ca="1" si="36"/>
        <v>1</v>
      </c>
      <c r="AM116" s="127">
        <f t="shared" ca="1" si="36"/>
        <v>1</v>
      </c>
      <c r="AN116" s="127">
        <f t="shared" ca="1" si="36"/>
        <v>1</v>
      </c>
      <c r="AO116" s="129">
        <f t="shared" ca="1" si="33"/>
        <v>1</v>
      </c>
      <c r="AP116" s="536" t="str">
        <f t="shared" ref="AP116:AP146" si="39">IF(AND(FechaInicio1Tri&lt;=$I116, FechaFin1Tri&gt;=$I116,WEEKDAY($I116,2)&lt;=5),"X","")</f>
        <v/>
      </c>
      <c r="AQ116" s="536" t="str">
        <f t="shared" ref="AQ116:AQ146" si="40">IF(AND(FechaInicio2Tri&lt;=$I116, FechaFin2Tri&gt;=$I116,WEEKDAY($I116,2)&lt;=5),"X","")</f>
        <v>X</v>
      </c>
      <c r="AR116" s="536" t="str">
        <f t="shared" ref="AR116:AR146" si="41">IF(AND(FechaInicio3Tri&lt;=$I116, FechaFin3Tri&gt;=$I116, NTri&gt;=3,WEEKDAY($I116,2)&lt;=5),"X","")</f>
        <v/>
      </c>
      <c r="AS116" s="537">
        <f>IF(OR(J116&lt;&gt;"",AP116&amp;AQ116&amp;AR116&lt;&gt;"X",WEEKDAY(I116,2)&gt;5,C116&lt;&gt;0,(FechaInicio1Tri&gt;I116),(FechaFinEEva&lt;I116)),0,_xlfn.XLOOKUP(WEEKDAY(I116,2),Fchs!$J$10:$N$10,Fchs!$J$12:$N$12))</f>
        <v>1</v>
      </c>
      <c r="AT116" s="536">
        <f t="shared" ref="AT116:AT146" ca="1" si="42">IF(OR(AS116=0,FechaHoy&lt;I116,(FechaInicio1Tri&gt;I116),(FechaFinEEva&lt;I116)),0,AS116)</f>
        <v>1</v>
      </c>
      <c r="AU116" s="538">
        <f>IF(AS116&lt;&gt;0,MAXA($AU$14:AU115)+AS116,0)</f>
        <v>53</v>
      </c>
      <c r="AV116" s="538">
        <f ca="1">IF(AT116&lt;&gt;0,MAXA($AU$14:AU115)+AT116,0)</f>
        <v>53</v>
      </c>
      <c r="AW116" s="68"/>
    </row>
    <row r="117" spans="1:49" ht="18.75" customHeight="1" x14ac:dyDescent="0.25">
      <c r="A117" s="68"/>
      <c r="B117" s="56" t="str">
        <f>MID(Info!$AZ$3,(WEEKDAY(I117,2)-1)*3+1,3)</f>
        <v>Mar</v>
      </c>
      <c r="C117" s="523">
        <f>_xlfn.XLOOKUP(I117,Fchs!$L$60:$L$101,Fchs!$M$60:$M$101,0)</f>
        <v>0</v>
      </c>
      <c r="D117" s="523">
        <f>_xlfn.XLOOKUP(I117,Fchs!$L$60:$L$101,Fchs!$N$60:$N$101)</f>
        <v>0</v>
      </c>
      <c r="E117" s="532" t="str">
        <f>IF($AS117&lt;&gt;0,_xlfn.XLOOKUP($G117,UDs!$E$34:$E$55,UDs!$B$34:$B$55,,-1),0)</f>
        <v>UD02</v>
      </c>
      <c r="F117" s="532" t="str">
        <f t="shared" ca="1" si="38"/>
        <v>UD02</v>
      </c>
      <c r="G117" s="569">
        <f>IF(AU117&lt;&gt;0,MAX($AU$13:$AU116)+1,0)</f>
        <v>54</v>
      </c>
      <c r="H117" s="569">
        <f>IF(AS117&lt;&gt;0,COUNT($H$14:H116,1),"")</f>
        <v>54</v>
      </c>
      <c r="I117" s="533">
        <f t="shared" ref="I117:I146" si="43">I116+1</f>
        <v>45993</v>
      </c>
      <c r="J117" s="534"/>
      <c r="K117" s="535"/>
      <c r="L117" s="126">
        <f t="shared" ca="1" si="37"/>
        <v>1</v>
      </c>
      <c r="M117" s="127">
        <f t="shared" ca="1" si="37"/>
        <v>1</v>
      </c>
      <c r="N117" s="127">
        <f t="shared" ca="1" si="37"/>
        <v>1</v>
      </c>
      <c r="O117" s="127">
        <f t="shared" ca="1" si="37"/>
        <v>1</v>
      </c>
      <c r="P117" s="128">
        <f t="shared" ca="1" si="37"/>
        <v>1</v>
      </c>
      <c r="Q117" s="126">
        <f t="shared" ca="1" si="37"/>
        <v>1</v>
      </c>
      <c r="R117" s="127">
        <f t="shared" ca="1" si="37"/>
        <v>1</v>
      </c>
      <c r="S117" s="127">
        <f t="shared" ca="1" si="37"/>
        <v>1</v>
      </c>
      <c r="T117" s="127">
        <f t="shared" ca="1" si="37"/>
        <v>1</v>
      </c>
      <c r="U117" s="128">
        <f t="shared" ca="1" si="37"/>
        <v>1</v>
      </c>
      <c r="V117" s="126">
        <f t="shared" ca="1" si="37"/>
        <v>1</v>
      </c>
      <c r="W117" s="127">
        <f t="shared" ca="1" si="37"/>
        <v>1</v>
      </c>
      <c r="X117" s="127">
        <f t="shared" ca="1" si="37"/>
        <v>1</v>
      </c>
      <c r="Y117" s="127">
        <f t="shared" ca="1" si="37"/>
        <v>1</v>
      </c>
      <c r="Z117" s="128">
        <f t="shared" ca="1" si="37"/>
        <v>1</v>
      </c>
      <c r="AA117" s="126">
        <f t="shared" ca="1" si="37"/>
        <v>1</v>
      </c>
      <c r="AB117" s="127">
        <f t="shared" ca="1" si="36"/>
        <v>1</v>
      </c>
      <c r="AC117" s="127">
        <f t="shared" ca="1" si="36"/>
        <v>1</v>
      </c>
      <c r="AD117" s="127">
        <f t="shared" ca="1" si="36"/>
        <v>1</v>
      </c>
      <c r="AE117" s="128">
        <f t="shared" ca="1" si="36"/>
        <v>1</v>
      </c>
      <c r="AF117" s="126">
        <f t="shared" ca="1" si="36"/>
        <v>1</v>
      </c>
      <c r="AG117" s="127">
        <f t="shared" ca="1" si="36"/>
        <v>1</v>
      </c>
      <c r="AH117" s="127">
        <f t="shared" ca="1" si="36"/>
        <v>1</v>
      </c>
      <c r="AI117" s="127">
        <f t="shared" ca="1" si="36"/>
        <v>1</v>
      </c>
      <c r="AJ117" s="128">
        <f t="shared" ca="1" si="36"/>
        <v>1</v>
      </c>
      <c r="AK117" s="126">
        <f t="shared" ca="1" si="36"/>
        <v>1</v>
      </c>
      <c r="AL117" s="127">
        <f t="shared" ca="1" si="36"/>
        <v>1</v>
      </c>
      <c r="AM117" s="127">
        <f t="shared" ca="1" si="36"/>
        <v>1</v>
      </c>
      <c r="AN117" s="127">
        <f t="shared" ca="1" si="36"/>
        <v>1</v>
      </c>
      <c r="AO117" s="129">
        <f t="shared" ca="1" si="33"/>
        <v>1</v>
      </c>
      <c r="AP117" s="536" t="str">
        <f t="shared" si="39"/>
        <v/>
      </c>
      <c r="AQ117" s="536" t="str">
        <f t="shared" si="40"/>
        <v>X</v>
      </c>
      <c r="AR117" s="536" t="str">
        <f t="shared" si="41"/>
        <v/>
      </c>
      <c r="AS117" s="537">
        <f>IF(OR(J117&lt;&gt;"",AP117&amp;AQ117&amp;AR117&lt;&gt;"X",WEEKDAY(I117,2)&gt;5,C117&lt;&gt;0,(FechaInicio1Tri&gt;I117),(FechaFinEEva&lt;I117)),0,_xlfn.XLOOKUP(WEEKDAY(I117,2),Fchs!$J$10:$N$10,Fchs!$J$12:$N$12))</f>
        <v>1</v>
      </c>
      <c r="AT117" s="536">
        <f t="shared" ca="1" si="42"/>
        <v>1</v>
      </c>
      <c r="AU117" s="538">
        <f>IF(AS117&lt;&gt;0,MAXA($AU$14:AU116)+AS117,0)</f>
        <v>54</v>
      </c>
      <c r="AV117" s="538">
        <f ca="1">IF(AT117&lt;&gt;0,MAXA($AU$14:AU116)+AT117,0)</f>
        <v>54</v>
      </c>
      <c r="AW117" s="68"/>
    </row>
    <row r="118" spans="1:49" ht="18.75" customHeight="1" x14ac:dyDescent="0.25">
      <c r="A118" s="68"/>
      <c r="B118" s="56" t="str">
        <f>MID(Info!$AZ$3,(WEEKDAY(I118,2)-1)*3+1,3)</f>
        <v>Mié</v>
      </c>
      <c r="C118" s="523">
        <f>_xlfn.XLOOKUP(I118,Fchs!$L$60:$L$101,Fchs!$M$60:$M$101,0)</f>
        <v>0</v>
      </c>
      <c r="D118" s="523" t="str">
        <f>_xlfn.XLOOKUP(I118,Fchs!$L$60:$L$101,Fchs!$N$60:$N$101)</f>
        <v>2ºGx-Junta 1ªEv.</v>
      </c>
      <c r="E118" s="532" t="str">
        <f>IF($AS118&lt;&gt;0,_xlfn.XLOOKUP($G118,UDs!$E$34:$E$55,UDs!$B$34:$B$55,,-1),0)</f>
        <v>UD02</v>
      </c>
      <c r="F118" s="532" t="str">
        <f t="shared" ca="1" si="38"/>
        <v>UD02</v>
      </c>
      <c r="G118" s="569">
        <f>IF(AU118&lt;&gt;0,MAX($AU$13:$AU117)+1,0)</f>
        <v>55</v>
      </c>
      <c r="H118" s="569">
        <f>IF(AS118&lt;&gt;0,COUNT($H$14:H117,1),"")</f>
        <v>55</v>
      </c>
      <c r="I118" s="533">
        <f t="shared" si="43"/>
        <v>45994</v>
      </c>
      <c r="J118" s="534"/>
      <c r="K118" s="535"/>
      <c r="L118" s="126">
        <f t="shared" ca="1" si="37"/>
        <v>1</v>
      </c>
      <c r="M118" s="127">
        <f t="shared" ca="1" si="37"/>
        <v>1</v>
      </c>
      <c r="N118" s="127">
        <f t="shared" ca="1" si="37"/>
        <v>1</v>
      </c>
      <c r="O118" s="127">
        <f t="shared" ca="1" si="37"/>
        <v>1</v>
      </c>
      <c r="P118" s="128">
        <f t="shared" ca="1" si="37"/>
        <v>1</v>
      </c>
      <c r="Q118" s="126">
        <f t="shared" ca="1" si="37"/>
        <v>1</v>
      </c>
      <c r="R118" s="127">
        <f t="shared" ca="1" si="37"/>
        <v>1</v>
      </c>
      <c r="S118" s="127">
        <f t="shared" ca="1" si="37"/>
        <v>1</v>
      </c>
      <c r="T118" s="127">
        <f t="shared" ca="1" si="37"/>
        <v>1</v>
      </c>
      <c r="U118" s="128">
        <f t="shared" ca="1" si="37"/>
        <v>1</v>
      </c>
      <c r="V118" s="126">
        <f t="shared" ca="1" si="37"/>
        <v>1</v>
      </c>
      <c r="W118" s="127">
        <f t="shared" ca="1" si="37"/>
        <v>1</v>
      </c>
      <c r="X118" s="127">
        <f t="shared" ca="1" si="37"/>
        <v>1</v>
      </c>
      <c r="Y118" s="127">
        <f t="shared" ca="1" si="37"/>
        <v>1</v>
      </c>
      <c r="Z118" s="128">
        <f t="shared" ca="1" si="37"/>
        <v>1</v>
      </c>
      <c r="AA118" s="126">
        <f t="shared" ref="AA118:AO177" ca="1" si="44">$AT118</f>
        <v>1</v>
      </c>
      <c r="AB118" s="127">
        <f t="shared" ca="1" si="44"/>
        <v>1</v>
      </c>
      <c r="AC118" s="127">
        <f t="shared" ca="1" si="44"/>
        <v>1</v>
      </c>
      <c r="AD118" s="127">
        <f t="shared" ca="1" si="44"/>
        <v>1</v>
      </c>
      <c r="AE118" s="128">
        <f t="shared" ca="1" si="44"/>
        <v>1</v>
      </c>
      <c r="AF118" s="126">
        <f t="shared" ca="1" si="44"/>
        <v>1</v>
      </c>
      <c r="AG118" s="127">
        <f t="shared" ca="1" si="44"/>
        <v>1</v>
      </c>
      <c r="AH118" s="127">
        <f t="shared" ca="1" si="44"/>
        <v>1</v>
      </c>
      <c r="AI118" s="127">
        <f t="shared" ca="1" si="44"/>
        <v>1</v>
      </c>
      <c r="AJ118" s="128">
        <f t="shared" ca="1" si="44"/>
        <v>1</v>
      </c>
      <c r="AK118" s="126">
        <f t="shared" ca="1" si="44"/>
        <v>1</v>
      </c>
      <c r="AL118" s="127">
        <f t="shared" ca="1" si="44"/>
        <v>1</v>
      </c>
      <c r="AM118" s="127">
        <f t="shared" ca="1" si="44"/>
        <v>1</v>
      </c>
      <c r="AN118" s="127">
        <f t="shared" ca="1" si="44"/>
        <v>1</v>
      </c>
      <c r="AO118" s="129">
        <f t="shared" ca="1" si="33"/>
        <v>1</v>
      </c>
      <c r="AP118" s="536" t="str">
        <f t="shared" si="39"/>
        <v/>
      </c>
      <c r="AQ118" s="536" t="str">
        <f t="shared" si="40"/>
        <v>X</v>
      </c>
      <c r="AR118" s="536" t="str">
        <f t="shared" si="41"/>
        <v/>
      </c>
      <c r="AS118" s="537">
        <f>IF(OR(J118&lt;&gt;"",AP118&amp;AQ118&amp;AR118&lt;&gt;"X",WEEKDAY(I118,2)&gt;5,C118&lt;&gt;0,(FechaInicio1Tri&gt;I118),(FechaFinEEva&lt;I118)),0,_xlfn.XLOOKUP(WEEKDAY(I118,2),Fchs!$J$10:$N$10,Fchs!$J$12:$N$12))</f>
        <v>1</v>
      </c>
      <c r="AT118" s="536">
        <f t="shared" ca="1" si="42"/>
        <v>1</v>
      </c>
      <c r="AU118" s="538">
        <f>IF(AS118&lt;&gt;0,MAXA($AU$14:AU117)+AS118,0)</f>
        <v>55</v>
      </c>
      <c r="AV118" s="538">
        <f ca="1">IF(AT118&lt;&gt;0,MAXA($AU$14:AU117)+AT118,0)</f>
        <v>55</v>
      </c>
      <c r="AW118" s="68"/>
    </row>
    <row r="119" spans="1:49" ht="18.75" customHeight="1" x14ac:dyDescent="0.25">
      <c r="A119" s="68"/>
      <c r="B119" s="56" t="str">
        <f>MID(Info!$AZ$3,(WEEKDAY(I119,2)-1)*3+1,3)</f>
        <v>Jue</v>
      </c>
      <c r="C119" s="523">
        <f>_xlfn.XLOOKUP(I119,Fchs!$L$60:$L$101,Fchs!$M$60:$M$101,0)</f>
        <v>0</v>
      </c>
      <c r="D119" s="523">
        <f>_xlfn.XLOOKUP(I119,Fchs!$L$60:$L$101,Fchs!$N$60:$N$101)</f>
        <v>0</v>
      </c>
      <c r="E119" s="532" t="str">
        <f>IF($AS119&lt;&gt;0,_xlfn.XLOOKUP($G119,UDs!$E$34:$E$55,UDs!$B$34:$B$55,,-1),0)</f>
        <v>UD02</v>
      </c>
      <c r="F119" s="532" t="str">
        <f t="shared" ca="1" si="38"/>
        <v>UD02</v>
      </c>
      <c r="G119" s="569">
        <f>IF(AU119&lt;&gt;0,MAX($AU$13:$AU118)+1,0)</f>
        <v>56</v>
      </c>
      <c r="H119" s="569">
        <f>IF(AS119&lt;&gt;0,COUNT($H$14:H118,1),"")</f>
        <v>56</v>
      </c>
      <c r="I119" s="533">
        <f t="shared" si="43"/>
        <v>45995</v>
      </c>
      <c r="J119" s="534"/>
      <c r="K119" s="535"/>
      <c r="L119" s="126">
        <f t="shared" ref="L119:AA134" ca="1" si="45">$AT119</f>
        <v>1</v>
      </c>
      <c r="M119" s="127">
        <f t="shared" ca="1" si="45"/>
        <v>1</v>
      </c>
      <c r="N119" s="127">
        <f t="shared" ca="1" si="45"/>
        <v>1</v>
      </c>
      <c r="O119" s="127">
        <f t="shared" ca="1" si="45"/>
        <v>1</v>
      </c>
      <c r="P119" s="128">
        <f t="shared" ca="1" si="45"/>
        <v>1</v>
      </c>
      <c r="Q119" s="126">
        <f t="shared" ca="1" si="45"/>
        <v>1</v>
      </c>
      <c r="R119" s="127">
        <f t="shared" ca="1" si="45"/>
        <v>1</v>
      </c>
      <c r="S119" s="127">
        <f t="shared" ca="1" si="45"/>
        <v>1</v>
      </c>
      <c r="T119" s="127">
        <f t="shared" ca="1" si="45"/>
        <v>1</v>
      </c>
      <c r="U119" s="128">
        <f t="shared" ca="1" si="45"/>
        <v>1</v>
      </c>
      <c r="V119" s="126">
        <f t="shared" ca="1" si="45"/>
        <v>1</v>
      </c>
      <c r="W119" s="127">
        <f t="shared" ca="1" si="45"/>
        <v>1</v>
      </c>
      <c r="X119" s="127">
        <f t="shared" ca="1" si="45"/>
        <v>1</v>
      </c>
      <c r="Y119" s="127">
        <f t="shared" ca="1" si="45"/>
        <v>1</v>
      </c>
      <c r="Z119" s="128">
        <f t="shared" ca="1" si="45"/>
        <v>1</v>
      </c>
      <c r="AA119" s="126">
        <f t="shared" ca="1" si="45"/>
        <v>1</v>
      </c>
      <c r="AB119" s="127">
        <f t="shared" ca="1" si="44"/>
        <v>1</v>
      </c>
      <c r="AC119" s="127">
        <f t="shared" ca="1" si="44"/>
        <v>1</v>
      </c>
      <c r="AD119" s="127">
        <f t="shared" ca="1" si="44"/>
        <v>1</v>
      </c>
      <c r="AE119" s="128">
        <f t="shared" ca="1" si="44"/>
        <v>1</v>
      </c>
      <c r="AF119" s="126">
        <f t="shared" ca="1" si="44"/>
        <v>1</v>
      </c>
      <c r="AG119" s="127">
        <f t="shared" ca="1" si="44"/>
        <v>1</v>
      </c>
      <c r="AH119" s="127">
        <f t="shared" ca="1" si="44"/>
        <v>1</v>
      </c>
      <c r="AI119" s="127">
        <f t="shared" ca="1" si="44"/>
        <v>1</v>
      </c>
      <c r="AJ119" s="128">
        <f t="shared" ca="1" si="44"/>
        <v>1</v>
      </c>
      <c r="AK119" s="126">
        <f t="shared" ca="1" si="44"/>
        <v>1</v>
      </c>
      <c r="AL119" s="127">
        <f t="shared" ca="1" si="44"/>
        <v>1</v>
      </c>
      <c r="AM119" s="127">
        <f t="shared" ca="1" si="44"/>
        <v>1</v>
      </c>
      <c r="AN119" s="127">
        <f t="shared" ca="1" si="44"/>
        <v>1</v>
      </c>
      <c r="AO119" s="129">
        <f t="shared" ca="1" si="33"/>
        <v>1</v>
      </c>
      <c r="AP119" s="536" t="str">
        <f t="shared" si="39"/>
        <v/>
      </c>
      <c r="AQ119" s="536" t="str">
        <f t="shared" si="40"/>
        <v>X</v>
      </c>
      <c r="AR119" s="536" t="str">
        <f t="shared" si="41"/>
        <v/>
      </c>
      <c r="AS119" s="537">
        <f>IF(OR(J119&lt;&gt;"",AP119&amp;AQ119&amp;AR119&lt;&gt;"X",WEEKDAY(I119,2)&gt;5,C119&lt;&gt;0,(FechaInicio1Tri&gt;I119),(FechaFinEEva&lt;I119)),0,_xlfn.XLOOKUP(WEEKDAY(I119,2),Fchs!$J$10:$N$10,Fchs!$J$12:$N$12))</f>
        <v>1</v>
      </c>
      <c r="AT119" s="536">
        <f t="shared" ca="1" si="42"/>
        <v>1</v>
      </c>
      <c r="AU119" s="538">
        <f>IF(AS119&lt;&gt;0,MAXA($AU$14:AU118)+AS119,0)</f>
        <v>56</v>
      </c>
      <c r="AV119" s="538">
        <f ca="1">IF(AT119&lt;&gt;0,MAXA($AU$14:AU118)+AT119,0)</f>
        <v>56</v>
      </c>
      <c r="AW119" s="68"/>
    </row>
    <row r="120" spans="1:49" ht="18.75" customHeight="1" x14ac:dyDescent="0.25">
      <c r="A120" s="68"/>
      <c r="B120" s="56" t="str">
        <f>MID(Info!$AZ$3,(WEEKDAY(I120,2)-1)*3+1,3)</f>
        <v>Vie</v>
      </c>
      <c r="C120" s="523">
        <f>_xlfn.XLOOKUP(I120,Fchs!$L$60:$L$101,Fchs!$M$60:$M$101,0)</f>
        <v>0</v>
      </c>
      <c r="D120" s="523" t="str">
        <f>_xlfn.XLOOKUP(I120,Fchs!$L$60:$L$101,Fchs!$N$60:$N$101)</f>
        <v>2ºGx-Boletín 1ªEv.</v>
      </c>
      <c r="E120" s="532" t="str">
        <f>IF($AS120&lt;&gt;0,_xlfn.XLOOKUP($G120,UDs!$E$34:$E$55,UDs!$B$34:$B$55,,-1),0)</f>
        <v>UD02</v>
      </c>
      <c r="F120" s="532" t="str">
        <f t="shared" ca="1" si="38"/>
        <v>UD02</v>
      </c>
      <c r="G120" s="569">
        <f>IF(AU120&lt;&gt;0,MAX($AU$13:$AU119)+1,0)</f>
        <v>57</v>
      </c>
      <c r="H120" s="569">
        <f>IF(AS120&lt;&gt;0,COUNT($H$14:H119,1),"")</f>
        <v>57</v>
      </c>
      <c r="I120" s="533">
        <f t="shared" si="43"/>
        <v>45996</v>
      </c>
      <c r="J120" s="534"/>
      <c r="K120" s="535"/>
      <c r="L120" s="126">
        <f t="shared" ca="1" si="45"/>
        <v>1</v>
      </c>
      <c r="M120" s="127">
        <f t="shared" ca="1" si="45"/>
        <v>1</v>
      </c>
      <c r="N120" s="127">
        <f t="shared" ca="1" si="45"/>
        <v>1</v>
      </c>
      <c r="O120" s="127">
        <f t="shared" ca="1" si="45"/>
        <v>1</v>
      </c>
      <c r="P120" s="128">
        <f t="shared" ca="1" si="45"/>
        <v>1</v>
      </c>
      <c r="Q120" s="126">
        <f t="shared" ca="1" si="45"/>
        <v>1</v>
      </c>
      <c r="R120" s="127">
        <f t="shared" ca="1" si="45"/>
        <v>1</v>
      </c>
      <c r="S120" s="127">
        <f t="shared" ca="1" si="45"/>
        <v>1</v>
      </c>
      <c r="T120" s="127">
        <f t="shared" ca="1" si="45"/>
        <v>1</v>
      </c>
      <c r="U120" s="128">
        <f t="shared" ca="1" si="45"/>
        <v>1</v>
      </c>
      <c r="V120" s="126">
        <f t="shared" ca="1" si="45"/>
        <v>1</v>
      </c>
      <c r="W120" s="127">
        <f t="shared" ca="1" si="45"/>
        <v>1</v>
      </c>
      <c r="X120" s="127">
        <f t="shared" ca="1" si="45"/>
        <v>1</v>
      </c>
      <c r="Y120" s="127">
        <f t="shared" ca="1" si="45"/>
        <v>1</v>
      </c>
      <c r="Z120" s="128">
        <f t="shared" ca="1" si="45"/>
        <v>1</v>
      </c>
      <c r="AA120" s="126">
        <f t="shared" ca="1" si="45"/>
        <v>1</v>
      </c>
      <c r="AB120" s="127">
        <f t="shared" ca="1" si="44"/>
        <v>1</v>
      </c>
      <c r="AC120" s="127">
        <f t="shared" ca="1" si="44"/>
        <v>1</v>
      </c>
      <c r="AD120" s="127">
        <f t="shared" ca="1" si="44"/>
        <v>1</v>
      </c>
      <c r="AE120" s="128">
        <f t="shared" ca="1" si="44"/>
        <v>1</v>
      </c>
      <c r="AF120" s="126">
        <f t="shared" ca="1" si="44"/>
        <v>1</v>
      </c>
      <c r="AG120" s="127">
        <f t="shared" ca="1" si="44"/>
        <v>1</v>
      </c>
      <c r="AH120" s="127">
        <f t="shared" ca="1" si="44"/>
        <v>1</v>
      </c>
      <c r="AI120" s="127">
        <f t="shared" ca="1" si="44"/>
        <v>1</v>
      </c>
      <c r="AJ120" s="128">
        <f t="shared" ca="1" si="44"/>
        <v>1</v>
      </c>
      <c r="AK120" s="126">
        <f t="shared" ca="1" si="44"/>
        <v>1</v>
      </c>
      <c r="AL120" s="127">
        <f t="shared" ca="1" si="44"/>
        <v>1</v>
      </c>
      <c r="AM120" s="127">
        <f t="shared" ca="1" si="44"/>
        <v>1</v>
      </c>
      <c r="AN120" s="127">
        <f t="shared" ca="1" si="44"/>
        <v>1</v>
      </c>
      <c r="AO120" s="129">
        <f t="shared" ca="1" si="33"/>
        <v>1</v>
      </c>
      <c r="AP120" s="536" t="str">
        <f t="shared" si="39"/>
        <v/>
      </c>
      <c r="AQ120" s="536" t="str">
        <f t="shared" si="40"/>
        <v>X</v>
      </c>
      <c r="AR120" s="536" t="str">
        <f t="shared" si="41"/>
        <v/>
      </c>
      <c r="AS120" s="537">
        <f>IF(OR(J120&lt;&gt;"",AP120&amp;AQ120&amp;AR120&lt;&gt;"X",WEEKDAY(I120,2)&gt;5,C120&lt;&gt;0,(FechaInicio1Tri&gt;I120),(FechaFinEEva&lt;I120)),0,_xlfn.XLOOKUP(WEEKDAY(I120,2),Fchs!$J$10:$N$10,Fchs!$J$12:$N$12))</f>
        <v>1</v>
      </c>
      <c r="AT120" s="536">
        <f t="shared" ca="1" si="42"/>
        <v>1</v>
      </c>
      <c r="AU120" s="538">
        <f>IF(AS120&lt;&gt;0,MAXA($AU$14:AU119)+AS120,0)</f>
        <v>57</v>
      </c>
      <c r="AV120" s="538">
        <f ca="1">IF(AT120&lt;&gt;0,MAXA($AU$14:AU119)+AT120,0)</f>
        <v>57</v>
      </c>
      <c r="AW120" s="68"/>
    </row>
    <row r="121" spans="1:49" ht="18.75" customHeight="1" x14ac:dyDescent="0.25">
      <c r="A121" s="68"/>
      <c r="B121" s="56" t="str">
        <f>MID(Info!$AZ$3,(WEEKDAY(I121,2)-1)*3+1,3)</f>
        <v>Sáb</v>
      </c>
      <c r="C121" s="523">
        <f>_xlfn.XLOOKUP(I121,Fchs!$L$60:$L$101,Fchs!$M$60:$M$101,0)</f>
        <v>0</v>
      </c>
      <c r="D121" s="523">
        <f>_xlfn.XLOOKUP(I121,Fchs!$L$60:$L$101,Fchs!$N$60:$N$101)</f>
        <v>0</v>
      </c>
      <c r="E121" s="532">
        <f>IF($AS121&lt;&gt;0,_xlfn.XLOOKUP($G121,UDs!$E$34:$E$55,UDs!$B$34:$B$55,,-1),0)</f>
        <v>0</v>
      </c>
      <c r="F121" s="532">
        <f t="shared" ca="1" si="38"/>
        <v>0</v>
      </c>
      <c r="G121" s="569">
        <f>IF(AU121&lt;&gt;0,MAX($AU$13:$AU120)+1,0)</f>
        <v>0</v>
      </c>
      <c r="H121" s="569" t="str">
        <f>IF(AS121&lt;&gt;0,COUNT($H$14:H120,1),"")</f>
        <v/>
      </c>
      <c r="I121" s="533">
        <f t="shared" si="43"/>
        <v>45997</v>
      </c>
      <c r="J121" s="534"/>
      <c r="K121" s="535"/>
      <c r="L121" s="126">
        <f t="shared" ca="1" si="45"/>
        <v>0</v>
      </c>
      <c r="M121" s="127">
        <f t="shared" ca="1" si="45"/>
        <v>0</v>
      </c>
      <c r="N121" s="127">
        <f t="shared" ca="1" si="45"/>
        <v>0</v>
      </c>
      <c r="O121" s="127">
        <f t="shared" ca="1" si="45"/>
        <v>0</v>
      </c>
      <c r="P121" s="128">
        <f t="shared" ca="1" si="45"/>
        <v>0</v>
      </c>
      <c r="Q121" s="126">
        <f t="shared" ca="1" si="45"/>
        <v>0</v>
      </c>
      <c r="R121" s="127">
        <f t="shared" ca="1" si="45"/>
        <v>0</v>
      </c>
      <c r="S121" s="127">
        <f t="shared" ca="1" si="45"/>
        <v>0</v>
      </c>
      <c r="T121" s="127">
        <f t="shared" ca="1" si="45"/>
        <v>0</v>
      </c>
      <c r="U121" s="128">
        <f t="shared" ca="1" si="45"/>
        <v>0</v>
      </c>
      <c r="V121" s="126">
        <f t="shared" ca="1" si="45"/>
        <v>0</v>
      </c>
      <c r="W121" s="127">
        <f t="shared" ca="1" si="45"/>
        <v>0</v>
      </c>
      <c r="X121" s="127">
        <f t="shared" ca="1" si="45"/>
        <v>0</v>
      </c>
      <c r="Y121" s="127">
        <f t="shared" ca="1" si="45"/>
        <v>0</v>
      </c>
      <c r="Z121" s="128">
        <f t="shared" ca="1" si="45"/>
        <v>0</v>
      </c>
      <c r="AA121" s="126">
        <f t="shared" ca="1" si="45"/>
        <v>0</v>
      </c>
      <c r="AB121" s="127">
        <f t="shared" ca="1" si="44"/>
        <v>0</v>
      </c>
      <c r="AC121" s="127">
        <f t="shared" ca="1" si="44"/>
        <v>0</v>
      </c>
      <c r="AD121" s="127">
        <f t="shared" ca="1" si="44"/>
        <v>0</v>
      </c>
      <c r="AE121" s="128">
        <f t="shared" ca="1" si="44"/>
        <v>0</v>
      </c>
      <c r="AF121" s="126">
        <f t="shared" ca="1" si="44"/>
        <v>0</v>
      </c>
      <c r="AG121" s="127">
        <f t="shared" ca="1" si="44"/>
        <v>0</v>
      </c>
      <c r="AH121" s="127">
        <f t="shared" ca="1" si="44"/>
        <v>0</v>
      </c>
      <c r="AI121" s="127">
        <f t="shared" ca="1" si="44"/>
        <v>0</v>
      </c>
      <c r="AJ121" s="128">
        <f t="shared" ca="1" si="44"/>
        <v>0</v>
      </c>
      <c r="AK121" s="126">
        <f t="shared" ca="1" si="44"/>
        <v>0</v>
      </c>
      <c r="AL121" s="127">
        <f t="shared" ca="1" si="44"/>
        <v>0</v>
      </c>
      <c r="AM121" s="127">
        <f t="shared" ca="1" si="44"/>
        <v>0</v>
      </c>
      <c r="AN121" s="127">
        <f t="shared" ca="1" si="44"/>
        <v>0</v>
      </c>
      <c r="AO121" s="129">
        <f t="shared" ca="1" si="33"/>
        <v>0</v>
      </c>
      <c r="AP121" s="536" t="str">
        <f t="shared" si="39"/>
        <v/>
      </c>
      <c r="AQ121" s="536" t="str">
        <f t="shared" si="40"/>
        <v/>
      </c>
      <c r="AR121" s="536" t="str">
        <f t="shared" si="41"/>
        <v/>
      </c>
      <c r="AS121" s="537">
        <f>IF(OR(J121&lt;&gt;"",AP121&amp;AQ121&amp;AR121&lt;&gt;"X",WEEKDAY(I121,2)&gt;5,C121&lt;&gt;0,(FechaInicio1Tri&gt;I121),(FechaFinEEva&lt;I121)),0,_xlfn.XLOOKUP(WEEKDAY(I121,2),Fchs!$J$10:$N$10,Fchs!$J$12:$N$12))</f>
        <v>0</v>
      </c>
      <c r="AT121" s="536">
        <f t="shared" ca="1" si="42"/>
        <v>0</v>
      </c>
      <c r="AU121" s="538">
        <f>IF(AS121&lt;&gt;0,MAXA($AU$14:AU120)+AS121,0)</f>
        <v>0</v>
      </c>
      <c r="AV121" s="538">
        <f ca="1">IF(AT121&lt;&gt;0,MAXA($AU$14:AU120)+AT121,0)</f>
        <v>0</v>
      </c>
      <c r="AW121" s="68"/>
    </row>
    <row r="122" spans="1:49" ht="18.75" customHeight="1" x14ac:dyDescent="0.25">
      <c r="A122" s="68"/>
      <c r="B122" s="56" t="str">
        <f>MID(Info!$AZ$3,(WEEKDAY(I122,2)-1)*3+1,3)</f>
        <v>Dom</v>
      </c>
      <c r="C122" s="523">
        <f>_xlfn.XLOOKUP(I122,Fchs!$L$60:$L$101,Fchs!$M$60:$M$101,0)</f>
        <v>0</v>
      </c>
      <c r="D122" s="523">
        <f>_xlfn.XLOOKUP(I122,Fchs!$L$60:$L$101,Fchs!$N$60:$N$101)</f>
        <v>0</v>
      </c>
      <c r="E122" s="532">
        <f>IF($AS122&lt;&gt;0,_xlfn.XLOOKUP($G122,UDs!$E$34:$E$55,UDs!$B$34:$B$55,,-1),0)</f>
        <v>0</v>
      </c>
      <c r="F122" s="532">
        <f t="shared" ca="1" si="38"/>
        <v>0</v>
      </c>
      <c r="G122" s="569">
        <f>IF(AU122&lt;&gt;0,MAX($AU$13:$AU121)+1,0)</f>
        <v>0</v>
      </c>
      <c r="H122" s="569" t="str">
        <f>IF(AS122&lt;&gt;0,COUNT($H$14:H121,1),"")</f>
        <v/>
      </c>
      <c r="I122" s="533">
        <f t="shared" si="43"/>
        <v>45998</v>
      </c>
      <c r="J122" s="534"/>
      <c r="K122" s="535"/>
      <c r="L122" s="126">
        <f t="shared" ca="1" si="45"/>
        <v>0</v>
      </c>
      <c r="M122" s="127">
        <f t="shared" ca="1" si="45"/>
        <v>0</v>
      </c>
      <c r="N122" s="127">
        <f t="shared" ca="1" si="45"/>
        <v>0</v>
      </c>
      <c r="O122" s="127">
        <f t="shared" ca="1" si="45"/>
        <v>0</v>
      </c>
      <c r="P122" s="128">
        <f t="shared" ca="1" si="45"/>
        <v>0</v>
      </c>
      <c r="Q122" s="126">
        <f t="shared" ca="1" si="45"/>
        <v>0</v>
      </c>
      <c r="R122" s="127">
        <f t="shared" ca="1" si="45"/>
        <v>0</v>
      </c>
      <c r="S122" s="127">
        <f t="shared" ca="1" si="45"/>
        <v>0</v>
      </c>
      <c r="T122" s="127">
        <f t="shared" ca="1" si="45"/>
        <v>0</v>
      </c>
      <c r="U122" s="128">
        <f t="shared" ca="1" si="45"/>
        <v>0</v>
      </c>
      <c r="V122" s="126">
        <f t="shared" ca="1" si="45"/>
        <v>0</v>
      </c>
      <c r="W122" s="127">
        <f t="shared" ca="1" si="45"/>
        <v>0</v>
      </c>
      <c r="X122" s="127">
        <f t="shared" ca="1" si="45"/>
        <v>0</v>
      </c>
      <c r="Y122" s="127">
        <f t="shared" ca="1" si="45"/>
        <v>0</v>
      </c>
      <c r="Z122" s="128">
        <f t="shared" ca="1" si="45"/>
        <v>0</v>
      </c>
      <c r="AA122" s="126">
        <f t="shared" ca="1" si="45"/>
        <v>0</v>
      </c>
      <c r="AB122" s="127">
        <f t="shared" ca="1" si="44"/>
        <v>0</v>
      </c>
      <c r="AC122" s="127">
        <f t="shared" ca="1" si="44"/>
        <v>0</v>
      </c>
      <c r="AD122" s="127">
        <f t="shared" ca="1" si="44"/>
        <v>0</v>
      </c>
      <c r="AE122" s="128">
        <f t="shared" ca="1" si="44"/>
        <v>0</v>
      </c>
      <c r="AF122" s="126">
        <f t="shared" ca="1" si="44"/>
        <v>0</v>
      </c>
      <c r="AG122" s="127">
        <f t="shared" ca="1" si="44"/>
        <v>0</v>
      </c>
      <c r="AH122" s="127">
        <f t="shared" ca="1" si="44"/>
        <v>0</v>
      </c>
      <c r="AI122" s="127">
        <f t="shared" ca="1" si="44"/>
        <v>0</v>
      </c>
      <c r="AJ122" s="128">
        <f t="shared" ca="1" si="44"/>
        <v>0</v>
      </c>
      <c r="AK122" s="126">
        <f t="shared" ca="1" si="44"/>
        <v>0</v>
      </c>
      <c r="AL122" s="127">
        <f t="shared" ca="1" si="44"/>
        <v>0</v>
      </c>
      <c r="AM122" s="127">
        <f t="shared" ca="1" si="44"/>
        <v>0</v>
      </c>
      <c r="AN122" s="127">
        <f t="shared" ca="1" si="44"/>
        <v>0</v>
      </c>
      <c r="AO122" s="129">
        <f t="shared" ca="1" si="33"/>
        <v>0</v>
      </c>
      <c r="AP122" s="536" t="str">
        <f t="shared" si="39"/>
        <v/>
      </c>
      <c r="AQ122" s="536" t="str">
        <f t="shared" si="40"/>
        <v/>
      </c>
      <c r="AR122" s="536" t="str">
        <f t="shared" si="41"/>
        <v/>
      </c>
      <c r="AS122" s="537">
        <f>IF(OR(J122&lt;&gt;"",AP122&amp;AQ122&amp;AR122&lt;&gt;"X",WEEKDAY(I122,2)&gt;5,C122&lt;&gt;0,(FechaInicio1Tri&gt;I122),(FechaFinEEva&lt;I122)),0,_xlfn.XLOOKUP(WEEKDAY(I122,2),Fchs!$J$10:$N$10,Fchs!$J$12:$N$12))</f>
        <v>0</v>
      </c>
      <c r="AT122" s="536">
        <f t="shared" ca="1" si="42"/>
        <v>0</v>
      </c>
      <c r="AU122" s="538">
        <f>IF(AS122&lt;&gt;0,MAXA($AU$14:AU121)+AS122,0)</f>
        <v>0</v>
      </c>
      <c r="AV122" s="538">
        <f ca="1">IF(AT122&lt;&gt;0,MAXA($AU$14:AU121)+AT122,0)</f>
        <v>0</v>
      </c>
      <c r="AW122" s="68"/>
    </row>
    <row r="123" spans="1:49" ht="18.75" customHeight="1" x14ac:dyDescent="0.25">
      <c r="A123" s="68"/>
      <c r="B123" s="56" t="str">
        <f>MID(Info!$AZ$3,(WEEKDAY(I123,2)-1)*3+1,3)</f>
        <v>Lun</v>
      </c>
      <c r="C123" s="523" t="str">
        <f>_xlfn.XLOOKUP(I123,Fchs!$L$60:$L$101,Fchs!$M$60:$M$101,0)</f>
        <v>Constitución</v>
      </c>
      <c r="D123" s="523">
        <f>_xlfn.XLOOKUP(I123,Fchs!$L$60:$L$101,Fchs!$N$60:$N$101)</f>
        <v>0</v>
      </c>
      <c r="E123" s="532">
        <f>IF($AS123&lt;&gt;0,_xlfn.XLOOKUP($G123,UDs!$E$34:$E$55,UDs!$B$34:$B$55,,-1),0)</f>
        <v>0</v>
      </c>
      <c r="F123" s="532">
        <f t="shared" ca="1" si="38"/>
        <v>0</v>
      </c>
      <c r="G123" s="569">
        <f>IF(AU123&lt;&gt;0,MAX($AU$13:$AU122)+1,0)</f>
        <v>0</v>
      </c>
      <c r="H123" s="569" t="str">
        <f>IF(AS123&lt;&gt;0,COUNT($H$14:H122,1),"")</f>
        <v/>
      </c>
      <c r="I123" s="533">
        <f t="shared" si="43"/>
        <v>45999</v>
      </c>
      <c r="J123" s="534"/>
      <c r="K123" s="535"/>
      <c r="L123" s="126">
        <f t="shared" ca="1" si="45"/>
        <v>0</v>
      </c>
      <c r="M123" s="127">
        <f t="shared" ca="1" si="45"/>
        <v>0</v>
      </c>
      <c r="N123" s="127">
        <f t="shared" ca="1" si="45"/>
        <v>0</v>
      </c>
      <c r="O123" s="127">
        <f t="shared" ca="1" si="45"/>
        <v>0</v>
      </c>
      <c r="P123" s="128">
        <f t="shared" ca="1" si="45"/>
        <v>0</v>
      </c>
      <c r="Q123" s="126">
        <f t="shared" ca="1" si="45"/>
        <v>0</v>
      </c>
      <c r="R123" s="127">
        <f t="shared" ca="1" si="45"/>
        <v>0</v>
      </c>
      <c r="S123" s="127">
        <f t="shared" ca="1" si="45"/>
        <v>0</v>
      </c>
      <c r="T123" s="127">
        <f t="shared" ca="1" si="45"/>
        <v>0</v>
      </c>
      <c r="U123" s="128">
        <f t="shared" ca="1" si="45"/>
        <v>0</v>
      </c>
      <c r="V123" s="126">
        <f t="shared" ca="1" si="45"/>
        <v>0</v>
      </c>
      <c r="W123" s="127">
        <f t="shared" ca="1" si="45"/>
        <v>0</v>
      </c>
      <c r="X123" s="127">
        <f t="shared" ca="1" si="45"/>
        <v>0</v>
      </c>
      <c r="Y123" s="127">
        <f t="shared" ca="1" si="45"/>
        <v>0</v>
      </c>
      <c r="Z123" s="128">
        <f t="shared" ca="1" si="45"/>
        <v>0</v>
      </c>
      <c r="AA123" s="126">
        <f t="shared" ca="1" si="45"/>
        <v>0</v>
      </c>
      <c r="AB123" s="127">
        <f t="shared" ca="1" si="44"/>
        <v>0</v>
      </c>
      <c r="AC123" s="127">
        <f t="shared" ca="1" si="44"/>
        <v>0</v>
      </c>
      <c r="AD123" s="127">
        <f t="shared" ca="1" si="44"/>
        <v>0</v>
      </c>
      <c r="AE123" s="128">
        <f t="shared" ca="1" si="44"/>
        <v>0</v>
      </c>
      <c r="AF123" s="126">
        <f t="shared" ca="1" si="44"/>
        <v>0</v>
      </c>
      <c r="AG123" s="127">
        <f t="shared" ca="1" si="44"/>
        <v>0</v>
      </c>
      <c r="AH123" s="127">
        <f t="shared" ca="1" si="44"/>
        <v>0</v>
      </c>
      <c r="AI123" s="127">
        <f t="shared" ca="1" si="44"/>
        <v>0</v>
      </c>
      <c r="AJ123" s="128">
        <f t="shared" ca="1" si="44"/>
        <v>0</v>
      </c>
      <c r="AK123" s="126">
        <f t="shared" ca="1" si="44"/>
        <v>0</v>
      </c>
      <c r="AL123" s="127">
        <f t="shared" ca="1" si="44"/>
        <v>0</v>
      </c>
      <c r="AM123" s="127">
        <f t="shared" ca="1" si="44"/>
        <v>0</v>
      </c>
      <c r="AN123" s="127">
        <f t="shared" ca="1" si="44"/>
        <v>0</v>
      </c>
      <c r="AO123" s="129">
        <f t="shared" ca="1" si="33"/>
        <v>0</v>
      </c>
      <c r="AP123" s="536" t="str">
        <f t="shared" si="39"/>
        <v/>
      </c>
      <c r="AQ123" s="536" t="str">
        <f t="shared" si="40"/>
        <v>X</v>
      </c>
      <c r="AR123" s="536" t="str">
        <f t="shared" si="41"/>
        <v/>
      </c>
      <c r="AS123" s="537">
        <f>IF(OR(J123&lt;&gt;"",AP123&amp;AQ123&amp;AR123&lt;&gt;"X",WEEKDAY(I123,2)&gt;5,C123&lt;&gt;0,(FechaInicio1Tri&gt;I123),(FechaFinEEva&lt;I123)),0,_xlfn.XLOOKUP(WEEKDAY(I123,2),Fchs!$J$10:$N$10,Fchs!$J$12:$N$12))</f>
        <v>0</v>
      </c>
      <c r="AT123" s="536">
        <f t="shared" ca="1" si="42"/>
        <v>0</v>
      </c>
      <c r="AU123" s="538">
        <f>IF(AS123&lt;&gt;0,MAXA($AU$14:AU122)+AS123,0)</f>
        <v>0</v>
      </c>
      <c r="AV123" s="538">
        <f ca="1">IF(AT123&lt;&gt;0,MAXA($AU$14:AU122)+AT123,0)</f>
        <v>0</v>
      </c>
      <c r="AW123" s="68"/>
    </row>
    <row r="124" spans="1:49" ht="18.75" customHeight="1" x14ac:dyDescent="0.25">
      <c r="A124" s="68"/>
      <c r="B124" s="56" t="str">
        <f>MID(Info!$AZ$3,(WEEKDAY(I124,2)-1)*3+1,3)</f>
        <v>Mar</v>
      </c>
      <c r="C124" s="523">
        <f>_xlfn.XLOOKUP(I124,Fchs!$L$60:$L$101,Fchs!$M$60:$M$101,0)</f>
        <v>0</v>
      </c>
      <c r="D124" s="523" t="str">
        <f>_xlfn.XLOOKUP(I124,Fchs!$L$60:$L$101,Fchs!$N$60:$N$101)</f>
        <v>2ºGS-S.Pry. ExOrd</v>
      </c>
      <c r="E124" s="532" t="str">
        <f>IF($AS124&lt;&gt;0,_xlfn.XLOOKUP($G124,UDs!$E$34:$E$55,UDs!$B$34:$B$55,,-1),0)</f>
        <v>UD02</v>
      </c>
      <c r="F124" s="532" t="str">
        <f t="shared" ca="1" si="38"/>
        <v>UD02</v>
      </c>
      <c r="G124" s="569">
        <f>IF(AU124&lt;&gt;0,MAX($AU$13:$AU123)+1,0)</f>
        <v>58</v>
      </c>
      <c r="H124" s="569">
        <f>IF(AS124&lt;&gt;0,COUNT($H$14:H123,1),"")</f>
        <v>58</v>
      </c>
      <c r="I124" s="533">
        <f t="shared" si="43"/>
        <v>46000</v>
      </c>
      <c r="J124" s="534"/>
      <c r="K124" s="535"/>
      <c r="L124" s="126">
        <f t="shared" ca="1" si="45"/>
        <v>1</v>
      </c>
      <c r="M124" s="127">
        <f t="shared" ca="1" si="45"/>
        <v>1</v>
      </c>
      <c r="N124" s="127">
        <f t="shared" ca="1" si="45"/>
        <v>1</v>
      </c>
      <c r="O124" s="127">
        <f t="shared" ca="1" si="45"/>
        <v>1</v>
      </c>
      <c r="P124" s="128">
        <f t="shared" ca="1" si="45"/>
        <v>1</v>
      </c>
      <c r="Q124" s="126">
        <f t="shared" ca="1" si="45"/>
        <v>1</v>
      </c>
      <c r="R124" s="127">
        <f t="shared" ca="1" si="45"/>
        <v>1</v>
      </c>
      <c r="S124" s="127">
        <f t="shared" ca="1" si="45"/>
        <v>1</v>
      </c>
      <c r="T124" s="127">
        <f t="shared" ca="1" si="45"/>
        <v>1</v>
      </c>
      <c r="U124" s="128">
        <f t="shared" ca="1" si="45"/>
        <v>1</v>
      </c>
      <c r="V124" s="126">
        <f t="shared" ca="1" si="45"/>
        <v>1</v>
      </c>
      <c r="W124" s="127">
        <f t="shared" ca="1" si="45"/>
        <v>1</v>
      </c>
      <c r="X124" s="127">
        <f t="shared" ca="1" si="45"/>
        <v>1</v>
      </c>
      <c r="Y124" s="127">
        <f t="shared" ca="1" si="45"/>
        <v>1</v>
      </c>
      <c r="Z124" s="128">
        <f t="shared" ca="1" si="45"/>
        <v>1</v>
      </c>
      <c r="AA124" s="126">
        <f t="shared" ca="1" si="45"/>
        <v>1</v>
      </c>
      <c r="AB124" s="127">
        <f t="shared" ca="1" si="44"/>
        <v>1</v>
      </c>
      <c r="AC124" s="127">
        <f t="shared" ca="1" si="44"/>
        <v>1</v>
      </c>
      <c r="AD124" s="127">
        <f t="shared" ca="1" si="44"/>
        <v>1</v>
      </c>
      <c r="AE124" s="128">
        <f t="shared" ca="1" si="44"/>
        <v>1</v>
      </c>
      <c r="AF124" s="126">
        <f t="shared" ca="1" si="44"/>
        <v>1</v>
      </c>
      <c r="AG124" s="127">
        <f t="shared" ca="1" si="44"/>
        <v>1</v>
      </c>
      <c r="AH124" s="127">
        <f t="shared" ca="1" si="44"/>
        <v>1</v>
      </c>
      <c r="AI124" s="127">
        <f t="shared" ca="1" si="44"/>
        <v>1</v>
      </c>
      <c r="AJ124" s="128">
        <f t="shared" ca="1" si="44"/>
        <v>1</v>
      </c>
      <c r="AK124" s="126">
        <f t="shared" ca="1" si="44"/>
        <v>1</v>
      </c>
      <c r="AL124" s="127">
        <f t="shared" ca="1" si="44"/>
        <v>1</v>
      </c>
      <c r="AM124" s="127">
        <f t="shared" ca="1" si="44"/>
        <v>1</v>
      </c>
      <c r="AN124" s="127">
        <f t="shared" ca="1" si="44"/>
        <v>1</v>
      </c>
      <c r="AO124" s="129">
        <f t="shared" ca="1" si="33"/>
        <v>1</v>
      </c>
      <c r="AP124" s="536" t="str">
        <f t="shared" si="39"/>
        <v/>
      </c>
      <c r="AQ124" s="536" t="str">
        <f t="shared" si="40"/>
        <v>X</v>
      </c>
      <c r="AR124" s="536" t="str">
        <f t="shared" si="41"/>
        <v/>
      </c>
      <c r="AS124" s="537">
        <f>IF(OR(J124&lt;&gt;"",AP124&amp;AQ124&amp;AR124&lt;&gt;"X",WEEKDAY(I124,2)&gt;5,C124&lt;&gt;0,(FechaInicio1Tri&gt;I124),(FechaFinEEva&lt;I124)),0,_xlfn.XLOOKUP(WEEKDAY(I124,2),Fchs!$J$10:$N$10,Fchs!$J$12:$N$12))</f>
        <v>1</v>
      </c>
      <c r="AT124" s="536">
        <f t="shared" ca="1" si="42"/>
        <v>1</v>
      </c>
      <c r="AU124" s="538">
        <f>IF(AS124&lt;&gt;0,MAXA($AU$14:AU123)+AS124,0)</f>
        <v>58</v>
      </c>
      <c r="AV124" s="538">
        <f ca="1">IF(AT124&lt;&gt;0,MAXA($AU$14:AU123)+AT124,0)</f>
        <v>58</v>
      </c>
      <c r="AW124" s="68"/>
    </row>
    <row r="125" spans="1:49" ht="18.75" customHeight="1" x14ac:dyDescent="0.25">
      <c r="A125" s="68"/>
      <c r="B125" s="56" t="str">
        <f>MID(Info!$AZ$3,(WEEKDAY(I125,2)-1)*3+1,3)</f>
        <v>Mié</v>
      </c>
      <c r="C125" s="523">
        <f>_xlfn.XLOOKUP(I125,Fchs!$L$60:$L$101,Fchs!$M$60:$M$101,0)</f>
        <v>0</v>
      </c>
      <c r="D125" s="523" t="str">
        <f>_xlfn.XLOOKUP(I125,Fchs!$L$60:$L$101,Fchs!$N$60:$N$101)</f>
        <v>2ºGS-S.Pry. ExOrd</v>
      </c>
      <c r="E125" s="532" t="str">
        <f>IF($AS125&lt;&gt;0,_xlfn.XLOOKUP($G125,UDs!$E$34:$E$55,UDs!$B$34:$B$55,,-1),0)</f>
        <v>UD02</v>
      </c>
      <c r="F125" s="532" t="str">
        <f t="shared" ca="1" si="38"/>
        <v>UD02</v>
      </c>
      <c r="G125" s="569">
        <f>IF(AU125&lt;&gt;0,MAX($AU$13:$AU124)+1,0)</f>
        <v>59</v>
      </c>
      <c r="H125" s="569">
        <f>IF(AS125&lt;&gt;0,COUNT($H$14:H124,1),"")</f>
        <v>59</v>
      </c>
      <c r="I125" s="533">
        <f t="shared" si="43"/>
        <v>46001</v>
      </c>
      <c r="J125" s="534"/>
      <c r="K125" s="535"/>
      <c r="L125" s="126">
        <f t="shared" ca="1" si="45"/>
        <v>1</v>
      </c>
      <c r="M125" s="127">
        <f t="shared" ca="1" si="45"/>
        <v>1</v>
      </c>
      <c r="N125" s="127">
        <f t="shared" ca="1" si="45"/>
        <v>1</v>
      </c>
      <c r="O125" s="127">
        <f t="shared" ca="1" si="45"/>
        <v>1</v>
      </c>
      <c r="P125" s="128">
        <f t="shared" ca="1" si="45"/>
        <v>1</v>
      </c>
      <c r="Q125" s="126">
        <f t="shared" ca="1" si="45"/>
        <v>1</v>
      </c>
      <c r="R125" s="127">
        <f t="shared" ca="1" si="45"/>
        <v>1</v>
      </c>
      <c r="S125" s="127">
        <f t="shared" ca="1" si="45"/>
        <v>1</v>
      </c>
      <c r="T125" s="127">
        <f t="shared" ca="1" si="45"/>
        <v>1</v>
      </c>
      <c r="U125" s="128">
        <f t="shared" ca="1" si="45"/>
        <v>1</v>
      </c>
      <c r="V125" s="126">
        <f t="shared" ca="1" si="45"/>
        <v>1</v>
      </c>
      <c r="W125" s="127">
        <f t="shared" ca="1" si="45"/>
        <v>1</v>
      </c>
      <c r="X125" s="127">
        <f t="shared" ca="1" si="45"/>
        <v>1</v>
      </c>
      <c r="Y125" s="127">
        <f t="shared" ca="1" si="45"/>
        <v>1</v>
      </c>
      <c r="Z125" s="128">
        <f t="shared" ca="1" si="45"/>
        <v>1</v>
      </c>
      <c r="AA125" s="126">
        <f t="shared" ca="1" si="45"/>
        <v>1</v>
      </c>
      <c r="AB125" s="127">
        <f t="shared" ca="1" si="44"/>
        <v>1</v>
      </c>
      <c r="AC125" s="127">
        <f t="shared" ca="1" si="44"/>
        <v>1</v>
      </c>
      <c r="AD125" s="127">
        <f t="shared" ca="1" si="44"/>
        <v>1</v>
      </c>
      <c r="AE125" s="128">
        <f t="shared" ca="1" si="44"/>
        <v>1</v>
      </c>
      <c r="AF125" s="126">
        <f t="shared" ca="1" si="44"/>
        <v>1</v>
      </c>
      <c r="AG125" s="127">
        <f t="shared" ca="1" si="44"/>
        <v>1</v>
      </c>
      <c r="AH125" s="127">
        <f t="shared" ca="1" si="44"/>
        <v>1</v>
      </c>
      <c r="AI125" s="127">
        <f t="shared" ca="1" si="44"/>
        <v>1</v>
      </c>
      <c r="AJ125" s="128">
        <f t="shared" ca="1" si="44"/>
        <v>1</v>
      </c>
      <c r="AK125" s="126">
        <f t="shared" ca="1" si="44"/>
        <v>1</v>
      </c>
      <c r="AL125" s="127">
        <f t="shared" ca="1" si="44"/>
        <v>1</v>
      </c>
      <c r="AM125" s="127">
        <f t="shared" ca="1" si="44"/>
        <v>1</v>
      </c>
      <c r="AN125" s="127">
        <f t="shared" ca="1" si="44"/>
        <v>1</v>
      </c>
      <c r="AO125" s="129">
        <f t="shared" ca="1" si="33"/>
        <v>1</v>
      </c>
      <c r="AP125" s="536" t="str">
        <f t="shared" si="39"/>
        <v/>
      </c>
      <c r="AQ125" s="536" t="str">
        <f t="shared" si="40"/>
        <v>X</v>
      </c>
      <c r="AR125" s="536" t="str">
        <f t="shared" si="41"/>
        <v/>
      </c>
      <c r="AS125" s="537">
        <f>IF(OR(J125&lt;&gt;"",AP125&amp;AQ125&amp;AR125&lt;&gt;"X",WEEKDAY(I125,2)&gt;5,C125&lt;&gt;0,(FechaInicio1Tri&gt;I125),(FechaFinEEva&lt;I125)),0,_xlfn.XLOOKUP(WEEKDAY(I125,2),Fchs!$J$10:$N$10,Fchs!$J$12:$N$12))</f>
        <v>1</v>
      </c>
      <c r="AT125" s="536">
        <f t="shared" ca="1" si="42"/>
        <v>1</v>
      </c>
      <c r="AU125" s="538">
        <f>IF(AS125&lt;&gt;0,MAXA($AU$14:AU124)+AS125,0)</f>
        <v>59</v>
      </c>
      <c r="AV125" s="538">
        <f ca="1">IF(AT125&lt;&gt;0,MAXA($AU$14:AU124)+AT125,0)</f>
        <v>59</v>
      </c>
      <c r="AW125" s="68"/>
    </row>
    <row r="126" spans="1:49" ht="18.75" customHeight="1" x14ac:dyDescent="0.25">
      <c r="A126" s="68"/>
      <c r="B126" s="56" t="str">
        <f>MID(Info!$AZ$3,(WEEKDAY(I126,2)-1)*3+1,3)</f>
        <v>Jue</v>
      </c>
      <c r="C126" s="523">
        <f>_xlfn.XLOOKUP(I126,Fchs!$L$60:$L$101,Fchs!$M$60:$M$101,0)</f>
        <v>0</v>
      </c>
      <c r="D126" s="523" t="str">
        <f>_xlfn.XLOOKUP(I126,Fchs!$L$60:$L$101,Fchs!$N$60:$N$101)</f>
        <v>2ºGS-S.Pry. ExOrd</v>
      </c>
      <c r="E126" s="532" t="str">
        <f>IF($AS126&lt;&gt;0,_xlfn.XLOOKUP($G126,UDs!$E$34:$E$55,UDs!$B$34:$B$55,,-1),0)</f>
        <v>UD02</v>
      </c>
      <c r="F126" s="532" t="str">
        <f t="shared" ca="1" si="38"/>
        <v>UD02</v>
      </c>
      <c r="G126" s="569">
        <f>IF(AU126&lt;&gt;0,MAX($AU$13:$AU125)+1,0)</f>
        <v>60</v>
      </c>
      <c r="H126" s="569">
        <f>IF(AS126&lt;&gt;0,COUNT($H$14:H125,1),"")</f>
        <v>60</v>
      </c>
      <c r="I126" s="533">
        <f t="shared" si="43"/>
        <v>46002</v>
      </c>
      <c r="J126" s="534"/>
      <c r="K126" s="535"/>
      <c r="L126" s="126">
        <f t="shared" ca="1" si="45"/>
        <v>1</v>
      </c>
      <c r="M126" s="127">
        <f t="shared" ca="1" si="45"/>
        <v>1</v>
      </c>
      <c r="N126" s="127">
        <f t="shared" ca="1" si="45"/>
        <v>1</v>
      </c>
      <c r="O126" s="127">
        <f t="shared" ca="1" si="45"/>
        <v>1</v>
      </c>
      <c r="P126" s="128">
        <f t="shared" ca="1" si="45"/>
        <v>1</v>
      </c>
      <c r="Q126" s="126">
        <f t="shared" ca="1" si="45"/>
        <v>1</v>
      </c>
      <c r="R126" s="127">
        <f t="shared" ca="1" si="45"/>
        <v>1</v>
      </c>
      <c r="S126" s="127">
        <f t="shared" ca="1" si="45"/>
        <v>1</v>
      </c>
      <c r="T126" s="127">
        <f t="shared" ca="1" si="45"/>
        <v>1</v>
      </c>
      <c r="U126" s="128">
        <f t="shared" ca="1" si="45"/>
        <v>1</v>
      </c>
      <c r="V126" s="126">
        <f t="shared" ca="1" si="45"/>
        <v>1</v>
      </c>
      <c r="W126" s="127">
        <f t="shared" ca="1" si="45"/>
        <v>1</v>
      </c>
      <c r="X126" s="127">
        <f t="shared" ca="1" si="45"/>
        <v>1</v>
      </c>
      <c r="Y126" s="127">
        <f t="shared" ca="1" si="45"/>
        <v>1</v>
      </c>
      <c r="Z126" s="128">
        <f t="shared" ca="1" si="45"/>
        <v>1</v>
      </c>
      <c r="AA126" s="126">
        <f t="shared" ca="1" si="45"/>
        <v>1</v>
      </c>
      <c r="AB126" s="127">
        <f t="shared" ca="1" si="44"/>
        <v>1</v>
      </c>
      <c r="AC126" s="127">
        <f t="shared" ca="1" si="44"/>
        <v>1</v>
      </c>
      <c r="AD126" s="127">
        <f t="shared" ca="1" si="44"/>
        <v>1</v>
      </c>
      <c r="AE126" s="128">
        <f t="shared" ca="1" si="44"/>
        <v>1</v>
      </c>
      <c r="AF126" s="126">
        <f t="shared" ca="1" si="44"/>
        <v>1</v>
      </c>
      <c r="AG126" s="127">
        <f t="shared" ca="1" si="44"/>
        <v>1</v>
      </c>
      <c r="AH126" s="127">
        <f t="shared" ca="1" si="44"/>
        <v>1</v>
      </c>
      <c r="AI126" s="127">
        <f t="shared" ca="1" si="44"/>
        <v>1</v>
      </c>
      <c r="AJ126" s="128">
        <f t="shared" ca="1" si="44"/>
        <v>1</v>
      </c>
      <c r="AK126" s="126">
        <f t="shared" ca="1" si="44"/>
        <v>1</v>
      </c>
      <c r="AL126" s="127">
        <f t="shared" ca="1" si="44"/>
        <v>1</v>
      </c>
      <c r="AM126" s="127">
        <f t="shared" ca="1" si="44"/>
        <v>1</v>
      </c>
      <c r="AN126" s="127">
        <f t="shared" ca="1" si="44"/>
        <v>1</v>
      </c>
      <c r="AO126" s="129">
        <f t="shared" ca="1" si="33"/>
        <v>1</v>
      </c>
      <c r="AP126" s="536" t="str">
        <f t="shared" si="39"/>
        <v/>
      </c>
      <c r="AQ126" s="536" t="str">
        <f t="shared" si="40"/>
        <v>X</v>
      </c>
      <c r="AR126" s="536" t="str">
        <f t="shared" si="41"/>
        <v/>
      </c>
      <c r="AS126" s="537">
        <f>IF(OR(J126&lt;&gt;"",AP126&amp;AQ126&amp;AR126&lt;&gt;"X",WEEKDAY(I126,2)&gt;5,C126&lt;&gt;0,(FechaInicio1Tri&gt;I126),(FechaFinEEva&lt;I126)),0,_xlfn.XLOOKUP(WEEKDAY(I126,2),Fchs!$J$10:$N$10,Fchs!$J$12:$N$12))</f>
        <v>1</v>
      </c>
      <c r="AT126" s="536">
        <f t="shared" ca="1" si="42"/>
        <v>1</v>
      </c>
      <c r="AU126" s="538">
        <f>IF(AS126&lt;&gt;0,MAXA($AU$14:AU125)+AS126,0)</f>
        <v>60</v>
      </c>
      <c r="AV126" s="538">
        <f ca="1">IF(AT126&lt;&gt;0,MAXA($AU$14:AU125)+AT126,0)</f>
        <v>60</v>
      </c>
      <c r="AW126" s="68"/>
    </row>
    <row r="127" spans="1:49" ht="18.75" customHeight="1" x14ac:dyDescent="0.25">
      <c r="A127" s="68"/>
      <c r="B127" s="56" t="str">
        <f>MID(Info!$AZ$3,(WEEKDAY(I127,2)-1)*3+1,3)</f>
        <v>Vie</v>
      </c>
      <c r="C127" s="523">
        <f>_xlfn.XLOOKUP(I127,Fchs!$L$60:$L$101,Fchs!$M$60:$M$101,0)</f>
        <v>0</v>
      </c>
      <c r="D127" s="523" t="str">
        <f>_xlfn.XLOOKUP(I127,Fchs!$L$60:$L$101,Fchs!$N$60:$N$101)</f>
        <v>2ºGS-S.Pry. ExOrd</v>
      </c>
      <c r="E127" s="532" t="str">
        <f>IF($AS127&lt;&gt;0,_xlfn.XLOOKUP($G127,UDs!$E$34:$E$55,UDs!$B$34:$B$55,,-1),0)</f>
        <v>UD02</v>
      </c>
      <c r="F127" s="532" t="str">
        <f t="shared" ca="1" si="38"/>
        <v>UD02</v>
      </c>
      <c r="G127" s="569">
        <f>IF(AU127&lt;&gt;0,MAX($AU$13:$AU126)+1,0)</f>
        <v>61</v>
      </c>
      <c r="H127" s="569">
        <f>IF(AS127&lt;&gt;0,COUNT($H$14:H126,1),"")</f>
        <v>61</v>
      </c>
      <c r="I127" s="533">
        <f t="shared" si="43"/>
        <v>46003</v>
      </c>
      <c r="J127" s="534"/>
      <c r="K127" s="535"/>
      <c r="L127" s="126">
        <f t="shared" ca="1" si="45"/>
        <v>1</v>
      </c>
      <c r="M127" s="127">
        <f t="shared" ca="1" si="45"/>
        <v>1</v>
      </c>
      <c r="N127" s="127">
        <f t="shared" ca="1" si="45"/>
        <v>1</v>
      </c>
      <c r="O127" s="127">
        <f t="shared" ca="1" si="45"/>
        <v>1</v>
      </c>
      <c r="P127" s="128">
        <f t="shared" ca="1" si="45"/>
        <v>1</v>
      </c>
      <c r="Q127" s="126">
        <f t="shared" ca="1" si="45"/>
        <v>1</v>
      </c>
      <c r="R127" s="127">
        <f t="shared" ca="1" si="45"/>
        <v>1</v>
      </c>
      <c r="S127" s="127">
        <f t="shared" ca="1" si="45"/>
        <v>1</v>
      </c>
      <c r="T127" s="127">
        <f t="shared" ca="1" si="45"/>
        <v>1</v>
      </c>
      <c r="U127" s="128">
        <f t="shared" ca="1" si="45"/>
        <v>1</v>
      </c>
      <c r="V127" s="126">
        <f t="shared" ca="1" si="45"/>
        <v>1</v>
      </c>
      <c r="W127" s="127">
        <f t="shared" ca="1" si="45"/>
        <v>1</v>
      </c>
      <c r="X127" s="127">
        <f t="shared" ca="1" si="45"/>
        <v>1</v>
      </c>
      <c r="Y127" s="127">
        <f t="shared" ca="1" si="45"/>
        <v>1</v>
      </c>
      <c r="Z127" s="128">
        <f t="shared" ca="1" si="45"/>
        <v>1</v>
      </c>
      <c r="AA127" s="126">
        <f t="shared" ca="1" si="45"/>
        <v>1</v>
      </c>
      <c r="AB127" s="127">
        <f t="shared" ca="1" si="44"/>
        <v>1</v>
      </c>
      <c r="AC127" s="127">
        <f t="shared" ca="1" si="44"/>
        <v>1</v>
      </c>
      <c r="AD127" s="127">
        <f t="shared" ca="1" si="44"/>
        <v>1</v>
      </c>
      <c r="AE127" s="128">
        <f t="shared" ca="1" si="44"/>
        <v>1</v>
      </c>
      <c r="AF127" s="126">
        <f t="shared" ca="1" si="44"/>
        <v>1</v>
      </c>
      <c r="AG127" s="127">
        <f t="shared" ca="1" si="44"/>
        <v>1</v>
      </c>
      <c r="AH127" s="127">
        <f t="shared" ca="1" si="44"/>
        <v>1</v>
      </c>
      <c r="AI127" s="127">
        <f t="shared" ca="1" si="44"/>
        <v>1</v>
      </c>
      <c r="AJ127" s="128">
        <f t="shared" ca="1" si="44"/>
        <v>1</v>
      </c>
      <c r="AK127" s="126">
        <f t="shared" ca="1" si="44"/>
        <v>1</v>
      </c>
      <c r="AL127" s="127">
        <f t="shared" ca="1" si="44"/>
        <v>1</v>
      </c>
      <c r="AM127" s="127">
        <f t="shared" ca="1" si="44"/>
        <v>1</v>
      </c>
      <c r="AN127" s="127">
        <f t="shared" ca="1" si="44"/>
        <v>1</v>
      </c>
      <c r="AO127" s="129">
        <f t="shared" ca="1" si="33"/>
        <v>1</v>
      </c>
      <c r="AP127" s="536" t="str">
        <f t="shared" si="39"/>
        <v/>
      </c>
      <c r="AQ127" s="536" t="str">
        <f t="shared" si="40"/>
        <v>X</v>
      </c>
      <c r="AR127" s="536" t="str">
        <f t="shared" si="41"/>
        <v/>
      </c>
      <c r="AS127" s="537">
        <f>IF(OR(J127&lt;&gt;"",AP127&amp;AQ127&amp;AR127&lt;&gt;"X",WEEKDAY(I127,2)&gt;5,C127&lt;&gt;0,(FechaInicio1Tri&gt;I127),(FechaFinEEva&lt;I127)),0,_xlfn.XLOOKUP(WEEKDAY(I127,2),Fchs!$J$10:$N$10,Fchs!$J$12:$N$12))</f>
        <v>1</v>
      </c>
      <c r="AT127" s="536">
        <f t="shared" ca="1" si="42"/>
        <v>1</v>
      </c>
      <c r="AU127" s="538">
        <f>IF(AS127&lt;&gt;0,MAXA($AU$14:AU126)+AS127,0)</f>
        <v>61</v>
      </c>
      <c r="AV127" s="538">
        <f ca="1">IF(AT127&lt;&gt;0,MAXA($AU$14:AU126)+AT127,0)</f>
        <v>61</v>
      </c>
      <c r="AW127" s="68"/>
    </row>
    <row r="128" spans="1:49" ht="18.75" customHeight="1" x14ac:dyDescent="0.25">
      <c r="A128" s="68"/>
      <c r="B128" s="56" t="str">
        <f>MID(Info!$AZ$3,(WEEKDAY(I128,2)-1)*3+1,3)</f>
        <v>Sáb</v>
      </c>
      <c r="C128" s="523">
        <f>_xlfn.XLOOKUP(I128,Fchs!$L$60:$L$101,Fchs!$M$60:$M$101,0)</f>
        <v>0</v>
      </c>
      <c r="D128" s="523">
        <f>_xlfn.XLOOKUP(I128,Fchs!$L$60:$L$101,Fchs!$N$60:$N$101)</f>
        <v>0</v>
      </c>
      <c r="E128" s="532">
        <f>IF($AS128&lt;&gt;0,_xlfn.XLOOKUP($G128,UDs!$E$34:$E$55,UDs!$B$34:$B$55,,-1),0)</f>
        <v>0</v>
      </c>
      <c r="F128" s="532">
        <f t="shared" ca="1" si="38"/>
        <v>0</v>
      </c>
      <c r="G128" s="569">
        <f>IF(AU128&lt;&gt;0,MAX($AU$13:$AU127)+1,0)</f>
        <v>0</v>
      </c>
      <c r="H128" s="569" t="str">
        <f>IF(AS128&lt;&gt;0,COUNT($H$14:H127,1),"")</f>
        <v/>
      </c>
      <c r="I128" s="533">
        <f t="shared" si="43"/>
        <v>46004</v>
      </c>
      <c r="J128" s="534"/>
      <c r="K128" s="535"/>
      <c r="L128" s="126">
        <f t="shared" ca="1" si="45"/>
        <v>0</v>
      </c>
      <c r="M128" s="127">
        <f t="shared" ca="1" si="45"/>
        <v>0</v>
      </c>
      <c r="N128" s="127">
        <f t="shared" ca="1" si="45"/>
        <v>0</v>
      </c>
      <c r="O128" s="127">
        <f t="shared" ca="1" si="45"/>
        <v>0</v>
      </c>
      <c r="P128" s="128">
        <f t="shared" ca="1" si="45"/>
        <v>0</v>
      </c>
      <c r="Q128" s="126">
        <f t="shared" ca="1" si="45"/>
        <v>0</v>
      </c>
      <c r="R128" s="127">
        <f t="shared" ca="1" si="45"/>
        <v>0</v>
      </c>
      <c r="S128" s="127">
        <f t="shared" ca="1" si="45"/>
        <v>0</v>
      </c>
      <c r="T128" s="127">
        <f t="shared" ca="1" si="45"/>
        <v>0</v>
      </c>
      <c r="U128" s="128">
        <f t="shared" ca="1" si="45"/>
        <v>0</v>
      </c>
      <c r="V128" s="126">
        <f t="shared" ca="1" si="45"/>
        <v>0</v>
      </c>
      <c r="W128" s="127">
        <f t="shared" ca="1" si="45"/>
        <v>0</v>
      </c>
      <c r="X128" s="127">
        <f t="shared" ca="1" si="45"/>
        <v>0</v>
      </c>
      <c r="Y128" s="127">
        <f t="shared" ca="1" si="45"/>
        <v>0</v>
      </c>
      <c r="Z128" s="128">
        <f t="shared" ca="1" si="45"/>
        <v>0</v>
      </c>
      <c r="AA128" s="126">
        <f t="shared" ca="1" si="45"/>
        <v>0</v>
      </c>
      <c r="AB128" s="127">
        <f t="shared" ca="1" si="44"/>
        <v>0</v>
      </c>
      <c r="AC128" s="127">
        <f t="shared" ca="1" si="44"/>
        <v>0</v>
      </c>
      <c r="AD128" s="127">
        <f t="shared" ca="1" si="44"/>
        <v>0</v>
      </c>
      <c r="AE128" s="128">
        <f t="shared" ca="1" si="44"/>
        <v>0</v>
      </c>
      <c r="AF128" s="126">
        <f t="shared" ca="1" si="44"/>
        <v>0</v>
      </c>
      <c r="AG128" s="127">
        <f t="shared" ca="1" si="44"/>
        <v>0</v>
      </c>
      <c r="AH128" s="127">
        <f t="shared" ca="1" si="44"/>
        <v>0</v>
      </c>
      <c r="AI128" s="127">
        <f t="shared" ca="1" si="44"/>
        <v>0</v>
      </c>
      <c r="AJ128" s="128">
        <f t="shared" ca="1" si="44"/>
        <v>0</v>
      </c>
      <c r="AK128" s="126">
        <f t="shared" ca="1" si="44"/>
        <v>0</v>
      </c>
      <c r="AL128" s="127">
        <f t="shared" ca="1" si="44"/>
        <v>0</v>
      </c>
      <c r="AM128" s="127">
        <f t="shared" ca="1" si="44"/>
        <v>0</v>
      </c>
      <c r="AN128" s="127">
        <f t="shared" ca="1" si="44"/>
        <v>0</v>
      </c>
      <c r="AO128" s="129">
        <f t="shared" ca="1" si="33"/>
        <v>0</v>
      </c>
      <c r="AP128" s="536" t="str">
        <f t="shared" si="39"/>
        <v/>
      </c>
      <c r="AQ128" s="536" t="str">
        <f t="shared" si="40"/>
        <v/>
      </c>
      <c r="AR128" s="536" t="str">
        <f t="shared" si="41"/>
        <v/>
      </c>
      <c r="AS128" s="537">
        <f>IF(OR(J128&lt;&gt;"",AP128&amp;AQ128&amp;AR128&lt;&gt;"X",WEEKDAY(I128,2)&gt;5,C128&lt;&gt;0,(FechaInicio1Tri&gt;I128),(FechaFinEEva&lt;I128)),0,_xlfn.XLOOKUP(WEEKDAY(I128,2),Fchs!$J$10:$N$10,Fchs!$J$12:$N$12))</f>
        <v>0</v>
      </c>
      <c r="AT128" s="536">
        <f t="shared" ca="1" si="42"/>
        <v>0</v>
      </c>
      <c r="AU128" s="538">
        <f>IF(AS128&lt;&gt;0,MAXA($AU$14:AU127)+AS128,0)</f>
        <v>0</v>
      </c>
      <c r="AV128" s="538">
        <f ca="1">IF(AT128&lt;&gt;0,MAXA($AU$14:AU127)+AT128,0)</f>
        <v>0</v>
      </c>
      <c r="AW128" s="68"/>
    </row>
    <row r="129" spans="1:49" ht="18.75" customHeight="1" x14ac:dyDescent="0.25">
      <c r="A129" s="68"/>
      <c r="B129" s="56" t="str">
        <f>MID(Info!$AZ$3,(WEEKDAY(I129,2)-1)*3+1,3)</f>
        <v>Dom</v>
      </c>
      <c r="C129" s="523">
        <f>_xlfn.XLOOKUP(I129,Fchs!$L$60:$L$101,Fchs!$M$60:$M$101,0)</f>
        <v>0</v>
      </c>
      <c r="D129" s="523">
        <f>_xlfn.XLOOKUP(I129,Fchs!$L$60:$L$101,Fchs!$N$60:$N$101)</f>
        <v>0</v>
      </c>
      <c r="E129" s="532">
        <f>IF($AS129&lt;&gt;0,_xlfn.XLOOKUP($G129,UDs!$E$34:$E$55,UDs!$B$34:$B$55,,-1),0)</f>
        <v>0</v>
      </c>
      <c r="F129" s="532">
        <f t="shared" ca="1" si="38"/>
        <v>0</v>
      </c>
      <c r="G129" s="569">
        <f>IF(AU129&lt;&gt;0,MAX($AU$13:$AU128)+1,0)</f>
        <v>0</v>
      </c>
      <c r="H129" s="569" t="str">
        <f>IF(AS129&lt;&gt;0,COUNT($H$14:H128,1),"")</f>
        <v/>
      </c>
      <c r="I129" s="533">
        <f t="shared" si="43"/>
        <v>46005</v>
      </c>
      <c r="J129" s="534"/>
      <c r="K129" s="535"/>
      <c r="L129" s="126">
        <f t="shared" ca="1" si="45"/>
        <v>0</v>
      </c>
      <c r="M129" s="127">
        <f t="shared" ca="1" si="45"/>
        <v>0</v>
      </c>
      <c r="N129" s="127">
        <f t="shared" ca="1" si="45"/>
        <v>0</v>
      </c>
      <c r="O129" s="127">
        <f t="shared" ca="1" si="45"/>
        <v>0</v>
      </c>
      <c r="P129" s="128">
        <f t="shared" ca="1" si="45"/>
        <v>0</v>
      </c>
      <c r="Q129" s="126">
        <f t="shared" ca="1" si="45"/>
        <v>0</v>
      </c>
      <c r="R129" s="127">
        <f t="shared" ca="1" si="45"/>
        <v>0</v>
      </c>
      <c r="S129" s="127">
        <f t="shared" ca="1" si="45"/>
        <v>0</v>
      </c>
      <c r="T129" s="127">
        <f t="shared" ca="1" si="45"/>
        <v>0</v>
      </c>
      <c r="U129" s="128">
        <f t="shared" ca="1" si="45"/>
        <v>0</v>
      </c>
      <c r="V129" s="126">
        <f t="shared" ca="1" si="45"/>
        <v>0</v>
      </c>
      <c r="W129" s="127">
        <f t="shared" ca="1" si="45"/>
        <v>0</v>
      </c>
      <c r="X129" s="127">
        <f t="shared" ca="1" si="45"/>
        <v>0</v>
      </c>
      <c r="Y129" s="127">
        <f t="shared" ca="1" si="45"/>
        <v>0</v>
      </c>
      <c r="Z129" s="128">
        <f t="shared" ca="1" si="45"/>
        <v>0</v>
      </c>
      <c r="AA129" s="126">
        <f t="shared" ca="1" si="45"/>
        <v>0</v>
      </c>
      <c r="AB129" s="127">
        <f t="shared" ca="1" si="44"/>
        <v>0</v>
      </c>
      <c r="AC129" s="127">
        <f t="shared" ca="1" si="44"/>
        <v>0</v>
      </c>
      <c r="AD129" s="127">
        <f t="shared" ca="1" si="44"/>
        <v>0</v>
      </c>
      <c r="AE129" s="128">
        <f t="shared" ca="1" si="44"/>
        <v>0</v>
      </c>
      <c r="AF129" s="126">
        <f t="shared" ca="1" si="44"/>
        <v>0</v>
      </c>
      <c r="AG129" s="127">
        <f t="shared" ca="1" si="44"/>
        <v>0</v>
      </c>
      <c r="AH129" s="127">
        <f t="shared" ca="1" si="44"/>
        <v>0</v>
      </c>
      <c r="AI129" s="127">
        <f t="shared" ca="1" si="44"/>
        <v>0</v>
      </c>
      <c r="AJ129" s="128">
        <f t="shared" ca="1" si="44"/>
        <v>0</v>
      </c>
      <c r="AK129" s="126">
        <f t="shared" ca="1" si="44"/>
        <v>0</v>
      </c>
      <c r="AL129" s="127">
        <f t="shared" ca="1" si="44"/>
        <v>0</v>
      </c>
      <c r="AM129" s="127">
        <f t="shared" ca="1" si="44"/>
        <v>0</v>
      </c>
      <c r="AN129" s="127">
        <f t="shared" ca="1" si="44"/>
        <v>0</v>
      </c>
      <c r="AO129" s="129">
        <f t="shared" ca="1" si="33"/>
        <v>0</v>
      </c>
      <c r="AP129" s="536" t="str">
        <f t="shared" si="39"/>
        <v/>
      </c>
      <c r="AQ129" s="536" t="str">
        <f t="shared" si="40"/>
        <v/>
      </c>
      <c r="AR129" s="536" t="str">
        <f t="shared" si="41"/>
        <v/>
      </c>
      <c r="AS129" s="537">
        <f>IF(OR(J129&lt;&gt;"",AP129&amp;AQ129&amp;AR129&lt;&gt;"X",WEEKDAY(I129,2)&gt;5,C129&lt;&gt;0,(FechaInicio1Tri&gt;I129),(FechaFinEEva&lt;I129)),0,_xlfn.XLOOKUP(WEEKDAY(I129,2),Fchs!$J$10:$N$10,Fchs!$J$12:$N$12))</f>
        <v>0</v>
      </c>
      <c r="AT129" s="536">
        <f t="shared" ca="1" si="42"/>
        <v>0</v>
      </c>
      <c r="AU129" s="538">
        <f>IF(AS129&lt;&gt;0,MAXA($AU$14:AU128)+AS129,0)</f>
        <v>0</v>
      </c>
      <c r="AV129" s="538">
        <f ca="1">IF(AT129&lt;&gt;0,MAXA($AU$14:AU128)+AT129,0)</f>
        <v>0</v>
      </c>
      <c r="AW129" s="68"/>
    </row>
    <row r="130" spans="1:49" ht="18.75" customHeight="1" x14ac:dyDescent="0.25">
      <c r="A130" s="68"/>
      <c r="B130" s="56" t="str">
        <f>MID(Info!$AZ$3,(WEEKDAY(I130,2)-1)*3+1,3)</f>
        <v>Lun</v>
      </c>
      <c r="C130" s="523">
        <f>_xlfn.XLOOKUP(I130,Fchs!$L$60:$L$101,Fchs!$M$60:$M$101,0)</f>
        <v>0</v>
      </c>
      <c r="D130" s="523" t="str">
        <f>_xlfn.XLOOKUP(I130,Fchs!$L$60:$L$101,Fchs!$N$60:$N$101)</f>
        <v>2ºGS-Ev.FCT-PRY</v>
      </c>
      <c r="E130" s="532" t="str">
        <f>IF($AS130&lt;&gt;0,_xlfn.XLOOKUP($G130,UDs!$E$34:$E$55,UDs!$B$34:$B$55,,-1),0)</f>
        <v>UD02</v>
      </c>
      <c r="F130" s="532" t="str">
        <f t="shared" ca="1" si="38"/>
        <v>UD02</v>
      </c>
      <c r="G130" s="569">
        <f>IF(AU130&lt;&gt;0,MAX($AU$13:$AU129)+1,0)</f>
        <v>62</v>
      </c>
      <c r="H130" s="569">
        <f>IF(AS130&lt;&gt;0,COUNT($H$14:H129,1),"")</f>
        <v>62</v>
      </c>
      <c r="I130" s="533">
        <f t="shared" si="43"/>
        <v>46006</v>
      </c>
      <c r="J130" s="534"/>
      <c r="K130" s="535"/>
      <c r="L130" s="126">
        <f t="shared" ca="1" si="45"/>
        <v>1</v>
      </c>
      <c r="M130" s="127">
        <f t="shared" ca="1" si="45"/>
        <v>1</v>
      </c>
      <c r="N130" s="127">
        <f t="shared" ca="1" si="45"/>
        <v>1</v>
      </c>
      <c r="O130" s="127">
        <f t="shared" ca="1" si="45"/>
        <v>1</v>
      </c>
      <c r="P130" s="128">
        <f t="shared" ca="1" si="45"/>
        <v>1</v>
      </c>
      <c r="Q130" s="126">
        <f t="shared" ca="1" si="45"/>
        <v>1</v>
      </c>
      <c r="R130" s="127">
        <f t="shared" ca="1" si="45"/>
        <v>1</v>
      </c>
      <c r="S130" s="127">
        <f t="shared" ca="1" si="45"/>
        <v>1</v>
      </c>
      <c r="T130" s="127">
        <f t="shared" ca="1" si="45"/>
        <v>1</v>
      </c>
      <c r="U130" s="128">
        <f t="shared" ca="1" si="45"/>
        <v>1</v>
      </c>
      <c r="V130" s="126">
        <f t="shared" ca="1" si="45"/>
        <v>1</v>
      </c>
      <c r="W130" s="127">
        <f t="shared" ca="1" si="45"/>
        <v>1</v>
      </c>
      <c r="X130" s="127">
        <f t="shared" ca="1" si="45"/>
        <v>1</v>
      </c>
      <c r="Y130" s="127">
        <f t="shared" ca="1" si="45"/>
        <v>1</v>
      </c>
      <c r="Z130" s="128">
        <f t="shared" ca="1" si="45"/>
        <v>1</v>
      </c>
      <c r="AA130" s="126">
        <f t="shared" ca="1" si="45"/>
        <v>1</v>
      </c>
      <c r="AB130" s="127">
        <f t="shared" ca="1" si="44"/>
        <v>1</v>
      </c>
      <c r="AC130" s="127">
        <f t="shared" ca="1" si="44"/>
        <v>1</v>
      </c>
      <c r="AD130" s="127">
        <f t="shared" ca="1" si="44"/>
        <v>1</v>
      </c>
      <c r="AE130" s="128">
        <f t="shared" ca="1" si="44"/>
        <v>1</v>
      </c>
      <c r="AF130" s="126">
        <f t="shared" ca="1" si="44"/>
        <v>1</v>
      </c>
      <c r="AG130" s="127">
        <f t="shared" ca="1" si="44"/>
        <v>1</v>
      </c>
      <c r="AH130" s="127">
        <f t="shared" ca="1" si="44"/>
        <v>1</v>
      </c>
      <c r="AI130" s="127">
        <f t="shared" ca="1" si="44"/>
        <v>1</v>
      </c>
      <c r="AJ130" s="128">
        <f t="shared" ca="1" si="44"/>
        <v>1</v>
      </c>
      <c r="AK130" s="126">
        <f t="shared" ca="1" si="44"/>
        <v>1</v>
      </c>
      <c r="AL130" s="127">
        <f t="shared" ca="1" si="44"/>
        <v>1</v>
      </c>
      <c r="AM130" s="127">
        <f t="shared" ca="1" si="44"/>
        <v>1</v>
      </c>
      <c r="AN130" s="127">
        <f t="shared" ca="1" si="44"/>
        <v>1</v>
      </c>
      <c r="AO130" s="129">
        <f t="shared" ca="1" si="33"/>
        <v>1</v>
      </c>
      <c r="AP130" s="536" t="str">
        <f t="shared" si="39"/>
        <v/>
      </c>
      <c r="AQ130" s="536" t="str">
        <f t="shared" si="40"/>
        <v>X</v>
      </c>
      <c r="AR130" s="536" t="str">
        <f t="shared" si="41"/>
        <v/>
      </c>
      <c r="AS130" s="537">
        <f>IF(OR(J130&lt;&gt;"",AP130&amp;AQ130&amp;AR130&lt;&gt;"X",WEEKDAY(I130,2)&gt;5,C130&lt;&gt;0,(FechaInicio1Tri&gt;I130),(FechaFinEEva&lt;I130)),0,_xlfn.XLOOKUP(WEEKDAY(I130,2),Fchs!$J$10:$N$10,Fchs!$J$12:$N$12))</f>
        <v>1</v>
      </c>
      <c r="AT130" s="536">
        <f t="shared" ca="1" si="42"/>
        <v>1</v>
      </c>
      <c r="AU130" s="538">
        <f>IF(AS130&lt;&gt;0,MAXA($AU$14:AU129)+AS130,0)</f>
        <v>62</v>
      </c>
      <c r="AV130" s="538">
        <f ca="1">IF(AT130&lt;&gt;0,MAXA($AU$14:AU129)+AT130,0)</f>
        <v>62</v>
      </c>
      <c r="AW130" s="68"/>
    </row>
    <row r="131" spans="1:49" ht="18.75" customHeight="1" x14ac:dyDescent="0.25">
      <c r="A131" s="68"/>
      <c r="B131" s="56" t="str">
        <f>MID(Info!$AZ$3,(WEEKDAY(I131,2)-1)*3+1,3)</f>
        <v>Mar</v>
      </c>
      <c r="C131" s="523">
        <f>_xlfn.XLOOKUP(I131,Fchs!$L$60:$L$101,Fchs!$M$60:$M$101,0)</f>
        <v>0</v>
      </c>
      <c r="D131" s="523" t="str">
        <f>_xlfn.XLOOKUP(I131,Fchs!$L$60:$L$101,Fchs!$N$60:$N$101)</f>
        <v>2ºGS-Boletines FCT</v>
      </c>
      <c r="E131" s="532" t="str">
        <f>IF($AS131&lt;&gt;0,_xlfn.XLOOKUP($G131,UDs!$E$34:$E$55,UDs!$B$34:$B$55,,-1),0)</f>
        <v>UD02</v>
      </c>
      <c r="F131" s="532" t="str">
        <f t="shared" ca="1" si="38"/>
        <v>UD02</v>
      </c>
      <c r="G131" s="569">
        <f>IF(AU131&lt;&gt;0,MAX($AU$13:$AU130)+1,0)</f>
        <v>63</v>
      </c>
      <c r="H131" s="569">
        <f>IF(AS131&lt;&gt;0,COUNT($H$14:H130,1),"")</f>
        <v>63</v>
      </c>
      <c r="I131" s="533">
        <f t="shared" si="43"/>
        <v>46007</v>
      </c>
      <c r="J131" s="534"/>
      <c r="K131" s="535"/>
      <c r="L131" s="126">
        <f t="shared" ca="1" si="45"/>
        <v>1</v>
      </c>
      <c r="M131" s="127">
        <f t="shared" ca="1" si="45"/>
        <v>1</v>
      </c>
      <c r="N131" s="127">
        <f t="shared" ca="1" si="45"/>
        <v>1</v>
      </c>
      <c r="O131" s="127">
        <f t="shared" ca="1" si="45"/>
        <v>1</v>
      </c>
      <c r="P131" s="128">
        <f t="shared" ca="1" si="45"/>
        <v>1</v>
      </c>
      <c r="Q131" s="126">
        <f t="shared" ca="1" si="45"/>
        <v>1</v>
      </c>
      <c r="R131" s="127">
        <f t="shared" ca="1" si="45"/>
        <v>1</v>
      </c>
      <c r="S131" s="127">
        <f t="shared" ca="1" si="45"/>
        <v>1</v>
      </c>
      <c r="T131" s="127">
        <f t="shared" ca="1" si="45"/>
        <v>1</v>
      </c>
      <c r="U131" s="128">
        <f t="shared" ca="1" si="45"/>
        <v>1</v>
      </c>
      <c r="V131" s="126">
        <f t="shared" ca="1" si="45"/>
        <v>1</v>
      </c>
      <c r="W131" s="127">
        <f t="shared" ca="1" si="45"/>
        <v>1</v>
      </c>
      <c r="X131" s="127">
        <f t="shared" ca="1" si="45"/>
        <v>1</v>
      </c>
      <c r="Y131" s="127">
        <f t="shared" ca="1" si="45"/>
        <v>1</v>
      </c>
      <c r="Z131" s="128">
        <f t="shared" ca="1" si="45"/>
        <v>1</v>
      </c>
      <c r="AA131" s="126">
        <f t="shared" ca="1" si="45"/>
        <v>1</v>
      </c>
      <c r="AB131" s="127">
        <f t="shared" ca="1" si="44"/>
        <v>1</v>
      </c>
      <c r="AC131" s="127">
        <f t="shared" ca="1" si="44"/>
        <v>1</v>
      </c>
      <c r="AD131" s="127">
        <f t="shared" ca="1" si="44"/>
        <v>1</v>
      </c>
      <c r="AE131" s="128">
        <f t="shared" ca="1" si="44"/>
        <v>1</v>
      </c>
      <c r="AF131" s="126">
        <f t="shared" ca="1" si="44"/>
        <v>1</v>
      </c>
      <c r="AG131" s="127">
        <f t="shared" ca="1" si="44"/>
        <v>1</v>
      </c>
      <c r="AH131" s="127">
        <f t="shared" ca="1" si="44"/>
        <v>1</v>
      </c>
      <c r="AI131" s="127">
        <f t="shared" ca="1" si="44"/>
        <v>1</v>
      </c>
      <c r="AJ131" s="128">
        <f t="shared" ca="1" si="44"/>
        <v>1</v>
      </c>
      <c r="AK131" s="126">
        <f t="shared" ca="1" si="44"/>
        <v>1</v>
      </c>
      <c r="AL131" s="127">
        <f t="shared" ca="1" si="44"/>
        <v>1</v>
      </c>
      <c r="AM131" s="127">
        <f t="shared" ca="1" si="44"/>
        <v>1</v>
      </c>
      <c r="AN131" s="127">
        <f t="shared" ca="1" si="44"/>
        <v>1</v>
      </c>
      <c r="AO131" s="129">
        <f t="shared" ca="1" si="33"/>
        <v>1</v>
      </c>
      <c r="AP131" s="536" t="str">
        <f t="shared" si="39"/>
        <v/>
      </c>
      <c r="AQ131" s="536" t="str">
        <f t="shared" si="40"/>
        <v>X</v>
      </c>
      <c r="AR131" s="536" t="str">
        <f t="shared" si="41"/>
        <v/>
      </c>
      <c r="AS131" s="537">
        <f>IF(OR(J131&lt;&gt;"",AP131&amp;AQ131&amp;AR131&lt;&gt;"X",WEEKDAY(I131,2)&gt;5,C131&lt;&gt;0,(FechaInicio1Tri&gt;I131),(FechaFinEEva&lt;I131)),0,_xlfn.XLOOKUP(WEEKDAY(I131,2),Fchs!$J$10:$N$10,Fchs!$J$12:$N$12))</f>
        <v>1</v>
      </c>
      <c r="AT131" s="536">
        <f t="shared" ca="1" si="42"/>
        <v>1</v>
      </c>
      <c r="AU131" s="538">
        <f>IF(AS131&lt;&gt;0,MAXA($AU$14:AU130)+AS131,0)</f>
        <v>63</v>
      </c>
      <c r="AV131" s="538">
        <f ca="1">IF(AT131&lt;&gt;0,MAXA($AU$14:AU130)+AT131,0)</f>
        <v>63</v>
      </c>
      <c r="AW131" s="68"/>
    </row>
    <row r="132" spans="1:49" ht="18.75" customHeight="1" x14ac:dyDescent="0.25">
      <c r="A132" s="68"/>
      <c r="B132" s="56" t="str">
        <f>MID(Info!$AZ$3,(WEEKDAY(I132,2)-1)*3+1,3)</f>
        <v>Mié</v>
      </c>
      <c r="C132" s="523">
        <f>_xlfn.XLOOKUP(I132,Fchs!$L$60:$L$101,Fchs!$M$60:$M$101,0)</f>
        <v>0</v>
      </c>
      <c r="D132" s="523" t="str">
        <f>_xlfn.XLOOKUP(I132,Fchs!$L$60:$L$101,Fchs!$N$60:$N$101)</f>
        <v>2ºGx-Reclama+1d</v>
      </c>
      <c r="E132" s="532" t="str">
        <f>IF($AS132&lt;&gt;0,_xlfn.XLOOKUP($G132,UDs!$E$34:$E$55,UDs!$B$34:$B$55,,-1),0)</f>
        <v>UD02</v>
      </c>
      <c r="F132" s="532" t="str">
        <f t="shared" ca="1" si="38"/>
        <v>UD02</v>
      </c>
      <c r="G132" s="569">
        <f>IF(AU132&lt;&gt;0,MAX($AU$13:$AU131)+1,0)</f>
        <v>64</v>
      </c>
      <c r="H132" s="569">
        <f>IF(AS132&lt;&gt;0,COUNT($H$14:H131,1),"")</f>
        <v>64</v>
      </c>
      <c r="I132" s="533">
        <f t="shared" si="43"/>
        <v>46008</v>
      </c>
      <c r="J132" s="534"/>
      <c r="K132" s="535"/>
      <c r="L132" s="126">
        <f t="shared" ca="1" si="45"/>
        <v>1</v>
      </c>
      <c r="M132" s="127">
        <f t="shared" ca="1" si="45"/>
        <v>1</v>
      </c>
      <c r="N132" s="127">
        <f t="shared" ca="1" si="45"/>
        <v>1</v>
      </c>
      <c r="O132" s="127">
        <f t="shared" ca="1" si="45"/>
        <v>1</v>
      </c>
      <c r="P132" s="128">
        <f t="shared" ca="1" si="45"/>
        <v>1</v>
      </c>
      <c r="Q132" s="126">
        <f t="shared" ca="1" si="45"/>
        <v>1</v>
      </c>
      <c r="R132" s="127">
        <f t="shared" ca="1" si="45"/>
        <v>1</v>
      </c>
      <c r="S132" s="127">
        <f t="shared" ca="1" si="45"/>
        <v>1</v>
      </c>
      <c r="T132" s="127">
        <f t="shared" ca="1" si="45"/>
        <v>1</v>
      </c>
      <c r="U132" s="128">
        <f t="shared" ca="1" si="45"/>
        <v>1</v>
      </c>
      <c r="V132" s="126">
        <f t="shared" ca="1" si="45"/>
        <v>1</v>
      </c>
      <c r="W132" s="127">
        <f t="shared" ca="1" si="45"/>
        <v>1</v>
      </c>
      <c r="X132" s="127">
        <f t="shared" ca="1" si="45"/>
        <v>1</v>
      </c>
      <c r="Y132" s="127">
        <f t="shared" ca="1" si="45"/>
        <v>1</v>
      </c>
      <c r="Z132" s="128">
        <f t="shared" ca="1" si="45"/>
        <v>1</v>
      </c>
      <c r="AA132" s="126">
        <f t="shared" ca="1" si="45"/>
        <v>1</v>
      </c>
      <c r="AB132" s="127">
        <f t="shared" ca="1" si="44"/>
        <v>1</v>
      </c>
      <c r="AC132" s="127">
        <f t="shared" ca="1" si="44"/>
        <v>1</v>
      </c>
      <c r="AD132" s="127">
        <f t="shared" ca="1" si="44"/>
        <v>1</v>
      </c>
      <c r="AE132" s="128">
        <f t="shared" ca="1" si="44"/>
        <v>1</v>
      </c>
      <c r="AF132" s="126">
        <f t="shared" ca="1" si="44"/>
        <v>1</v>
      </c>
      <c r="AG132" s="127">
        <f t="shared" ca="1" si="44"/>
        <v>1</v>
      </c>
      <c r="AH132" s="127">
        <f t="shared" ca="1" si="44"/>
        <v>1</v>
      </c>
      <c r="AI132" s="127">
        <f t="shared" ca="1" si="44"/>
        <v>1</v>
      </c>
      <c r="AJ132" s="128">
        <f t="shared" ca="1" si="44"/>
        <v>1</v>
      </c>
      <c r="AK132" s="126">
        <f t="shared" ca="1" si="44"/>
        <v>1</v>
      </c>
      <c r="AL132" s="127">
        <f t="shared" ca="1" si="44"/>
        <v>1</v>
      </c>
      <c r="AM132" s="127">
        <f t="shared" ca="1" si="44"/>
        <v>1</v>
      </c>
      <c r="AN132" s="127">
        <f t="shared" ca="1" si="44"/>
        <v>1</v>
      </c>
      <c r="AO132" s="129">
        <f t="shared" ca="1" si="44"/>
        <v>1</v>
      </c>
      <c r="AP132" s="536" t="str">
        <f t="shared" si="39"/>
        <v/>
      </c>
      <c r="AQ132" s="536" t="str">
        <f t="shared" si="40"/>
        <v>X</v>
      </c>
      <c r="AR132" s="536" t="str">
        <f t="shared" si="41"/>
        <v/>
      </c>
      <c r="AS132" s="537">
        <f>IF(OR(J132&lt;&gt;"",AP132&amp;AQ132&amp;AR132&lt;&gt;"X",WEEKDAY(I132,2)&gt;5,C132&lt;&gt;0,(FechaInicio1Tri&gt;I132),(FechaFinEEva&lt;I132)),0,_xlfn.XLOOKUP(WEEKDAY(I132,2),Fchs!$J$10:$N$10,Fchs!$J$12:$N$12))</f>
        <v>1</v>
      </c>
      <c r="AT132" s="536">
        <f t="shared" ca="1" si="42"/>
        <v>1</v>
      </c>
      <c r="AU132" s="538">
        <f>IF(AS132&lt;&gt;0,MAXA($AU$14:AU131)+AS132,0)</f>
        <v>64</v>
      </c>
      <c r="AV132" s="538">
        <f ca="1">IF(AT132&lt;&gt;0,MAXA($AU$14:AU131)+AT132,0)</f>
        <v>64</v>
      </c>
      <c r="AW132" s="68"/>
    </row>
    <row r="133" spans="1:49" ht="18.75" customHeight="1" x14ac:dyDescent="0.25">
      <c r="A133" s="68"/>
      <c r="B133" s="56" t="str">
        <f>MID(Info!$AZ$3,(WEEKDAY(I133,2)-1)*3+1,3)</f>
        <v>Jue</v>
      </c>
      <c r="C133" s="523">
        <f>_xlfn.XLOOKUP(I133,Fchs!$L$60:$L$101,Fchs!$M$60:$M$101,0)</f>
        <v>0</v>
      </c>
      <c r="D133" s="523">
        <f>_xlfn.XLOOKUP(I133,Fchs!$L$60:$L$101,Fchs!$N$60:$N$101)</f>
        <v>0</v>
      </c>
      <c r="E133" s="532" t="str">
        <f>IF($AS133&lt;&gt;0,_xlfn.XLOOKUP($G133,UDs!$E$34:$E$55,UDs!$B$34:$B$55,,-1),0)</f>
        <v>UD02</v>
      </c>
      <c r="F133" s="532" t="str">
        <f t="shared" ca="1" si="38"/>
        <v>UD02</v>
      </c>
      <c r="G133" s="569">
        <f>IF(AU133&lt;&gt;0,MAX($AU$13:$AU132)+1,0)</f>
        <v>65</v>
      </c>
      <c r="H133" s="569">
        <f>IF(AS133&lt;&gt;0,COUNT($H$14:H132,1),"")</f>
        <v>65</v>
      </c>
      <c r="I133" s="533">
        <f t="shared" si="43"/>
        <v>46009</v>
      </c>
      <c r="J133" s="534"/>
      <c r="K133" s="535"/>
      <c r="L133" s="126">
        <f t="shared" ca="1" si="45"/>
        <v>1</v>
      </c>
      <c r="M133" s="127">
        <f t="shared" ca="1" si="45"/>
        <v>1</v>
      </c>
      <c r="N133" s="127">
        <f t="shared" ca="1" si="45"/>
        <v>1</v>
      </c>
      <c r="O133" s="127">
        <f t="shared" ca="1" si="45"/>
        <v>1</v>
      </c>
      <c r="P133" s="128">
        <f t="shared" ca="1" si="45"/>
        <v>1</v>
      </c>
      <c r="Q133" s="126">
        <f t="shared" ca="1" si="45"/>
        <v>1</v>
      </c>
      <c r="R133" s="127">
        <f t="shared" ca="1" si="45"/>
        <v>1</v>
      </c>
      <c r="S133" s="127">
        <f t="shared" ca="1" si="45"/>
        <v>1</v>
      </c>
      <c r="T133" s="127">
        <f t="shared" ca="1" si="45"/>
        <v>1</v>
      </c>
      <c r="U133" s="128">
        <f t="shared" ca="1" si="45"/>
        <v>1</v>
      </c>
      <c r="V133" s="126">
        <f t="shared" ca="1" si="45"/>
        <v>1</v>
      </c>
      <c r="W133" s="127">
        <f t="shared" ca="1" si="45"/>
        <v>1</v>
      </c>
      <c r="X133" s="127">
        <f t="shared" ca="1" si="45"/>
        <v>1</v>
      </c>
      <c r="Y133" s="127">
        <f t="shared" ca="1" si="45"/>
        <v>1</v>
      </c>
      <c r="Z133" s="128">
        <f t="shared" ca="1" si="45"/>
        <v>1</v>
      </c>
      <c r="AA133" s="126">
        <f t="shared" ca="1" si="45"/>
        <v>1</v>
      </c>
      <c r="AB133" s="127">
        <f t="shared" ca="1" si="44"/>
        <v>1</v>
      </c>
      <c r="AC133" s="127">
        <f t="shared" ca="1" si="44"/>
        <v>1</v>
      </c>
      <c r="AD133" s="127">
        <f t="shared" ca="1" si="44"/>
        <v>1</v>
      </c>
      <c r="AE133" s="128">
        <f t="shared" ca="1" si="44"/>
        <v>1</v>
      </c>
      <c r="AF133" s="126">
        <f t="shared" ca="1" si="44"/>
        <v>1</v>
      </c>
      <c r="AG133" s="127">
        <f t="shared" ca="1" si="44"/>
        <v>1</v>
      </c>
      <c r="AH133" s="127">
        <f t="shared" ca="1" si="44"/>
        <v>1</v>
      </c>
      <c r="AI133" s="127">
        <f t="shared" ca="1" si="44"/>
        <v>1</v>
      </c>
      <c r="AJ133" s="128">
        <f t="shared" ca="1" si="44"/>
        <v>1</v>
      </c>
      <c r="AK133" s="126">
        <f t="shared" ca="1" si="44"/>
        <v>1</v>
      </c>
      <c r="AL133" s="127">
        <f t="shared" ca="1" si="44"/>
        <v>1</v>
      </c>
      <c r="AM133" s="127">
        <f t="shared" ca="1" si="44"/>
        <v>1</v>
      </c>
      <c r="AN133" s="127">
        <f t="shared" ca="1" si="44"/>
        <v>1</v>
      </c>
      <c r="AO133" s="129">
        <f t="shared" ca="1" si="44"/>
        <v>1</v>
      </c>
      <c r="AP133" s="536" t="str">
        <f t="shared" si="39"/>
        <v/>
      </c>
      <c r="AQ133" s="536" t="str">
        <f t="shared" si="40"/>
        <v>X</v>
      </c>
      <c r="AR133" s="536" t="str">
        <f t="shared" si="41"/>
        <v/>
      </c>
      <c r="AS133" s="537">
        <f>IF(OR(J133&lt;&gt;"",AP133&amp;AQ133&amp;AR133&lt;&gt;"X",WEEKDAY(I133,2)&gt;5,C133&lt;&gt;0,(FechaInicio1Tri&gt;I133),(FechaFinEEva&lt;I133)),0,_xlfn.XLOOKUP(WEEKDAY(I133,2),Fchs!$J$10:$N$10,Fchs!$J$12:$N$12))</f>
        <v>1</v>
      </c>
      <c r="AT133" s="536">
        <f t="shared" ca="1" si="42"/>
        <v>1</v>
      </c>
      <c r="AU133" s="538">
        <f>IF(AS133&lt;&gt;0,MAXA($AU$14:AU132)+AS133,0)</f>
        <v>65</v>
      </c>
      <c r="AV133" s="538">
        <f ca="1">IF(AT133&lt;&gt;0,MAXA($AU$14:AU132)+AT133,0)</f>
        <v>65</v>
      </c>
      <c r="AW133" s="68"/>
    </row>
    <row r="134" spans="1:49" ht="18.75" customHeight="1" x14ac:dyDescent="0.25">
      <c r="A134" s="68"/>
      <c r="B134" s="56" t="str">
        <f>MID(Info!$AZ$3,(WEEKDAY(I134,2)-1)*3+1,3)</f>
        <v>Vie</v>
      </c>
      <c r="C134" s="523">
        <f>_xlfn.XLOOKUP(I134,Fchs!$L$60:$L$101,Fchs!$M$60:$M$101,0)</f>
        <v>0</v>
      </c>
      <c r="D134" s="523">
        <f>_xlfn.XLOOKUP(I134,Fchs!$L$60:$L$101,Fchs!$N$60:$N$101)</f>
        <v>0</v>
      </c>
      <c r="E134" s="532" t="str">
        <f>IF($AS134&lt;&gt;0,_xlfn.XLOOKUP($G134,UDs!$E$34:$E$55,UDs!$B$34:$B$55,,-1),0)</f>
        <v>UD02</v>
      </c>
      <c r="F134" s="532" t="str">
        <f t="shared" ca="1" si="38"/>
        <v>UD02</v>
      </c>
      <c r="G134" s="569">
        <f>IF(AU134&lt;&gt;0,MAX($AU$13:$AU133)+1,0)</f>
        <v>66</v>
      </c>
      <c r="H134" s="569">
        <f>IF(AS134&lt;&gt;0,COUNT($H$14:H133,1),"")</f>
        <v>66</v>
      </c>
      <c r="I134" s="533">
        <f t="shared" si="43"/>
        <v>46010</v>
      </c>
      <c r="J134" s="534"/>
      <c r="K134" s="535"/>
      <c r="L134" s="126">
        <f t="shared" ca="1" si="45"/>
        <v>1</v>
      </c>
      <c r="M134" s="127">
        <f t="shared" ca="1" si="45"/>
        <v>1</v>
      </c>
      <c r="N134" s="127">
        <f t="shared" ca="1" si="45"/>
        <v>1</v>
      </c>
      <c r="O134" s="127">
        <f t="shared" ca="1" si="45"/>
        <v>1</v>
      </c>
      <c r="P134" s="128">
        <f t="shared" ca="1" si="45"/>
        <v>1</v>
      </c>
      <c r="Q134" s="126">
        <f t="shared" ca="1" si="45"/>
        <v>1</v>
      </c>
      <c r="R134" s="127">
        <f t="shared" ca="1" si="45"/>
        <v>1</v>
      </c>
      <c r="S134" s="127">
        <f t="shared" ca="1" si="45"/>
        <v>1</v>
      </c>
      <c r="T134" s="127">
        <f t="shared" ca="1" si="45"/>
        <v>1</v>
      </c>
      <c r="U134" s="128">
        <f t="shared" ca="1" si="45"/>
        <v>1</v>
      </c>
      <c r="V134" s="126">
        <f t="shared" ca="1" si="45"/>
        <v>1</v>
      </c>
      <c r="W134" s="127">
        <f t="shared" ca="1" si="45"/>
        <v>1</v>
      </c>
      <c r="X134" s="127">
        <f t="shared" ca="1" si="45"/>
        <v>1</v>
      </c>
      <c r="Y134" s="127">
        <f t="shared" ca="1" si="45"/>
        <v>1</v>
      </c>
      <c r="Z134" s="128">
        <f t="shared" ca="1" si="45"/>
        <v>1</v>
      </c>
      <c r="AA134" s="126">
        <f t="shared" ref="AA134:AN146" ca="1" si="46">$AT134</f>
        <v>1</v>
      </c>
      <c r="AB134" s="127">
        <f t="shared" ca="1" si="46"/>
        <v>1</v>
      </c>
      <c r="AC134" s="127">
        <f t="shared" ca="1" si="46"/>
        <v>1</v>
      </c>
      <c r="AD134" s="127">
        <f t="shared" ca="1" si="46"/>
        <v>1</v>
      </c>
      <c r="AE134" s="128">
        <f t="shared" ca="1" si="46"/>
        <v>1</v>
      </c>
      <c r="AF134" s="126">
        <f t="shared" ca="1" si="46"/>
        <v>1</v>
      </c>
      <c r="AG134" s="127">
        <f t="shared" ca="1" si="46"/>
        <v>1</v>
      </c>
      <c r="AH134" s="127">
        <f t="shared" ca="1" si="46"/>
        <v>1</v>
      </c>
      <c r="AI134" s="127">
        <f t="shared" ca="1" si="46"/>
        <v>1</v>
      </c>
      <c r="AJ134" s="128">
        <f t="shared" ca="1" si="46"/>
        <v>1</v>
      </c>
      <c r="AK134" s="126">
        <f t="shared" ca="1" si="46"/>
        <v>1</v>
      </c>
      <c r="AL134" s="127">
        <f t="shared" ca="1" si="46"/>
        <v>1</v>
      </c>
      <c r="AM134" s="127">
        <f t="shared" ca="1" si="46"/>
        <v>1</v>
      </c>
      <c r="AN134" s="127">
        <f t="shared" ca="1" si="46"/>
        <v>1</v>
      </c>
      <c r="AO134" s="129">
        <f t="shared" ca="1" si="44"/>
        <v>1</v>
      </c>
      <c r="AP134" s="536" t="str">
        <f t="shared" si="39"/>
        <v/>
      </c>
      <c r="AQ134" s="536" t="str">
        <f t="shared" si="40"/>
        <v>X</v>
      </c>
      <c r="AR134" s="536" t="str">
        <f t="shared" si="41"/>
        <v/>
      </c>
      <c r="AS134" s="537">
        <f>IF(OR(J134&lt;&gt;"",AP134&amp;AQ134&amp;AR134&lt;&gt;"X",WEEKDAY(I134,2)&gt;5,C134&lt;&gt;0,(FechaInicio1Tri&gt;I134),(FechaFinEEva&lt;I134)),0,_xlfn.XLOOKUP(WEEKDAY(I134,2),Fchs!$J$10:$N$10,Fchs!$J$12:$N$12))</f>
        <v>1</v>
      </c>
      <c r="AT134" s="536">
        <f t="shared" ca="1" si="42"/>
        <v>1</v>
      </c>
      <c r="AU134" s="538">
        <f>IF(AS134&lt;&gt;0,MAXA($AU$14:AU133)+AS134,0)</f>
        <v>66</v>
      </c>
      <c r="AV134" s="538">
        <f ca="1">IF(AT134&lt;&gt;0,MAXA($AU$14:AU133)+AT134,0)</f>
        <v>66</v>
      </c>
      <c r="AW134" s="68"/>
    </row>
    <row r="135" spans="1:49" ht="18.75" customHeight="1" x14ac:dyDescent="0.25">
      <c r="A135" s="68"/>
      <c r="B135" s="56" t="str">
        <f>MID(Info!$AZ$3,(WEEKDAY(I135,2)-1)*3+1,3)</f>
        <v>Sáb</v>
      </c>
      <c r="C135" s="523">
        <f>_xlfn.XLOOKUP(I135,Fchs!$L$60:$L$101,Fchs!$M$60:$M$101,0)</f>
        <v>0</v>
      </c>
      <c r="D135" s="523">
        <f>_xlfn.XLOOKUP(I135,Fchs!$L$60:$L$101,Fchs!$N$60:$N$101)</f>
        <v>0</v>
      </c>
      <c r="E135" s="532">
        <f>IF($AS135&lt;&gt;0,_xlfn.XLOOKUP($G135,UDs!$E$34:$E$55,UDs!$B$34:$B$55,,-1),0)</f>
        <v>0</v>
      </c>
      <c r="F135" s="532">
        <f t="shared" ca="1" si="38"/>
        <v>0</v>
      </c>
      <c r="G135" s="569">
        <f>IF(AU135&lt;&gt;0,MAX($AU$13:$AU134)+1,0)</f>
        <v>0</v>
      </c>
      <c r="H135" s="569" t="str">
        <f>IF(AS135&lt;&gt;0,COUNT($H$14:H134,1),"")</f>
        <v/>
      </c>
      <c r="I135" s="533">
        <f t="shared" si="43"/>
        <v>46011</v>
      </c>
      <c r="J135" s="534"/>
      <c r="K135" s="535"/>
      <c r="L135" s="126">
        <f t="shared" ref="L135:AA146" ca="1" si="47">$AT135</f>
        <v>0</v>
      </c>
      <c r="M135" s="127">
        <f t="shared" ca="1" si="47"/>
        <v>0</v>
      </c>
      <c r="N135" s="127">
        <f t="shared" ca="1" si="47"/>
        <v>0</v>
      </c>
      <c r="O135" s="127">
        <f t="shared" ca="1" si="47"/>
        <v>0</v>
      </c>
      <c r="P135" s="128">
        <f t="shared" ca="1" si="47"/>
        <v>0</v>
      </c>
      <c r="Q135" s="126">
        <f t="shared" ca="1" si="47"/>
        <v>0</v>
      </c>
      <c r="R135" s="127">
        <f t="shared" ca="1" si="47"/>
        <v>0</v>
      </c>
      <c r="S135" s="127">
        <f t="shared" ca="1" si="47"/>
        <v>0</v>
      </c>
      <c r="T135" s="127">
        <f t="shared" ca="1" si="47"/>
        <v>0</v>
      </c>
      <c r="U135" s="128">
        <f t="shared" ca="1" si="47"/>
        <v>0</v>
      </c>
      <c r="V135" s="126">
        <f t="shared" ca="1" si="47"/>
        <v>0</v>
      </c>
      <c r="W135" s="127">
        <f t="shared" ca="1" si="47"/>
        <v>0</v>
      </c>
      <c r="X135" s="127">
        <f t="shared" ca="1" si="47"/>
        <v>0</v>
      </c>
      <c r="Y135" s="127">
        <f t="shared" ca="1" si="47"/>
        <v>0</v>
      </c>
      <c r="Z135" s="128">
        <f t="shared" ca="1" si="47"/>
        <v>0</v>
      </c>
      <c r="AA135" s="126">
        <f t="shared" ca="1" si="47"/>
        <v>0</v>
      </c>
      <c r="AB135" s="127">
        <f t="shared" ca="1" si="46"/>
        <v>0</v>
      </c>
      <c r="AC135" s="127">
        <f t="shared" ca="1" si="46"/>
        <v>0</v>
      </c>
      <c r="AD135" s="127">
        <f t="shared" ca="1" si="46"/>
        <v>0</v>
      </c>
      <c r="AE135" s="128">
        <f t="shared" ca="1" si="46"/>
        <v>0</v>
      </c>
      <c r="AF135" s="126">
        <f t="shared" ca="1" si="46"/>
        <v>0</v>
      </c>
      <c r="AG135" s="127">
        <f t="shared" ca="1" si="46"/>
        <v>0</v>
      </c>
      <c r="AH135" s="127">
        <f t="shared" ca="1" si="46"/>
        <v>0</v>
      </c>
      <c r="AI135" s="127">
        <f t="shared" ca="1" si="46"/>
        <v>0</v>
      </c>
      <c r="AJ135" s="128">
        <f t="shared" ca="1" si="46"/>
        <v>0</v>
      </c>
      <c r="AK135" s="126">
        <f t="shared" ca="1" si="46"/>
        <v>0</v>
      </c>
      <c r="AL135" s="127">
        <f t="shared" ca="1" si="46"/>
        <v>0</v>
      </c>
      <c r="AM135" s="127">
        <f t="shared" ca="1" si="46"/>
        <v>0</v>
      </c>
      <c r="AN135" s="127">
        <f t="shared" ca="1" si="46"/>
        <v>0</v>
      </c>
      <c r="AO135" s="129">
        <f t="shared" ca="1" si="44"/>
        <v>0</v>
      </c>
      <c r="AP135" s="536" t="str">
        <f t="shared" si="39"/>
        <v/>
      </c>
      <c r="AQ135" s="536" t="str">
        <f t="shared" si="40"/>
        <v/>
      </c>
      <c r="AR135" s="536" t="str">
        <f t="shared" si="41"/>
        <v/>
      </c>
      <c r="AS135" s="537">
        <f>IF(OR(J135&lt;&gt;"",AP135&amp;AQ135&amp;AR135&lt;&gt;"X",WEEKDAY(I135,2)&gt;5,C135&lt;&gt;0,(FechaInicio1Tri&gt;I135),(FechaFinEEva&lt;I135)),0,_xlfn.XLOOKUP(WEEKDAY(I135,2),Fchs!$J$10:$N$10,Fchs!$J$12:$N$12))</f>
        <v>0</v>
      </c>
      <c r="AT135" s="536">
        <f t="shared" ca="1" si="42"/>
        <v>0</v>
      </c>
      <c r="AU135" s="538">
        <f>IF(AS135&lt;&gt;0,MAXA($AU$14:AU134)+AS135,0)</f>
        <v>0</v>
      </c>
      <c r="AV135" s="538">
        <f ca="1">IF(AT135&lt;&gt;0,MAXA($AU$14:AU134)+AT135,0)</f>
        <v>0</v>
      </c>
      <c r="AW135" s="68"/>
    </row>
    <row r="136" spans="1:49" ht="18.75" customHeight="1" x14ac:dyDescent="0.25">
      <c r="A136" s="68"/>
      <c r="B136" s="56" t="str">
        <f>MID(Info!$AZ$3,(WEEKDAY(I136,2)-1)*3+1,3)</f>
        <v>Dom</v>
      </c>
      <c r="C136" s="523">
        <f>_xlfn.XLOOKUP(I136,Fchs!$L$60:$L$101,Fchs!$M$60:$M$101,0)</f>
        <v>0</v>
      </c>
      <c r="D136" s="523">
        <f>_xlfn.XLOOKUP(I136,Fchs!$L$60:$L$101,Fchs!$N$60:$N$101)</f>
        <v>0</v>
      </c>
      <c r="E136" s="532">
        <f>IF($AS136&lt;&gt;0,_xlfn.XLOOKUP($G136,UDs!$E$34:$E$55,UDs!$B$34:$B$55,,-1),0)</f>
        <v>0</v>
      </c>
      <c r="F136" s="532">
        <f t="shared" ca="1" si="38"/>
        <v>0</v>
      </c>
      <c r="G136" s="569">
        <f>IF(AU136&lt;&gt;0,MAX($AU$13:$AU135)+1,0)</f>
        <v>0</v>
      </c>
      <c r="H136" s="569" t="str">
        <f>IF(AS136&lt;&gt;0,COUNT($H$14:H135,1),"")</f>
        <v/>
      </c>
      <c r="I136" s="533">
        <f t="shared" si="43"/>
        <v>46012</v>
      </c>
      <c r="J136" s="534"/>
      <c r="K136" s="535"/>
      <c r="L136" s="126">
        <f t="shared" ca="1" si="47"/>
        <v>0</v>
      </c>
      <c r="M136" s="127">
        <f t="shared" ca="1" si="47"/>
        <v>0</v>
      </c>
      <c r="N136" s="127">
        <f t="shared" ca="1" si="47"/>
        <v>0</v>
      </c>
      <c r="O136" s="127">
        <f t="shared" ca="1" si="47"/>
        <v>0</v>
      </c>
      <c r="P136" s="128">
        <f t="shared" ca="1" si="47"/>
        <v>0</v>
      </c>
      <c r="Q136" s="126">
        <f t="shared" ca="1" si="47"/>
        <v>0</v>
      </c>
      <c r="R136" s="127">
        <f t="shared" ca="1" si="47"/>
        <v>0</v>
      </c>
      <c r="S136" s="127">
        <f t="shared" ca="1" si="47"/>
        <v>0</v>
      </c>
      <c r="T136" s="127">
        <f t="shared" ca="1" si="47"/>
        <v>0</v>
      </c>
      <c r="U136" s="128">
        <f t="shared" ca="1" si="47"/>
        <v>0</v>
      </c>
      <c r="V136" s="126">
        <f t="shared" ca="1" si="47"/>
        <v>0</v>
      </c>
      <c r="W136" s="127">
        <f t="shared" ca="1" si="47"/>
        <v>0</v>
      </c>
      <c r="X136" s="127">
        <f t="shared" ca="1" si="47"/>
        <v>0</v>
      </c>
      <c r="Y136" s="127">
        <f t="shared" ca="1" si="47"/>
        <v>0</v>
      </c>
      <c r="Z136" s="128">
        <f t="shared" ca="1" si="47"/>
        <v>0</v>
      </c>
      <c r="AA136" s="126">
        <f t="shared" ca="1" si="47"/>
        <v>0</v>
      </c>
      <c r="AB136" s="127">
        <f t="shared" ca="1" si="46"/>
        <v>0</v>
      </c>
      <c r="AC136" s="127">
        <f t="shared" ca="1" si="46"/>
        <v>0</v>
      </c>
      <c r="AD136" s="127">
        <f t="shared" ca="1" si="46"/>
        <v>0</v>
      </c>
      <c r="AE136" s="128">
        <f t="shared" ca="1" si="46"/>
        <v>0</v>
      </c>
      <c r="AF136" s="126">
        <f t="shared" ca="1" si="46"/>
        <v>0</v>
      </c>
      <c r="AG136" s="127">
        <f t="shared" ca="1" si="46"/>
        <v>0</v>
      </c>
      <c r="AH136" s="127">
        <f t="shared" ca="1" si="46"/>
        <v>0</v>
      </c>
      <c r="AI136" s="127">
        <f t="shared" ca="1" si="46"/>
        <v>0</v>
      </c>
      <c r="AJ136" s="128">
        <f t="shared" ca="1" si="46"/>
        <v>0</v>
      </c>
      <c r="AK136" s="126">
        <f t="shared" ca="1" si="46"/>
        <v>0</v>
      </c>
      <c r="AL136" s="127">
        <f t="shared" ca="1" si="46"/>
        <v>0</v>
      </c>
      <c r="AM136" s="127">
        <f t="shared" ca="1" si="46"/>
        <v>0</v>
      </c>
      <c r="AN136" s="127">
        <f t="shared" ca="1" si="46"/>
        <v>0</v>
      </c>
      <c r="AO136" s="129">
        <f t="shared" ca="1" si="44"/>
        <v>0</v>
      </c>
      <c r="AP136" s="536" t="str">
        <f t="shared" si="39"/>
        <v/>
      </c>
      <c r="AQ136" s="536" t="str">
        <f t="shared" si="40"/>
        <v/>
      </c>
      <c r="AR136" s="536" t="str">
        <f t="shared" si="41"/>
        <v/>
      </c>
      <c r="AS136" s="537">
        <f>IF(OR(J136&lt;&gt;"",AP136&amp;AQ136&amp;AR136&lt;&gt;"X",WEEKDAY(I136,2)&gt;5,C136&lt;&gt;0,(FechaInicio1Tri&gt;I136),(FechaFinEEva&lt;I136)),0,_xlfn.XLOOKUP(WEEKDAY(I136,2),Fchs!$J$10:$N$10,Fchs!$J$12:$N$12))</f>
        <v>0</v>
      </c>
      <c r="AT136" s="536">
        <f t="shared" ca="1" si="42"/>
        <v>0</v>
      </c>
      <c r="AU136" s="538">
        <f>IF(AS136&lt;&gt;0,MAXA($AU$14:AU135)+AS136,0)</f>
        <v>0</v>
      </c>
      <c r="AV136" s="538">
        <f ca="1">IF(AT136&lt;&gt;0,MAXA($AU$14:AU135)+AT136,0)</f>
        <v>0</v>
      </c>
      <c r="AW136" s="68"/>
    </row>
    <row r="137" spans="1:49" ht="18.75" customHeight="1" x14ac:dyDescent="0.25">
      <c r="A137" s="68"/>
      <c r="B137" s="56" t="str">
        <f>MID(Info!$AZ$3,(WEEKDAY(I137,2)-1)*3+1,3)</f>
        <v>Lun</v>
      </c>
      <c r="C137" s="523" t="str">
        <f>_xlfn.XLOOKUP(I137,Fchs!$L$60:$L$101,Fchs!$M$60:$M$101,0)</f>
        <v>Navidad</v>
      </c>
      <c r="D137" s="523">
        <f>_xlfn.XLOOKUP(I137,Fchs!$L$60:$L$101,Fchs!$N$60:$N$101)</f>
        <v>0</v>
      </c>
      <c r="E137" s="532">
        <f>IF($AS137&lt;&gt;0,_xlfn.XLOOKUP($G137,UDs!$E$34:$E$55,UDs!$B$34:$B$55,,-1),0)</f>
        <v>0</v>
      </c>
      <c r="F137" s="532">
        <f t="shared" ca="1" si="38"/>
        <v>0</v>
      </c>
      <c r="G137" s="569">
        <f>IF(AU137&lt;&gt;0,MAX($AU$13:$AU136)+1,0)</f>
        <v>0</v>
      </c>
      <c r="H137" s="569" t="str">
        <f>IF(AS137&lt;&gt;0,COUNT($H$14:H136,1),"")</f>
        <v/>
      </c>
      <c r="I137" s="533">
        <f t="shared" si="43"/>
        <v>46013</v>
      </c>
      <c r="J137" s="534"/>
      <c r="K137" s="535"/>
      <c r="L137" s="126">
        <f t="shared" ca="1" si="47"/>
        <v>0</v>
      </c>
      <c r="M137" s="127">
        <f t="shared" ca="1" si="47"/>
        <v>0</v>
      </c>
      <c r="N137" s="127">
        <f t="shared" ca="1" si="47"/>
        <v>0</v>
      </c>
      <c r="O137" s="127">
        <f t="shared" ca="1" si="47"/>
        <v>0</v>
      </c>
      <c r="P137" s="128">
        <f t="shared" ca="1" si="47"/>
        <v>0</v>
      </c>
      <c r="Q137" s="126">
        <f t="shared" ca="1" si="47"/>
        <v>0</v>
      </c>
      <c r="R137" s="127">
        <f t="shared" ca="1" si="47"/>
        <v>0</v>
      </c>
      <c r="S137" s="127">
        <f t="shared" ca="1" si="47"/>
        <v>0</v>
      </c>
      <c r="T137" s="127">
        <f t="shared" ca="1" si="47"/>
        <v>0</v>
      </c>
      <c r="U137" s="128">
        <f t="shared" ca="1" si="47"/>
        <v>0</v>
      </c>
      <c r="V137" s="126">
        <f t="shared" ca="1" si="47"/>
        <v>0</v>
      </c>
      <c r="W137" s="127">
        <f t="shared" ca="1" si="47"/>
        <v>0</v>
      </c>
      <c r="X137" s="127">
        <f t="shared" ca="1" si="47"/>
        <v>0</v>
      </c>
      <c r="Y137" s="127">
        <f t="shared" ca="1" si="47"/>
        <v>0</v>
      </c>
      <c r="Z137" s="128">
        <f t="shared" ca="1" si="47"/>
        <v>0</v>
      </c>
      <c r="AA137" s="126">
        <f t="shared" ca="1" si="47"/>
        <v>0</v>
      </c>
      <c r="AB137" s="127">
        <f t="shared" ca="1" si="46"/>
        <v>0</v>
      </c>
      <c r="AC137" s="127">
        <f t="shared" ca="1" si="46"/>
        <v>0</v>
      </c>
      <c r="AD137" s="127">
        <f t="shared" ca="1" si="46"/>
        <v>0</v>
      </c>
      <c r="AE137" s="128">
        <f t="shared" ca="1" si="46"/>
        <v>0</v>
      </c>
      <c r="AF137" s="126">
        <f t="shared" ca="1" si="46"/>
        <v>0</v>
      </c>
      <c r="AG137" s="127">
        <f t="shared" ca="1" si="46"/>
        <v>0</v>
      </c>
      <c r="AH137" s="127">
        <f t="shared" ca="1" si="46"/>
        <v>0</v>
      </c>
      <c r="AI137" s="127">
        <f t="shared" ca="1" si="46"/>
        <v>0</v>
      </c>
      <c r="AJ137" s="128">
        <f t="shared" ca="1" si="46"/>
        <v>0</v>
      </c>
      <c r="AK137" s="126">
        <f t="shared" ca="1" si="46"/>
        <v>0</v>
      </c>
      <c r="AL137" s="127">
        <f t="shared" ca="1" si="46"/>
        <v>0</v>
      </c>
      <c r="AM137" s="127">
        <f t="shared" ca="1" si="46"/>
        <v>0</v>
      </c>
      <c r="AN137" s="127">
        <f t="shared" ca="1" si="46"/>
        <v>0</v>
      </c>
      <c r="AO137" s="129">
        <f t="shared" ca="1" si="44"/>
        <v>0</v>
      </c>
      <c r="AP137" s="536" t="str">
        <f t="shared" si="39"/>
        <v/>
      </c>
      <c r="AQ137" s="536" t="str">
        <f t="shared" si="40"/>
        <v>X</v>
      </c>
      <c r="AR137" s="536" t="str">
        <f t="shared" si="41"/>
        <v/>
      </c>
      <c r="AS137" s="537">
        <f>IF(OR(J137&lt;&gt;"",AP137&amp;AQ137&amp;AR137&lt;&gt;"X",WEEKDAY(I137,2)&gt;5,C137&lt;&gt;0,(FechaInicio1Tri&gt;I137),(FechaFinEEva&lt;I137)),0,_xlfn.XLOOKUP(WEEKDAY(I137,2),Fchs!$J$10:$N$10,Fchs!$J$12:$N$12))</f>
        <v>0</v>
      </c>
      <c r="AT137" s="536">
        <f t="shared" ca="1" si="42"/>
        <v>0</v>
      </c>
      <c r="AU137" s="538">
        <f>IF(AS137&lt;&gt;0,MAXA($AU$14:AU136)+AS137,0)</f>
        <v>0</v>
      </c>
      <c r="AV137" s="538">
        <f ca="1">IF(AT137&lt;&gt;0,MAXA($AU$14:AU136)+AT137,0)</f>
        <v>0</v>
      </c>
      <c r="AW137" s="68"/>
    </row>
    <row r="138" spans="1:49" ht="18.75" customHeight="1" x14ac:dyDescent="0.25">
      <c r="A138" s="68"/>
      <c r="B138" s="56" t="str">
        <f>MID(Info!$AZ$3,(WEEKDAY(I138,2)-1)*3+1,3)</f>
        <v>Mar</v>
      </c>
      <c r="C138" s="523" t="str">
        <f>_xlfn.XLOOKUP(I138,Fchs!$L$60:$L$101,Fchs!$M$60:$M$101,0)</f>
        <v>Navidad</v>
      </c>
      <c r="D138" s="523">
        <f>_xlfn.XLOOKUP(I138,Fchs!$L$60:$L$101,Fchs!$N$60:$N$101)</f>
        <v>0</v>
      </c>
      <c r="E138" s="532">
        <f>IF($AS138&lt;&gt;0,_xlfn.XLOOKUP($G138,UDs!$E$34:$E$55,UDs!$B$34:$B$55,,-1),0)</f>
        <v>0</v>
      </c>
      <c r="F138" s="532">
        <f t="shared" ca="1" si="38"/>
        <v>0</v>
      </c>
      <c r="G138" s="569">
        <f>IF(AU138&lt;&gt;0,MAX($AU$13:$AU137)+1,0)</f>
        <v>0</v>
      </c>
      <c r="H138" s="569" t="str">
        <f>IF(AS138&lt;&gt;0,COUNT($H$14:H137,1),"")</f>
        <v/>
      </c>
      <c r="I138" s="533">
        <f t="shared" si="43"/>
        <v>46014</v>
      </c>
      <c r="J138" s="534"/>
      <c r="K138" s="535"/>
      <c r="L138" s="126">
        <f t="shared" ca="1" si="47"/>
        <v>0</v>
      </c>
      <c r="M138" s="127">
        <f t="shared" ca="1" si="47"/>
        <v>0</v>
      </c>
      <c r="N138" s="127">
        <f t="shared" ca="1" si="47"/>
        <v>0</v>
      </c>
      <c r="O138" s="127">
        <f t="shared" ca="1" si="47"/>
        <v>0</v>
      </c>
      <c r="P138" s="128">
        <f t="shared" ca="1" si="47"/>
        <v>0</v>
      </c>
      <c r="Q138" s="126">
        <f t="shared" ca="1" si="47"/>
        <v>0</v>
      </c>
      <c r="R138" s="127">
        <f t="shared" ca="1" si="47"/>
        <v>0</v>
      </c>
      <c r="S138" s="127">
        <f t="shared" ca="1" si="47"/>
        <v>0</v>
      </c>
      <c r="T138" s="127">
        <f t="shared" ca="1" si="47"/>
        <v>0</v>
      </c>
      <c r="U138" s="128">
        <f t="shared" ca="1" si="47"/>
        <v>0</v>
      </c>
      <c r="V138" s="126">
        <f t="shared" ca="1" si="47"/>
        <v>0</v>
      </c>
      <c r="W138" s="127">
        <f t="shared" ca="1" si="47"/>
        <v>0</v>
      </c>
      <c r="X138" s="127">
        <f t="shared" ca="1" si="47"/>
        <v>0</v>
      </c>
      <c r="Y138" s="127">
        <f t="shared" ca="1" si="47"/>
        <v>0</v>
      </c>
      <c r="Z138" s="128">
        <f t="shared" ca="1" si="47"/>
        <v>0</v>
      </c>
      <c r="AA138" s="126">
        <f t="shared" ca="1" si="47"/>
        <v>0</v>
      </c>
      <c r="AB138" s="127">
        <f t="shared" ca="1" si="46"/>
        <v>0</v>
      </c>
      <c r="AC138" s="127">
        <f t="shared" ca="1" si="46"/>
        <v>0</v>
      </c>
      <c r="AD138" s="127">
        <f t="shared" ca="1" si="46"/>
        <v>0</v>
      </c>
      <c r="AE138" s="128">
        <f t="shared" ca="1" si="46"/>
        <v>0</v>
      </c>
      <c r="AF138" s="126">
        <f t="shared" ca="1" si="46"/>
        <v>0</v>
      </c>
      <c r="AG138" s="127">
        <f t="shared" ca="1" si="46"/>
        <v>0</v>
      </c>
      <c r="AH138" s="127">
        <f t="shared" ca="1" si="46"/>
        <v>0</v>
      </c>
      <c r="AI138" s="127">
        <f t="shared" ca="1" si="46"/>
        <v>0</v>
      </c>
      <c r="AJ138" s="128">
        <f t="shared" ca="1" si="46"/>
        <v>0</v>
      </c>
      <c r="AK138" s="126">
        <f t="shared" ca="1" si="46"/>
        <v>0</v>
      </c>
      <c r="AL138" s="127">
        <f t="shared" ca="1" si="46"/>
        <v>0</v>
      </c>
      <c r="AM138" s="127">
        <f t="shared" ca="1" si="46"/>
        <v>0</v>
      </c>
      <c r="AN138" s="127">
        <f t="shared" ca="1" si="46"/>
        <v>0</v>
      </c>
      <c r="AO138" s="129">
        <f t="shared" ca="1" si="44"/>
        <v>0</v>
      </c>
      <c r="AP138" s="536" t="str">
        <f t="shared" si="39"/>
        <v/>
      </c>
      <c r="AQ138" s="536" t="str">
        <f t="shared" si="40"/>
        <v>X</v>
      </c>
      <c r="AR138" s="536" t="str">
        <f t="shared" si="41"/>
        <v/>
      </c>
      <c r="AS138" s="537">
        <f>IF(OR(J138&lt;&gt;"",AP138&amp;AQ138&amp;AR138&lt;&gt;"X",WEEKDAY(I138,2)&gt;5,C138&lt;&gt;0,(FechaInicio1Tri&gt;I138),(FechaFinEEva&lt;I138)),0,_xlfn.XLOOKUP(WEEKDAY(I138,2),Fchs!$J$10:$N$10,Fchs!$J$12:$N$12))</f>
        <v>0</v>
      </c>
      <c r="AT138" s="536">
        <f t="shared" ca="1" si="42"/>
        <v>0</v>
      </c>
      <c r="AU138" s="538">
        <f>IF(AS138&lt;&gt;0,MAXA($AU$14:AU137)+AS138,0)</f>
        <v>0</v>
      </c>
      <c r="AV138" s="538">
        <f ca="1">IF(AT138&lt;&gt;0,MAXA($AU$14:AU137)+AT138,0)</f>
        <v>0</v>
      </c>
      <c r="AW138" s="68"/>
    </row>
    <row r="139" spans="1:49" ht="18.75" customHeight="1" x14ac:dyDescent="0.25">
      <c r="A139" s="68"/>
      <c r="B139" s="56" t="str">
        <f>MID(Info!$AZ$3,(WEEKDAY(I139,2)-1)*3+1,3)</f>
        <v>Mié</v>
      </c>
      <c r="C139" s="523" t="str">
        <f>_xlfn.XLOOKUP(I139,Fchs!$L$60:$L$101,Fchs!$M$60:$M$101,0)</f>
        <v>Navidad</v>
      </c>
      <c r="D139" s="523">
        <f>_xlfn.XLOOKUP(I139,Fchs!$L$60:$L$101,Fchs!$N$60:$N$101)</f>
        <v>0</v>
      </c>
      <c r="E139" s="532">
        <f>IF($AS139&lt;&gt;0,_xlfn.XLOOKUP($G139,UDs!$E$34:$E$55,UDs!$B$34:$B$55,,-1),0)</f>
        <v>0</v>
      </c>
      <c r="F139" s="532">
        <f t="shared" ca="1" si="38"/>
        <v>0</v>
      </c>
      <c r="G139" s="569">
        <f>IF(AU139&lt;&gt;0,MAX($AU$13:$AU138)+1,0)</f>
        <v>0</v>
      </c>
      <c r="H139" s="569" t="str">
        <f>IF(AS139&lt;&gt;0,COUNT($H$14:H138,1),"")</f>
        <v/>
      </c>
      <c r="I139" s="533">
        <f t="shared" si="43"/>
        <v>46015</v>
      </c>
      <c r="J139" s="534"/>
      <c r="K139" s="535"/>
      <c r="L139" s="126">
        <f t="shared" ca="1" si="47"/>
        <v>0</v>
      </c>
      <c r="M139" s="127">
        <f t="shared" ca="1" si="47"/>
        <v>0</v>
      </c>
      <c r="N139" s="127">
        <f t="shared" ca="1" si="47"/>
        <v>0</v>
      </c>
      <c r="O139" s="127">
        <f t="shared" ca="1" si="47"/>
        <v>0</v>
      </c>
      <c r="P139" s="128">
        <f t="shared" ca="1" si="47"/>
        <v>0</v>
      </c>
      <c r="Q139" s="126">
        <f t="shared" ca="1" si="47"/>
        <v>0</v>
      </c>
      <c r="R139" s="127">
        <f t="shared" ca="1" si="47"/>
        <v>0</v>
      </c>
      <c r="S139" s="127">
        <f t="shared" ca="1" si="47"/>
        <v>0</v>
      </c>
      <c r="T139" s="127">
        <f t="shared" ca="1" si="47"/>
        <v>0</v>
      </c>
      <c r="U139" s="128">
        <f t="shared" ca="1" si="47"/>
        <v>0</v>
      </c>
      <c r="V139" s="126">
        <f t="shared" ca="1" si="47"/>
        <v>0</v>
      </c>
      <c r="W139" s="127">
        <f t="shared" ca="1" si="47"/>
        <v>0</v>
      </c>
      <c r="X139" s="127">
        <f t="shared" ca="1" si="47"/>
        <v>0</v>
      </c>
      <c r="Y139" s="127">
        <f t="shared" ca="1" si="47"/>
        <v>0</v>
      </c>
      <c r="Z139" s="128">
        <f t="shared" ca="1" si="47"/>
        <v>0</v>
      </c>
      <c r="AA139" s="126">
        <f t="shared" ca="1" si="47"/>
        <v>0</v>
      </c>
      <c r="AB139" s="127">
        <f t="shared" ca="1" si="46"/>
        <v>0</v>
      </c>
      <c r="AC139" s="127">
        <f t="shared" ca="1" si="46"/>
        <v>0</v>
      </c>
      <c r="AD139" s="127">
        <f t="shared" ca="1" si="46"/>
        <v>0</v>
      </c>
      <c r="AE139" s="128">
        <f t="shared" ca="1" si="46"/>
        <v>0</v>
      </c>
      <c r="AF139" s="126">
        <f t="shared" ca="1" si="46"/>
        <v>0</v>
      </c>
      <c r="AG139" s="127">
        <f t="shared" ca="1" si="46"/>
        <v>0</v>
      </c>
      <c r="AH139" s="127">
        <f t="shared" ca="1" si="46"/>
        <v>0</v>
      </c>
      <c r="AI139" s="127">
        <f t="shared" ca="1" si="46"/>
        <v>0</v>
      </c>
      <c r="AJ139" s="128">
        <f t="shared" ca="1" si="46"/>
        <v>0</v>
      </c>
      <c r="AK139" s="126">
        <f t="shared" ca="1" si="46"/>
        <v>0</v>
      </c>
      <c r="AL139" s="127">
        <f t="shared" ca="1" si="46"/>
        <v>0</v>
      </c>
      <c r="AM139" s="127">
        <f t="shared" ca="1" si="46"/>
        <v>0</v>
      </c>
      <c r="AN139" s="127">
        <f t="shared" ca="1" si="46"/>
        <v>0</v>
      </c>
      <c r="AO139" s="129">
        <f t="shared" ca="1" si="44"/>
        <v>0</v>
      </c>
      <c r="AP139" s="536" t="str">
        <f t="shared" si="39"/>
        <v/>
      </c>
      <c r="AQ139" s="536" t="str">
        <f t="shared" si="40"/>
        <v>X</v>
      </c>
      <c r="AR139" s="536" t="str">
        <f t="shared" si="41"/>
        <v/>
      </c>
      <c r="AS139" s="537">
        <f>IF(OR(J139&lt;&gt;"",AP139&amp;AQ139&amp;AR139&lt;&gt;"X",WEEKDAY(I139,2)&gt;5,C139&lt;&gt;0,(FechaInicio1Tri&gt;I139),(FechaFinEEva&lt;I139)),0,_xlfn.XLOOKUP(WEEKDAY(I139,2),Fchs!$J$10:$N$10,Fchs!$J$12:$N$12))</f>
        <v>0</v>
      </c>
      <c r="AT139" s="536">
        <f t="shared" ca="1" si="42"/>
        <v>0</v>
      </c>
      <c r="AU139" s="538">
        <f>IF(AS139&lt;&gt;0,MAXA($AU$14:AU138)+AS139,0)</f>
        <v>0</v>
      </c>
      <c r="AV139" s="538">
        <f ca="1">IF(AT139&lt;&gt;0,MAXA($AU$14:AU138)+AT139,0)</f>
        <v>0</v>
      </c>
      <c r="AW139" s="68"/>
    </row>
    <row r="140" spans="1:49" ht="18.75" customHeight="1" x14ac:dyDescent="0.25">
      <c r="A140" s="68"/>
      <c r="B140" s="56" t="str">
        <f>MID(Info!$AZ$3,(WEEKDAY(I140,2)-1)*3+1,3)</f>
        <v>Jue</v>
      </c>
      <c r="C140" s="523" t="str">
        <f>_xlfn.XLOOKUP(I140,Fchs!$L$60:$L$101,Fchs!$M$60:$M$101,0)</f>
        <v>Navidad</v>
      </c>
      <c r="D140" s="523">
        <f>_xlfn.XLOOKUP(I140,Fchs!$L$60:$L$101,Fchs!$N$60:$N$101)</f>
        <v>0</v>
      </c>
      <c r="E140" s="532">
        <f>IF($AS140&lt;&gt;0,_xlfn.XLOOKUP($G140,UDs!$E$34:$E$55,UDs!$B$34:$B$55,,-1),0)</f>
        <v>0</v>
      </c>
      <c r="F140" s="532">
        <f t="shared" ca="1" si="38"/>
        <v>0</v>
      </c>
      <c r="G140" s="569">
        <f>IF(AU140&lt;&gt;0,MAX($AU$13:$AU139)+1,0)</f>
        <v>0</v>
      </c>
      <c r="H140" s="569" t="str">
        <f>IF(AS140&lt;&gt;0,COUNT($H$14:H139,1),"")</f>
        <v/>
      </c>
      <c r="I140" s="533">
        <f t="shared" si="43"/>
        <v>46016</v>
      </c>
      <c r="J140" s="534"/>
      <c r="K140" s="535"/>
      <c r="L140" s="126">
        <f t="shared" ca="1" si="47"/>
        <v>0</v>
      </c>
      <c r="M140" s="127">
        <f t="shared" ca="1" si="47"/>
        <v>0</v>
      </c>
      <c r="N140" s="127">
        <f t="shared" ca="1" si="47"/>
        <v>0</v>
      </c>
      <c r="O140" s="127">
        <f t="shared" ca="1" si="47"/>
        <v>0</v>
      </c>
      <c r="P140" s="128">
        <f t="shared" ca="1" si="47"/>
        <v>0</v>
      </c>
      <c r="Q140" s="126">
        <f t="shared" ca="1" si="47"/>
        <v>0</v>
      </c>
      <c r="R140" s="127">
        <f t="shared" ca="1" si="47"/>
        <v>0</v>
      </c>
      <c r="S140" s="127">
        <f t="shared" ca="1" si="47"/>
        <v>0</v>
      </c>
      <c r="T140" s="127">
        <f t="shared" ca="1" si="47"/>
        <v>0</v>
      </c>
      <c r="U140" s="128">
        <f t="shared" ca="1" si="47"/>
        <v>0</v>
      </c>
      <c r="V140" s="126">
        <f t="shared" ca="1" si="47"/>
        <v>0</v>
      </c>
      <c r="W140" s="127">
        <f t="shared" ca="1" si="47"/>
        <v>0</v>
      </c>
      <c r="X140" s="127">
        <f t="shared" ca="1" si="47"/>
        <v>0</v>
      </c>
      <c r="Y140" s="127">
        <f t="shared" ca="1" si="47"/>
        <v>0</v>
      </c>
      <c r="Z140" s="128">
        <f t="shared" ca="1" si="47"/>
        <v>0</v>
      </c>
      <c r="AA140" s="126">
        <f t="shared" ca="1" si="47"/>
        <v>0</v>
      </c>
      <c r="AB140" s="127">
        <f t="shared" ca="1" si="46"/>
        <v>0</v>
      </c>
      <c r="AC140" s="127">
        <f t="shared" ca="1" si="46"/>
        <v>0</v>
      </c>
      <c r="AD140" s="127">
        <f t="shared" ca="1" si="46"/>
        <v>0</v>
      </c>
      <c r="AE140" s="128">
        <f t="shared" ca="1" si="46"/>
        <v>0</v>
      </c>
      <c r="AF140" s="126">
        <f t="shared" ca="1" si="46"/>
        <v>0</v>
      </c>
      <c r="AG140" s="127">
        <f t="shared" ca="1" si="46"/>
        <v>0</v>
      </c>
      <c r="AH140" s="127">
        <f t="shared" ca="1" si="46"/>
        <v>0</v>
      </c>
      <c r="AI140" s="127">
        <f t="shared" ca="1" si="46"/>
        <v>0</v>
      </c>
      <c r="AJ140" s="128">
        <f t="shared" ca="1" si="46"/>
        <v>0</v>
      </c>
      <c r="AK140" s="126">
        <f t="shared" ca="1" si="46"/>
        <v>0</v>
      </c>
      <c r="AL140" s="127">
        <f t="shared" ca="1" si="46"/>
        <v>0</v>
      </c>
      <c r="AM140" s="127">
        <f t="shared" ca="1" si="46"/>
        <v>0</v>
      </c>
      <c r="AN140" s="127">
        <f t="shared" ca="1" si="46"/>
        <v>0</v>
      </c>
      <c r="AO140" s="129">
        <f t="shared" ca="1" si="44"/>
        <v>0</v>
      </c>
      <c r="AP140" s="536" t="str">
        <f t="shared" si="39"/>
        <v/>
      </c>
      <c r="AQ140" s="536" t="str">
        <f t="shared" si="40"/>
        <v>X</v>
      </c>
      <c r="AR140" s="536" t="str">
        <f t="shared" si="41"/>
        <v/>
      </c>
      <c r="AS140" s="537">
        <f>IF(OR(J140&lt;&gt;"",AP140&amp;AQ140&amp;AR140&lt;&gt;"X",WEEKDAY(I140,2)&gt;5,C140&lt;&gt;0,(FechaInicio1Tri&gt;I140),(FechaFinEEva&lt;I140)),0,_xlfn.XLOOKUP(WEEKDAY(I140,2),Fchs!$J$10:$N$10,Fchs!$J$12:$N$12))</f>
        <v>0</v>
      </c>
      <c r="AT140" s="536">
        <f t="shared" ca="1" si="42"/>
        <v>0</v>
      </c>
      <c r="AU140" s="538">
        <f>IF(AS140&lt;&gt;0,MAXA($AU$14:AU139)+AS140,0)</f>
        <v>0</v>
      </c>
      <c r="AV140" s="538">
        <f ca="1">IF(AT140&lt;&gt;0,MAXA($AU$14:AU139)+AT140,0)</f>
        <v>0</v>
      </c>
      <c r="AW140" s="68"/>
    </row>
    <row r="141" spans="1:49" ht="18.75" customHeight="1" x14ac:dyDescent="0.25">
      <c r="A141" s="68"/>
      <c r="B141" s="56" t="str">
        <f>MID(Info!$AZ$3,(WEEKDAY(I141,2)-1)*3+1,3)</f>
        <v>Vie</v>
      </c>
      <c r="C141" s="523" t="str">
        <f>_xlfn.XLOOKUP(I141,Fchs!$L$60:$L$101,Fchs!$M$60:$M$101,0)</f>
        <v>Navidad</v>
      </c>
      <c r="D141" s="523">
        <f>_xlfn.XLOOKUP(I141,Fchs!$L$60:$L$101,Fchs!$N$60:$N$101)</f>
        <v>0</v>
      </c>
      <c r="E141" s="532">
        <f>IF($AS141&lt;&gt;0,_xlfn.XLOOKUP($G141,UDs!$E$34:$E$55,UDs!$B$34:$B$55,,-1),0)</f>
        <v>0</v>
      </c>
      <c r="F141" s="532">
        <f t="shared" ca="1" si="38"/>
        <v>0</v>
      </c>
      <c r="G141" s="569">
        <f>IF(AU141&lt;&gt;0,MAX($AU$13:$AU140)+1,0)</f>
        <v>0</v>
      </c>
      <c r="H141" s="569" t="str">
        <f>IF(AS141&lt;&gt;0,COUNT($H$14:H140,1),"")</f>
        <v/>
      </c>
      <c r="I141" s="533">
        <f t="shared" si="43"/>
        <v>46017</v>
      </c>
      <c r="J141" s="534"/>
      <c r="K141" s="535"/>
      <c r="L141" s="126">
        <f t="shared" ca="1" si="47"/>
        <v>0</v>
      </c>
      <c r="M141" s="127">
        <f t="shared" ca="1" si="47"/>
        <v>0</v>
      </c>
      <c r="N141" s="127">
        <f t="shared" ca="1" si="47"/>
        <v>0</v>
      </c>
      <c r="O141" s="127">
        <f t="shared" ca="1" si="47"/>
        <v>0</v>
      </c>
      <c r="P141" s="128">
        <f t="shared" ca="1" si="47"/>
        <v>0</v>
      </c>
      <c r="Q141" s="126">
        <f t="shared" ca="1" si="47"/>
        <v>0</v>
      </c>
      <c r="R141" s="127">
        <f t="shared" ca="1" si="47"/>
        <v>0</v>
      </c>
      <c r="S141" s="127">
        <f t="shared" ca="1" si="47"/>
        <v>0</v>
      </c>
      <c r="T141" s="127">
        <f t="shared" ca="1" si="47"/>
        <v>0</v>
      </c>
      <c r="U141" s="128">
        <f t="shared" ca="1" si="47"/>
        <v>0</v>
      </c>
      <c r="V141" s="126">
        <f t="shared" ca="1" si="47"/>
        <v>0</v>
      </c>
      <c r="W141" s="127">
        <f t="shared" ca="1" si="47"/>
        <v>0</v>
      </c>
      <c r="X141" s="127">
        <f t="shared" ca="1" si="47"/>
        <v>0</v>
      </c>
      <c r="Y141" s="127">
        <f t="shared" ca="1" si="47"/>
        <v>0</v>
      </c>
      <c r="Z141" s="128">
        <f t="shared" ca="1" si="47"/>
        <v>0</v>
      </c>
      <c r="AA141" s="126">
        <f t="shared" ca="1" si="47"/>
        <v>0</v>
      </c>
      <c r="AB141" s="127">
        <f t="shared" ca="1" si="46"/>
        <v>0</v>
      </c>
      <c r="AC141" s="127">
        <f t="shared" ca="1" si="46"/>
        <v>0</v>
      </c>
      <c r="AD141" s="127">
        <f t="shared" ca="1" si="46"/>
        <v>0</v>
      </c>
      <c r="AE141" s="128">
        <f t="shared" ca="1" si="46"/>
        <v>0</v>
      </c>
      <c r="AF141" s="126">
        <f t="shared" ca="1" si="46"/>
        <v>0</v>
      </c>
      <c r="AG141" s="127">
        <f t="shared" ca="1" si="46"/>
        <v>0</v>
      </c>
      <c r="AH141" s="127">
        <f t="shared" ca="1" si="46"/>
        <v>0</v>
      </c>
      <c r="AI141" s="127">
        <f t="shared" ca="1" si="46"/>
        <v>0</v>
      </c>
      <c r="AJ141" s="128">
        <f t="shared" ca="1" si="46"/>
        <v>0</v>
      </c>
      <c r="AK141" s="126">
        <f t="shared" ca="1" si="46"/>
        <v>0</v>
      </c>
      <c r="AL141" s="127">
        <f t="shared" ca="1" si="46"/>
        <v>0</v>
      </c>
      <c r="AM141" s="127">
        <f t="shared" ca="1" si="46"/>
        <v>0</v>
      </c>
      <c r="AN141" s="127">
        <f t="shared" ca="1" si="46"/>
        <v>0</v>
      </c>
      <c r="AO141" s="129">
        <f t="shared" ca="1" si="44"/>
        <v>0</v>
      </c>
      <c r="AP141" s="536" t="str">
        <f t="shared" si="39"/>
        <v/>
      </c>
      <c r="AQ141" s="536" t="str">
        <f t="shared" si="40"/>
        <v>X</v>
      </c>
      <c r="AR141" s="536" t="str">
        <f t="shared" si="41"/>
        <v/>
      </c>
      <c r="AS141" s="537">
        <f>IF(OR(J141&lt;&gt;"",AP141&amp;AQ141&amp;AR141&lt;&gt;"X",WEEKDAY(I141,2)&gt;5,C141&lt;&gt;0,(FechaInicio1Tri&gt;I141),(FechaFinEEva&lt;I141)),0,_xlfn.XLOOKUP(WEEKDAY(I141,2),Fchs!$J$10:$N$10,Fchs!$J$12:$N$12))</f>
        <v>0</v>
      </c>
      <c r="AT141" s="536">
        <f t="shared" ca="1" si="42"/>
        <v>0</v>
      </c>
      <c r="AU141" s="538">
        <f>IF(AS141&lt;&gt;0,MAXA($AU$14:AU140)+AS141,0)</f>
        <v>0</v>
      </c>
      <c r="AV141" s="538">
        <f ca="1">IF(AT141&lt;&gt;0,MAXA($AU$14:AU140)+AT141,0)</f>
        <v>0</v>
      </c>
      <c r="AW141" s="68"/>
    </row>
    <row r="142" spans="1:49" ht="18.75" customHeight="1" x14ac:dyDescent="0.25">
      <c r="A142" s="68"/>
      <c r="B142" s="56" t="str">
        <f>MID(Info!$AZ$3,(WEEKDAY(I142,2)-1)*3+1,3)</f>
        <v>Sáb</v>
      </c>
      <c r="C142" s="523">
        <f>_xlfn.XLOOKUP(I142,Fchs!$L$60:$L$101,Fchs!$M$60:$M$101,0)</f>
        <v>0</v>
      </c>
      <c r="D142" s="523">
        <f>_xlfn.XLOOKUP(I142,Fchs!$L$60:$L$101,Fchs!$N$60:$N$101)</f>
        <v>0</v>
      </c>
      <c r="E142" s="532">
        <f>IF($AS142&lt;&gt;0,_xlfn.XLOOKUP($G142,UDs!$E$34:$E$55,UDs!$B$34:$B$55,,-1),0)</f>
        <v>0</v>
      </c>
      <c r="F142" s="532">
        <f t="shared" ca="1" si="38"/>
        <v>0</v>
      </c>
      <c r="G142" s="569">
        <f>IF(AU142&lt;&gt;0,MAX($AU$13:$AU141)+1,0)</f>
        <v>0</v>
      </c>
      <c r="H142" s="569" t="str">
        <f>IF(AS142&lt;&gt;0,COUNT($H$14:H141,1),"")</f>
        <v/>
      </c>
      <c r="I142" s="533">
        <f t="shared" si="43"/>
        <v>46018</v>
      </c>
      <c r="J142" s="534"/>
      <c r="K142" s="535"/>
      <c r="L142" s="126">
        <f t="shared" ca="1" si="47"/>
        <v>0</v>
      </c>
      <c r="M142" s="127">
        <f t="shared" ca="1" si="47"/>
        <v>0</v>
      </c>
      <c r="N142" s="127">
        <f t="shared" ca="1" si="47"/>
        <v>0</v>
      </c>
      <c r="O142" s="127">
        <f t="shared" ca="1" si="47"/>
        <v>0</v>
      </c>
      <c r="P142" s="128">
        <f t="shared" ca="1" si="47"/>
        <v>0</v>
      </c>
      <c r="Q142" s="126">
        <f t="shared" ca="1" si="47"/>
        <v>0</v>
      </c>
      <c r="R142" s="127">
        <f t="shared" ca="1" si="47"/>
        <v>0</v>
      </c>
      <c r="S142" s="127">
        <f t="shared" ca="1" si="47"/>
        <v>0</v>
      </c>
      <c r="T142" s="127">
        <f t="shared" ca="1" si="47"/>
        <v>0</v>
      </c>
      <c r="U142" s="128">
        <f t="shared" ca="1" si="47"/>
        <v>0</v>
      </c>
      <c r="V142" s="126">
        <f t="shared" ca="1" si="47"/>
        <v>0</v>
      </c>
      <c r="W142" s="127">
        <f t="shared" ca="1" si="47"/>
        <v>0</v>
      </c>
      <c r="X142" s="127">
        <f t="shared" ca="1" si="47"/>
        <v>0</v>
      </c>
      <c r="Y142" s="127">
        <f t="shared" ca="1" si="47"/>
        <v>0</v>
      </c>
      <c r="Z142" s="128">
        <f t="shared" ca="1" si="47"/>
        <v>0</v>
      </c>
      <c r="AA142" s="126">
        <f t="shared" ca="1" si="47"/>
        <v>0</v>
      </c>
      <c r="AB142" s="127">
        <f t="shared" ca="1" si="46"/>
        <v>0</v>
      </c>
      <c r="AC142" s="127">
        <f t="shared" ca="1" si="46"/>
        <v>0</v>
      </c>
      <c r="AD142" s="127">
        <f t="shared" ca="1" si="46"/>
        <v>0</v>
      </c>
      <c r="AE142" s="128">
        <f t="shared" ca="1" si="46"/>
        <v>0</v>
      </c>
      <c r="AF142" s="126">
        <f t="shared" ca="1" si="46"/>
        <v>0</v>
      </c>
      <c r="AG142" s="127">
        <f t="shared" ca="1" si="46"/>
        <v>0</v>
      </c>
      <c r="AH142" s="127">
        <f t="shared" ca="1" si="46"/>
        <v>0</v>
      </c>
      <c r="AI142" s="127">
        <f t="shared" ca="1" si="46"/>
        <v>0</v>
      </c>
      <c r="AJ142" s="128">
        <f t="shared" ca="1" si="46"/>
        <v>0</v>
      </c>
      <c r="AK142" s="126">
        <f t="shared" ca="1" si="46"/>
        <v>0</v>
      </c>
      <c r="AL142" s="127">
        <f t="shared" ca="1" si="46"/>
        <v>0</v>
      </c>
      <c r="AM142" s="127">
        <f t="shared" ca="1" si="46"/>
        <v>0</v>
      </c>
      <c r="AN142" s="127">
        <f t="shared" ca="1" si="46"/>
        <v>0</v>
      </c>
      <c r="AO142" s="129">
        <f t="shared" ca="1" si="44"/>
        <v>0</v>
      </c>
      <c r="AP142" s="536" t="str">
        <f t="shared" si="39"/>
        <v/>
      </c>
      <c r="AQ142" s="536" t="str">
        <f t="shared" si="40"/>
        <v/>
      </c>
      <c r="AR142" s="536" t="str">
        <f t="shared" si="41"/>
        <v/>
      </c>
      <c r="AS142" s="537">
        <f>IF(OR(J142&lt;&gt;"",AP142&amp;AQ142&amp;AR142&lt;&gt;"X",WEEKDAY(I142,2)&gt;5,C142&lt;&gt;0,(FechaInicio1Tri&gt;I142),(FechaFinEEva&lt;I142)),0,_xlfn.XLOOKUP(WEEKDAY(I142,2),Fchs!$J$10:$N$10,Fchs!$J$12:$N$12))</f>
        <v>0</v>
      </c>
      <c r="AT142" s="536">
        <f t="shared" ca="1" si="42"/>
        <v>0</v>
      </c>
      <c r="AU142" s="538">
        <f>IF(AS142&lt;&gt;0,MAXA($AU$14:AU141)+AS142,0)</f>
        <v>0</v>
      </c>
      <c r="AV142" s="538">
        <f ca="1">IF(AT142&lt;&gt;0,MAXA($AU$14:AU141)+AT142,0)</f>
        <v>0</v>
      </c>
      <c r="AW142" s="68"/>
    </row>
    <row r="143" spans="1:49" ht="18.75" customHeight="1" x14ac:dyDescent="0.25">
      <c r="A143" s="68"/>
      <c r="B143" s="56" t="str">
        <f>MID(Info!$AZ$3,(WEEKDAY(I143,2)-1)*3+1,3)</f>
        <v>Dom</v>
      </c>
      <c r="C143" s="523">
        <f>_xlfn.XLOOKUP(I143,Fchs!$L$60:$L$101,Fchs!$M$60:$M$101,0)</f>
        <v>0</v>
      </c>
      <c r="D143" s="523">
        <f>_xlfn.XLOOKUP(I143,Fchs!$L$60:$L$101,Fchs!$N$60:$N$101)</f>
        <v>0</v>
      </c>
      <c r="E143" s="532">
        <f>IF($AS143&lt;&gt;0,_xlfn.XLOOKUP($G143,UDs!$E$34:$E$55,UDs!$B$34:$B$55,,-1),0)</f>
        <v>0</v>
      </c>
      <c r="F143" s="532">
        <f t="shared" ca="1" si="38"/>
        <v>0</v>
      </c>
      <c r="G143" s="569">
        <f>IF(AU143&lt;&gt;0,MAX($AU$13:$AU142)+1,0)</f>
        <v>0</v>
      </c>
      <c r="H143" s="569" t="str">
        <f>IF(AS143&lt;&gt;0,COUNT($H$14:H142,1),"")</f>
        <v/>
      </c>
      <c r="I143" s="533">
        <f t="shared" si="43"/>
        <v>46019</v>
      </c>
      <c r="J143" s="534"/>
      <c r="K143" s="535"/>
      <c r="L143" s="126">
        <f t="shared" ca="1" si="47"/>
        <v>0</v>
      </c>
      <c r="M143" s="127">
        <f t="shared" ca="1" si="47"/>
        <v>0</v>
      </c>
      <c r="N143" s="127">
        <f t="shared" ca="1" si="47"/>
        <v>0</v>
      </c>
      <c r="O143" s="127">
        <f t="shared" ca="1" si="47"/>
        <v>0</v>
      </c>
      <c r="P143" s="128">
        <f t="shared" ca="1" si="47"/>
        <v>0</v>
      </c>
      <c r="Q143" s="126">
        <f t="shared" ca="1" si="47"/>
        <v>0</v>
      </c>
      <c r="R143" s="127">
        <f t="shared" ca="1" si="47"/>
        <v>0</v>
      </c>
      <c r="S143" s="127">
        <f t="shared" ca="1" si="47"/>
        <v>0</v>
      </c>
      <c r="T143" s="127">
        <f t="shared" ca="1" si="47"/>
        <v>0</v>
      </c>
      <c r="U143" s="128">
        <f t="shared" ca="1" si="47"/>
        <v>0</v>
      </c>
      <c r="V143" s="126">
        <f t="shared" ca="1" si="47"/>
        <v>0</v>
      </c>
      <c r="W143" s="127">
        <f t="shared" ca="1" si="47"/>
        <v>0</v>
      </c>
      <c r="X143" s="127">
        <f t="shared" ca="1" si="47"/>
        <v>0</v>
      </c>
      <c r="Y143" s="127">
        <f t="shared" ca="1" si="47"/>
        <v>0</v>
      </c>
      <c r="Z143" s="128">
        <f t="shared" ca="1" si="47"/>
        <v>0</v>
      </c>
      <c r="AA143" s="126">
        <f t="shared" ca="1" si="47"/>
        <v>0</v>
      </c>
      <c r="AB143" s="127">
        <f t="shared" ca="1" si="46"/>
        <v>0</v>
      </c>
      <c r="AC143" s="127">
        <f t="shared" ca="1" si="46"/>
        <v>0</v>
      </c>
      <c r="AD143" s="127">
        <f t="shared" ca="1" si="46"/>
        <v>0</v>
      </c>
      <c r="AE143" s="128">
        <f t="shared" ca="1" si="46"/>
        <v>0</v>
      </c>
      <c r="AF143" s="126">
        <f t="shared" ca="1" si="46"/>
        <v>0</v>
      </c>
      <c r="AG143" s="127">
        <f t="shared" ca="1" si="46"/>
        <v>0</v>
      </c>
      <c r="AH143" s="127">
        <f t="shared" ca="1" si="46"/>
        <v>0</v>
      </c>
      <c r="AI143" s="127">
        <f t="shared" ca="1" si="46"/>
        <v>0</v>
      </c>
      <c r="AJ143" s="128">
        <f t="shared" ca="1" si="46"/>
        <v>0</v>
      </c>
      <c r="AK143" s="126">
        <f t="shared" ca="1" si="46"/>
        <v>0</v>
      </c>
      <c r="AL143" s="127">
        <f t="shared" ca="1" si="46"/>
        <v>0</v>
      </c>
      <c r="AM143" s="127">
        <f t="shared" ca="1" si="46"/>
        <v>0</v>
      </c>
      <c r="AN143" s="127">
        <f t="shared" ca="1" si="46"/>
        <v>0</v>
      </c>
      <c r="AO143" s="129">
        <f t="shared" ca="1" si="44"/>
        <v>0</v>
      </c>
      <c r="AP143" s="536" t="str">
        <f t="shared" si="39"/>
        <v/>
      </c>
      <c r="AQ143" s="536" t="str">
        <f t="shared" si="40"/>
        <v/>
      </c>
      <c r="AR143" s="536" t="str">
        <f t="shared" si="41"/>
        <v/>
      </c>
      <c r="AS143" s="537">
        <f>IF(OR(J143&lt;&gt;"",AP143&amp;AQ143&amp;AR143&lt;&gt;"X",WEEKDAY(I143,2)&gt;5,C143&lt;&gt;0,(FechaInicio1Tri&gt;I143),(FechaFinEEva&lt;I143)),0,_xlfn.XLOOKUP(WEEKDAY(I143,2),Fchs!$J$10:$N$10,Fchs!$J$12:$N$12))</f>
        <v>0</v>
      </c>
      <c r="AT143" s="536">
        <f t="shared" ca="1" si="42"/>
        <v>0</v>
      </c>
      <c r="AU143" s="538">
        <f>IF(AS143&lt;&gt;0,MAXA($AU$14:AU142)+AS143,0)</f>
        <v>0</v>
      </c>
      <c r="AV143" s="538">
        <f ca="1">IF(AT143&lt;&gt;0,MAXA($AU$14:AU142)+AT143,0)</f>
        <v>0</v>
      </c>
      <c r="AW143" s="68"/>
    </row>
    <row r="144" spans="1:49" ht="18.75" customHeight="1" x14ac:dyDescent="0.25">
      <c r="A144" s="68"/>
      <c r="B144" s="56" t="str">
        <f>MID(Info!$AZ$3,(WEEKDAY(I144,2)-1)*3+1,3)</f>
        <v>Lun</v>
      </c>
      <c r="C144" s="523" t="str">
        <f>_xlfn.XLOOKUP(I144,Fchs!$L$60:$L$101,Fchs!$M$60:$M$101,0)</f>
        <v>Navidad</v>
      </c>
      <c r="D144" s="523">
        <f>_xlfn.XLOOKUP(I144,Fchs!$L$60:$L$101,Fchs!$N$60:$N$101)</f>
        <v>0</v>
      </c>
      <c r="E144" s="532">
        <f>IF($AS144&lt;&gt;0,_xlfn.XLOOKUP($G144,UDs!$E$34:$E$55,UDs!$B$34:$B$55,,-1),0)</f>
        <v>0</v>
      </c>
      <c r="F144" s="532">
        <f t="shared" ca="1" si="38"/>
        <v>0</v>
      </c>
      <c r="G144" s="569">
        <f>IF(AU144&lt;&gt;0,MAX($AU$13:$AU143)+1,0)</f>
        <v>0</v>
      </c>
      <c r="H144" s="569" t="str">
        <f>IF(AS144&lt;&gt;0,COUNT($H$14:H143,1),"")</f>
        <v/>
      </c>
      <c r="I144" s="533">
        <f t="shared" si="43"/>
        <v>46020</v>
      </c>
      <c r="J144" s="534"/>
      <c r="K144" s="535"/>
      <c r="L144" s="126">
        <f t="shared" ca="1" si="47"/>
        <v>0</v>
      </c>
      <c r="M144" s="127">
        <f t="shared" ca="1" si="47"/>
        <v>0</v>
      </c>
      <c r="N144" s="127">
        <f t="shared" ca="1" si="47"/>
        <v>0</v>
      </c>
      <c r="O144" s="127">
        <f t="shared" ca="1" si="47"/>
        <v>0</v>
      </c>
      <c r="P144" s="128">
        <f t="shared" ca="1" si="47"/>
        <v>0</v>
      </c>
      <c r="Q144" s="126">
        <f t="shared" ca="1" si="47"/>
        <v>0</v>
      </c>
      <c r="R144" s="127">
        <f t="shared" ca="1" si="47"/>
        <v>0</v>
      </c>
      <c r="S144" s="127">
        <f t="shared" ca="1" si="47"/>
        <v>0</v>
      </c>
      <c r="T144" s="127">
        <f t="shared" ca="1" si="47"/>
        <v>0</v>
      </c>
      <c r="U144" s="128">
        <f t="shared" ca="1" si="47"/>
        <v>0</v>
      </c>
      <c r="V144" s="126">
        <f t="shared" ca="1" si="47"/>
        <v>0</v>
      </c>
      <c r="W144" s="127">
        <f t="shared" ca="1" si="47"/>
        <v>0</v>
      </c>
      <c r="X144" s="127">
        <f t="shared" ca="1" si="47"/>
        <v>0</v>
      </c>
      <c r="Y144" s="127">
        <f t="shared" ca="1" si="47"/>
        <v>0</v>
      </c>
      <c r="Z144" s="128">
        <f t="shared" ca="1" si="47"/>
        <v>0</v>
      </c>
      <c r="AA144" s="126">
        <f t="shared" ca="1" si="47"/>
        <v>0</v>
      </c>
      <c r="AB144" s="127">
        <f t="shared" ca="1" si="46"/>
        <v>0</v>
      </c>
      <c r="AC144" s="127">
        <f t="shared" ca="1" si="46"/>
        <v>0</v>
      </c>
      <c r="AD144" s="127">
        <f t="shared" ca="1" si="46"/>
        <v>0</v>
      </c>
      <c r="AE144" s="128">
        <f t="shared" ca="1" si="46"/>
        <v>0</v>
      </c>
      <c r="AF144" s="126">
        <f t="shared" ca="1" si="46"/>
        <v>0</v>
      </c>
      <c r="AG144" s="127">
        <f t="shared" ca="1" si="46"/>
        <v>0</v>
      </c>
      <c r="AH144" s="127">
        <f t="shared" ca="1" si="46"/>
        <v>0</v>
      </c>
      <c r="AI144" s="127">
        <f t="shared" ca="1" si="46"/>
        <v>0</v>
      </c>
      <c r="AJ144" s="128">
        <f t="shared" ca="1" si="46"/>
        <v>0</v>
      </c>
      <c r="AK144" s="126">
        <f t="shared" ca="1" si="46"/>
        <v>0</v>
      </c>
      <c r="AL144" s="127">
        <f t="shared" ca="1" si="46"/>
        <v>0</v>
      </c>
      <c r="AM144" s="127">
        <f t="shared" ca="1" si="46"/>
        <v>0</v>
      </c>
      <c r="AN144" s="127">
        <f t="shared" ca="1" si="46"/>
        <v>0</v>
      </c>
      <c r="AO144" s="129">
        <f t="shared" ca="1" si="44"/>
        <v>0</v>
      </c>
      <c r="AP144" s="536" t="str">
        <f t="shared" si="39"/>
        <v/>
      </c>
      <c r="AQ144" s="536" t="str">
        <f t="shared" si="40"/>
        <v>X</v>
      </c>
      <c r="AR144" s="536" t="str">
        <f t="shared" si="41"/>
        <v/>
      </c>
      <c r="AS144" s="537">
        <f>IF(OR(J144&lt;&gt;"",AP144&amp;AQ144&amp;AR144&lt;&gt;"X",WEEKDAY(I144,2)&gt;5,C144&lt;&gt;0,(FechaInicio1Tri&gt;I144),(FechaFinEEva&lt;I144)),0,_xlfn.XLOOKUP(WEEKDAY(I144,2),Fchs!$J$10:$N$10,Fchs!$J$12:$N$12))</f>
        <v>0</v>
      </c>
      <c r="AT144" s="536">
        <f t="shared" ca="1" si="42"/>
        <v>0</v>
      </c>
      <c r="AU144" s="538">
        <f>IF(AS144&lt;&gt;0,MAXA($AU$14:AU143)+AS144,0)</f>
        <v>0</v>
      </c>
      <c r="AV144" s="538">
        <f ca="1">IF(AT144&lt;&gt;0,MAXA($AU$14:AU143)+AT144,0)</f>
        <v>0</v>
      </c>
      <c r="AW144" s="68"/>
    </row>
    <row r="145" spans="1:49" ht="18.75" customHeight="1" x14ac:dyDescent="0.25">
      <c r="A145" s="68"/>
      <c r="B145" s="56" t="str">
        <f>MID(Info!$AZ$3,(WEEKDAY(I145,2)-1)*3+1,3)</f>
        <v>Mar</v>
      </c>
      <c r="C145" s="523" t="str">
        <f>_xlfn.XLOOKUP(I145,Fchs!$L$60:$L$101,Fchs!$M$60:$M$101,0)</f>
        <v>Navidad</v>
      </c>
      <c r="D145" s="523">
        <f>_xlfn.XLOOKUP(I145,Fchs!$L$60:$L$101,Fchs!$N$60:$N$101)</f>
        <v>0</v>
      </c>
      <c r="E145" s="532">
        <f>IF($AS145&lt;&gt;0,_xlfn.XLOOKUP($G145,UDs!$E$34:$E$55,UDs!$B$34:$B$55,,-1),0)</f>
        <v>0</v>
      </c>
      <c r="F145" s="532">
        <f t="shared" ca="1" si="38"/>
        <v>0</v>
      </c>
      <c r="G145" s="569">
        <f>IF(AU145&lt;&gt;0,MAX($AU$13:$AU144)+1,0)</f>
        <v>0</v>
      </c>
      <c r="H145" s="569" t="str">
        <f>IF(AS145&lt;&gt;0,COUNT($H$14:H144,1),"")</f>
        <v/>
      </c>
      <c r="I145" s="533">
        <f t="shared" si="43"/>
        <v>46021</v>
      </c>
      <c r="J145" s="534"/>
      <c r="K145" s="535"/>
      <c r="L145" s="126">
        <f t="shared" ca="1" si="47"/>
        <v>0</v>
      </c>
      <c r="M145" s="127">
        <f t="shared" ca="1" si="47"/>
        <v>0</v>
      </c>
      <c r="N145" s="127">
        <f t="shared" ca="1" si="47"/>
        <v>0</v>
      </c>
      <c r="O145" s="127">
        <f t="shared" ca="1" si="47"/>
        <v>0</v>
      </c>
      <c r="P145" s="128">
        <f t="shared" ca="1" si="47"/>
        <v>0</v>
      </c>
      <c r="Q145" s="126">
        <f t="shared" ca="1" si="47"/>
        <v>0</v>
      </c>
      <c r="R145" s="127">
        <f t="shared" ca="1" si="47"/>
        <v>0</v>
      </c>
      <c r="S145" s="127">
        <f t="shared" ca="1" si="47"/>
        <v>0</v>
      </c>
      <c r="T145" s="127">
        <f t="shared" ca="1" si="47"/>
        <v>0</v>
      </c>
      <c r="U145" s="128">
        <f t="shared" ca="1" si="47"/>
        <v>0</v>
      </c>
      <c r="V145" s="126">
        <f t="shared" ca="1" si="47"/>
        <v>0</v>
      </c>
      <c r="W145" s="127">
        <f t="shared" ca="1" si="47"/>
        <v>0</v>
      </c>
      <c r="X145" s="127">
        <f t="shared" ca="1" si="47"/>
        <v>0</v>
      </c>
      <c r="Y145" s="127">
        <f t="shared" ca="1" si="47"/>
        <v>0</v>
      </c>
      <c r="Z145" s="128">
        <f t="shared" ca="1" si="47"/>
        <v>0</v>
      </c>
      <c r="AA145" s="126">
        <f t="shared" ca="1" si="47"/>
        <v>0</v>
      </c>
      <c r="AB145" s="127">
        <f t="shared" ca="1" si="46"/>
        <v>0</v>
      </c>
      <c r="AC145" s="127">
        <f t="shared" ca="1" si="46"/>
        <v>0</v>
      </c>
      <c r="AD145" s="127">
        <f t="shared" ca="1" si="46"/>
        <v>0</v>
      </c>
      <c r="AE145" s="128">
        <f t="shared" ca="1" si="46"/>
        <v>0</v>
      </c>
      <c r="AF145" s="126">
        <f t="shared" ca="1" si="46"/>
        <v>0</v>
      </c>
      <c r="AG145" s="127">
        <f t="shared" ca="1" si="46"/>
        <v>0</v>
      </c>
      <c r="AH145" s="127">
        <f t="shared" ca="1" si="46"/>
        <v>0</v>
      </c>
      <c r="AI145" s="127">
        <f t="shared" ca="1" si="46"/>
        <v>0</v>
      </c>
      <c r="AJ145" s="128">
        <f t="shared" ca="1" si="46"/>
        <v>0</v>
      </c>
      <c r="AK145" s="126">
        <f t="shared" ca="1" si="46"/>
        <v>0</v>
      </c>
      <c r="AL145" s="127">
        <f t="shared" ca="1" si="46"/>
        <v>0</v>
      </c>
      <c r="AM145" s="127">
        <f t="shared" ca="1" si="46"/>
        <v>0</v>
      </c>
      <c r="AN145" s="127">
        <f t="shared" ca="1" si="46"/>
        <v>0</v>
      </c>
      <c r="AO145" s="129">
        <f t="shared" ca="1" si="44"/>
        <v>0</v>
      </c>
      <c r="AP145" s="536" t="str">
        <f t="shared" si="39"/>
        <v/>
      </c>
      <c r="AQ145" s="536" t="str">
        <f t="shared" si="40"/>
        <v>X</v>
      </c>
      <c r="AR145" s="536" t="str">
        <f t="shared" si="41"/>
        <v/>
      </c>
      <c r="AS145" s="537">
        <f>IF(OR(J145&lt;&gt;"",AP145&amp;AQ145&amp;AR145&lt;&gt;"X",WEEKDAY(I145,2)&gt;5,C145&lt;&gt;0,(FechaInicio1Tri&gt;I145),(FechaFinEEva&lt;I145)),0,_xlfn.XLOOKUP(WEEKDAY(I145,2),Fchs!$J$10:$N$10,Fchs!$J$12:$N$12))</f>
        <v>0</v>
      </c>
      <c r="AT145" s="536">
        <f t="shared" ca="1" si="42"/>
        <v>0</v>
      </c>
      <c r="AU145" s="538">
        <f>IF(AS145&lt;&gt;0,MAXA($AU$14:AU144)+AS145,0)</f>
        <v>0</v>
      </c>
      <c r="AV145" s="538">
        <f ca="1">IF(AT145&lt;&gt;0,MAXA($AU$14:AU144)+AT145,0)</f>
        <v>0</v>
      </c>
      <c r="AW145" s="68"/>
    </row>
    <row r="146" spans="1:49" ht="18.75" customHeight="1" x14ac:dyDescent="0.25">
      <c r="A146" s="68"/>
      <c r="B146" s="530" t="str">
        <f>MID(Info!$AZ$3,(WEEKDAY(I146,2)-1)*3+1,3)</f>
        <v>Mié</v>
      </c>
      <c r="C146" s="611" t="str">
        <f>_xlfn.XLOOKUP(I146,Fchs!$L$60:$L$101,Fchs!$M$60:$M$101,0)</f>
        <v>Navidad</v>
      </c>
      <c r="D146" s="611">
        <f>_xlfn.XLOOKUP(I146,Fchs!$L$60:$L$101,Fchs!$N$60:$N$101)</f>
        <v>0</v>
      </c>
      <c r="E146" s="539">
        <f>IF($AS146&lt;&gt;0,_xlfn.XLOOKUP($G146,UDs!$E$34:$E$55,UDs!$B$34:$B$55,,-1),0)</f>
        <v>0</v>
      </c>
      <c r="F146" s="539">
        <f t="shared" ca="1" si="38"/>
        <v>0</v>
      </c>
      <c r="G146" s="570">
        <f>IF(AU146&lt;&gt;0,MAX($AU$13:$AU145)+1,0)</f>
        <v>0</v>
      </c>
      <c r="H146" s="570" t="str">
        <f>IF(AS146&lt;&gt;0,COUNT($H$14:H145,1),"")</f>
        <v/>
      </c>
      <c r="I146" s="540">
        <f t="shared" si="43"/>
        <v>46022</v>
      </c>
      <c r="J146" s="541"/>
      <c r="K146" s="542"/>
      <c r="L146" s="121">
        <f t="shared" ca="1" si="47"/>
        <v>0</v>
      </c>
      <c r="M146" s="122">
        <f t="shared" ca="1" si="47"/>
        <v>0</v>
      </c>
      <c r="N146" s="122">
        <f t="shared" ca="1" si="47"/>
        <v>0</v>
      </c>
      <c r="O146" s="122">
        <f t="shared" ca="1" si="47"/>
        <v>0</v>
      </c>
      <c r="P146" s="123">
        <f t="shared" ca="1" si="47"/>
        <v>0</v>
      </c>
      <c r="Q146" s="121">
        <f t="shared" ca="1" si="47"/>
        <v>0</v>
      </c>
      <c r="R146" s="122">
        <f t="shared" ca="1" si="47"/>
        <v>0</v>
      </c>
      <c r="S146" s="122">
        <f t="shared" ca="1" si="47"/>
        <v>0</v>
      </c>
      <c r="T146" s="122">
        <f t="shared" ca="1" si="47"/>
        <v>0</v>
      </c>
      <c r="U146" s="123">
        <f t="shared" ca="1" si="47"/>
        <v>0</v>
      </c>
      <c r="V146" s="121">
        <f t="shared" ca="1" si="47"/>
        <v>0</v>
      </c>
      <c r="W146" s="122">
        <f t="shared" ca="1" si="47"/>
        <v>0</v>
      </c>
      <c r="X146" s="122">
        <f t="shared" ca="1" si="47"/>
        <v>0</v>
      </c>
      <c r="Y146" s="122">
        <f t="shared" ca="1" si="47"/>
        <v>0</v>
      </c>
      <c r="Z146" s="123">
        <f t="shared" ca="1" si="47"/>
        <v>0</v>
      </c>
      <c r="AA146" s="121">
        <f t="shared" ca="1" si="47"/>
        <v>0</v>
      </c>
      <c r="AB146" s="122">
        <f t="shared" ca="1" si="46"/>
        <v>0</v>
      </c>
      <c r="AC146" s="122">
        <f t="shared" ca="1" si="46"/>
        <v>0</v>
      </c>
      <c r="AD146" s="122">
        <f t="shared" ca="1" si="46"/>
        <v>0</v>
      </c>
      <c r="AE146" s="123">
        <f t="shared" ca="1" si="46"/>
        <v>0</v>
      </c>
      <c r="AF146" s="121">
        <f t="shared" ca="1" si="46"/>
        <v>0</v>
      </c>
      <c r="AG146" s="122">
        <f t="shared" ca="1" si="46"/>
        <v>0</v>
      </c>
      <c r="AH146" s="122">
        <f t="shared" ca="1" si="46"/>
        <v>0</v>
      </c>
      <c r="AI146" s="122">
        <f t="shared" ca="1" si="46"/>
        <v>0</v>
      </c>
      <c r="AJ146" s="123">
        <f t="shared" ca="1" si="46"/>
        <v>0</v>
      </c>
      <c r="AK146" s="121">
        <f t="shared" ca="1" si="46"/>
        <v>0</v>
      </c>
      <c r="AL146" s="122">
        <f t="shared" ca="1" si="46"/>
        <v>0</v>
      </c>
      <c r="AM146" s="122">
        <f t="shared" ca="1" si="46"/>
        <v>0</v>
      </c>
      <c r="AN146" s="122">
        <f t="shared" ca="1" si="46"/>
        <v>0</v>
      </c>
      <c r="AO146" s="123">
        <f t="shared" ca="1" si="44"/>
        <v>0</v>
      </c>
      <c r="AP146" s="536" t="str">
        <f t="shared" si="39"/>
        <v/>
      </c>
      <c r="AQ146" s="536" t="str">
        <f t="shared" si="40"/>
        <v>X</v>
      </c>
      <c r="AR146" s="536" t="str">
        <f t="shared" si="41"/>
        <v/>
      </c>
      <c r="AS146" s="537">
        <f>IF(OR(J146&lt;&gt;"",AP146&amp;AQ146&amp;AR146&lt;&gt;"X",WEEKDAY(I146,2)&gt;5,C146&lt;&gt;0,(FechaInicio1Tri&gt;I146),(FechaFinEEva&lt;I146)),0,_xlfn.XLOOKUP(WEEKDAY(I146,2),Fchs!$J$10:$N$10,Fchs!$J$12:$N$12))</f>
        <v>0</v>
      </c>
      <c r="AT146" s="536">
        <f t="shared" ca="1" si="42"/>
        <v>0</v>
      </c>
      <c r="AU146" s="538">
        <f>IF(AS146&lt;&gt;0,MAXA($AU$14:AU145)+AS146,0)</f>
        <v>0</v>
      </c>
      <c r="AV146" s="538">
        <f ca="1">IF(AT146&lt;&gt;0,MAXA($AU$14:AU145)+AT146,0)</f>
        <v>0</v>
      </c>
      <c r="AW146" s="68"/>
    </row>
    <row r="147" spans="1:49" ht="18.75" customHeight="1" thickBot="1" x14ac:dyDescent="0.3">
      <c r="A147" s="106"/>
      <c r="B147" s="79"/>
      <c r="C147" s="543"/>
      <c r="D147" s="543"/>
      <c r="E147" s="106"/>
      <c r="F147" s="543"/>
      <c r="G147" s="124"/>
      <c r="H147" s="124"/>
      <c r="I147" s="544"/>
      <c r="J147" s="106"/>
      <c r="K147" s="106"/>
      <c r="L147" s="543"/>
      <c r="M147" s="543"/>
      <c r="N147" s="543"/>
      <c r="O147" s="543"/>
      <c r="P147" s="543"/>
      <c r="Q147" s="543"/>
      <c r="R147" s="543"/>
      <c r="S147" s="543"/>
      <c r="T147" s="543"/>
      <c r="U147" s="543"/>
      <c r="V147" s="543"/>
      <c r="W147" s="543"/>
      <c r="X147" s="543"/>
      <c r="Y147" s="543"/>
      <c r="Z147" s="543"/>
      <c r="AA147" s="543"/>
      <c r="AB147" s="543"/>
      <c r="AC147" s="543"/>
      <c r="AD147" s="543"/>
      <c r="AE147" s="543"/>
      <c r="AF147" s="543"/>
      <c r="AG147" s="543"/>
      <c r="AH147" s="543"/>
      <c r="AI147" s="543"/>
      <c r="AJ147" s="543"/>
      <c r="AK147" s="543"/>
      <c r="AL147" s="543"/>
      <c r="AM147" s="543"/>
      <c r="AN147" s="543"/>
      <c r="AO147" s="543"/>
      <c r="AP147" s="543"/>
      <c r="AQ147" s="543"/>
      <c r="AR147" s="543"/>
      <c r="AS147" s="543"/>
      <c r="AT147" s="543"/>
      <c r="AU147" s="545"/>
      <c r="AV147" s="545"/>
      <c r="AW147" s="106"/>
    </row>
    <row r="148" spans="1:49" ht="18.75" customHeight="1" x14ac:dyDescent="0.25">
      <c r="A148" s="69"/>
      <c r="B148" s="546" t="str">
        <f>MID(Info!$AZ$5,(MONTH(I150)-1)*3+1,3)&amp;" "&amp;YEAR(I150)</f>
        <v xml:space="preserve"> 2026</v>
      </c>
      <c r="C148" s="543"/>
      <c r="D148" s="543"/>
      <c r="E148" s="106"/>
      <c r="F148" s="543"/>
      <c r="G148" s="124"/>
      <c r="H148" s="124"/>
      <c r="I148" s="544"/>
      <c r="J148" s="106"/>
      <c r="K148" s="106"/>
      <c r="L148" s="543"/>
      <c r="M148" s="543"/>
      <c r="N148" s="543"/>
      <c r="O148" s="543"/>
      <c r="P148" s="543"/>
      <c r="Q148" s="543"/>
      <c r="R148" s="543"/>
      <c r="S148" s="543"/>
      <c r="T148" s="543"/>
      <c r="U148" s="543"/>
      <c r="V148" s="543"/>
      <c r="W148" s="543"/>
      <c r="X148" s="543"/>
      <c r="Y148" s="543"/>
      <c r="Z148" s="543"/>
      <c r="AA148" s="543"/>
      <c r="AB148" s="543"/>
      <c r="AC148" s="543"/>
      <c r="AD148" s="543"/>
      <c r="AE148" s="543"/>
      <c r="AF148" s="543"/>
      <c r="AG148" s="543"/>
      <c r="AH148" s="543"/>
      <c r="AI148" s="543"/>
      <c r="AJ148" s="543"/>
      <c r="AK148" s="543"/>
      <c r="AL148" s="543"/>
      <c r="AM148" s="543"/>
      <c r="AN148" s="543"/>
      <c r="AO148" s="543"/>
      <c r="AP148" s="547">
        <f>SUMIF(AP150:AP180,"X",$AS150:$AS180)</f>
        <v>0</v>
      </c>
      <c r="AQ148" s="547">
        <f>SUMIF(AQ150:AQ180,"X",$AS150:$AS180)</f>
        <v>17</v>
      </c>
      <c r="AR148" s="547">
        <f>SUMIF(AR150:AR180,"X",$AS150:$AS180)</f>
        <v>0</v>
      </c>
      <c r="AS148" s="543"/>
      <c r="AT148" s="543"/>
      <c r="AU148" s="545"/>
      <c r="AV148" s="545"/>
      <c r="AW148" s="69"/>
    </row>
    <row r="149" spans="1:49" ht="18.75" customHeight="1" thickBot="1" x14ac:dyDescent="0.3">
      <c r="A149" s="69"/>
      <c r="B149" s="527">
        <f ca="1">IFERROR(SUM(AP149:AR149)/SUM(AP148:AR148),"--")</f>
        <v>1</v>
      </c>
      <c r="C149" s="549"/>
      <c r="D149" s="549"/>
      <c r="E149" s="548"/>
      <c r="F149" s="549"/>
      <c r="G149" s="125"/>
      <c r="H149" s="125"/>
      <c r="I149" s="550"/>
      <c r="J149" s="548"/>
      <c r="K149" s="548"/>
      <c r="L149" s="549"/>
      <c r="M149" s="549"/>
      <c r="N149" s="549"/>
      <c r="O149" s="549"/>
      <c r="P149" s="549"/>
      <c r="Q149" s="549"/>
      <c r="R149" s="549"/>
      <c r="S149" s="549"/>
      <c r="T149" s="549"/>
      <c r="U149" s="549"/>
      <c r="V149" s="549"/>
      <c r="W149" s="549"/>
      <c r="X149" s="549"/>
      <c r="Y149" s="549"/>
      <c r="Z149" s="549"/>
      <c r="AA149" s="549"/>
      <c r="AB149" s="549"/>
      <c r="AC149" s="549"/>
      <c r="AD149" s="549"/>
      <c r="AE149" s="549"/>
      <c r="AF149" s="549"/>
      <c r="AG149" s="549"/>
      <c r="AH149" s="549"/>
      <c r="AI149" s="549"/>
      <c r="AJ149" s="549"/>
      <c r="AK149" s="549"/>
      <c r="AL149" s="549"/>
      <c r="AM149" s="549"/>
      <c r="AN149" s="549"/>
      <c r="AO149" s="549"/>
      <c r="AP149" s="531">
        <f>SUMIF(AP150:AP180,"X",$AT150:$AT180)</f>
        <v>0</v>
      </c>
      <c r="AQ149" s="531">
        <f ca="1">SUMIF(AQ150:AQ180,"X",$AT150:$AT180)</f>
        <v>17</v>
      </c>
      <c r="AR149" s="531">
        <f>SUMIF(AR150:AR180,"X",$AT150:$AT180)</f>
        <v>0</v>
      </c>
      <c r="AS149" s="543"/>
      <c r="AT149" s="543"/>
      <c r="AU149" s="545"/>
      <c r="AV149" s="545"/>
      <c r="AW149" s="69"/>
    </row>
    <row r="150" spans="1:49" ht="18.75" customHeight="1" x14ac:dyDescent="0.25">
      <c r="A150" s="69"/>
      <c r="B150" s="56" t="str">
        <f>MID(Info!$AZ$3,(WEEKDAY(I150,2)-1)*3+1,3)</f>
        <v>Jue</v>
      </c>
      <c r="C150" s="523" t="str">
        <f>_xlfn.XLOOKUP(I150,Fchs!$C$108:$C$149,Fchs!$D$108:$D$149,0)</f>
        <v>Navidad</v>
      </c>
      <c r="D150" s="523">
        <f>_xlfn.XLOOKUP(I150,Fchs!$C$108:$C$149,Fchs!$E$108:$E$149)</f>
        <v>0</v>
      </c>
      <c r="E150" s="532">
        <f>IF($AS150&lt;&gt;0,_xlfn.XLOOKUP($G150,UDs!$E$34:$E$55,UDs!$B$34:$B$55,,-1),0)</f>
        <v>0</v>
      </c>
      <c r="F150" s="552">
        <f t="shared" ref="F150:F180" ca="1" si="48">IF(AT150&lt;&gt;0,E150,0)</f>
        <v>0</v>
      </c>
      <c r="G150" s="127">
        <f>IF(AU150&lt;&gt;0,MAX($AU$13:$AU149)+1,0)</f>
        <v>0</v>
      </c>
      <c r="H150" s="127" t="str">
        <f>IF(AS150&lt;&gt;0,COUNT($H$14:H149,1),"")</f>
        <v/>
      </c>
      <c r="I150" s="533">
        <f>DATE(YEAR(FechaInicio1Tri),MONTH(FechaInicio1Tri)+4,1)</f>
        <v>46023</v>
      </c>
      <c r="J150" s="553"/>
      <c r="K150" s="535"/>
      <c r="L150" s="126"/>
      <c r="M150" s="127"/>
      <c r="N150" s="127"/>
      <c r="O150" s="127"/>
      <c r="P150" s="128"/>
      <c r="Q150" s="126"/>
      <c r="R150" s="127"/>
      <c r="S150" s="127"/>
      <c r="T150" s="127"/>
      <c r="U150" s="128"/>
      <c r="V150" s="126"/>
      <c r="W150" s="127"/>
      <c r="X150" s="127"/>
      <c r="Y150" s="127"/>
      <c r="Z150" s="128"/>
      <c r="AA150" s="126"/>
      <c r="AB150" s="127"/>
      <c r="AC150" s="127"/>
      <c r="AD150" s="127"/>
      <c r="AE150" s="128"/>
      <c r="AF150" s="126"/>
      <c r="AG150" s="127"/>
      <c r="AH150" s="127"/>
      <c r="AI150" s="127"/>
      <c r="AJ150" s="128"/>
      <c r="AK150" s="126"/>
      <c r="AL150" s="127"/>
      <c r="AM150" s="127"/>
      <c r="AN150" s="127"/>
      <c r="AO150" s="129"/>
      <c r="AP150" s="536" t="str">
        <f t="shared" ref="AP150:AP180" si="49">IF(AND(FechaInicio1Tri&lt;=$I150, FechaFin1Tri&gt;=$I150,WEEKDAY($I150,2)&lt;=5),"X","")</f>
        <v/>
      </c>
      <c r="AQ150" s="536" t="str">
        <f t="shared" ref="AQ150:AQ180" si="50">IF(AND(FechaInicio2Tri&lt;=$I150, FechaFin2Tri&gt;=$I150,WEEKDAY($I150,2)&lt;=5),"X","")</f>
        <v>X</v>
      </c>
      <c r="AR150" s="536" t="str">
        <f t="shared" ref="AR150:AR180" si="51">IF(AND(FechaInicio3Tri&lt;=$I150, FechaFin3Tri&gt;=$I150, NTri&gt;=3,WEEKDAY($I150,2)&lt;=5),"X","")</f>
        <v/>
      </c>
      <c r="AS150" s="537">
        <f>IF(OR(J150&lt;&gt;"",AP150&amp;AQ150&amp;AR150&lt;&gt;"X",WEEKDAY(I150,2)&gt;5,C150&lt;&gt;0,(FechaInicio1Tri&gt;I150),(FechaFinEEva&lt;I150)),0,_xlfn.XLOOKUP(WEEKDAY(I150,2),Fchs!$J$10:$N$10,Fchs!$J$12:$N$12))</f>
        <v>0</v>
      </c>
      <c r="AT150" s="536">
        <f t="shared" ref="AT150:AT180" ca="1" si="52">IF(OR(AS150=0,FechaHoy&lt;I150,(FechaInicio1Tri&gt;I150),(FechaFinEEva&lt;I150)),0,AS150)</f>
        <v>0</v>
      </c>
      <c r="AU150" s="538">
        <f>IF(AS150&lt;&gt;0,MAXA($AU$14:AU149)+AS150,0)</f>
        <v>0</v>
      </c>
      <c r="AV150" s="538">
        <f ca="1">IF(AT150&lt;&gt;0,MAXA($AU$14:AU149)+AT150,0)</f>
        <v>0</v>
      </c>
      <c r="AW150" s="69"/>
    </row>
    <row r="151" spans="1:49" ht="18.75" customHeight="1" x14ac:dyDescent="0.25">
      <c r="A151" s="69"/>
      <c r="B151" s="56" t="str">
        <f>MID(Info!$AZ$3,(WEEKDAY(I151,2)-1)*3+1,3)</f>
        <v>Vie</v>
      </c>
      <c r="C151" s="523" t="str">
        <f>_xlfn.XLOOKUP(I151,Fchs!$C$108:$C$149,Fchs!$D$108:$D$149,0)</f>
        <v>Navidad</v>
      </c>
      <c r="D151" s="523">
        <f>_xlfn.XLOOKUP(I151,Fchs!$C$108:$C$149,Fchs!$E$108:$E$149)</f>
        <v>0</v>
      </c>
      <c r="E151" s="532">
        <f>IF($AS151&lt;&gt;0,_xlfn.XLOOKUP($G151,UDs!$E$34:$E$55,UDs!$B$34:$B$55,,-1),0)</f>
        <v>0</v>
      </c>
      <c r="F151" s="532">
        <f t="shared" ca="1" si="48"/>
        <v>0</v>
      </c>
      <c r="G151" s="569">
        <f>IF(AU151&lt;&gt;0,MAX($AU$13:$AU150)+1,0)</f>
        <v>0</v>
      </c>
      <c r="H151" s="569" t="str">
        <f>IF(AS151&lt;&gt;0,COUNT($H$14:H150,1),"")</f>
        <v/>
      </c>
      <c r="I151" s="533">
        <f t="shared" ref="I151:I180" si="53">I150+1</f>
        <v>46024</v>
      </c>
      <c r="J151" s="534"/>
      <c r="K151" s="535"/>
      <c r="L151" s="126">
        <f t="shared" ref="L151:AA166" ca="1" si="54">$AT151</f>
        <v>0</v>
      </c>
      <c r="M151" s="127">
        <f t="shared" ca="1" si="54"/>
        <v>0</v>
      </c>
      <c r="N151" s="127">
        <f t="shared" ca="1" si="54"/>
        <v>0</v>
      </c>
      <c r="O151" s="127">
        <f t="shared" ca="1" si="54"/>
        <v>0</v>
      </c>
      <c r="P151" s="128">
        <f t="shared" ca="1" si="54"/>
        <v>0</v>
      </c>
      <c r="Q151" s="126">
        <f t="shared" ca="1" si="54"/>
        <v>0</v>
      </c>
      <c r="R151" s="127">
        <f t="shared" ca="1" si="54"/>
        <v>0</v>
      </c>
      <c r="S151" s="127">
        <f t="shared" ca="1" si="54"/>
        <v>0</v>
      </c>
      <c r="T151" s="127">
        <f t="shared" ca="1" si="54"/>
        <v>0</v>
      </c>
      <c r="U151" s="128">
        <f t="shared" ca="1" si="54"/>
        <v>0</v>
      </c>
      <c r="V151" s="126">
        <f t="shared" ca="1" si="54"/>
        <v>0</v>
      </c>
      <c r="W151" s="127">
        <f t="shared" ca="1" si="54"/>
        <v>0</v>
      </c>
      <c r="X151" s="127">
        <f t="shared" ca="1" si="54"/>
        <v>0</v>
      </c>
      <c r="Y151" s="127">
        <f t="shared" ca="1" si="54"/>
        <v>0</v>
      </c>
      <c r="Z151" s="128">
        <f t="shared" ca="1" si="54"/>
        <v>0</v>
      </c>
      <c r="AA151" s="126">
        <f t="shared" ca="1" si="54"/>
        <v>0</v>
      </c>
      <c r="AB151" s="127">
        <f t="shared" ref="AB151:AN165" ca="1" si="55">$AT151</f>
        <v>0</v>
      </c>
      <c r="AC151" s="127">
        <f t="shared" ca="1" si="55"/>
        <v>0</v>
      </c>
      <c r="AD151" s="127">
        <f t="shared" ca="1" si="55"/>
        <v>0</v>
      </c>
      <c r="AE151" s="128">
        <f t="shared" ca="1" si="55"/>
        <v>0</v>
      </c>
      <c r="AF151" s="126">
        <f t="shared" ca="1" si="55"/>
        <v>0</v>
      </c>
      <c r="AG151" s="127">
        <f t="shared" ca="1" si="55"/>
        <v>0</v>
      </c>
      <c r="AH151" s="127">
        <f t="shared" ca="1" si="55"/>
        <v>0</v>
      </c>
      <c r="AI151" s="127">
        <f t="shared" ca="1" si="55"/>
        <v>0</v>
      </c>
      <c r="AJ151" s="128">
        <f t="shared" ca="1" si="55"/>
        <v>0</v>
      </c>
      <c r="AK151" s="126">
        <f t="shared" ca="1" si="55"/>
        <v>0</v>
      </c>
      <c r="AL151" s="127">
        <f t="shared" ca="1" si="55"/>
        <v>0</v>
      </c>
      <c r="AM151" s="127">
        <f t="shared" ca="1" si="55"/>
        <v>0</v>
      </c>
      <c r="AN151" s="127">
        <f t="shared" ca="1" si="55"/>
        <v>0</v>
      </c>
      <c r="AO151" s="129">
        <f t="shared" ca="1" si="44"/>
        <v>0</v>
      </c>
      <c r="AP151" s="536" t="str">
        <f t="shared" si="49"/>
        <v/>
      </c>
      <c r="AQ151" s="536" t="str">
        <f t="shared" si="50"/>
        <v>X</v>
      </c>
      <c r="AR151" s="536" t="str">
        <f t="shared" si="51"/>
        <v/>
      </c>
      <c r="AS151" s="537">
        <f>IF(OR(J151&lt;&gt;"",AP151&amp;AQ151&amp;AR151&lt;&gt;"X",WEEKDAY(I151,2)&gt;5,C151&lt;&gt;0,(FechaInicio1Tri&gt;I151),(FechaFinEEva&lt;I151)),0,_xlfn.XLOOKUP(WEEKDAY(I151,2),Fchs!$J$10:$N$10,Fchs!$J$12:$N$12))</f>
        <v>0</v>
      </c>
      <c r="AT151" s="536">
        <f t="shared" ca="1" si="52"/>
        <v>0</v>
      </c>
      <c r="AU151" s="538">
        <f>IF(AS151&lt;&gt;0,MAXA($AU$14:AU150)+AS151,0)</f>
        <v>0</v>
      </c>
      <c r="AV151" s="538">
        <f ca="1">IF(AT151&lt;&gt;0,MAXA($AU$14:AU150)+AT151,0)</f>
        <v>0</v>
      </c>
      <c r="AW151" s="69"/>
    </row>
    <row r="152" spans="1:49" ht="18.75" customHeight="1" x14ac:dyDescent="0.25">
      <c r="A152" s="69"/>
      <c r="B152" s="56" t="str">
        <f>MID(Info!$AZ$3,(WEEKDAY(I152,2)-1)*3+1,3)</f>
        <v>Sáb</v>
      </c>
      <c r="C152" s="523">
        <f>_xlfn.XLOOKUP(I152,Fchs!$C$108:$C$149,Fchs!$D$108:$D$149,0)</f>
        <v>0</v>
      </c>
      <c r="D152" s="523">
        <f>_xlfn.XLOOKUP(I152,Fchs!$C$108:$C$149,Fchs!$E$108:$E$149)</f>
        <v>0</v>
      </c>
      <c r="E152" s="532">
        <f>IF($AS152&lt;&gt;0,_xlfn.XLOOKUP($G152,UDs!$E$34:$E$55,UDs!$B$34:$B$55,,-1),0)</f>
        <v>0</v>
      </c>
      <c r="F152" s="532">
        <f t="shared" ca="1" si="48"/>
        <v>0</v>
      </c>
      <c r="G152" s="569">
        <f>IF(AU152&lt;&gt;0,MAX($AU$13:$AU151)+1,0)</f>
        <v>0</v>
      </c>
      <c r="H152" s="569" t="str">
        <f>IF(AS152&lt;&gt;0,COUNT($H$14:H151,1),"")</f>
        <v/>
      </c>
      <c r="I152" s="533">
        <f t="shared" si="53"/>
        <v>46025</v>
      </c>
      <c r="J152" s="534"/>
      <c r="K152" s="535"/>
      <c r="L152" s="126">
        <f t="shared" ca="1" si="54"/>
        <v>0</v>
      </c>
      <c r="M152" s="127">
        <f t="shared" ca="1" si="54"/>
        <v>0</v>
      </c>
      <c r="N152" s="127">
        <f t="shared" ca="1" si="54"/>
        <v>0</v>
      </c>
      <c r="O152" s="127">
        <f t="shared" ca="1" si="54"/>
        <v>0</v>
      </c>
      <c r="P152" s="128">
        <f t="shared" ca="1" si="54"/>
        <v>0</v>
      </c>
      <c r="Q152" s="126">
        <f t="shared" ca="1" si="54"/>
        <v>0</v>
      </c>
      <c r="R152" s="127">
        <f t="shared" ca="1" si="54"/>
        <v>0</v>
      </c>
      <c r="S152" s="127">
        <f t="shared" ca="1" si="54"/>
        <v>0</v>
      </c>
      <c r="T152" s="127">
        <f t="shared" ca="1" si="54"/>
        <v>0</v>
      </c>
      <c r="U152" s="128">
        <f t="shared" ca="1" si="54"/>
        <v>0</v>
      </c>
      <c r="V152" s="126">
        <f t="shared" ca="1" si="54"/>
        <v>0</v>
      </c>
      <c r="W152" s="127">
        <f t="shared" ca="1" si="54"/>
        <v>0</v>
      </c>
      <c r="X152" s="127">
        <f t="shared" ca="1" si="54"/>
        <v>0</v>
      </c>
      <c r="Y152" s="127">
        <f t="shared" ca="1" si="54"/>
        <v>0</v>
      </c>
      <c r="Z152" s="128">
        <f t="shared" ca="1" si="54"/>
        <v>0</v>
      </c>
      <c r="AA152" s="126">
        <f t="shared" ca="1" si="54"/>
        <v>0</v>
      </c>
      <c r="AB152" s="127">
        <f t="shared" ca="1" si="55"/>
        <v>0</v>
      </c>
      <c r="AC152" s="127">
        <f t="shared" ca="1" si="55"/>
        <v>0</v>
      </c>
      <c r="AD152" s="127">
        <f t="shared" ca="1" si="55"/>
        <v>0</v>
      </c>
      <c r="AE152" s="128">
        <f t="shared" ca="1" si="55"/>
        <v>0</v>
      </c>
      <c r="AF152" s="126">
        <f t="shared" ca="1" si="55"/>
        <v>0</v>
      </c>
      <c r="AG152" s="127">
        <f t="shared" ca="1" si="55"/>
        <v>0</v>
      </c>
      <c r="AH152" s="127">
        <f t="shared" ca="1" si="55"/>
        <v>0</v>
      </c>
      <c r="AI152" s="127">
        <f t="shared" ca="1" si="55"/>
        <v>0</v>
      </c>
      <c r="AJ152" s="128">
        <f t="shared" ca="1" si="55"/>
        <v>0</v>
      </c>
      <c r="AK152" s="126">
        <f t="shared" ca="1" si="55"/>
        <v>0</v>
      </c>
      <c r="AL152" s="127">
        <f t="shared" ca="1" si="55"/>
        <v>0</v>
      </c>
      <c r="AM152" s="127">
        <f t="shared" ca="1" si="55"/>
        <v>0</v>
      </c>
      <c r="AN152" s="127">
        <f t="shared" ca="1" si="55"/>
        <v>0</v>
      </c>
      <c r="AO152" s="129">
        <f t="shared" ca="1" si="44"/>
        <v>0</v>
      </c>
      <c r="AP152" s="536" t="str">
        <f t="shared" si="49"/>
        <v/>
      </c>
      <c r="AQ152" s="536" t="str">
        <f t="shared" si="50"/>
        <v/>
      </c>
      <c r="AR152" s="536" t="str">
        <f t="shared" si="51"/>
        <v/>
      </c>
      <c r="AS152" s="537">
        <f>IF(OR(J152&lt;&gt;"",AP152&amp;AQ152&amp;AR152&lt;&gt;"X",WEEKDAY(I152,2)&gt;5,C152&lt;&gt;0,(FechaInicio1Tri&gt;I152),(FechaFinEEva&lt;I152)),0,_xlfn.XLOOKUP(WEEKDAY(I152,2),Fchs!$J$10:$N$10,Fchs!$J$12:$N$12))</f>
        <v>0</v>
      </c>
      <c r="AT152" s="536">
        <f t="shared" ca="1" si="52"/>
        <v>0</v>
      </c>
      <c r="AU152" s="538">
        <f>IF(AS152&lt;&gt;0,MAXA($AU$14:AU151)+AS152,0)</f>
        <v>0</v>
      </c>
      <c r="AV152" s="538">
        <f ca="1">IF(AT152&lt;&gt;0,MAXA($AU$14:AU151)+AT152,0)</f>
        <v>0</v>
      </c>
      <c r="AW152" s="69"/>
    </row>
    <row r="153" spans="1:49" ht="18.75" customHeight="1" x14ac:dyDescent="0.25">
      <c r="A153" s="69"/>
      <c r="B153" s="56" t="str">
        <f>MID(Info!$AZ$3,(WEEKDAY(I153,2)-1)*3+1,3)</f>
        <v>Dom</v>
      </c>
      <c r="C153" s="523">
        <f>_xlfn.XLOOKUP(I153,Fchs!$C$108:$C$149,Fchs!$D$108:$D$149,0)</f>
        <v>0</v>
      </c>
      <c r="D153" s="523">
        <f>_xlfn.XLOOKUP(I153,Fchs!$C$108:$C$149,Fchs!$E$108:$E$149)</f>
        <v>0</v>
      </c>
      <c r="E153" s="532">
        <f>IF($AS153&lt;&gt;0,_xlfn.XLOOKUP($G153,UDs!$E$34:$E$55,UDs!$B$34:$B$55,,-1),0)</f>
        <v>0</v>
      </c>
      <c r="F153" s="532">
        <f t="shared" ca="1" si="48"/>
        <v>0</v>
      </c>
      <c r="G153" s="569">
        <f>IF(AU153&lt;&gt;0,MAX($AU$13:$AU152)+1,0)</f>
        <v>0</v>
      </c>
      <c r="H153" s="569" t="str">
        <f>IF(AS153&lt;&gt;0,COUNT($H$14:H152,1),"")</f>
        <v/>
      </c>
      <c r="I153" s="533">
        <f t="shared" si="53"/>
        <v>46026</v>
      </c>
      <c r="J153" s="534"/>
      <c r="K153" s="535"/>
      <c r="L153" s="126">
        <f t="shared" ca="1" si="54"/>
        <v>0</v>
      </c>
      <c r="M153" s="127">
        <f t="shared" ca="1" si="54"/>
        <v>0</v>
      </c>
      <c r="N153" s="127">
        <f t="shared" ca="1" si="54"/>
        <v>0</v>
      </c>
      <c r="O153" s="127">
        <f t="shared" ca="1" si="54"/>
        <v>0</v>
      </c>
      <c r="P153" s="128">
        <f t="shared" ca="1" si="54"/>
        <v>0</v>
      </c>
      <c r="Q153" s="126">
        <f t="shared" ca="1" si="54"/>
        <v>0</v>
      </c>
      <c r="R153" s="127">
        <f t="shared" ca="1" si="54"/>
        <v>0</v>
      </c>
      <c r="S153" s="127">
        <f t="shared" ca="1" si="54"/>
        <v>0</v>
      </c>
      <c r="T153" s="127">
        <f t="shared" ca="1" si="54"/>
        <v>0</v>
      </c>
      <c r="U153" s="128">
        <f t="shared" ca="1" si="54"/>
        <v>0</v>
      </c>
      <c r="V153" s="126">
        <f t="shared" ca="1" si="54"/>
        <v>0</v>
      </c>
      <c r="W153" s="127">
        <f t="shared" ca="1" si="54"/>
        <v>0</v>
      </c>
      <c r="X153" s="127">
        <f t="shared" ca="1" si="54"/>
        <v>0</v>
      </c>
      <c r="Y153" s="127">
        <f t="shared" ca="1" si="54"/>
        <v>0</v>
      </c>
      <c r="Z153" s="128">
        <f t="shared" ca="1" si="54"/>
        <v>0</v>
      </c>
      <c r="AA153" s="126">
        <f t="shared" ca="1" si="54"/>
        <v>0</v>
      </c>
      <c r="AB153" s="127">
        <f t="shared" ca="1" si="55"/>
        <v>0</v>
      </c>
      <c r="AC153" s="127">
        <f t="shared" ca="1" si="55"/>
        <v>0</v>
      </c>
      <c r="AD153" s="127">
        <f t="shared" ca="1" si="55"/>
        <v>0</v>
      </c>
      <c r="AE153" s="128">
        <f t="shared" ca="1" si="55"/>
        <v>0</v>
      </c>
      <c r="AF153" s="126">
        <f t="shared" ca="1" si="55"/>
        <v>0</v>
      </c>
      <c r="AG153" s="127">
        <f t="shared" ca="1" si="55"/>
        <v>0</v>
      </c>
      <c r="AH153" s="127">
        <f t="shared" ca="1" si="55"/>
        <v>0</v>
      </c>
      <c r="AI153" s="127">
        <f t="shared" ca="1" si="55"/>
        <v>0</v>
      </c>
      <c r="AJ153" s="128">
        <f t="shared" ca="1" si="55"/>
        <v>0</v>
      </c>
      <c r="AK153" s="126">
        <f t="shared" ca="1" si="55"/>
        <v>0</v>
      </c>
      <c r="AL153" s="127">
        <f t="shared" ca="1" si="55"/>
        <v>0</v>
      </c>
      <c r="AM153" s="127">
        <f t="shared" ca="1" si="55"/>
        <v>0</v>
      </c>
      <c r="AN153" s="127">
        <f t="shared" ca="1" si="55"/>
        <v>0</v>
      </c>
      <c r="AO153" s="129">
        <f t="shared" ca="1" si="44"/>
        <v>0</v>
      </c>
      <c r="AP153" s="536" t="str">
        <f t="shared" si="49"/>
        <v/>
      </c>
      <c r="AQ153" s="536" t="str">
        <f t="shared" si="50"/>
        <v/>
      </c>
      <c r="AR153" s="536" t="str">
        <f t="shared" si="51"/>
        <v/>
      </c>
      <c r="AS153" s="537">
        <f>IF(OR(J153&lt;&gt;"",AP153&amp;AQ153&amp;AR153&lt;&gt;"X",WEEKDAY(I153,2)&gt;5,C153&lt;&gt;0,(FechaInicio1Tri&gt;I153),(FechaFinEEva&lt;I153)),0,_xlfn.XLOOKUP(WEEKDAY(I153,2),Fchs!$J$10:$N$10,Fchs!$J$12:$N$12))</f>
        <v>0</v>
      </c>
      <c r="AT153" s="536">
        <f t="shared" ca="1" si="52"/>
        <v>0</v>
      </c>
      <c r="AU153" s="538">
        <f>IF(AS153&lt;&gt;0,MAXA($AU$14:AU152)+AS153,0)</f>
        <v>0</v>
      </c>
      <c r="AV153" s="538">
        <f ca="1">IF(AT153&lt;&gt;0,MAXA($AU$14:AU152)+AT153,0)</f>
        <v>0</v>
      </c>
      <c r="AW153" s="69"/>
    </row>
    <row r="154" spans="1:49" ht="18.75" customHeight="1" x14ac:dyDescent="0.25">
      <c r="A154" s="69"/>
      <c r="B154" s="56" t="str">
        <f>MID(Info!$AZ$3,(WEEKDAY(I154,2)-1)*3+1,3)</f>
        <v>Lun</v>
      </c>
      <c r="C154" s="523" t="str">
        <f>_xlfn.XLOOKUP(I154,Fchs!$C$108:$C$149,Fchs!$D$108:$D$149,0)</f>
        <v>Navidad</v>
      </c>
      <c r="D154" s="523">
        <f>_xlfn.XLOOKUP(I154,Fchs!$C$108:$C$149,Fchs!$E$108:$E$149)</f>
        <v>0</v>
      </c>
      <c r="E154" s="532">
        <f>IF($AS154&lt;&gt;0,_xlfn.XLOOKUP($G154,UDs!$E$34:$E$55,UDs!$B$34:$B$55,,-1),0)</f>
        <v>0</v>
      </c>
      <c r="F154" s="532">
        <f t="shared" ca="1" si="48"/>
        <v>0</v>
      </c>
      <c r="G154" s="569">
        <f>IF(AU154&lt;&gt;0,MAX($AU$13:$AU153)+1,0)</f>
        <v>0</v>
      </c>
      <c r="H154" s="569" t="str">
        <f>IF(AS154&lt;&gt;0,COUNT($H$14:H153,1),"")</f>
        <v/>
      </c>
      <c r="I154" s="533">
        <f t="shared" si="53"/>
        <v>46027</v>
      </c>
      <c r="J154" s="534"/>
      <c r="K154" s="535"/>
      <c r="L154" s="126">
        <f t="shared" ca="1" si="54"/>
        <v>0</v>
      </c>
      <c r="M154" s="127">
        <f t="shared" ca="1" si="54"/>
        <v>0</v>
      </c>
      <c r="N154" s="127">
        <f t="shared" ca="1" si="54"/>
        <v>0</v>
      </c>
      <c r="O154" s="127">
        <f t="shared" ca="1" si="54"/>
        <v>0</v>
      </c>
      <c r="P154" s="128">
        <f t="shared" ca="1" si="54"/>
        <v>0</v>
      </c>
      <c r="Q154" s="126">
        <f t="shared" ca="1" si="54"/>
        <v>0</v>
      </c>
      <c r="R154" s="127">
        <f t="shared" ca="1" si="54"/>
        <v>0</v>
      </c>
      <c r="S154" s="127">
        <f t="shared" ca="1" si="54"/>
        <v>0</v>
      </c>
      <c r="T154" s="127">
        <f t="shared" ca="1" si="54"/>
        <v>0</v>
      </c>
      <c r="U154" s="128">
        <f t="shared" ca="1" si="54"/>
        <v>0</v>
      </c>
      <c r="V154" s="126">
        <f t="shared" ca="1" si="54"/>
        <v>0</v>
      </c>
      <c r="W154" s="127">
        <f t="shared" ca="1" si="54"/>
        <v>0</v>
      </c>
      <c r="X154" s="127">
        <f t="shared" ca="1" si="54"/>
        <v>0</v>
      </c>
      <c r="Y154" s="127">
        <f t="shared" ca="1" si="54"/>
        <v>0</v>
      </c>
      <c r="Z154" s="128">
        <f t="shared" ca="1" si="54"/>
        <v>0</v>
      </c>
      <c r="AA154" s="126">
        <f t="shared" ca="1" si="54"/>
        <v>0</v>
      </c>
      <c r="AB154" s="127">
        <f t="shared" ca="1" si="55"/>
        <v>0</v>
      </c>
      <c r="AC154" s="127">
        <f t="shared" ca="1" si="55"/>
        <v>0</v>
      </c>
      <c r="AD154" s="127">
        <f t="shared" ca="1" si="55"/>
        <v>0</v>
      </c>
      <c r="AE154" s="128">
        <f t="shared" ca="1" si="55"/>
        <v>0</v>
      </c>
      <c r="AF154" s="126">
        <f t="shared" ca="1" si="55"/>
        <v>0</v>
      </c>
      <c r="AG154" s="127">
        <f t="shared" ca="1" si="55"/>
        <v>0</v>
      </c>
      <c r="AH154" s="127">
        <f t="shared" ca="1" si="55"/>
        <v>0</v>
      </c>
      <c r="AI154" s="127">
        <f t="shared" ca="1" si="55"/>
        <v>0</v>
      </c>
      <c r="AJ154" s="128">
        <f t="shared" ca="1" si="55"/>
        <v>0</v>
      </c>
      <c r="AK154" s="126">
        <f t="shared" ca="1" si="55"/>
        <v>0</v>
      </c>
      <c r="AL154" s="127">
        <f t="shared" ca="1" si="55"/>
        <v>0</v>
      </c>
      <c r="AM154" s="127">
        <f t="shared" ca="1" si="55"/>
        <v>0</v>
      </c>
      <c r="AN154" s="127">
        <f t="shared" ca="1" si="55"/>
        <v>0</v>
      </c>
      <c r="AO154" s="129">
        <f t="shared" ca="1" si="44"/>
        <v>0</v>
      </c>
      <c r="AP154" s="536" t="str">
        <f t="shared" si="49"/>
        <v/>
      </c>
      <c r="AQ154" s="536" t="str">
        <f t="shared" si="50"/>
        <v>X</v>
      </c>
      <c r="AR154" s="536" t="str">
        <f t="shared" si="51"/>
        <v/>
      </c>
      <c r="AS154" s="537">
        <f>IF(OR(J154&lt;&gt;"",AP154&amp;AQ154&amp;AR154&lt;&gt;"X",WEEKDAY(I154,2)&gt;5,C154&lt;&gt;0,(FechaInicio1Tri&gt;I154),(FechaFinEEva&lt;I154)),0,_xlfn.XLOOKUP(WEEKDAY(I154,2),Fchs!$J$10:$N$10,Fchs!$J$12:$N$12))</f>
        <v>0</v>
      </c>
      <c r="AT154" s="536">
        <f t="shared" ca="1" si="52"/>
        <v>0</v>
      </c>
      <c r="AU154" s="538">
        <f>IF(AS154&lt;&gt;0,MAXA($AU$14:AU153)+AS154,0)</f>
        <v>0</v>
      </c>
      <c r="AV154" s="538">
        <f ca="1">IF(AT154&lt;&gt;0,MAXA($AU$14:AU153)+AT154,0)</f>
        <v>0</v>
      </c>
      <c r="AW154" s="69"/>
    </row>
    <row r="155" spans="1:49" ht="18.600000000000001" customHeight="1" x14ac:dyDescent="0.25">
      <c r="A155" s="69"/>
      <c r="B155" s="56" t="str">
        <f>MID(Info!$AZ$3,(WEEKDAY(I155,2)-1)*3+1,3)</f>
        <v>Mar</v>
      </c>
      <c r="C155" s="523" t="str">
        <f>_xlfn.XLOOKUP(I155,Fchs!$C$108:$C$149,Fchs!$D$108:$D$149,0)</f>
        <v>Navidad</v>
      </c>
      <c r="D155" s="523">
        <f>_xlfn.XLOOKUP(I155,Fchs!$C$108:$C$149,Fchs!$E$108:$E$149)</f>
        <v>0</v>
      </c>
      <c r="E155" s="532">
        <f>IF($AS155&lt;&gt;0,_xlfn.XLOOKUP($G155,UDs!$E$34:$E$55,UDs!$B$34:$B$55,,-1),0)</f>
        <v>0</v>
      </c>
      <c r="F155" s="532">
        <f t="shared" ca="1" si="48"/>
        <v>0</v>
      </c>
      <c r="G155" s="569">
        <f>IF(AU155&lt;&gt;0,MAX($AU$13:$AU154)+1,0)</f>
        <v>0</v>
      </c>
      <c r="H155" s="569" t="str">
        <f>IF(AS155&lt;&gt;0,COUNT($H$14:H154,1),"")</f>
        <v/>
      </c>
      <c r="I155" s="533">
        <f t="shared" si="53"/>
        <v>46028</v>
      </c>
      <c r="J155" s="534"/>
      <c r="K155" s="535"/>
      <c r="L155" s="126">
        <f t="shared" ca="1" si="54"/>
        <v>0</v>
      </c>
      <c r="M155" s="127">
        <f t="shared" ca="1" si="54"/>
        <v>0</v>
      </c>
      <c r="N155" s="127">
        <f t="shared" ca="1" si="54"/>
        <v>0</v>
      </c>
      <c r="O155" s="127">
        <f t="shared" ca="1" si="54"/>
        <v>0</v>
      </c>
      <c r="P155" s="128">
        <f t="shared" ca="1" si="54"/>
        <v>0</v>
      </c>
      <c r="Q155" s="126">
        <f t="shared" ca="1" si="54"/>
        <v>0</v>
      </c>
      <c r="R155" s="127">
        <f t="shared" ca="1" si="54"/>
        <v>0</v>
      </c>
      <c r="S155" s="127">
        <f t="shared" ca="1" si="54"/>
        <v>0</v>
      </c>
      <c r="T155" s="127">
        <f t="shared" ca="1" si="54"/>
        <v>0</v>
      </c>
      <c r="U155" s="128">
        <f t="shared" ca="1" si="54"/>
        <v>0</v>
      </c>
      <c r="V155" s="126">
        <f t="shared" ca="1" si="54"/>
        <v>0</v>
      </c>
      <c r="W155" s="127">
        <f t="shared" ca="1" si="54"/>
        <v>0</v>
      </c>
      <c r="X155" s="127">
        <f t="shared" ca="1" si="54"/>
        <v>0</v>
      </c>
      <c r="Y155" s="127">
        <f t="shared" ca="1" si="54"/>
        <v>0</v>
      </c>
      <c r="Z155" s="128">
        <f t="shared" ca="1" si="54"/>
        <v>0</v>
      </c>
      <c r="AA155" s="126">
        <f t="shared" ca="1" si="54"/>
        <v>0</v>
      </c>
      <c r="AB155" s="127">
        <f t="shared" ca="1" si="55"/>
        <v>0</v>
      </c>
      <c r="AC155" s="127">
        <f t="shared" ca="1" si="55"/>
        <v>0</v>
      </c>
      <c r="AD155" s="127">
        <f t="shared" ca="1" si="55"/>
        <v>0</v>
      </c>
      <c r="AE155" s="128">
        <f t="shared" ca="1" si="55"/>
        <v>0</v>
      </c>
      <c r="AF155" s="126">
        <f t="shared" ca="1" si="55"/>
        <v>0</v>
      </c>
      <c r="AG155" s="127">
        <f t="shared" ca="1" si="55"/>
        <v>0</v>
      </c>
      <c r="AH155" s="127">
        <f t="shared" ca="1" si="55"/>
        <v>0</v>
      </c>
      <c r="AI155" s="127">
        <f t="shared" ca="1" si="55"/>
        <v>0</v>
      </c>
      <c r="AJ155" s="128">
        <f t="shared" ca="1" si="55"/>
        <v>0</v>
      </c>
      <c r="AK155" s="126">
        <f t="shared" ca="1" si="55"/>
        <v>0</v>
      </c>
      <c r="AL155" s="127">
        <f t="shared" ca="1" si="55"/>
        <v>0</v>
      </c>
      <c r="AM155" s="127">
        <f t="shared" ca="1" si="55"/>
        <v>0</v>
      </c>
      <c r="AN155" s="127">
        <f t="shared" ca="1" si="55"/>
        <v>0</v>
      </c>
      <c r="AO155" s="129">
        <f t="shared" ca="1" si="44"/>
        <v>0</v>
      </c>
      <c r="AP155" s="536" t="str">
        <f t="shared" si="49"/>
        <v/>
      </c>
      <c r="AQ155" s="536" t="str">
        <f t="shared" si="50"/>
        <v>X</v>
      </c>
      <c r="AR155" s="536" t="str">
        <f t="shared" si="51"/>
        <v/>
      </c>
      <c r="AS155" s="537">
        <f>IF(OR(J155&lt;&gt;"",AP155&amp;AQ155&amp;AR155&lt;&gt;"X",WEEKDAY(I155,2)&gt;5,C155&lt;&gt;0,(FechaInicio1Tri&gt;I155),(FechaFinEEva&lt;I155)),0,_xlfn.XLOOKUP(WEEKDAY(I155,2),Fchs!$J$10:$N$10,Fchs!$J$12:$N$12))</f>
        <v>0</v>
      </c>
      <c r="AT155" s="536">
        <f t="shared" ca="1" si="52"/>
        <v>0</v>
      </c>
      <c r="AU155" s="538">
        <f>IF(AS155&lt;&gt;0,MAXA($AU$14:AU154)+AS155,0)</f>
        <v>0</v>
      </c>
      <c r="AV155" s="538">
        <f ca="1">IF(AT155&lt;&gt;0,MAXA($AU$14:AU154)+AT155,0)</f>
        <v>0</v>
      </c>
      <c r="AW155" s="69"/>
    </row>
    <row r="156" spans="1:49" ht="18.75" customHeight="1" x14ac:dyDescent="0.25">
      <c r="A156" s="69"/>
      <c r="B156" s="56" t="str">
        <f>MID(Info!$AZ$3,(WEEKDAY(I156,2)-1)*3+1,3)</f>
        <v>Mié</v>
      </c>
      <c r="C156" s="523">
        <f>_xlfn.XLOOKUP(I156,Fchs!$C$108:$C$149,Fchs!$D$108:$D$149,0)</f>
        <v>0</v>
      </c>
      <c r="D156" s="523">
        <f>_xlfn.XLOOKUP(I156,Fchs!$C$108:$C$149,Fchs!$E$108:$E$149)</f>
        <v>0</v>
      </c>
      <c r="E156" s="532" t="str">
        <f>IF($AS156&lt;&gt;0,_xlfn.XLOOKUP($G156,UDs!$E$34:$E$55,UDs!$B$34:$B$55,,-1),0)</f>
        <v>UD02</v>
      </c>
      <c r="F156" s="532" t="str">
        <f t="shared" ca="1" si="48"/>
        <v>UD02</v>
      </c>
      <c r="G156" s="569">
        <f>IF(AU156&lt;&gt;0,MAX($AU$13:$AU155)+1,0)</f>
        <v>67</v>
      </c>
      <c r="H156" s="569">
        <f>IF(AS156&lt;&gt;0,COUNT($H$14:H155,1),"")</f>
        <v>67</v>
      </c>
      <c r="I156" s="533">
        <f t="shared" si="53"/>
        <v>46029</v>
      </c>
      <c r="J156" s="534"/>
      <c r="K156" s="535"/>
      <c r="L156" s="126">
        <f t="shared" ca="1" si="54"/>
        <v>1</v>
      </c>
      <c r="M156" s="127">
        <f t="shared" ca="1" si="54"/>
        <v>1</v>
      </c>
      <c r="N156" s="127">
        <f t="shared" ca="1" si="54"/>
        <v>1</v>
      </c>
      <c r="O156" s="127">
        <f t="shared" ca="1" si="54"/>
        <v>1</v>
      </c>
      <c r="P156" s="128">
        <f t="shared" ca="1" si="54"/>
        <v>1</v>
      </c>
      <c r="Q156" s="126">
        <f t="shared" ca="1" si="54"/>
        <v>1</v>
      </c>
      <c r="R156" s="127">
        <f t="shared" ca="1" si="54"/>
        <v>1</v>
      </c>
      <c r="S156" s="127">
        <f t="shared" ca="1" si="54"/>
        <v>1</v>
      </c>
      <c r="T156" s="127">
        <f t="shared" ca="1" si="54"/>
        <v>1</v>
      </c>
      <c r="U156" s="128">
        <f t="shared" ca="1" si="54"/>
        <v>1</v>
      </c>
      <c r="V156" s="126">
        <f t="shared" ca="1" si="54"/>
        <v>1</v>
      </c>
      <c r="W156" s="127">
        <f t="shared" ca="1" si="54"/>
        <v>1</v>
      </c>
      <c r="X156" s="127">
        <f t="shared" ca="1" si="54"/>
        <v>1</v>
      </c>
      <c r="Y156" s="127">
        <f t="shared" ca="1" si="54"/>
        <v>1</v>
      </c>
      <c r="Z156" s="128">
        <f t="shared" ca="1" si="54"/>
        <v>1</v>
      </c>
      <c r="AA156" s="126">
        <f t="shared" ca="1" si="54"/>
        <v>1</v>
      </c>
      <c r="AB156" s="127">
        <f t="shared" ca="1" si="55"/>
        <v>1</v>
      </c>
      <c r="AC156" s="127">
        <f t="shared" ca="1" si="55"/>
        <v>1</v>
      </c>
      <c r="AD156" s="127">
        <f t="shared" ca="1" si="55"/>
        <v>1</v>
      </c>
      <c r="AE156" s="128">
        <f t="shared" ca="1" si="55"/>
        <v>1</v>
      </c>
      <c r="AF156" s="126">
        <f t="shared" ca="1" si="55"/>
        <v>1</v>
      </c>
      <c r="AG156" s="127">
        <f t="shared" ca="1" si="55"/>
        <v>1</v>
      </c>
      <c r="AH156" s="127">
        <f t="shared" ca="1" si="55"/>
        <v>1</v>
      </c>
      <c r="AI156" s="127">
        <f t="shared" ca="1" si="55"/>
        <v>1</v>
      </c>
      <c r="AJ156" s="128">
        <f t="shared" ca="1" si="55"/>
        <v>1</v>
      </c>
      <c r="AK156" s="126">
        <f t="shared" ca="1" si="55"/>
        <v>1</v>
      </c>
      <c r="AL156" s="127">
        <f t="shared" ca="1" si="55"/>
        <v>1</v>
      </c>
      <c r="AM156" s="127">
        <f t="shared" ca="1" si="55"/>
        <v>1</v>
      </c>
      <c r="AN156" s="127">
        <f t="shared" ca="1" si="55"/>
        <v>1</v>
      </c>
      <c r="AO156" s="129">
        <f t="shared" ca="1" si="44"/>
        <v>1</v>
      </c>
      <c r="AP156" s="536" t="str">
        <f t="shared" si="49"/>
        <v/>
      </c>
      <c r="AQ156" s="536" t="str">
        <f t="shared" si="50"/>
        <v>X</v>
      </c>
      <c r="AR156" s="536" t="str">
        <f t="shared" si="51"/>
        <v/>
      </c>
      <c r="AS156" s="537">
        <f>IF(OR(J156&lt;&gt;"",AP156&amp;AQ156&amp;AR156&lt;&gt;"X",WEEKDAY(I156,2)&gt;5,C156&lt;&gt;0,(FechaInicio1Tri&gt;I156),(FechaFinEEva&lt;I156)),0,_xlfn.XLOOKUP(WEEKDAY(I156,2),Fchs!$J$10:$N$10,Fchs!$J$12:$N$12))</f>
        <v>1</v>
      </c>
      <c r="AT156" s="536">
        <f t="shared" ca="1" si="52"/>
        <v>1</v>
      </c>
      <c r="AU156" s="538">
        <f>IF(AS156&lt;&gt;0,MAXA($AU$14:AU155)+AS156,0)</f>
        <v>67</v>
      </c>
      <c r="AV156" s="538">
        <f ca="1">IF(AT156&lt;&gt;0,MAXA($AU$14:AU155)+AT156,0)</f>
        <v>67</v>
      </c>
      <c r="AW156" s="69"/>
    </row>
    <row r="157" spans="1:49" ht="18.75" customHeight="1" x14ac:dyDescent="0.25">
      <c r="A157" s="69"/>
      <c r="B157" s="56" t="str">
        <f>MID(Info!$AZ$3,(WEEKDAY(I157,2)-1)*3+1,3)</f>
        <v>Jue</v>
      </c>
      <c r="C157" s="523">
        <f>_xlfn.XLOOKUP(I157,Fchs!$C$108:$C$149,Fchs!$D$108:$D$149,0)</f>
        <v>0</v>
      </c>
      <c r="D157" s="523">
        <f>_xlfn.XLOOKUP(I157,Fchs!$C$108:$C$149,Fchs!$E$108:$E$149)</f>
        <v>0</v>
      </c>
      <c r="E157" s="532" t="str">
        <f>IF($AS157&lt;&gt;0,_xlfn.XLOOKUP($G157,UDs!$E$34:$E$55,UDs!$B$34:$B$55,,-1),0)</f>
        <v>UD02</v>
      </c>
      <c r="F157" s="532" t="str">
        <f t="shared" ca="1" si="48"/>
        <v>UD02</v>
      </c>
      <c r="G157" s="569">
        <f>IF(AU157&lt;&gt;0,MAX($AU$13:$AU156)+1,0)</f>
        <v>68</v>
      </c>
      <c r="H157" s="569">
        <f>IF(AS157&lt;&gt;0,COUNT($H$14:H156,1),"")</f>
        <v>68</v>
      </c>
      <c r="I157" s="533">
        <f t="shared" si="53"/>
        <v>46030</v>
      </c>
      <c r="J157" s="534"/>
      <c r="K157" s="535"/>
      <c r="L157" s="126">
        <f t="shared" ca="1" si="54"/>
        <v>1</v>
      </c>
      <c r="M157" s="127">
        <f t="shared" ca="1" si="54"/>
        <v>1</v>
      </c>
      <c r="N157" s="127">
        <f t="shared" ca="1" si="54"/>
        <v>1</v>
      </c>
      <c r="O157" s="127">
        <f t="shared" ca="1" si="54"/>
        <v>1</v>
      </c>
      <c r="P157" s="128">
        <f t="shared" ca="1" si="54"/>
        <v>1</v>
      </c>
      <c r="Q157" s="126">
        <f t="shared" ca="1" si="54"/>
        <v>1</v>
      </c>
      <c r="R157" s="127">
        <f t="shared" ca="1" si="54"/>
        <v>1</v>
      </c>
      <c r="S157" s="127">
        <f t="shared" ca="1" si="54"/>
        <v>1</v>
      </c>
      <c r="T157" s="127">
        <f t="shared" ca="1" si="54"/>
        <v>1</v>
      </c>
      <c r="U157" s="128">
        <f t="shared" ca="1" si="54"/>
        <v>1</v>
      </c>
      <c r="V157" s="126">
        <f t="shared" ca="1" si="54"/>
        <v>1</v>
      </c>
      <c r="W157" s="127">
        <f t="shared" ca="1" si="54"/>
        <v>1</v>
      </c>
      <c r="X157" s="127">
        <f t="shared" ca="1" si="54"/>
        <v>1</v>
      </c>
      <c r="Y157" s="127">
        <f t="shared" ca="1" si="54"/>
        <v>1</v>
      </c>
      <c r="Z157" s="128">
        <f t="shared" ca="1" si="54"/>
        <v>1</v>
      </c>
      <c r="AA157" s="126">
        <f t="shared" ca="1" si="54"/>
        <v>1</v>
      </c>
      <c r="AB157" s="127">
        <f t="shared" ca="1" si="55"/>
        <v>1</v>
      </c>
      <c r="AC157" s="127">
        <f t="shared" ca="1" si="55"/>
        <v>1</v>
      </c>
      <c r="AD157" s="127">
        <f t="shared" ca="1" si="55"/>
        <v>1</v>
      </c>
      <c r="AE157" s="128">
        <f t="shared" ca="1" si="55"/>
        <v>1</v>
      </c>
      <c r="AF157" s="126">
        <f t="shared" ca="1" si="55"/>
        <v>1</v>
      </c>
      <c r="AG157" s="127">
        <f t="shared" ca="1" si="55"/>
        <v>1</v>
      </c>
      <c r="AH157" s="127">
        <f t="shared" ca="1" si="55"/>
        <v>1</v>
      </c>
      <c r="AI157" s="127">
        <f t="shared" ca="1" si="55"/>
        <v>1</v>
      </c>
      <c r="AJ157" s="128">
        <f t="shared" ca="1" si="55"/>
        <v>1</v>
      </c>
      <c r="AK157" s="126">
        <f t="shared" ca="1" si="55"/>
        <v>1</v>
      </c>
      <c r="AL157" s="127">
        <f t="shared" ca="1" si="55"/>
        <v>1</v>
      </c>
      <c r="AM157" s="127">
        <f t="shared" ca="1" si="55"/>
        <v>1</v>
      </c>
      <c r="AN157" s="127">
        <f t="shared" ca="1" si="55"/>
        <v>1</v>
      </c>
      <c r="AO157" s="129">
        <f t="shared" ca="1" si="44"/>
        <v>1</v>
      </c>
      <c r="AP157" s="536" t="str">
        <f t="shared" si="49"/>
        <v/>
      </c>
      <c r="AQ157" s="536" t="str">
        <f t="shared" si="50"/>
        <v>X</v>
      </c>
      <c r="AR157" s="536" t="str">
        <f t="shared" si="51"/>
        <v/>
      </c>
      <c r="AS157" s="537">
        <f>IF(OR(J157&lt;&gt;"",AP157&amp;AQ157&amp;AR157&lt;&gt;"X",WEEKDAY(I157,2)&gt;5,C157&lt;&gt;0,(FechaInicio1Tri&gt;I157),(FechaFinEEva&lt;I157)),0,_xlfn.XLOOKUP(WEEKDAY(I157,2),Fchs!$J$10:$N$10,Fchs!$J$12:$N$12))</f>
        <v>1</v>
      </c>
      <c r="AT157" s="536">
        <f t="shared" ca="1" si="52"/>
        <v>1</v>
      </c>
      <c r="AU157" s="538">
        <f>IF(AS157&lt;&gt;0,MAXA($AU$14:AU156)+AS157,0)</f>
        <v>68</v>
      </c>
      <c r="AV157" s="538">
        <f ca="1">IF(AT157&lt;&gt;0,MAXA($AU$14:AU156)+AT157,0)</f>
        <v>68</v>
      </c>
      <c r="AW157" s="69"/>
    </row>
    <row r="158" spans="1:49" ht="18.75" customHeight="1" x14ac:dyDescent="0.25">
      <c r="A158" s="69"/>
      <c r="B158" s="56" t="str">
        <f>MID(Info!$AZ$3,(WEEKDAY(I158,2)-1)*3+1,3)</f>
        <v>Vie</v>
      </c>
      <c r="C158" s="523">
        <f>_xlfn.XLOOKUP(I158,Fchs!$C$108:$C$149,Fchs!$D$108:$D$149,0)</f>
        <v>0</v>
      </c>
      <c r="D158" s="523">
        <f>_xlfn.XLOOKUP(I158,Fchs!$C$108:$C$149,Fchs!$E$108:$E$149)</f>
        <v>0</v>
      </c>
      <c r="E158" s="532" t="str">
        <f>IF($AS158&lt;&gt;0,_xlfn.XLOOKUP($G158,UDs!$E$34:$E$55,UDs!$B$34:$B$55,,-1),0)</f>
        <v>UD02</v>
      </c>
      <c r="F158" s="532" t="str">
        <f t="shared" ca="1" si="48"/>
        <v>UD02</v>
      </c>
      <c r="G158" s="569">
        <f>IF(AU158&lt;&gt;0,MAX($AU$13:$AU157)+1,0)</f>
        <v>69</v>
      </c>
      <c r="H158" s="569">
        <f>IF(AS158&lt;&gt;0,COUNT($H$14:H157,1),"")</f>
        <v>69</v>
      </c>
      <c r="I158" s="533">
        <f t="shared" si="53"/>
        <v>46031</v>
      </c>
      <c r="J158" s="534"/>
      <c r="K158" s="535"/>
      <c r="L158" s="126">
        <f t="shared" ca="1" si="54"/>
        <v>1</v>
      </c>
      <c r="M158" s="127">
        <f t="shared" ca="1" si="54"/>
        <v>1</v>
      </c>
      <c r="N158" s="127">
        <f t="shared" ca="1" si="54"/>
        <v>1</v>
      </c>
      <c r="O158" s="127">
        <f t="shared" ca="1" si="54"/>
        <v>1</v>
      </c>
      <c r="P158" s="128">
        <f t="shared" ca="1" si="54"/>
        <v>1</v>
      </c>
      <c r="Q158" s="126">
        <f t="shared" ca="1" si="54"/>
        <v>1</v>
      </c>
      <c r="R158" s="127">
        <f t="shared" ca="1" si="54"/>
        <v>1</v>
      </c>
      <c r="S158" s="127">
        <f t="shared" ca="1" si="54"/>
        <v>1</v>
      </c>
      <c r="T158" s="127">
        <f t="shared" ca="1" si="54"/>
        <v>1</v>
      </c>
      <c r="U158" s="128">
        <f t="shared" ca="1" si="54"/>
        <v>1</v>
      </c>
      <c r="V158" s="126">
        <f t="shared" ca="1" si="54"/>
        <v>1</v>
      </c>
      <c r="W158" s="127">
        <f t="shared" ca="1" si="54"/>
        <v>1</v>
      </c>
      <c r="X158" s="127">
        <f t="shared" ca="1" si="54"/>
        <v>1</v>
      </c>
      <c r="Y158" s="127">
        <f t="shared" ca="1" si="54"/>
        <v>1</v>
      </c>
      <c r="Z158" s="128">
        <f t="shared" ca="1" si="54"/>
        <v>1</v>
      </c>
      <c r="AA158" s="126">
        <f t="shared" ca="1" si="54"/>
        <v>1</v>
      </c>
      <c r="AB158" s="127">
        <f t="shared" ca="1" si="55"/>
        <v>1</v>
      </c>
      <c r="AC158" s="127">
        <f t="shared" ca="1" si="55"/>
        <v>1</v>
      </c>
      <c r="AD158" s="127">
        <f t="shared" ca="1" si="55"/>
        <v>1</v>
      </c>
      <c r="AE158" s="128">
        <f t="shared" ca="1" si="55"/>
        <v>1</v>
      </c>
      <c r="AF158" s="126">
        <f t="shared" ca="1" si="55"/>
        <v>1</v>
      </c>
      <c r="AG158" s="127">
        <f t="shared" ca="1" si="55"/>
        <v>1</v>
      </c>
      <c r="AH158" s="127">
        <f t="shared" ca="1" si="55"/>
        <v>1</v>
      </c>
      <c r="AI158" s="127">
        <f t="shared" ca="1" si="55"/>
        <v>1</v>
      </c>
      <c r="AJ158" s="128">
        <f t="shared" ca="1" si="55"/>
        <v>1</v>
      </c>
      <c r="AK158" s="126">
        <f t="shared" ca="1" si="55"/>
        <v>1</v>
      </c>
      <c r="AL158" s="127">
        <f t="shared" ca="1" si="55"/>
        <v>1</v>
      </c>
      <c r="AM158" s="127">
        <f t="shared" ca="1" si="55"/>
        <v>1</v>
      </c>
      <c r="AN158" s="127">
        <f t="shared" ca="1" si="55"/>
        <v>1</v>
      </c>
      <c r="AO158" s="129">
        <f t="shared" ca="1" si="44"/>
        <v>1</v>
      </c>
      <c r="AP158" s="536" t="str">
        <f t="shared" si="49"/>
        <v/>
      </c>
      <c r="AQ158" s="536" t="str">
        <f t="shared" si="50"/>
        <v>X</v>
      </c>
      <c r="AR158" s="536" t="str">
        <f t="shared" si="51"/>
        <v/>
      </c>
      <c r="AS158" s="537">
        <f>IF(OR(J158&lt;&gt;"",AP158&amp;AQ158&amp;AR158&lt;&gt;"X",WEEKDAY(I158,2)&gt;5,C158&lt;&gt;0,(FechaInicio1Tri&gt;I158),(FechaFinEEva&lt;I158)),0,_xlfn.XLOOKUP(WEEKDAY(I158,2),Fchs!$J$10:$N$10,Fchs!$J$12:$N$12))</f>
        <v>1</v>
      </c>
      <c r="AT158" s="536">
        <f t="shared" ca="1" si="52"/>
        <v>1</v>
      </c>
      <c r="AU158" s="538">
        <f>IF(AS158&lt;&gt;0,MAXA($AU$14:AU157)+AS158,0)</f>
        <v>69</v>
      </c>
      <c r="AV158" s="538">
        <f ca="1">IF(AT158&lt;&gt;0,MAXA($AU$14:AU157)+AT158,0)</f>
        <v>69</v>
      </c>
      <c r="AW158" s="69"/>
    </row>
    <row r="159" spans="1:49" ht="18.75" customHeight="1" x14ac:dyDescent="0.25">
      <c r="A159" s="69"/>
      <c r="B159" s="56" t="str">
        <f>MID(Info!$AZ$3,(WEEKDAY(I159,2)-1)*3+1,3)</f>
        <v>Sáb</v>
      </c>
      <c r="C159" s="523">
        <f>_xlfn.XLOOKUP(I159,Fchs!$C$108:$C$149,Fchs!$D$108:$D$149,0)</f>
        <v>0</v>
      </c>
      <c r="D159" s="523">
        <f>_xlfn.XLOOKUP(I159,Fchs!$C$108:$C$149,Fchs!$E$108:$E$149)</f>
        <v>0</v>
      </c>
      <c r="E159" s="532">
        <f>IF($AS159&lt;&gt;0,_xlfn.XLOOKUP($G159,UDs!$E$34:$E$55,UDs!$B$34:$B$55,,-1),0)</f>
        <v>0</v>
      </c>
      <c r="F159" s="532">
        <f t="shared" ca="1" si="48"/>
        <v>0</v>
      </c>
      <c r="G159" s="569">
        <f>IF(AU159&lt;&gt;0,MAX($AU$13:$AU158)+1,0)</f>
        <v>0</v>
      </c>
      <c r="H159" s="569" t="str">
        <f>IF(AS159&lt;&gt;0,COUNT($H$14:H158,1),"")</f>
        <v/>
      </c>
      <c r="I159" s="533">
        <f t="shared" si="53"/>
        <v>46032</v>
      </c>
      <c r="J159" s="534"/>
      <c r="K159" s="535"/>
      <c r="L159" s="126">
        <f t="shared" ca="1" si="54"/>
        <v>0</v>
      </c>
      <c r="M159" s="127">
        <f t="shared" ca="1" si="54"/>
        <v>0</v>
      </c>
      <c r="N159" s="127">
        <f t="shared" ca="1" si="54"/>
        <v>0</v>
      </c>
      <c r="O159" s="127">
        <f t="shared" ca="1" si="54"/>
        <v>0</v>
      </c>
      <c r="P159" s="128">
        <f t="shared" ca="1" si="54"/>
        <v>0</v>
      </c>
      <c r="Q159" s="126">
        <f t="shared" ca="1" si="54"/>
        <v>0</v>
      </c>
      <c r="R159" s="127">
        <f t="shared" ca="1" si="54"/>
        <v>0</v>
      </c>
      <c r="S159" s="127">
        <f t="shared" ca="1" si="54"/>
        <v>0</v>
      </c>
      <c r="T159" s="127">
        <f t="shared" ca="1" si="54"/>
        <v>0</v>
      </c>
      <c r="U159" s="128">
        <f t="shared" ca="1" si="54"/>
        <v>0</v>
      </c>
      <c r="V159" s="126">
        <f t="shared" ca="1" si="54"/>
        <v>0</v>
      </c>
      <c r="W159" s="127">
        <f t="shared" ca="1" si="54"/>
        <v>0</v>
      </c>
      <c r="X159" s="127">
        <f t="shared" ca="1" si="54"/>
        <v>0</v>
      </c>
      <c r="Y159" s="127">
        <f t="shared" ca="1" si="54"/>
        <v>0</v>
      </c>
      <c r="Z159" s="128">
        <f t="shared" ca="1" si="54"/>
        <v>0</v>
      </c>
      <c r="AA159" s="126">
        <f t="shared" ca="1" si="54"/>
        <v>0</v>
      </c>
      <c r="AB159" s="127">
        <f t="shared" ca="1" si="55"/>
        <v>0</v>
      </c>
      <c r="AC159" s="127">
        <f t="shared" ca="1" si="55"/>
        <v>0</v>
      </c>
      <c r="AD159" s="127">
        <f t="shared" ca="1" si="55"/>
        <v>0</v>
      </c>
      <c r="AE159" s="128">
        <f t="shared" ca="1" si="55"/>
        <v>0</v>
      </c>
      <c r="AF159" s="126">
        <f t="shared" ca="1" si="55"/>
        <v>0</v>
      </c>
      <c r="AG159" s="127">
        <f t="shared" ca="1" si="55"/>
        <v>0</v>
      </c>
      <c r="AH159" s="127">
        <f t="shared" ca="1" si="55"/>
        <v>0</v>
      </c>
      <c r="AI159" s="127">
        <f t="shared" ca="1" si="55"/>
        <v>0</v>
      </c>
      <c r="AJ159" s="128">
        <f t="shared" ca="1" si="55"/>
        <v>0</v>
      </c>
      <c r="AK159" s="126">
        <f t="shared" ca="1" si="55"/>
        <v>0</v>
      </c>
      <c r="AL159" s="127">
        <f t="shared" ca="1" si="55"/>
        <v>0</v>
      </c>
      <c r="AM159" s="127">
        <f t="shared" ca="1" si="55"/>
        <v>0</v>
      </c>
      <c r="AN159" s="127">
        <f t="shared" ca="1" si="55"/>
        <v>0</v>
      </c>
      <c r="AO159" s="129">
        <f t="shared" ca="1" si="44"/>
        <v>0</v>
      </c>
      <c r="AP159" s="536" t="str">
        <f t="shared" si="49"/>
        <v/>
      </c>
      <c r="AQ159" s="536" t="str">
        <f t="shared" si="50"/>
        <v/>
      </c>
      <c r="AR159" s="536" t="str">
        <f t="shared" si="51"/>
        <v/>
      </c>
      <c r="AS159" s="537">
        <f>IF(OR(J159&lt;&gt;"",AP159&amp;AQ159&amp;AR159&lt;&gt;"X",WEEKDAY(I159,2)&gt;5,C159&lt;&gt;0,(FechaInicio1Tri&gt;I159),(FechaFinEEva&lt;I159)),0,_xlfn.XLOOKUP(WEEKDAY(I159,2),Fchs!$J$10:$N$10,Fchs!$J$12:$N$12))</f>
        <v>0</v>
      </c>
      <c r="AT159" s="536">
        <f t="shared" ca="1" si="52"/>
        <v>0</v>
      </c>
      <c r="AU159" s="538">
        <f>IF(AS159&lt;&gt;0,MAXA($AU$14:AU158)+AS159,0)</f>
        <v>0</v>
      </c>
      <c r="AV159" s="538">
        <f ca="1">IF(AT159&lt;&gt;0,MAXA($AU$14:AU158)+AT159,0)</f>
        <v>0</v>
      </c>
      <c r="AW159" s="69"/>
    </row>
    <row r="160" spans="1:49" ht="18.75" customHeight="1" x14ac:dyDescent="0.25">
      <c r="A160" s="69"/>
      <c r="B160" s="56" t="str">
        <f>MID(Info!$AZ$3,(WEEKDAY(I160,2)-1)*3+1,3)</f>
        <v>Dom</v>
      </c>
      <c r="C160" s="523">
        <f>_xlfn.XLOOKUP(I160,Fchs!$C$108:$C$149,Fchs!$D$108:$D$149,0)</f>
        <v>0</v>
      </c>
      <c r="D160" s="523">
        <f>_xlfn.XLOOKUP(I160,Fchs!$C$108:$C$149,Fchs!$E$108:$E$149)</f>
        <v>0</v>
      </c>
      <c r="E160" s="532">
        <f>IF($AS160&lt;&gt;0,_xlfn.XLOOKUP($G160,UDs!$E$34:$E$55,UDs!$B$34:$B$55,,-1),0)</f>
        <v>0</v>
      </c>
      <c r="F160" s="532">
        <f t="shared" ca="1" si="48"/>
        <v>0</v>
      </c>
      <c r="G160" s="569">
        <f>IF(AU160&lt;&gt;0,MAX($AU$13:$AU159)+1,0)</f>
        <v>0</v>
      </c>
      <c r="H160" s="569" t="str">
        <f>IF(AS160&lt;&gt;0,COUNT($H$14:H159,1),"")</f>
        <v/>
      </c>
      <c r="I160" s="533">
        <f t="shared" si="53"/>
        <v>46033</v>
      </c>
      <c r="J160" s="534"/>
      <c r="K160" s="535"/>
      <c r="L160" s="126">
        <f t="shared" ca="1" si="54"/>
        <v>0</v>
      </c>
      <c r="M160" s="127">
        <f t="shared" ca="1" si="54"/>
        <v>0</v>
      </c>
      <c r="N160" s="127">
        <f t="shared" ca="1" si="54"/>
        <v>0</v>
      </c>
      <c r="O160" s="127">
        <f t="shared" ca="1" si="54"/>
        <v>0</v>
      </c>
      <c r="P160" s="128">
        <f t="shared" ca="1" si="54"/>
        <v>0</v>
      </c>
      <c r="Q160" s="126">
        <f t="shared" ca="1" si="54"/>
        <v>0</v>
      </c>
      <c r="R160" s="127">
        <f t="shared" ca="1" si="54"/>
        <v>0</v>
      </c>
      <c r="S160" s="127">
        <f t="shared" ca="1" si="54"/>
        <v>0</v>
      </c>
      <c r="T160" s="127">
        <f t="shared" ca="1" si="54"/>
        <v>0</v>
      </c>
      <c r="U160" s="128">
        <f t="shared" ca="1" si="54"/>
        <v>0</v>
      </c>
      <c r="V160" s="126">
        <f t="shared" ca="1" si="54"/>
        <v>0</v>
      </c>
      <c r="W160" s="127">
        <f t="shared" ca="1" si="54"/>
        <v>0</v>
      </c>
      <c r="X160" s="127">
        <f t="shared" ca="1" si="54"/>
        <v>0</v>
      </c>
      <c r="Y160" s="127">
        <f t="shared" ca="1" si="54"/>
        <v>0</v>
      </c>
      <c r="Z160" s="128">
        <f t="shared" ca="1" si="54"/>
        <v>0</v>
      </c>
      <c r="AA160" s="126">
        <f t="shared" ca="1" si="54"/>
        <v>0</v>
      </c>
      <c r="AB160" s="127">
        <f t="shared" ca="1" si="55"/>
        <v>0</v>
      </c>
      <c r="AC160" s="127">
        <f t="shared" ca="1" si="55"/>
        <v>0</v>
      </c>
      <c r="AD160" s="127">
        <f t="shared" ca="1" si="55"/>
        <v>0</v>
      </c>
      <c r="AE160" s="128">
        <f t="shared" ca="1" si="55"/>
        <v>0</v>
      </c>
      <c r="AF160" s="126">
        <f t="shared" ca="1" si="55"/>
        <v>0</v>
      </c>
      <c r="AG160" s="127">
        <f t="shared" ca="1" si="55"/>
        <v>0</v>
      </c>
      <c r="AH160" s="127">
        <f t="shared" ca="1" si="55"/>
        <v>0</v>
      </c>
      <c r="AI160" s="127">
        <f t="shared" ca="1" si="55"/>
        <v>0</v>
      </c>
      <c r="AJ160" s="128">
        <f t="shared" ca="1" si="55"/>
        <v>0</v>
      </c>
      <c r="AK160" s="126">
        <f t="shared" ca="1" si="55"/>
        <v>0</v>
      </c>
      <c r="AL160" s="127">
        <f t="shared" ca="1" si="55"/>
        <v>0</v>
      </c>
      <c r="AM160" s="127">
        <f t="shared" ca="1" si="55"/>
        <v>0</v>
      </c>
      <c r="AN160" s="127">
        <f t="shared" ca="1" si="55"/>
        <v>0</v>
      </c>
      <c r="AO160" s="129">
        <f t="shared" ca="1" si="44"/>
        <v>0</v>
      </c>
      <c r="AP160" s="536" t="str">
        <f t="shared" si="49"/>
        <v/>
      </c>
      <c r="AQ160" s="536" t="str">
        <f t="shared" si="50"/>
        <v/>
      </c>
      <c r="AR160" s="536" t="str">
        <f t="shared" si="51"/>
        <v/>
      </c>
      <c r="AS160" s="537">
        <f>IF(OR(J160&lt;&gt;"",AP160&amp;AQ160&amp;AR160&lt;&gt;"X",WEEKDAY(I160,2)&gt;5,C160&lt;&gt;0,(FechaInicio1Tri&gt;I160),(FechaFinEEva&lt;I160)),0,_xlfn.XLOOKUP(WEEKDAY(I160,2),Fchs!$J$10:$N$10,Fchs!$J$12:$N$12))</f>
        <v>0</v>
      </c>
      <c r="AT160" s="536">
        <f t="shared" ca="1" si="52"/>
        <v>0</v>
      </c>
      <c r="AU160" s="538">
        <f>IF(AS160&lt;&gt;0,MAXA($AU$14:AU159)+AS160,0)</f>
        <v>0</v>
      </c>
      <c r="AV160" s="538">
        <f ca="1">IF(AT160&lt;&gt;0,MAXA($AU$14:AU159)+AT160,0)</f>
        <v>0</v>
      </c>
      <c r="AW160" s="69"/>
    </row>
    <row r="161" spans="1:49" ht="18.75" customHeight="1" x14ac:dyDescent="0.25">
      <c r="A161" s="69"/>
      <c r="B161" s="56" t="str">
        <f>MID(Info!$AZ$3,(WEEKDAY(I161,2)-1)*3+1,3)</f>
        <v>Lun</v>
      </c>
      <c r="C161" s="523">
        <f>_xlfn.XLOOKUP(I161,Fchs!$C$108:$C$149,Fchs!$D$108:$D$149,0)</f>
        <v>0</v>
      </c>
      <c r="D161" s="523">
        <f>_xlfn.XLOOKUP(I161,Fchs!$C$108:$C$149,Fchs!$E$108:$E$149)</f>
        <v>0</v>
      </c>
      <c r="E161" s="532" t="str">
        <f>IF($AS161&lt;&gt;0,_xlfn.XLOOKUP($G161,UDs!$E$34:$E$55,UDs!$B$34:$B$55,,-1),0)</f>
        <v>UD02</v>
      </c>
      <c r="F161" s="532" t="str">
        <f t="shared" ca="1" si="48"/>
        <v>UD02</v>
      </c>
      <c r="G161" s="569">
        <f>IF(AU161&lt;&gt;0,MAX($AU$13:$AU160)+1,0)</f>
        <v>70</v>
      </c>
      <c r="H161" s="569">
        <f>IF(AS161&lt;&gt;0,COUNT($H$14:H160,1),"")</f>
        <v>70</v>
      </c>
      <c r="I161" s="533">
        <f t="shared" si="53"/>
        <v>46034</v>
      </c>
      <c r="J161" s="534"/>
      <c r="K161" s="535"/>
      <c r="L161" s="126">
        <f t="shared" ca="1" si="54"/>
        <v>1</v>
      </c>
      <c r="M161" s="127">
        <f t="shared" ca="1" si="54"/>
        <v>1</v>
      </c>
      <c r="N161" s="127">
        <f t="shared" ca="1" si="54"/>
        <v>1</v>
      </c>
      <c r="O161" s="127">
        <f t="shared" ca="1" si="54"/>
        <v>1</v>
      </c>
      <c r="P161" s="128">
        <f t="shared" ca="1" si="54"/>
        <v>1</v>
      </c>
      <c r="Q161" s="126">
        <f t="shared" ca="1" si="54"/>
        <v>1</v>
      </c>
      <c r="R161" s="127">
        <f t="shared" ca="1" si="54"/>
        <v>1</v>
      </c>
      <c r="S161" s="127">
        <f t="shared" ca="1" si="54"/>
        <v>1</v>
      </c>
      <c r="T161" s="127">
        <f t="shared" ca="1" si="54"/>
        <v>1</v>
      </c>
      <c r="U161" s="128">
        <f t="shared" ca="1" si="54"/>
        <v>1</v>
      </c>
      <c r="V161" s="126">
        <f t="shared" ca="1" si="54"/>
        <v>1</v>
      </c>
      <c r="W161" s="127">
        <f t="shared" ca="1" si="54"/>
        <v>1</v>
      </c>
      <c r="X161" s="127">
        <f t="shared" ca="1" si="54"/>
        <v>1</v>
      </c>
      <c r="Y161" s="127">
        <f t="shared" ca="1" si="54"/>
        <v>1</v>
      </c>
      <c r="Z161" s="128">
        <f t="shared" ca="1" si="54"/>
        <v>1</v>
      </c>
      <c r="AA161" s="126">
        <f t="shared" ca="1" si="54"/>
        <v>1</v>
      </c>
      <c r="AB161" s="127">
        <f t="shared" ca="1" si="55"/>
        <v>1</v>
      </c>
      <c r="AC161" s="127">
        <f t="shared" ca="1" si="55"/>
        <v>1</v>
      </c>
      <c r="AD161" s="127">
        <f t="shared" ca="1" si="55"/>
        <v>1</v>
      </c>
      <c r="AE161" s="128">
        <f t="shared" ca="1" si="55"/>
        <v>1</v>
      </c>
      <c r="AF161" s="126">
        <f t="shared" ca="1" si="55"/>
        <v>1</v>
      </c>
      <c r="AG161" s="127">
        <f t="shared" ca="1" si="55"/>
        <v>1</v>
      </c>
      <c r="AH161" s="127">
        <f t="shared" ca="1" si="55"/>
        <v>1</v>
      </c>
      <c r="AI161" s="127">
        <f t="shared" ca="1" si="55"/>
        <v>1</v>
      </c>
      <c r="AJ161" s="128">
        <f t="shared" ca="1" si="55"/>
        <v>1</v>
      </c>
      <c r="AK161" s="126">
        <f t="shared" ca="1" si="55"/>
        <v>1</v>
      </c>
      <c r="AL161" s="127">
        <f t="shared" ca="1" si="55"/>
        <v>1</v>
      </c>
      <c r="AM161" s="127">
        <f t="shared" ca="1" si="55"/>
        <v>1</v>
      </c>
      <c r="AN161" s="127">
        <f t="shared" ca="1" si="55"/>
        <v>1</v>
      </c>
      <c r="AO161" s="129">
        <f t="shared" ca="1" si="44"/>
        <v>1</v>
      </c>
      <c r="AP161" s="536" t="str">
        <f t="shared" si="49"/>
        <v/>
      </c>
      <c r="AQ161" s="536" t="str">
        <f t="shared" si="50"/>
        <v>X</v>
      </c>
      <c r="AR161" s="536" t="str">
        <f t="shared" si="51"/>
        <v/>
      </c>
      <c r="AS161" s="537">
        <f>IF(OR(J161&lt;&gt;"",AP161&amp;AQ161&amp;AR161&lt;&gt;"X",WEEKDAY(I161,2)&gt;5,C161&lt;&gt;0,(FechaInicio1Tri&gt;I161),(FechaFinEEva&lt;I161)),0,_xlfn.XLOOKUP(WEEKDAY(I161,2),Fchs!$J$10:$N$10,Fchs!$J$12:$N$12))</f>
        <v>1</v>
      </c>
      <c r="AT161" s="536">
        <f t="shared" ca="1" si="52"/>
        <v>1</v>
      </c>
      <c r="AU161" s="538">
        <f>IF(AS161&lt;&gt;0,MAXA($AU$14:AU160)+AS161,0)</f>
        <v>70</v>
      </c>
      <c r="AV161" s="538">
        <f ca="1">IF(AT161&lt;&gt;0,MAXA($AU$14:AU160)+AT161,0)</f>
        <v>70</v>
      </c>
      <c r="AW161" s="69"/>
    </row>
    <row r="162" spans="1:49" ht="18.75" customHeight="1" x14ac:dyDescent="0.25">
      <c r="A162" s="69"/>
      <c r="B162" s="56" t="str">
        <f>MID(Info!$AZ$3,(WEEKDAY(I162,2)-1)*3+1,3)</f>
        <v>Mar</v>
      </c>
      <c r="C162" s="523">
        <f>_xlfn.XLOOKUP(I162,Fchs!$C$108:$C$149,Fchs!$D$108:$D$149,0)</f>
        <v>0</v>
      </c>
      <c r="D162" s="523">
        <f>_xlfn.XLOOKUP(I162,Fchs!$C$108:$C$149,Fchs!$E$108:$E$149)</f>
        <v>0</v>
      </c>
      <c r="E162" s="532" t="str">
        <f>IF($AS162&lt;&gt;0,_xlfn.XLOOKUP($G162,UDs!$E$34:$E$55,UDs!$B$34:$B$55,,-1),0)</f>
        <v>UD02</v>
      </c>
      <c r="F162" s="532" t="str">
        <f t="shared" ca="1" si="48"/>
        <v>UD02</v>
      </c>
      <c r="G162" s="569">
        <f>IF(AU162&lt;&gt;0,MAX($AU$13:$AU161)+1,0)</f>
        <v>71</v>
      </c>
      <c r="H162" s="569">
        <f>IF(AS162&lt;&gt;0,COUNT($H$14:H161,1),"")</f>
        <v>71</v>
      </c>
      <c r="I162" s="533">
        <f t="shared" si="53"/>
        <v>46035</v>
      </c>
      <c r="J162" s="534"/>
      <c r="K162" s="535"/>
      <c r="L162" s="126">
        <f t="shared" ca="1" si="54"/>
        <v>1</v>
      </c>
      <c r="M162" s="127">
        <f t="shared" ca="1" si="54"/>
        <v>1</v>
      </c>
      <c r="N162" s="127">
        <f t="shared" ca="1" si="54"/>
        <v>1</v>
      </c>
      <c r="O162" s="127">
        <f t="shared" ca="1" si="54"/>
        <v>1</v>
      </c>
      <c r="P162" s="128">
        <f t="shared" ca="1" si="54"/>
        <v>1</v>
      </c>
      <c r="Q162" s="126">
        <f t="shared" ca="1" si="54"/>
        <v>1</v>
      </c>
      <c r="R162" s="127">
        <f t="shared" ca="1" si="54"/>
        <v>1</v>
      </c>
      <c r="S162" s="127">
        <f t="shared" ca="1" si="54"/>
        <v>1</v>
      </c>
      <c r="T162" s="127">
        <f t="shared" ca="1" si="54"/>
        <v>1</v>
      </c>
      <c r="U162" s="128">
        <f t="shared" ca="1" si="54"/>
        <v>1</v>
      </c>
      <c r="V162" s="126">
        <f t="shared" ca="1" si="54"/>
        <v>1</v>
      </c>
      <c r="W162" s="127">
        <f t="shared" ca="1" si="54"/>
        <v>1</v>
      </c>
      <c r="X162" s="127">
        <f t="shared" ca="1" si="54"/>
        <v>1</v>
      </c>
      <c r="Y162" s="127">
        <f t="shared" ca="1" si="54"/>
        <v>1</v>
      </c>
      <c r="Z162" s="128">
        <f t="shared" ca="1" si="54"/>
        <v>1</v>
      </c>
      <c r="AA162" s="126">
        <f t="shared" ca="1" si="54"/>
        <v>1</v>
      </c>
      <c r="AB162" s="127">
        <f t="shared" ca="1" si="55"/>
        <v>1</v>
      </c>
      <c r="AC162" s="127">
        <f t="shared" ca="1" si="55"/>
        <v>1</v>
      </c>
      <c r="AD162" s="127">
        <f t="shared" ca="1" si="55"/>
        <v>1</v>
      </c>
      <c r="AE162" s="128">
        <f t="shared" ca="1" si="55"/>
        <v>1</v>
      </c>
      <c r="AF162" s="126">
        <f t="shared" ca="1" si="55"/>
        <v>1</v>
      </c>
      <c r="AG162" s="127">
        <f t="shared" ca="1" si="55"/>
        <v>1</v>
      </c>
      <c r="AH162" s="127">
        <f t="shared" ca="1" si="55"/>
        <v>1</v>
      </c>
      <c r="AI162" s="127">
        <f t="shared" ca="1" si="55"/>
        <v>1</v>
      </c>
      <c r="AJ162" s="128">
        <f t="shared" ca="1" si="55"/>
        <v>1</v>
      </c>
      <c r="AK162" s="126">
        <f t="shared" ca="1" si="55"/>
        <v>1</v>
      </c>
      <c r="AL162" s="127">
        <f t="shared" ca="1" si="55"/>
        <v>1</v>
      </c>
      <c r="AM162" s="127">
        <f t="shared" ca="1" si="55"/>
        <v>1</v>
      </c>
      <c r="AN162" s="127">
        <f t="shared" ca="1" si="55"/>
        <v>1</v>
      </c>
      <c r="AO162" s="129">
        <f t="shared" ca="1" si="44"/>
        <v>1</v>
      </c>
      <c r="AP162" s="536" t="str">
        <f t="shared" si="49"/>
        <v/>
      </c>
      <c r="AQ162" s="536" t="str">
        <f t="shared" si="50"/>
        <v>X</v>
      </c>
      <c r="AR162" s="536" t="str">
        <f t="shared" si="51"/>
        <v/>
      </c>
      <c r="AS162" s="537">
        <f>IF(OR(J162&lt;&gt;"",AP162&amp;AQ162&amp;AR162&lt;&gt;"X",WEEKDAY(I162,2)&gt;5,C162&lt;&gt;0,(FechaInicio1Tri&gt;I162),(FechaFinEEva&lt;I162)),0,_xlfn.XLOOKUP(WEEKDAY(I162,2),Fchs!$J$10:$N$10,Fchs!$J$12:$N$12))</f>
        <v>1</v>
      </c>
      <c r="AT162" s="536">
        <f t="shared" ca="1" si="52"/>
        <v>1</v>
      </c>
      <c r="AU162" s="538">
        <f>IF(AS162&lt;&gt;0,MAXA($AU$14:AU161)+AS162,0)</f>
        <v>71</v>
      </c>
      <c r="AV162" s="538">
        <f ca="1">IF(AT162&lt;&gt;0,MAXA($AU$14:AU161)+AT162,0)</f>
        <v>71</v>
      </c>
      <c r="AW162" s="69"/>
    </row>
    <row r="163" spans="1:49" ht="18.75" customHeight="1" x14ac:dyDescent="0.25">
      <c r="A163" s="69"/>
      <c r="B163" s="56" t="str">
        <f>MID(Info!$AZ$3,(WEEKDAY(I163,2)-1)*3+1,3)</f>
        <v>Mié</v>
      </c>
      <c r="C163" s="523">
        <f>_xlfn.XLOOKUP(I163,Fchs!$C$108:$C$149,Fchs!$D$108:$D$149,0)</f>
        <v>0</v>
      </c>
      <c r="D163" s="523">
        <f>_xlfn.XLOOKUP(I163,Fchs!$C$108:$C$149,Fchs!$E$108:$E$149)</f>
        <v>0</v>
      </c>
      <c r="E163" s="532" t="str">
        <f>IF($AS163&lt;&gt;0,_xlfn.XLOOKUP($G163,UDs!$E$34:$E$55,UDs!$B$34:$B$55,,-1),0)</f>
        <v>UD02</v>
      </c>
      <c r="F163" s="532" t="str">
        <f t="shared" ca="1" si="48"/>
        <v>UD02</v>
      </c>
      <c r="G163" s="569">
        <f>IF(AU163&lt;&gt;0,MAX($AU$13:$AU162)+1,0)</f>
        <v>72</v>
      </c>
      <c r="H163" s="569">
        <f>IF(AS163&lt;&gt;0,COUNT($H$14:H162,1),"")</f>
        <v>72</v>
      </c>
      <c r="I163" s="533">
        <f t="shared" si="53"/>
        <v>46036</v>
      </c>
      <c r="J163" s="534"/>
      <c r="K163" s="535"/>
      <c r="L163" s="126">
        <f t="shared" ca="1" si="54"/>
        <v>1</v>
      </c>
      <c r="M163" s="127">
        <f t="shared" ca="1" si="54"/>
        <v>1</v>
      </c>
      <c r="N163" s="127">
        <f t="shared" ca="1" si="54"/>
        <v>1</v>
      </c>
      <c r="O163" s="127">
        <f t="shared" ca="1" si="54"/>
        <v>1</v>
      </c>
      <c r="P163" s="128">
        <f t="shared" ca="1" si="54"/>
        <v>1</v>
      </c>
      <c r="Q163" s="126">
        <f t="shared" ca="1" si="54"/>
        <v>1</v>
      </c>
      <c r="R163" s="127">
        <f t="shared" ca="1" si="54"/>
        <v>1</v>
      </c>
      <c r="S163" s="127">
        <f t="shared" ca="1" si="54"/>
        <v>1</v>
      </c>
      <c r="T163" s="127">
        <f t="shared" ca="1" si="54"/>
        <v>1</v>
      </c>
      <c r="U163" s="128">
        <f t="shared" ca="1" si="54"/>
        <v>1</v>
      </c>
      <c r="V163" s="126">
        <f t="shared" ca="1" si="54"/>
        <v>1</v>
      </c>
      <c r="W163" s="127">
        <f t="shared" ca="1" si="54"/>
        <v>1</v>
      </c>
      <c r="X163" s="127">
        <f t="shared" ca="1" si="54"/>
        <v>1</v>
      </c>
      <c r="Y163" s="127">
        <f t="shared" ca="1" si="54"/>
        <v>1</v>
      </c>
      <c r="Z163" s="128">
        <f t="shared" ca="1" si="54"/>
        <v>1</v>
      </c>
      <c r="AA163" s="126">
        <f t="shared" ca="1" si="54"/>
        <v>1</v>
      </c>
      <c r="AB163" s="127">
        <f t="shared" ca="1" si="55"/>
        <v>1</v>
      </c>
      <c r="AC163" s="127">
        <f t="shared" ca="1" si="55"/>
        <v>1</v>
      </c>
      <c r="AD163" s="127">
        <f t="shared" ca="1" si="55"/>
        <v>1</v>
      </c>
      <c r="AE163" s="128">
        <f t="shared" ca="1" si="55"/>
        <v>1</v>
      </c>
      <c r="AF163" s="126">
        <f t="shared" ca="1" si="55"/>
        <v>1</v>
      </c>
      <c r="AG163" s="127">
        <f t="shared" ca="1" si="55"/>
        <v>1</v>
      </c>
      <c r="AH163" s="127">
        <f t="shared" ca="1" si="55"/>
        <v>1</v>
      </c>
      <c r="AI163" s="127">
        <f t="shared" ca="1" si="55"/>
        <v>1</v>
      </c>
      <c r="AJ163" s="128">
        <f t="shared" ca="1" si="55"/>
        <v>1</v>
      </c>
      <c r="AK163" s="126">
        <f t="shared" ca="1" si="55"/>
        <v>1</v>
      </c>
      <c r="AL163" s="127">
        <f t="shared" ca="1" si="55"/>
        <v>1</v>
      </c>
      <c r="AM163" s="127">
        <f t="shared" ca="1" si="55"/>
        <v>1</v>
      </c>
      <c r="AN163" s="127">
        <f t="shared" ca="1" si="55"/>
        <v>1</v>
      </c>
      <c r="AO163" s="129">
        <f t="shared" ca="1" si="44"/>
        <v>1</v>
      </c>
      <c r="AP163" s="536" t="str">
        <f t="shared" si="49"/>
        <v/>
      </c>
      <c r="AQ163" s="536" t="str">
        <f t="shared" si="50"/>
        <v>X</v>
      </c>
      <c r="AR163" s="536" t="str">
        <f t="shared" si="51"/>
        <v/>
      </c>
      <c r="AS163" s="537">
        <f>IF(OR(J163&lt;&gt;"",AP163&amp;AQ163&amp;AR163&lt;&gt;"X",WEEKDAY(I163,2)&gt;5,C163&lt;&gt;0,(FechaInicio1Tri&gt;I163),(FechaFinEEva&lt;I163)),0,_xlfn.XLOOKUP(WEEKDAY(I163,2),Fchs!$J$10:$N$10,Fchs!$J$12:$N$12))</f>
        <v>1</v>
      </c>
      <c r="AT163" s="536">
        <f t="shared" ca="1" si="52"/>
        <v>1</v>
      </c>
      <c r="AU163" s="538">
        <f>IF(AS163&lt;&gt;0,MAXA($AU$14:AU162)+AS163,0)</f>
        <v>72</v>
      </c>
      <c r="AV163" s="538">
        <f ca="1">IF(AT163&lt;&gt;0,MAXA($AU$14:AU162)+AT163,0)</f>
        <v>72</v>
      </c>
      <c r="AW163" s="69"/>
    </row>
    <row r="164" spans="1:49" ht="18.75" customHeight="1" x14ac:dyDescent="0.25">
      <c r="A164" s="69"/>
      <c r="B164" s="56" t="str">
        <f>MID(Info!$AZ$3,(WEEKDAY(I164,2)-1)*3+1,3)</f>
        <v>Jue</v>
      </c>
      <c r="C164" s="523">
        <f>_xlfn.XLOOKUP(I164,Fchs!$C$108:$C$149,Fchs!$D$108:$D$149,0)</f>
        <v>0</v>
      </c>
      <c r="D164" s="523">
        <f>_xlfn.XLOOKUP(I164,Fchs!$C$108:$C$149,Fchs!$E$108:$E$149)</f>
        <v>0</v>
      </c>
      <c r="E164" s="532" t="str">
        <f>IF($AS164&lt;&gt;0,_xlfn.XLOOKUP($G164,UDs!$E$34:$E$55,UDs!$B$34:$B$55,,-1),0)</f>
        <v>UD02</v>
      </c>
      <c r="F164" s="532" t="str">
        <f t="shared" ca="1" si="48"/>
        <v>UD02</v>
      </c>
      <c r="G164" s="569">
        <f>IF(AU164&lt;&gt;0,MAX($AU$13:$AU163)+1,0)</f>
        <v>73</v>
      </c>
      <c r="H164" s="569">
        <f>IF(AS164&lt;&gt;0,COUNT($H$14:H163,1),"")</f>
        <v>73</v>
      </c>
      <c r="I164" s="533">
        <f t="shared" si="53"/>
        <v>46037</v>
      </c>
      <c r="J164" s="534"/>
      <c r="K164" s="535"/>
      <c r="L164" s="126">
        <f t="shared" ca="1" si="54"/>
        <v>1</v>
      </c>
      <c r="M164" s="127">
        <f t="shared" ca="1" si="54"/>
        <v>1</v>
      </c>
      <c r="N164" s="127">
        <f t="shared" ca="1" si="54"/>
        <v>1</v>
      </c>
      <c r="O164" s="127">
        <f t="shared" ca="1" si="54"/>
        <v>1</v>
      </c>
      <c r="P164" s="128">
        <f t="shared" ca="1" si="54"/>
        <v>1</v>
      </c>
      <c r="Q164" s="126">
        <f t="shared" ca="1" si="54"/>
        <v>1</v>
      </c>
      <c r="R164" s="127">
        <f t="shared" ca="1" si="54"/>
        <v>1</v>
      </c>
      <c r="S164" s="127">
        <f t="shared" ca="1" si="54"/>
        <v>1</v>
      </c>
      <c r="T164" s="127">
        <f t="shared" ca="1" si="54"/>
        <v>1</v>
      </c>
      <c r="U164" s="128">
        <f t="shared" ca="1" si="54"/>
        <v>1</v>
      </c>
      <c r="V164" s="126">
        <f t="shared" ca="1" si="54"/>
        <v>1</v>
      </c>
      <c r="W164" s="127">
        <f t="shared" ca="1" si="54"/>
        <v>1</v>
      </c>
      <c r="X164" s="127">
        <f t="shared" ca="1" si="54"/>
        <v>1</v>
      </c>
      <c r="Y164" s="127">
        <f t="shared" ca="1" si="54"/>
        <v>1</v>
      </c>
      <c r="Z164" s="128">
        <f t="shared" ca="1" si="54"/>
        <v>1</v>
      </c>
      <c r="AA164" s="126">
        <f t="shared" ca="1" si="54"/>
        <v>1</v>
      </c>
      <c r="AB164" s="127">
        <f t="shared" ca="1" si="55"/>
        <v>1</v>
      </c>
      <c r="AC164" s="127">
        <f t="shared" ca="1" si="55"/>
        <v>1</v>
      </c>
      <c r="AD164" s="127">
        <f t="shared" ca="1" si="55"/>
        <v>1</v>
      </c>
      <c r="AE164" s="128">
        <f t="shared" ca="1" si="55"/>
        <v>1</v>
      </c>
      <c r="AF164" s="126">
        <f t="shared" ca="1" si="55"/>
        <v>1</v>
      </c>
      <c r="AG164" s="127">
        <f t="shared" ca="1" si="55"/>
        <v>1</v>
      </c>
      <c r="AH164" s="127">
        <f t="shared" ca="1" si="55"/>
        <v>1</v>
      </c>
      <c r="AI164" s="127">
        <f t="shared" ca="1" si="55"/>
        <v>1</v>
      </c>
      <c r="AJ164" s="128">
        <f t="shared" ca="1" si="55"/>
        <v>1</v>
      </c>
      <c r="AK164" s="126">
        <f t="shared" ca="1" si="55"/>
        <v>1</v>
      </c>
      <c r="AL164" s="127">
        <f t="shared" ca="1" si="55"/>
        <v>1</v>
      </c>
      <c r="AM164" s="127">
        <f t="shared" ca="1" si="55"/>
        <v>1</v>
      </c>
      <c r="AN164" s="127">
        <f t="shared" ca="1" si="55"/>
        <v>1</v>
      </c>
      <c r="AO164" s="129">
        <f t="shared" ca="1" si="44"/>
        <v>1</v>
      </c>
      <c r="AP164" s="536" t="str">
        <f t="shared" si="49"/>
        <v/>
      </c>
      <c r="AQ164" s="536" t="str">
        <f t="shared" si="50"/>
        <v>X</v>
      </c>
      <c r="AR164" s="536" t="str">
        <f t="shared" si="51"/>
        <v/>
      </c>
      <c r="AS164" s="537">
        <f>IF(OR(J164&lt;&gt;"",AP164&amp;AQ164&amp;AR164&lt;&gt;"X",WEEKDAY(I164,2)&gt;5,C164&lt;&gt;0,(FechaInicio1Tri&gt;I164),(FechaFinEEva&lt;I164)),0,_xlfn.XLOOKUP(WEEKDAY(I164,2),Fchs!$J$10:$N$10,Fchs!$J$12:$N$12))</f>
        <v>1</v>
      </c>
      <c r="AT164" s="536">
        <f t="shared" ca="1" si="52"/>
        <v>1</v>
      </c>
      <c r="AU164" s="538">
        <f>IF(AS164&lt;&gt;0,MAXA($AU$14:AU163)+AS164,0)</f>
        <v>73</v>
      </c>
      <c r="AV164" s="538">
        <f ca="1">IF(AT164&lt;&gt;0,MAXA($AU$14:AU163)+AT164,0)</f>
        <v>73</v>
      </c>
      <c r="AW164" s="69"/>
    </row>
    <row r="165" spans="1:49" ht="18.75" customHeight="1" x14ac:dyDescent="0.25">
      <c r="A165" s="69"/>
      <c r="B165" s="56" t="str">
        <f>MID(Info!$AZ$3,(WEEKDAY(I165,2)-1)*3+1,3)</f>
        <v>Vie</v>
      </c>
      <c r="C165" s="523">
        <f>_xlfn.XLOOKUP(I165,Fchs!$C$108:$C$149,Fchs!$D$108:$D$149,0)</f>
        <v>0</v>
      </c>
      <c r="D165" s="523">
        <f>_xlfn.XLOOKUP(I165,Fchs!$C$108:$C$149,Fchs!$E$108:$E$149)</f>
        <v>0</v>
      </c>
      <c r="E165" s="532" t="str">
        <f>IF($AS165&lt;&gt;0,_xlfn.XLOOKUP($G165,UDs!$E$34:$E$55,UDs!$B$34:$B$55,,-1),0)</f>
        <v>UD02</v>
      </c>
      <c r="F165" s="532" t="str">
        <f t="shared" ca="1" si="48"/>
        <v>UD02</v>
      </c>
      <c r="G165" s="569">
        <f>IF(AU165&lt;&gt;0,MAX($AU$13:$AU164)+1,0)</f>
        <v>74</v>
      </c>
      <c r="H165" s="569">
        <f>IF(AS165&lt;&gt;0,COUNT($H$14:H164,1),"")</f>
        <v>74</v>
      </c>
      <c r="I165" s="533">
        <f t="shared" si="53"/>
        <v>46038</v>
      </c>
      <c r="J165" s="534"/>
      <c r="K165" s="535"/>
      <c r="L165" s="126">
        <f t="shared" ca="1" si="54"/>
        <v>1</v>
      </c>
      <c r="M165" s="127">
        <f t="shared" ca="1" si="54"/>
        <v>1</v>
      </c>
      <c r="N165" s="127">
        <f t="shared" ca="1" si="54"/>
        <v>1</v>
      </c>
      <c r="O165" s="127">
        <f t="shared" ca="1" si="54"/>
        <v>1</v>
      </c>
      <c r="P165" s="128">
        <f t="shared" ca="1" si="54"/>
        <v>1</v>
      </c>
      <c r="Q165" s="126">
        <f t="shared" ca="1" si="54"/>
        <v>1</v>
      </c>
      <c r="R165" s="127">
        <f t="shared" ca="1" si="54"/>
        <v>1</v>
      </c>
      <c r="S165" s="127">
        <f t="shared" ca="1" si="54"/>
        <v>1</v>
      </c>
      <c r="T165" s="127">
        <f t="shared" ca="1" si="54"/>
        <v>1</v>
      </c>
      <c r="U165" s="128">
        <f t="shared" ca="1" si="54"/>
        <v>1</v>
      </c>
      <c r="V165" s="126">
        <f t="shared" ca="1" si="54"/>
        <v>1</v>
      </c>
      <c r="W165" s="127">
        <f t="shared" ca="1" si="54"/>
        <v>1</v>
      </c>
      <c r="X165" s="127">
        <f t="shared" ca="1" si="54"/>
        <v>1</v>
      </c>
      <c r="Y165" s="127">
        <f t="shared" ca="1" si="54"/>
        <v>1</v>
      </c>
      <c r="Z165" s="128">
        <f t="shared" ca="1" si="54"/>
        <v>1</v>
      </c>
      <c r="AA165" s="126">
        <f t="shared" ca="1" si="54"/>
        <v>1</v>
      </c>
      <c r="AB165" s="127">
        <f t="shared" ca="1" si="55"/>
        <v>1</v>
      </c>
      <c r="AC165" s="127">
        <f t="shared" ca="1" si="55"/>
        <v>1</v>
      </c>
      <c r="AD165" s="127">
        <f t="shared" ca="1" si="55"/>
        <v>1</v>
      </c>
      <c r="AE165" s="128">
        <f t="shared" ca="1" si="55"/>
        <v>1</v>
      </c>
      <c r="AF165" s="126">
        <f t="shared" ca="1" si="55"/>
        <v>1</v>
      </c>
      <c r="AG165" s="127">
        <f t="shared" ca="1" si="55"/>
        <v>1</v>
      </c>
      <c r="AH165" s="127">
        <f t="shared" ca="1" si="55"/>
        <v>1</v>
      </c>
      <c r="AI165" s="127">
        <f t="shared" ca="1" si="55"/>
        <v>1</v>
      </c>
      <c r="AJ165" s="128">
        <f t="shared" ca="1" si="55"/>
        <v>1</v>
      </c>
      <c r="AK165" s="126">
        <f t="shared" ca="1" si="55"/>
        <v>1</v>
      </c>
      <c r="AL165" s="127">
        <f t="shared" ca="1" si="55"/>
        <v>1</v>
      </c>
      <c r="AM165" s="127">
        <f t="shared" ca="1" si="55"/>
        <v>1</v>
      </c>
      <c r="AN165" s="127">
        <f t="shared" ca="1" si="55"/>
        <v>1</v>
      </c>
      <c r="AO165" s="129">
        <f t="shared" ca="1" si="44"/>
        <v>1</v>
      </c>
      <c r="AP165" s="536" t="str">
        <f t="shared" si="49"/>
        <v/>
      </c>
      <c r="AQ165" s="536" t="str">
        <f t="shared" si="50"/>
        <v>X</v>
      </c>
      <c r="AR165" s="536" t="str">
        <f t="shared" si="51"/>
        <v/>
      </c>
      <c r="AS165" s="537">
        <f>IF(OR(J165&lt;&gt;"",AP165&amp;AQ165&amp;AR165&lt;&gt;"X",WEEKDAY(I165,2)&gt;5,C165&lt;&gt;0,(FechaInicio1Tri&gt;I165),(FechaFinEEva&lt;I165)),0,_xlfn.XLOOKUP(WEEKDAY(I165,2),Fchs!$J$10:$N$10,Fchs!$J$12:$N$12))</f>
        <v>1</v>
      </c>
      <c r="AT165" s="536">
        <f t="shared" ca="1" si="52"/>
        <v>1</v>
      </c>
      <c r="AU165" s="538">
        <f>IF(AS165&lt;&gt;0,MAXA($AU$14:AU164)+AS165,0)</f>
        <v>74</v>
      </c>
      <c r="AV165" s="538">
        <f ca="1">IF(AT165&lt;&gt;0,MAXA($AU$14:AU164)+AT165,0)</f>
        <v>74</v>
      </c>
      <c r="AW165" s="69"/>
    </row>
    <row r="166" spans="1:49" ht="18.75" customHeight="1" x14ac:dyDescent="0.25">
      <c r="A166" s="69"/>
      <c r="B166" s="56" t="str">
        <f>MID(Info!$AZ$3,(WEEKDAY(I166,2)-1)*3+1,3)</f>
        <v>Sáb</v>
      </c>
      <c r="C166" s="523">
        <f>_xlfn.XLOOKUP(I166,Fchs!$C$108:$C$149,Fchs!$D$108:$D$149,0)</f>
        <v>0</v>
      </c>
      <c r="D166" s="523">
        <f>_xlfn.XLOOKUP(I166,Fchs!$C$108:$C$149,Fchs!$E$108:$E$149)</f>
        <v>0</v>
      </c>
      <c r="E166" s="532">
        <f>IF($AS166&lt;&gt;0,_xlfn.XLOOKUP($G166,UDs!$E$34:$E$55,UDs!$B$34:$B$55,,-1),0)</f>
        <v>0</v>
      </c>
      <c r="F166" s="532">
        <f t="shared" ca="1" si="48"/>
        <v>0</v>
      </c>
      <c r="G166" s="569">
        <f>IF(AU166&lt;&gt;0,MAX($AU$13:$AU165)+1,0)</f>
        <v>0</v>
      </c>
      <c r="H166" s="569" t="str">
        <f>IF(AS166&lt;&gt;0,COUNT($H$14:H165,1),"")</f>
        <v/>
      </c>
      <c r="I166" s="533">
        <f t="shared" si="53"/>
        <v>46039</v>
      </c>
      <c r="J166" s="534"/>
      <c r="K166" s="535"/>
      <c r="L166" s="126">
        <f t="shared" ca="1" si="54"/>
        <v>0</v>
      </c>
      <c r="M166" s="127">
        <f t="shared" ca="1" si="54"/>
        <v>0</v>
      </c>
      <c r="N166" s="127">
        <f t="shared" ca="1" si="54"/>
        <v>0</v>
      </c>
      <c r="O166" s="127">
        <f t="shared" ca="1" si="54"/>
        <v>0</v>
      </c>
      <c r="P166" s="128">
        <f t="shared" ca="1" si="54"/>
        <v>0</v>
      </c>
      <c r="Q166" s="126">
        <f t="shared" ca="1" si="54"/>
        <v>0</v>
      </c>
      <c r="R166" s="127">
        <f t="shared" ca="1" si="54"/>
        <v>0</v>
      </c>
      <c r="S166" s="127">
        <f t="shared" ca="1" si="54"/>
        <v>0</v>
      </c>
      <c r="T166" s="127">
        <f t="shared" ca="1" si="54"/>
        <v>0</v>
      </c>
      <c r="U166" s="128">
        <f t="shared" ca="1" si="54"/>
        <v>0</v>
      </c>
      <c r="V166" s="126">
        <f t="shared" ca="1" si="54"/>
        <v>0</v>
      </c>
      <c r="W166" s="127">
        <f t="shared" ca="1" si="54"/>
        <v>0</v>
      </c>
      <c r="X166" s="127">
        <f t="shared" ca="1" si="54"/>
        <v>0</v>
      </c>
      <c r="Y166" s="127">
        <f t="shared" ca="1" si="54"/>
        <v>0</v>
      </c>
      <c r="Z166" s="128">
        <f t="shared" ca="1" si="54"/>
        <v>0</v>
      </c>
      <c r="AA166" s="126">
        <f t="shared" ref="AA166:AO223" ca="1" si="56">$AT166</f>
        <v>0</v>
      </c>
      <c r="AB166" s="127">
        <f t="shared" ca="1" si="56"/>
        <v>0</v>
      </c>
      <c r="AC166" s="127">
        <f t="shared" ca="1" si="56"/>
        <v>0</v>
      </c>
      <c r="AD166" s="127">
        <f t="shared" ca="1" si="56"/>
        <v>0</v>
      </c>
      <c r="AE166" s="128">
        <f t="shared" ca="1" si="56"/>
        <v>0</v>
      </c>
      <c r="AF166" s="126">
        <f t="shared" ca="1" si="56"/>
        <v>0</v>
      </c>
      <c r="AG166" s="127">
        <f t="shared" ca="1" si="56"/>
        <v>0</v>
      </c>
      <c r="AH166" s="127">
        <f t="shared" ca="1" si="56"/>
        <v>0</v>
      </c>
      <c r="AI166" s="127">
        <f t="shared" ca="1" si="56"/>
        <v>0</v>
      </c>
      <c r="AJ166" s="128">
        <f t="shared" ca="1" si="56"/>
        <v>0</v>
      </c>
      <c r="AK166" s="126">
        <f t="shared" ca="1" si="56"/>
        <v>0</v>
      </c>
      <c r="AL166" s="127">
        <f t="shared" ca="1" si="56"/>
        <v>0</v>
      </c>
      <c r="AM166" s="127">
        <f t="shared" ca="1" si="56"/>
        <v>0</v>
      </c>
      <c r="AN166" s="127">
        <f t="shared" ca="1" si="56"/>
        <v>0</v>
      </c>
      <c r="AO166" s="129">
        <f t="shared" ca="1" si="44"/>
        <v>0</v>
      </c>
      <c r="AP166" s="536" t="str">
        <f t="shared" si="49"/>
        <v/>
      </c>
      <c r="AQ166" s="536" t="str">
        <f t="shared" si="50"/>
        <v/>
      </c>
      <c r="AR166" s="536" t="str">
        <f t="shared" si="51"/>
        <v/>
      </c>
      <c r="AS166" s="537">
        <f>IF(OR(J166&lt;&gt;"",AP166&amp;AQ166&amp;AR166&lt;&gt;"X",WEEKDAY(I166,2)&gt;5,C166&lt;&gt;0,(FechaInicio1Tri&gt;I166),(FechaFinEEva&lt;I166)),0,_xlfn.XLOOKUP(WEEKDAY(I166,2),Fchs!$J$10:$N$10,Fchs!$J$12:$N$12))</f>
        <v>0</v>
      </c>
      <c r="AT166" s="536">
        <f t="shared" ca="1" si="52"/>
        <v>0</v>
      </c>
      <c r="AU166" s="538">
        <f>IF(AS166&lt;&gt;0,MAXA($AU$14:AU165)+AS166,0)</f>
        <v>0</v>
      </c>
      <c r="AV166" s="538">
        <f ca="1">IF(AT166&lt;&gt;0,MAXA($AU$14:AU165)+AT166,0)</f>
        <v>0</v>
      </c>
      <c r="AW166" s="69"/>
    </row>
    <row r="167" spans="1:49" ht="18.75" customHeight="1" x14ac:dyDescent="0.25">
      <c r="A167" s="69"/>
      <c r="B167" s="56" t="str">
        <f>MID(Info!$AZ$3,(WEEKDAY(I167,2)-1)*3+1,3)</f>
        <v>Dom</v>
      </c>
      <c r="C167" s="523">
        <f>_xlfn.XLOOKUP(I167,Fchs!$C$108:$C$149,Fchs!$D$108:$D$149,0)</f>
        <v>0</v>
      </c>
      <c r="D167" s="523">
        <f>_xlfn.XLOOKUP(I167,Fchs!$C$108:$C$149,Fchs!$E$108:$E$149)</f>
        <v>0</v>
      </c>
      <c r="E167" s="532">
        <f>IF($AS167&lt;&gt;0,_xlfn.XLOOKUP($G167,UDs!$E$34:$E$55,UDs!$B$34:$B$55,,-1),0)</f>
        <v>0</v>
      </c>
      <c r="F167" s="532">
        <f t="shared" ca="1" si="48"/>
        <v>0</v>
      </c>
      <c r="G167" s="569">
        <f>IF(AU167&lt;&gt;0,MAX($AU$13:$AU166)+1,0)</f>
        <v>0</v>
      </c>
      <c r="H167" s="569" t="str">
        <f>IF(AS167&lt;&gt;0,COUNT($H$14:H166,1),"")</f>
        <v/>
      </c>
      <c r="I167" s="533">
        <f t="shared" si="53"/>
        <v>46040</v>
      </c>
      <c r="J167" s="534"/>
      <c r="K167" s="535"/>
      <c r="L167" s="126">
        <f t="shared" ref="L167:AA180" ca="1" si="57">$AT167</f>
        <v>0</v>
      </c>
      <c r="M167" s="127">
        <f t="shared" ca="1" si="57"/>
        <v>0</v>
      </c>
      <c r="N167" s="127">
        <f t="shared" ca="1" si="57"/>
        <v>0</v>
      </c>
      <c r="O167" s="127">
        <f t="shared" ca="1" si="57"/>
        <v>0</v>
      </c>
      <c r="P167" s="128">
        <f t="shared" ca="1" si="57"/>
        <v>0</v>
      </c>
      <c r="Q167" s="126">
        <f t="shared" ca="1" si="57"/>
        <v>0</v>
      </c>
      <c r="R167" s="127">
        <f t="shared" ca="1" si="57"/>
        <v>0</v>
      </c>
      <c r="S167" s="127">
        <f t="shared" ca="1" si="57"/>
        <v>0</v>
      </c>
      <c r="T167" s="127">
        <f t="shared" ca="1" si="57"/>
        <v>0</v>
      </c>
      <c r="U167" s="128">
        <f t="shared" ca="1" si="57"/>
        <v>0</v>
      </c>
      <c r="V167" s="126">
        <f t="shared" ca="1" si="57"/>
        <v>0</v>
      </c>
      <c r="W167" s="127">
        <f t="shared" ca="1" si="57"/>
        <v>0</v>
      </c>
      <c r="X167" s="127">
        <f t="shared" ca="1" si="57"/>
        <v>0</v>
      </c>
      <c r="Y167" s="127">
        <f t="shared" ca="1" si="57"/>
        <v>0</v>
      </c>
      <c r="Z167" s="128">
        <f t="shared" ca="1" si="57"/>
        <v>0</v>
      </c>
      <c r="AA167" s="126">
        <f t="shared" ca="1" si="57"/>
        <v>0</v>
      </c>
      <c r="AB167" s="127">
        <f t="shared" ca="1" si="56"/>
        <v>0</v>
      </c>
      <c r="AC167" s="127">
        <f t="shared" ca="1" si="56"/>
        <v>0</v>
      </c>
      <c r="AD167" s="127">
        <f t="shared" ca="1" si="56"/>
        <v>0</v>
      </c>
      <c r="AE167" s="128">
        <f t="shared" ca="1" si="56"/>
        <v>0</v>
      </c>
      <c r="AF167" s="126">
        <f t="shared" ca="1" si="56"/>
        <v>0</v>
      </c>
      <c r="AG167" s="127">
        <f t="shared" ca="1" si="56"/>
        <v>0</v>
      </c>
      <c r="AH167" s="127">
        <f t="shared" ca="1" si="56"/>
        <v>0</v>
      </c>
      <c r="AI167" s="127">
        <f t="shared" ca="1" si="56"/>
        <v>0</v>
      </c>
      <c r="AJ167" s="128">
        <f t="shared" ca="1" si="56"/>
        <v>0</v>
      </c>
      <c r="AK167" s="126">
        <f t="shared" ca="1" si="56"/>
        <v>0</v>
      </c>
      <c r="AL167" s="127">
        <f t="shared" ca="1" si="56"/>
        <v>0</v>
      </c>
      <c r="AM167" s="127">
        <f t="shared" ca="1" si="56"/>
        <v>0</v>
      </c>
      <c r="AN167" s="127">
        <f t="shared" ca="1" si="56"/>
        <v>0</v>
      </c>
      <c r="AO167" s="129">
        <f t="shared" ca="1" si="44"/>
        <v>0</v>
      </c>
      <c r="AP167" s="536" t="str">
        <f t="shared" si="49"/>
        <v/>
      </c>
      <c r="AQ167" s="536" t="str">
        <f t="shared" si="50"/>
        <v/>
      </c>
      <c r="AR167" s="536" t="str">
        <f t="shared" si="51"/>
        <v/>
      </c>
      <c r="AS167" s="537">
        <f>IF(OR(J167&lt;&gt;"",AP167&amp;AQ167&amp;AR167&lt;&gt;"X",WEEKDAY(I167,2)&gt;5,C167&lt;&gt;0,(FechaInicio1Tri&gt;I167),(FechaFinEEva&lt;I167)),0,_xlfn.XLOOKUP(WEEKDAY(I167,2),Fchs!$J$10:$N$10,Fchs!$J$12:$N$12))</f>
        <v>0</v>
      </c>
      <c r="AT167" s="536">
        <f t="shared" ca="1" si="52"/>
        <v>0</v>
      </c>
      <c r="AU167" s="538">
        <f>IF(AS167&lt;&gt;0,MAXA($AU$14:AU166)+AS167,0)</f>
        <v>0</v>
      </c>
      <c r="AV167" s="538">
        <f ca="1">IF(AT167&lt;&gt;0,MAXA($AU$14:AU166)+AT167,0)</f>
        <v>0</v>
      </c>
      <c r="AW167" s="69"/>
    </row>
    <row r="168" spans="1:49" ht="18.75" customHeight="1" x14ac:dyDescent="0.25">
      <c r="A168" s="69"/>
      <c r="B168" s="56" t="str">
        <f>MID(Info!$AZ$3,(WEEKDAY(I168,2)-1)*3+1,3)</f>
        <v>Lun</v>
      </c>
      <c r="C168" s="523">
        <f>_xlfn.XLOOKUP(I168,Fchs!$C$108:$C$149,Fchs!$D$108:$D$149,0)</f>
        <v>0</v>
      </c>
      <c r="D168" s="523">
        <f>_xlfn.XLOOKUP(I168,Fchs!$C$108:$C$149,Fchs!$E$108:$E$149)</f>
        <v>0</v>
      </c>
      <c r="E168" s="532" t="str">
        <f>IF($AS168&lt;&gt;0,_xlfn.XLOOKUP($G168,UDs!$E$34:$E$55,UDs!$B$34:$B$55,,-1),0)</f>
        <v>UD02</v>
      </c>
      <c r="F168" s="532" t="str">
        <f t="shared" ca="1" si="48"/>
        <v>UD02</v>
      </c>
      <c r="G168" s="569">
        <f>IF(AU168&lt;&gt;0,MAX($AU$13:$AU167)+1,0)</f>
        <v>75</v>
      </c>
      <c r="H168" s="569">
        <f>IF(AS168&lt;&gt;0,COUNT($H$14:H167,1),"")</f>
        <v>75</v>
      </c>
      <c r="I168" s="533">
        <f t="shared" si="53"/>
        <v>46041</v>
      </c>
      <c r="J168" s="534"/>
      <c r="K168" s="535"/>
      <c r="L168" s="126">
        <f t="shared" ca="1" si="57"/>
        <v>1</v>
      </c>
      <c r="M168" s="127">
        <f t="shared" ca="1" si="57"/>
        <v>1</v>
      </c>
      <c r="N168" s="127">
        <f t="shared" ca="1" si="57"/>
        <v>1</v>
      </c>
      <c r="O168" s="127">
        <f t="shared" ca="1" si="57"/>
        <v>1</v>
      </c>
      <c r="P168" s="128">
        <f t="shared" ca="1" si="57"/>
        <v>1</v>
      </c>
      <c r="Q168" s="126">
        <f t="shared" ca="1" si="57"/>
        <v>1</v>
      </c>
      <c r="R168" s="127">
        <f t="shared" ca="1" si="57"/>
        <v>1</v>
      </c>
      <c r="S168" s="127">
        <f t="shared" ca="1" si="57"/>
        <v>1</v>
      </c>
      <c r="T168" s="127">
        <f t="shared" ca="1" si="57"/>
        <v>1</v>
      </c>
      <c r="U168" s="128">
        <f t="shared" ca="1" si="57"/>
        <v>1</v>
      </c>
      <c r="V168" s="126">
        <f t="shared" ca="1" si="57"/>
        <v>1</v>
      </c>
      <c r="W168" s="127">
        <f t="shared" ca="1" si="57"/>
        <v>1</v>
      </c>
      <c r="X168" s="127">
        <f t="shared" ca="1" si="57"/>
        <v>1</v>
      </c>
      <c r="Y168" s="127">
        <f t="shared" ca="1" si="57"/>
        <v>1</v>
      </c>
      <c r="Z168" s="128">
        <f t="shared" ca="1" si="57"/>
        <v>1</v>
      </c>
      <c r="AA168" s="126">
        <f t="shared" ca="1" si="57"/>
        <v>1</v>
      </c>
      <c r="AB168" s="127">
        <f t="shared" ca="1" si="56"/>
        <v>1</v>
      </c>
      <c r="AC168" s="127">
        <f t="shared" ca="1" si="56"/>
        <v>1</v>
      </c>
      <c r="AD168" s="127">
        <f t="shared" ca="1" si="56"/>
        <v>1</v>
      </c>
      <c r="AE168" s="128">
        <f t="shared" ca="1" si="56"/>
        <v>1</v>
      </c>
      <c r="AF168" s="126">
        <f t="shared" ca="1" si="56"/>
        <v>1</v>
      </c>
      <c r="AG168" s="127">
        <f t="shared" ca="1" si="56"/>
        <v>1</v>
      </c>
      <c r="AH168" s="127">
        <f t="shared" ca="1" si="56"/>
        <v>1</v>
      </c>
      <c r="AI168" s="127">
        <f t="shared" ca="1" si="56"/>
        <v>1</v>
      </c>
      <c r="AJ168" s="128">
        <f t="shared" ca="1" si="56"/>
        <v>1</v>
      </c>
      <c r="AK168" s="126">
        <f t="shared" ca="1" si="56"/>
        <v>1</v>
      </c>
      <c r="AL168" s="127">
        <f t="shared" ca="1" si="56"/>
        <v>1</v>
      </c>
      <c r="AM168" s="127">
        <f t="shared" ca="1" si="56"/>
        <v>1</v>
      </c>
      <c r="AN168" s="127">
        <f t="shared" ca="1" si="56"/>
        <v>1</v>
      </c>
      <c r="AO168" s="129">
        <f t="shared" ca="1" si="44"/>
        <v>1</v>
      </c>
      <c r="AP168" s="536" t="str">
        <f t="shared" si="49"/>
        <v/>
      </c>
      <c r="AQ168" s="536" t="str">
        <f t="shared" si="50"/>
        <v>X</v>
      </c>
      <c r="AR168" s="536" t="str">
        <f t="shared" si="51"/>
        <v/>
      </c>
      <c r="AS168" s="537">
        <f>IF(OR(J168&lt;&gt;"",AP168&amp;AQ168&amp;AR168&lt;&gt;"X",WEEKDAY(I168,2)&gt;5,C168&lt;&gt;0,(FechaInicio1Tri&gt;I168),(FechaFinEEva&lt;I168)),0,_xlfn.XLOOKUP(WEEKDAY(I168,2),Fchs!$J$10:$N$10,Fchs!$J$12:$N$12))</f>
        <v>1</v>
      </c>
      <c r="AT168" s="536">
        <f t="shared" ca="1" si="52"/>
        <v>1</v>
      </c>
      <c r="AU168" s="538">
        <f>IF(AS168&lt;&gt;0,MAXA($AU$14:AU167)+AS168,0)</f>
        <v>75</v>
      </c>
      <c r="AV168" s="538">
        <f ca="1">IF(AT168&lt;&gt;0,MAXA($AU$14:AU167)+AT168,0)</f>
        <v>75</v>
      </c>
      <c r="AW168" s="69"/>
    </row>
    <row r="169" spans="1:49" ht="18.75" customHeight="1" x14ac:dyDescent="0.25">
      <c r="A169" s="69"/>
      <c r="B169" s="56" t="str">
        <f>MID(Info!$AZ$3,(WEEKDAY(I169,2)-1)*3+1,3)</f>
        <v>Mar</v>
      </c>
      <c r="C169" s="523">
        <f>_xlfn.XLOOKUP(I169,Fchs!$C$108:$C$149,Fchs!$D$108:$D$149,0)</f>
        <v>0</v>
      </c>
      <c r="D169" s="523">
        <f>_xlfn.XLOOKUP(I169,Fchs!$C$108:$C$149,Fchs!$E$108:$E$149)</f>
        <v>0</v>
      </c>
      <c r="E169" s="532" t="str">
        <f>IF($AS169&lt;&gt;0,_xlfn.XLOOKUP($G169,UDs!$E$34:$E$55,UDs!$B$34:$B$55,,-1),0)</f>
        <v>UD02</v>
      </c>
      <c r="F169" s="532" t="str">
        <f t="shared" ca="1" si="48"/>
        <v>UD02</v>
      </c>
      <c r="G169" s="569">
        <f>IF(AU169&lt;&gt;0,MAX($AU$13:$AU168)+1,0)</f>
        <v>76</v>
      </c>
      <c r="H169" s="569">
        <f>IF(AS169&lt;&gt;0,COUNT($H$14:H168,1),"")</f>
        <v>76</v>
      </c>
      <c r="I169" s="533">
        <f t="shared" si="53"/>
        <v>46042</v>
      </c>
      <c r="J169" s="534"/>
      <c r="K169" s="535"/>
      <c r="L169" s="126">
        <f t="shared" ca="1" si="57"/>
        <v>1</v>
      </c>
      <c r="M169" s="127">
        <f t="shared" ca="1" si="57"/>
        <v>1</v>
      </c>
      <c r="N169" s="127">
        <f t="shared" ca="1" si="57"/>
        <v>1</v>
      </c>
      <c r="O169" s="127">
        <f t="shared" ca="1" si="57"/>
        <v>1</v>
      </c>
      <c r="P169" s="128">
        <f t="shared" ca="1" si="57"/>
        <v>1</v>
      </c>
      <c r="Q169" s="126">
        <f t="shared" ca="1" si="57"/>
        <v>1</v>
      </c>
      <c r="R169" s="127">
        <f t="shared" ca="1" si="57"/>
        <v>1</v>
      </c>
      <c r="S169" s="127">
        <f t="shared" ca="1" si="57"/>
        <v>1</v>
      </c>
      <c r="T169" s="127">
        <f t="shared" ca="1" si="57"/>
        <v>1</v>
      </c>
      <c r="U169" s="128">
        <f t="shared" ca="1" si="57"/>
        <v>1</v>
      </c>
      <c r="V169" s="126">
        <f t="shared" ca="1" si="57"/>
        <v>1</v>
      </c>
      <c r="W169" s="127">
        <f t="shared" ca="1" si="57"/>
        <v>1</v>
      </c>
      <c r="X169" s="127">
        <f t="shared" ca="1" si="57"/>
        <v>1</v>
      </c>
      <c r="Y169" s="127">
        <f t="shared" ca="1" si="57"/>
        <v>1</v>
      </c>
      <c r="Z169" s="128">
        <f t="shared" ca="1" si="57"/>
        <v>1</v>
      </c>
      <c r="AA169" s="126">
        <f t="shared" ca="1" si="57"/>
        <v>1</v>
      </c>
      <c r="AB169" s="127">
        <f t="shared" ca="1" si="56"/>
        <v>1</v>
      </c>
      <c r="AC169" s="127">
        <f t="shared" ca="1" si="56"/>
        <v>1</v>
      </c>
      <c r="AD169" s="127">
        <f t="shared" ca="1" si="56"/>
        <v>1</v>
      </c>
      <c r="AE169" s="128">
        <f t="shared" ca="1" si="56"/>
        <v>1</v>
      </c>
      <c r="AF169" s="126">
        <f t="shared" ca="1" si="56"/>
        <v>1</v>
      </c>
      <c r="AG169" s="127">
        <f t="shared" ca="1" si="56"/>
        <v>1</v>
      </c>
      <c r="AH169" s="127">
        <f t="shared" ca="1" si="56"/>
        <v>1</v>
      </c>
      <c r="AI169" s="127">
        <f t="shared" ca="1" si="56"/>
        <v>1</v>
      </c>
      <c r="AJ169" s="128">
        <f t="shared" ca="1" si="56"/>
        <v>1</v>
      </c>
      <c r="AK169" s="126">
        <f t="shared" ca="1" si="56"/>
        <v>1</v>
      </c>
      <c r="AL169" s="127">
        <f t="shared" ca="1" si="56"/>
        <v>1</v>
      </c>
      <c r="AM169" s="127">
        <f t="shared" ca="1" si="56"/>
        <v>1</v>
      </c>
      <c r="AN169" s="127">
        <f t="shared" ca="1" si="56"/>
        <v>1</v>
      </c>
      <c r="AO169" s="129">
        <f t="shared" ca="1" si="44"/>
        <v>1</v>
      </c>
      <c r="AP169" s="536" t="str">
        <f t="shared" si="49"/>
        <v/>
      </c>
      <c r="AQ169" s="536" t="str">
        <f t="shared" si="50"/>
        <v>X</v>
      </c>
      <c r="AR169" s="536" t="str">
        <f t="shared" si="51"/>
        <v/>
      </c>
      <c r="AS169" s="537">
        <f>IF(OR(J169&lt;&gt;"",AP169&amp;AQ169&amp;AR169&lt;&gt;"X",WEEKDAY(I169,2)&gt;5,C169&lt;&gt;0,(FechaInicio1Tri&gt;I169),(FechaFinEEva&lt;I169)),0,_xlfn.XLOOKUP(WEEKDAY(I169,2),Fchs!$J$10:$N$10,Fchs!$J$12:$N$12))</f>
        <v>1</v>
      </c>
      <c r="AT169" s="536">
        <f t="shared" ca="1" si="52"/>
        <v>1</v>
      </c>
      <c r="AU169" s="538">
        <f>IF(AS169&lt;&gt;0,MAXA($AU$14:AU168)+AS169,0)</f>
        <v>76</v>
      </c>
      <c r="AV169" s="538">
        <f ca="1">IF(AT169&lt;&gt;0,MAXA($AU$14:AU168)+AT169,0)</f>
        <v>76</v>
      </c>
      <c r="AW169" s="69"/>
    </row>
    <row r="170" spans="1:49" ht="18.75" customHeight="1" x14ac:dyDescent="0.25">
      <c r="A170" s="69"/>
      <c r="B170" s="56" t="str">
        <f>MID(Info!$AZ$3,(WEEKDAY(I170,2)-1)*3+1,3)</f>
        <v>Mié</v>
      </c>
      <c r="C170" s="523">
        <f>_xlfn.XLOOKUP(I170,Fchs!$C$108:$C$149,Fchs!$D$108:$D$149,0)</f>
        <v>0</v>
      </c>
      <c r="D170" s="523">
        <f>_xlfn.XLOOKUP(I170,Fchs!$C$108:$C$149,Fchs!$E$108:$E$149)</f>
        <v>0</v>
      </c>
      <c r="E170" s="532" t="str">
        <f>IF($AS170&lt;&gt;0,_xlfn.XLOOKUP($G170,UDs!$E$34:$E$55,UDs!$B$34:$B$55,,-1),0)</f>
        <v>UD02</v>
      </c>
      <c r="F170" s="532" t="str">
        <f t="shared" ca="1" si="48"/>
        <v>UD02</v>
      </c>
      <c r="G170" s="569">
        <f>IF(AU170&lt;&gt;0,MAX($AU$13:$AU169)+1,0)</f>
        <v>77</v>
      </c>
      <c r="H170" s="569">
        <f>IF(AS170&lt;&gt;0,COUNT($H$14:H169,1),"")</f>
        <v>77</v>
      </c>
      <c r="I170" s="533">
        <f t="shared" si="53"/>
        <v>46043</v>
      </c>
      <c r="J170" s="534"/>
      <c r="K170" s="535"/>
      <c r="L170" s="126">
        <f t="shared" ca="1" si="57"/>
        <v>1</v>
      </c>
      <c r="M170" s="127">
        <f t="shared" ca="1" si="57"/>
        <v>1</v>
      </c>
      <c r="N170" s="127">
        <f t="shared" ca="1" si="57"/>
        <v>1</v>
      </c>
      <c r="O170" s="127">
        <f t="shared" ca="1" si="57"/>
        <v>1</v>
      </c>
      <c r="P170" s="128">
        <f t="shared" ca="1" si="57"/>
        <v>1</v>
      </c>
      <c r="Q170" s="126">
        <f t="shared" ca="1" si="57"/>
        <v>1</v>
      </c>
      <c r="R170" s="127">
        <f t="shared" ca="1" si="57"/>
        <v>1</v>
      </c>
      <c r="S170" s="127">
        <f t="shared" ca="1" si="57"/>
        <v>1</v>
      </c>
      <c r="T170" s="127">
        <f t="shared" ca="1" si="57"/>
        <v>1</v>
      </c>
      <c r="U170" s="128">
        <f t="shared" ca="1" si="57"/>
        <v>1</v>
      </c>
      <c r="V170" s="126">
        <f t="shared" ca="1" si="57"/>
        <v>1</v>
      </c>
      <c r="W170" s="127">
        <f t="shared" ca="1" si="57"/>
        <v>1</v>
      </c>
      <c r="X170" s="127">
        <f t="shared" ca="1" si="57"/>
        <v>1</v>
      </c>
      <c r="Y170" s="127">
        <f t="shared" ca="1" si="57"/>
        <v>1</v>
      </c>
      <c r="Z170" s="128">
        <f t="shared" ca="1" si="57"/>
        <v>1</v>
      </c>
      <c r="AA170" s="126">
        <f t="shared" ca="1" si="57"/>
        <v>1</v>
      </c>
      <c r="AB170" s="127">
        <f t="shared" ca="1" si="56"/>
        <v>1</v>
      </c>
      <c r="AC170" s="127">
        <f t="shared" ca="1" si="56"/>
        <v>1</v>
      </c>
      <c r="AD170" s="127">
        <f t="shared" ca="1" si="56"/>
        <v>1</v>
      </c>
      <c r="AE170" s="128">
        <f t="shared" ca="1" si="56"/>
        <v>1</v>
      </c>
      <c r="AF170" s="126">
        <f t="shared" ca="1" si="56"/>
        <v>1</v>
      </c>
      <c r="AG170" s="127">
        <f t="shared" ca="1" si="56"/>
        <v>1</v>
      </c>
      <c r="AH170" s="127">
        <f t="shared" ca="1" si="56"/>
        <v>1</v>
      </c>
      <c r="AI170" s="127">
        <f t="shared" ca="1" si="56"/>
        <v>1</v>
      </c>
      <c r="AJ170" s="128">
        <f t="shared" ca="1" si="56"/>
        <v>1</v>
      </c>
      <c r="AK170" s="126">
        <f t="shared" ca="1" si="56"/>
        <v>1</v>
      </c>
      <c r="AL170" s="127">
        <f t="shared" ca="1" si="56"/>
        <v>1</v>
      </c>
      <c r="AM170" s="127">
        <f t="shared" ca="1" si="56"/>
        <v>1</v>
      </c>
      <c r="AN170" s="127">
        <f t="shared" ca="1" si="56"/>
        <v>1</v>
      </c>
      <c r="AO170" s="129">
        <f t="shared" ca="1" si="44"/>
        <v>1</v>
      </c>
      <c r="AP170" s="536" t="str">
        <f t="shared" si="49"/>
        <v/>
      </c>
      <c r="AQ170" s="536" t="str">
        <f t="shared" si="50"/>
        <v>X</v>
      </c>
      <c r="AR170" s="536" t="str">
        <f t="shared" si="51"/>
        <v/>
      </c>
      <c r="AS170" s="537">
        <f>IF(OR(J170&lt;&gt;"",AP170&amp;AQ170&amp;AR170&lt;&gt;"X",WEEKDAY(I170,2)&gt;5,C170&lt;&gt;0,(FechaInicio1Tri&gt;I170),(FechaFinEEva&lt;I170)),0,_xlfn.XLOOKUP(WEEKDAY(I170,2),Fchs!$J$10:$N$10,Fchs!$J$12:$N$12))</f>
        <v>1</v>
      </c>
      <c r="AT170" s="536">
        <f t="shared" ca="1" si="52"/>
        <v>1</v>
      </c>
      <c r="AU170" s="538">
        <f>IF(AS170&lt;&gt;0,MAXA($AU$14:AU169)+AS170,0)</f>
        <v>77</v>
      </c>
      <c r="AV170" s="538">
        <f ca="1">IF(AT170&lt;&gt;0,MAXA($AU$14:AU169)+AT170,0)</f>
        <v>77</v>
      </c>
      <c r="AW170" s="69"/>
    </row>
    <row r="171" spans="1:49" ht="18.75" customHeight="1" x14ac:dyDescent="0.25">
      <c r="A171" s="69"/>
      <c r="B171" s="56" t="str">
        <f>MID(Info!$AZ$3,(WEEKDAY(I171,2)-1)*3+1,3)</f>
        <v>Jue</v>
      </c>
      <c r="C171" s="523">
        <f>_xlfn.XLOOKUP(I171,Fchs!$C$108:$C$149,Fchs!$D$108:$D$149,0)</f>
        <v>0</v>
      </c>
      <c r="D171" s="523">
        <f>_xlfn.XLOOKUP(I171,Fchs!$C$108:$C$149,Fchs!$E$108:$E$149)</f>
        <v>0</v>
      </c>
      <c r="E171" s="532" t="str">
        <f>IF($AS171&lt;&gt;0,_xlfn.XLOOKUP($G171,UDs!$E$34:$E$55,UDs!$B$34:$B$55,,-1),0)</f>
        <v>UD02</v>
      </c>
      <c r="F171" s="532" t="str">
        <f t="shared" ca="1" si="48"/>
        <v>UD02</v>
      </c>
      <c r="G171" s="569">
        <f>IF(AU171&lt;&gt;0,MAX($AU$13:$AU170)+1,0)</f>
        <v>78</v>
      </c>
      <c r="H171" s="569">
        <f>IF(AS171&lt;&gt;0,COUNT($H$14:H170,1),"")</f>
        <v>78</v>
      </c>
      <c r="I171" s="533">
        <f t="shared" si="53"/>
        <v>46044</v>
      </c>
      <c r="J171" s="534"/>
      <c r="K171" s="535"/>
      <c r="L171" s="126">
        <f t="shared" ca="1" si="57"/>
        <v>1</v>
      </c>
      <c r="M171" s="127">
        <f t="shared" ca="1" si="57"/>
        <v>1</v>
      </c>
      <c r="N171" s="127">
        <f t="shared" ca="1" si="57"/>
        <v>1</v>
      </c>
      <c r="O171" s="127">
        <f t="shared" ca="1" si="57"/>
        <v>1</v>
      </c>
      <c r="P171" s="128">
        <f t="shared" ca="1" si="57"/>
        <v>1</v>
      </c>
      <c r="Q171" s="126">
        <f t="shared" ca="1" si="57"/>
        <v>1</v>
      </c>
      <c r="R171" s="127">
        <f t="shared" ca="1" si="57"/>
        <v>1</v>
      </c>
      <c r="S171" s="127">
        <f t="shared" ca="1" si="57"/>
        <v>1</v>
      </c>
      <c r="T171" s="127">
        <f t="shared" ca="1" si="57"/>
        <v>1</v>
      </c>
      <c r="U171" s="128">
        <f t="shared" ca="1" si="57"/>
        <v>1</v>
      </c>
      <c r="V171" s="126">
        <f t="shared" ca="1" si="57"/>
        <v>1</v>
      </c>
      <c r="W171" s="127">
        <f t="shared" ca="1" si="57"/>
        <v>1</v>
      </c>
      <c r="X171" s="127">
        <f t="shared" ca="1" si="57"/>
        <v>1</v>
      </c>
      <c r="Y171" s="127">
        <f t="shared" ca="1" si="57"/>
        <v>1</v>
      </c>
      <c r="Z171" s="128">
        <f t="shared" ca="1" si="57"/>
        <v>1</v>
      </c>
      <c r="AA171" s="126">
        <f t="shared" ca="1" si="57"/>
        <v>1</v>
      </c>
      <c r="AB171" s="127">
        <f t="shared" ca="1" si="56"/>
        <v>1</v>
      </c>
      <c r="AC171" s="127">
        <f t="shared" ca="1" si="56"/>
        <v>1</v>
      </c>
      <c r="AD171" s="127">
        <f t="shared" ca="1" si="56"/>
        <v>1</v>
      </c>
      <c r="AE171" s="128">
        <f t="shared" ca="1" si="56"/>
        <v>1</v>
      </c>
      <c r="AF171" s="126">
        <f t="shared" ca="1" si="56"/>
        <v>1</v>
      </c>
      <c r="AG171" s="127">
        <f t="shared" ca="1" si="56"/>
        <v>1</v>
      </c>
      <c r="AH171" s="127">
        <f t="shared" ca="1" si="56"/>
        <v>1</v>
      </c>
      <c r="AI171" s="127">
        <f t="shared" ca="1" si="56"/>
        <v>1</v>
      </c>
      <c r="AJ171" s="128">
        <f t="shared" ca="1" si="56"/>
        <v>1</v>
      </c>
      <c r="AK171" s="126">
        <f t="shared" ca="1" si="56"/>
        <v>1</v>
      </c>
      <c r="AL171" s="127">
        <f t="shared" ca="1" si="56"/>
        <v>1</v>
      </c>
      <c r="AM171" s="127">
        <f t="shared" ca="1" si="56"/>
        <v>1</v>
      </c>
      <c r="AN171" s="127">
        <f t="shared" ca="1" si="56"/>
        <v>1</v>
      </c>
      <c r="AO171" s="129">
        <f t="shared" ca="1" si="44"/>
        <v>1</v>
      </c>
      <c r="AP171" s="536" t="str">
        <f t="shared" si="49"/>
        <v/>
      </c>
      <c r="AQ171" s="536" t="str">
        <f t="shared" si="50"/>
        <v>X</v>
      </c>
      <c r="AR171" s="536" t="str">
        <f t="shared" si="51"/>
        <v/>
      </c>
      <c r="AS171" s="537">
        <f>IF(OR(J171&lt;&gt;"",AP171&amp;AQ171&amp;AR171&lt;&gt;"X",WEEKDAY(I171,2)&gt;5,C171&lt;&gt;0,(FechaInicio1Tri&gt;I171),(FechaFinEEva&lt;I171)),0,_xlfn.XLOOKUP(WEEKDAY(I171,2),Fchs!$J$10:$N$10,Fchs!$J$12:$N$12))</f>
        <v>1</v>
      </c>
      <c r="AT171" s="536">
        <f t="shared" ca="1" si="52"/>
        <v>1</v>
      </c>
      <c r="AU171" s="538">
        <f>IF(AS171&lt;&gt;0,MAXA($AU$14:AU170)+AS171,0)</f>
        <v>78</v>
      </c>
      <c r="AV171" s="538">
        <f ca="1">IF(AT171&lt;&gt;0,MAXA($AU$14:AU170)+AT171,0)</f>
        <v>78</v>
      </c>
      <c r="AW171" s="69"/>
    </row>
    <row r="172" spans="1:49" ht="18.75" customHeight="1" x14ac:dyDescent="0.25">
      <c r="A172" s="69"/>
      <c r="B172" s="56" t="str">
        <f>MID(Info!$AZ$3,(WEEKDAY(I172,2)-1)*3+1,3)</f>
        <v>Vie</v>
      </c>
      <c r="C172" s="523">
        <f>_xlfn.XLOOKUP(I172,Fchs!$C$108:$C$149,Fchs!$D$108:$D$149,0)</f>
        <v>0</v>
      </c>
      <c r="D172" s="523">
        <f>_xlfn.XLOOKUP(I172,Fchs!$C$108:$C$149,Fchs!$E$108:$E$149)</f>
        <v>0</v>
      </c>
      <c r="E172" s="532" t="str">
        <f>IF($AS172&lt;&gt;0,_xlfn.XLOOKUP($G172,UDs!$E$34:$E$55,UDs!$B$34:$B$55,,-1),0)</f>
        <v>UD02</v>
      </c>
      <c r="F172" s="532" t="str">
        <f t="shared" ca="1" si="48"/>
        <v>UD02</v>
      </c>
      <c r="G172" s="569">
        <f>IF(AU172&lt;&gt;0,MAX($AU$13:$AU171)+1,0)</f>
        <v>79</v>
      </c>
      <c r="H172" s="569">
        <f>IF(AS172&lt;&gt;0,COUNT($H$14:H171,1),"")</f>
        <v>79</v>
      </c>
      <c r="I172" s="533">
        <f t="shared" si="53"/>
        <v>46045</v>
      </c>
      <c r="J172" s="534"/>
      <c r="K172" s="535"/>
      <c r="L172" s="126">
        <f t="shared" ca="1" si="57"/>
        <v>1</v>
      </c>
      <c r="M172" s="127">
        <f t="shared" ca="1" si="57"/>
        <v>1</v>
      </c>
      <c r="N172" s="127">
        <f t="shared" ca="1" si="57"/>
        <v>1</v>
      </c>
      <c r="O172" s="127">
        <f t="shared" ca="1" si="57"/>
        <v>1</v>
      </c>
      <c r="P172" s="128">
        <f t="shared" ca="1" si="57"/>
        <v>1</v>
      </c>
      <c r="Q172" s="126">
        <f t="shared" ca="1" si="57"/>
        <v>1</v>
      </c>
      <c r="R172" s="127">
        <f t="shared" ca="1" si="57"/>
        <v>1</v>
      </c>
      <c r="S172" s="127">
        <f t="shared" ca="1" si="57"/>
        <v>1</v>
      </c>
      <c r="T172" s="127">
        <f t="shared" ca="1" si="57"/>
        <v>1</v>
      </c>
      <c r="U172" s="128">
        <f t="shared" ca="1" si="57"/>
        <v>1</v>
      </c>
      <c r="V172" s="126">
        <f t="shared" ca="1" si="57"/>
        <v>1</v>
      </c>
      <c r="W172" s="127">
        <f t="shared" ca="1" si="57"/>
        <v>1</v>
      </c>
      <c r="X172" s="127">
        <f t="shared" ca="1" si="57"/>
        <v>1</v>
      </c>
      <c r="Y172" s="127">
        <f t="shared" ca="1" si="57"/>
        <v>1</v>
      </c>
      <c r="Z172" s="128">
        <f t="shared" ca="1" si="57"/>
        <v>1</v>
      </c>
      <c r="AA172" s="126">
        <f t="shared" ca="1" si="57"/>
        <v>1</v>
      </c>
      <c r="AB172" s="127">
        <f t="shared" ca="1" si="56"/>
        <v>1</v>
      </c>
      <c r="AC172" s="127">
        <f t="shared" ca="1" si="56"/>
        <v>1</v>
      </c>
      <c r="AD172" s="127">
        <f t="shared" ca="1" si="56"/>
        <v>1</v>
      </c>
      <c r="AE172" s="128">
        <f t="shared" ca="1" si="56"/>
        <v>1</v>
      </c>
      <c r="AF172" s="126">
        <f t="shared" ca="1" si="56"/>
        <v>1</v>
      </c>
      <c r="AG172" s="127">
        <f t="shared" ca="1" si="56"/>
        <v>1</v>
      </c>
      <c r="AH172" s="127">
        <f t="shared" ca="1" si="56"/>
        <v>1</v>
      </c>
      <c r="AI172" s="127">
        <f t="shared" ca="1" si="56"/>
        <v>1</v>
      </c>
      <c r="AJ172" s="128">
        <f t="shared" ca="1" si="56"/>
        <v>1</v>
      </c>
      <c r="AK172" s="126">
        <f t="shared" ca="1" si="56"/>
        <v>1</v>
      </c>
      <c r="AL172" s="127">
        <f t="shared" ca="1" si="56"/>
        <v>1</v>
      </c>
      <c r="AM172" s="127">
        <f t="shared" ca="1" si="56"/>
        <v>1</v>
      </c>
      <c r="AN172" s="127">
        <f t="shared" ca="1" si="56"/>
        <v>1</v>
      </c>
      <c r="AO172" s="129">
        <f t="shared" ca="1" si="44"/>
        <v>1</v>
      </c>
      <c r="AP172" s="536" t="str">
        <f t="shared" si="49"/>
        <v/>
      </c>
      <c r="AQ172" s="536" t="str">
        <f t="shared" si="50"/>
        <v>X</v>
      </c>
      <c r="AR172" s="536" t="str">
        <f t="shared" si="51"/>
        <v/>
      </c>
      <c r="AS172" s="537">
        <f>IF(OR(J172&lt;&gt;"",AP172&amp;AQ172&amp;AR172&lt;&gt;"X",WEEKDAY(I172,2)&gt;5,C172&lt;&gt;0,(FechaInicio1Tri&gt;I172),(FechaFinEEva&lt;I172)),0,_xlfn.XLOOKUP(WEEKDAY(I172,2),Fchs!$J$10:$N$10,Fchs!$J$12:$N$12))</f>
        <v>1</v>
      </c>
      <c r="AT172" s="536">
        <f t="shared" ca="1" si="52"/>
        <v>1</v>
      </c>
      <c r="AU172" s="538">
        <f>IF(AS172&lt;&gt;0,MAXA($AU$14:AU171)+AS172,0)</f>
        <v>79</v>
      </c>
      <c r="AV172" s="538">
        <f ca="1">IF(AT172&lt;&gt;0,MAXA($AU$14:AU171)+AT172,0)</f>
        <v>79</v>
      </c>
      <c r="AW172" s="69"/>
    </row>
    <row r="173" spans="1:49" ht="18.75" customHeight="1" x14ac:dyDescent="0.25">
      <c r="A173" s="69"/>
      <c r="B173" s="56" t="str">
        <f>MID(Info!$AZ$3,(WEEKDAY(I173,2)-1)*3+1,3)</f>
        <v>Sáb</v>
      </c>
      <c r="C173" s="523">
        <f>_xlfn.XLOOKUP(I173,Fchs!$C$108:$C$149,Fchs!$D$108:$D$149,0)</f>
        <v>0</v>
      </c>
      <c r="D173" s="523">
        <f>_xlfn.XLOOKUP(I173,Fchs!$C$108:$C$149,Fchs!$E$108:$E$149)</f>
        <v>0</v>
      </c>
      <c r="E173" s="532">
        <f>IF($AS173&lt;&gt;0,_xlfn.XLOOKUP($G173,UDs!$E$34:$E$55,UDs!$B$34:$B$55,,-1),0)</f>
        <v>0</v>
      </c>
      <c r="F173" s="532">
        <f t="shared" ca="1" si="48"/>
        <v>0</v>
      </c>
      <c r="G173" s="569">
        <f>IF(AU173&lt;&gt;0,MAX($AU$13:$AU172)+1,0)</f>
        <v>0</v>
      </c>
      <c r="H173" s="569" t="str">
        <f>IF(AS173&lt;&gt;0,COUNT($H$14:H172,1),"")</f>
        <v/>
      </c>
      <c r="I173" s="533">
        <f t="shared" si="53"/>
        <v>46046</v>
      </c>
      <c r="J173" s="534"/>
      <c r="K173" s="535"/>
      <c r="L173" s="126">
        <f t="shared" ca="1" si="57"/>
        <v>0</v>
      </c>
      <c r="M173" s="127">
        <f t="shared" ca="1" si="57"/>
        <v>0</v>
      </c>
      <c r="N173" s="127">
        <f t="shared" ca="1" si="57"/>
        <v>0</v>
      </c>
      <c r="O173" s="127">
        <f t="shared" ca="1" si="57"/>
        <v>0</v>
      </c>
      <c r="P173" s="128">
        <f t="shared" ca="1" si="57"/>
        <v>0</v>
      </c>
      <c r="Q173" s="126">
        <f t="shared" ca="1" si="57"/>
        <v>0</v>
      </c>
      <c r="R173" s="127">
        <f t="shared" ca="1" si="57"/>
        <v>0</v>
      </c>
      <c r="S173" s="127">
        <f t="shared" ca="1" si="57"/>
        <v>0</v>
      </c>
      <c r="T173" s="127">
        <f t="shared" ca="1" si="57"/>
        <v>0</v>
      </c>
      <c r="U173" s="128">
        <f t="shared" ca="1" si="57"/>
        <v>0</v>
      </c>
      <c r="V173" s="126">
        <f t="shared" ca="1" si="57"/>
        <v>0</v>
      </c>
      <c r="W173" s="127">
        <f t="shared" ca="1" si="57"/>
        <v>0</v>
      </c>
      <c r="X173" s="127">
        <f t="shared" ca="1" si="57"/>
        <v>0</v>
      </c>
      <c r="Y173" s="127">
        <f t="shared" ca="1" si="57"/>
        <v>0</v>
      </c>
      <c r="Z173" s="128">
        <f t="shared" ca="1" si="57"/>
        <v>0</v>
      </c>
      <c r="AA173" s="126">
        <f t="shared" ca="1" si="57"/>
        <v>0</v>
      </c>
      <c r="AB173" s="127">
        <f t="shared" ca="1" si="56"/>
        <v>0</v>
      </c>
      <c r="AC173" s="127">
        <f t="shared" ca="1" si="56"/>
        <v>0</v>
      </c>
      <c r="AD173" s="127">
        <f t="shared" ca="1" si="56"/>
        <v>0</v>
      </c>
      <c r="AE173" s="128">
        <f t="shared" ca="1" si="56"/>
        <v>0</v>
      </c>
      <c r="AF173" s="126">
        <f t="shared" ca="1" si="56"/>
        <v>0</v>
      </c>
      <c r="AG173" s="127">
        <f t="shared" ca="1" si="56"/>
        <v>0</v>
      </c>
      <c r="AH173" s="127">
        <f t="shared" ca="1" si="56"/>
        <v>0</v>
      </c>
      <c r="AI173" s="127">
        <f t="shared" ca="1" si="56"/>
        <v>0</v>
      </c>
      <c r="AJ173" s="128">
        <f t="shared" ca="1" si="56"/>
        <v>0</v>
      </c>
      <c r="AK173" s="126">
        <f t="shared" ca="1" si="56"/>
        <v>0</v>
      </c>
      <c r="AL173" s="127">
        <f t="shared" ca="1" si="56"/>
        <v>0</v>
      </c>
      <c r="AM173" s="127">
        <f t="shared" ca="1" si="56"/>
        <v>0</v>
      </c>
      <c r="AN173" s="127">
        <f t="shared" ca="1" si="56"/>
        <v>0</v>
      </c>
      <c r="AO173" s="129">
        <f t="shared" ca="1" si="44"/>
        <v>0</v>
      </c>
      <c r="AP173" s="536" t="str">
        <f t="shared" si="49"/>
        <v/>
      </c>
      <c r="AQ173" s="536" t="str">
        <f t="shared" si="50"/>
        <v/>
      </c>
      <c r="AR173" s="536" t="str">
        <f t="shared" si="51"/>
        <v/>
      </c>
      <c r="AS173" s="537">
        <f>IF(OR(J173&lt;&gt;"",AP173&amp;AQ173&amp;AR173&lt;&gt;"X",WEEKDAY(I173,2)&gt;5,C173&lt;&gt;0,(FechaInicio1Tri&gt;I173),(FechaFinEEva&lt;I173)),0,_xlfn.XLOOKUP(WEEKDAY(I173,2),Fchs!$J$10:$N$10,Fchs!$J$12:$N$12))</f>
        <v>0</v>
      </c>
      <c r="AT173" s="536">
        <f t="shared" ca="1" si="52"/>
        <v>0</v>
      </c>
      <c r="AU173" s="538">
        <f>IF(AS173&lt;&gt;0,MAXA($AU$14:AU172)+AS173,0)</f>
        <v>0</v>
      </c>
      <c r="AV173" s="538">
        <f ca="1">IF(AT173&lt;&gt;0,MAXA($AU$14:AU172)+AT173,0)</f>
        <v>0</v>
      </c>
      <c r="AW173" s="69"/>
    </row>
    <row r="174" spans="1:49" ht="18.75" customHeight="1" x14ac:dyDescent="0.25">
      <c r="A174" s="69"/>
      <c r="B174" s="56" t="str">
        <f>MID(Info!$AZ$3,(WEEKDAY(I174,2)-1)*3+1,3)</f>
        <v>Dom</v>
      </c>
      <c r="C174" s="523">
        <f>_xlfn.XLOOKUP(I174,Fchs!$C$108:$C$149,Fchs!$D$108:$D$149,0)</f>
        <v>0</v>
      </c>
      <c r="D174" s="523">
        <f>_xlfn.XLOOKUP(I174,Fchs!$C$108:$C$149,Fchs!$E$108:$E$149)</f>
        <v>0</v>
      </c>
      <c r="E174" s="532">
        <f>IF($AS174&lt;&gt;0,_xlfn.XLOOKUP($G174,UDs!$E$34:$E$55,UDs!$B$34:$B$55,,-1),0)</f>
        <v>0</v>
      </c>
      <c r="F174" s="532">
        <f t="shared" ca="1" si="48"/>
        <v>0</v>
      </c>
      <c r="G174" s="569">
        <f>IF(AU174&lt;&gt;0,MAX($AU$13:$AU173)+1,0)</f>
        <v>0</v>
      </c>
      <c r="H174" s="569" t="str">
        <f>IF(AS174&lt;&gt;0,COUNT($H$14:H173,1),"")</f>
        <v/>
      </c>
      <c r="I174" s="533">
        <f t="shared" si="53"/>
        <v>46047</v>
      </c>
      <c r="J174" s="534"/>
      <c r="K174" s="535"/>
      <c r="L174" s="126">
        <f t="shared" ca="1" si="57"/>
        <v>0</v>
      </c>
      <c r="M174" s="127">
        <f t="shared" ca="1" si="57"/>
        <v>0</v>
      </c>
      <c r="N174" s="127">
        <f t="shared" ca="1" si="57"/>
        <v>0</v>
      </c>
      <c r="O174" s="127">
        <f t="shared" ca="1" si="57"/>
        <v>0</v>
      </c>
      <c r="P174" s="128">
        <f t="shared" ca="1" si="57"/>
        <v>0</v>
      </c>
      <c r="Q174" s="126">
        <f t="shared" ca="1" si="57"/>
        <v>0</v>
      </c>
      <c r="R174" s="127">
        <f t="shared" ca="1" si="57"/>
        <v>0</v>
      </c>
      <c r="S174" s="127">
        <f t="shared" ca="1" si="57"/>
        <v>0</v>
      </c>
      <c r="T174" s="127">
        <f t="shared" ca="1" si="57"/>
        <v>0</v>
      </c>
      <c r="U174" s="128">
        <f t="shared" ca="1" si="57"/>
        <v>0</v>
      </c>
      <c r="V174" s="126">
        <f t="shared" ca="1" si="57"/>
        <v>0</v>
      </c>
      <c r="W174" s="127">
        <f t="shared" ca="1" si="57"/>
        <v>0</v>
      </c>
      <c r="X174" s="127">
        <f t="shared" ca="1" si="57"/>
        <v>0</v>
      </c>
      <c r="Y174" s="127">
        <f t="shared" ca="1" si="57"/>
        <v>0</v>
      </c>
      <c r="Z174" s="128">
        <f t="shared" ca="1" si="57"/>
        <v>0</v>
      </c>
      <c r="AA174" s="126">
        <f t="shared" ca="1" si="57"/>
        <v>0</v>
      </c>
      <c r="AB174" s="127">
        <f t="shared" ca="1" si="56"/>
        <v>0</v>
      </c>
      <c r="AC174" s="127">
        <f t="shared" ca="1" si="56"/>
        <v>0</v>
      </c>
      <c r="AD174" s="127">
        <f t="shared" ca="1" si="56"/>
        <v>0</v>
      </c>
      <c r="AE174" s="128">
        <f t="shared" ca="1" si="56"/>
        <v>0</v>
      </c>
      <c r="AF174" s="126">
        <f t="shared" ca="1" si="56"/>
        <v>0</v>
      </c>
      <c r="AG174" s="127">
        <f t="shared" ca="1" si="56"/>
        <v>0</v>
      </c>
      <c r="AH174" s="127">
        <f t="shared" ca="1" si="56"/>
        <v>0</v>
      </c>
      <c r="AI174" s="127">
        <f t="shared" ca="1" si="56"/>
        <v>0</v>
      </c>
      <c r="AJ174" s="128">
        <f t="shared" ca="1" si="56"/>
        <v>0</v>
      </c>
      <c r="AK174" s="126">
        <f t="shared" ca="1" si="56"/>
        <v>0</v>
      </c>
      <c r="AL174" s="127">
        <f t="shared" ca="1" si="56"/>
        <v>0</v>
      </c>
      <c r="AM174" s="127">
        <f t="shared" ca="1" si="56"/>
        <v>0</v>
      </c>
      <c r="AN174" s="127">
        <f t="shared" ca="1" si="56"/>
        <v>0</v>
      </c>
      <c r="AO174" s="129">
        <f t="shared" ca="1" si="44"/>
        <v>0</v>
      </c>
      <c r="AP174" s="536" t="str">
        <f t="shared" si="49"/>
        <v/>
      </c>
      <c r="AQ174" s="536" t="str">
        <f t="shared" si="50"/>
        <v/>
      </c>
      <c r="AR174" s="536" t="str">
        <f t="shared" si="51"/>
        <v/>
      </c>
      <c r="AS174" s="537">
        <f>IF(OR(J174&lt;&gt;"",AP174&amp;AQ174&amp;AR174&lt;&gt;"X",WEEKDAY(I174,2)&gt;5,C174&lt;&gt;0,(FechaInicio1Tri&gt;I174),(FechaFinEEva&lt;I174)),0,_xlfn.XLOOKUP(WEEKDAY(I174,2),Fchs!$J$10:$N$10,Fchs!$J$12:$N$12))</f>
        <v>0</v>
      </c>
      <c r="AT174" s="536">
        <f t="shared" ca="1" si="52"/>
        <v>0</v>
      </c>
      <c r="AU174" s="538">
        <f>IF(AS174&lt;&gt;0,MAXA($AU$14:AU173)+AS174,0)</f>
        <v>0</v>
      </c>
      <c r="AV174" s="538">
        <f ca="1">IF(AT174&lt;&gt;0,MAXA($AU$14:AU173)+AT174,0)</f>
        <v>0</v>
      </c>
      <c r="AW174" s="69"/>
    </row>
    <row r="175" spans="1:49" ht="18.75" customHeight="1" x14ac:dyDescent="0.25">
      <c r="A175" s="69"/>
      <c r="B175" s="56" t="str">
        <f>MID(Info!$AZ$3,(WEEKDAY(I175,2)-1)*3+1,3)</f>
        <v>Lun</v>
      </c>
      <c r="C175" s="523">
        <f>_xlfn.XLOOKUP(I175,Fchs!$C$108:$C$149,Fchs!$D$108:$D$149,0)</f>
        <v>0</v>
      </c>
      <c r="D175" s="523">
        <f>_xlfn.XLOOKUP(I175,Fchs!$C$108:$C$149,Fchs!$E$108:$E$149)</f>
        <v>0</v>
      </c>
      <c r="E175" s="532" t="str">
        <f>IF($AS175&lt;&gt;0,_xlfn.XLOOKUP($G175,UDs!$E$34:$E$55,UDs!$B$34:$B$55,,-1),0)</f>
        <v/>
      </c>
      <c r="F175" s="532" t="str">
        <f t="shared" ca="1" si="48"/>
        <v/>
      </c>
      <c r="G175" s="569">
        <f>IF(AU175&lt;&gt;0,MAX($AU$13:$AU174)+1,0)</f>
        <v>80</v>
      </c>
      <c r="H175" s="569">
        <f>IF(AS175&lt;&gt;0,COUNT($H$14:H174,1),"")</f>
        <v>80</v>
      </c>
      <c r="I175" s="533">
        <f t="shared" si="53"/>
        <v>46048</v>
      </c>
      <c r="J175" s="534"/>
      <c r="K175" s="535"/>
      <c r="L175" s="126">
        <f t="shared" ca="1" si="57"/>
        <v>1</v>
      </c>
      <c r="M175" s="127">
        <f t="shared" ca="1" si="57"/>
        <v>1</v>
      </c>
      <c r="N175" s="127">
        <f t="shared" ca="1" si="57"/>
        <v>1</v>
      </c>
      <c r="O175" s="127">
        <f t="shared" ca="1" si="57"/>
        <v>1</v>
      </c>
      <c r="P175" s="128">
        <f t="shared" ca="1" si="57"/>
        <v>1</v>
      </c>
      <c r="Q175" s="126">
        <f t="shared" ca="1" si="57"/>
        <v>1</v>
      </c>
      <c r="R175" s="127">
        <f t="shared" ca="1" si="57"/>
        <v>1</v>
      </c>
      <c r="S175" s="127">
        <f t="shared" ca="1" si="57"/>
        <v>1</v>
      </c>
      <c r="T175" s="127">
        <f t="shared" ca="1" si="57"/>
        <v>1</v>
      </c>
      <c r="U175" s="128">
        <f t="shared" ca="1" si="57"/>
        <v>1</v>
      </c>
      <c r="V175" s="126">
        <f t="shared" ca="1" si="57"/>
        <v>1</v>
      </c>
      <c r="W175" s="127">
        <f t="shared" ca="1" si="57"/>
        <v>1</v>
      </c>
      <c r="X175" s="127">
        <f t="shared" ca="1" si="57"/>
        <v>1</v>
      </c>
      <c r="Y175" s="127">
        <f t="shared" ca="1" si="57"/>
        <v>1</v>
      </c>
      <c r="Z175" s="128">
        <f t="shared" ca="1" si="57"/>
        <v>1</v>
      </c>
      <c r="AA175" s="126">
        <f t="shared" ca="1" si="57"/>
        <v>1</v>
      </c>
      <c r="AB175" s="127">
        <f t="shared" ca="1" si="56"/>
        <v>1</v>
      </c>
      <c r="AC175" s="127">
        <f t="shared" ca="1" si="56"/>
        <v>1</v>
      </c>
      <c r="AD175" s="127">
        <f t="shared" ca="1" si="56"/>
        <v>1</v>
      </c>
      <c r="AE175" s="128">
        <f t="shared" ca="1" si="56"/>
        <v>1</v>
      </c>
      <c r="AF175" s="126">
        <f t="shared" ca="1" si="56"/>
        <v>1</v>
      </c>
      <c r="AG175" s="127">
        <f t="shared" ca="1" si="56"/>
        <v>1</v>
      </c>
      <c r="AH175" s="127">
        <f t="shared" ca="1" si="56"/>
        <v>1</v>
      </c>
      <c r="AI175" s="127">
        <f t="shared" ca="1" si="56"/>
        <v>1</v>
      </c>
      <c r="AJ175" s="128">
        <f t="shared" ca="1" si="56"/>
        <v>1</v>
      </c>
      <c r="AK175" s="126">
        <f t="shared" ca="1" si="56"/>
        <v>1</v>
      </c>
      <c r="AL175" s="127">
        <f t="shared" ca="1" si="56"/>
        <v>1</v>
      </c>
      <c r="AM175" s="127">
        <f t="shared" ca="1" si="56"/>
        <v>1</v>
      </c>
      <c r="AN175" s="127">
        <f t="shared" ca="1" si="56"/>
        <v>1</v>
      </c>
      <c r="AO175" s="129">
        <f t="shared" ca="1" si="44"/>
        <v>1</v>
      </c>
      <c r="AP175" s="536" t="str">
        <f t="shared" si="49"/>
        <v/>
      </c>
      <c r="AQ175" s="536" t="str">
        <f t="shared" si="50"/>
        <v>X</v>
      </c>
      <c r="AR175" s="536" t="str">
        <f t="shared" si="51"/>
        <v/>
      </c>
      <c r="AS175" s="537">
        <f>IF(OR(J175&lt;&gt;"",AP175&amp;AQ175&amp;AR175&lt;&gt;"X",WEEKDAY(I175,2)&gt;5,C175&lt;&gt;0,(FechaInicio1Tri&gt;I175),(FechaFinEEva&lt;I175)),0,_xlfn.XLOOKUP(WEEKDAY(I175,2),Fchs!$J$10:$N$10,Fchs!$J$12:$N$12))</f>
        <v>1</v>
      </c>
      <c r="AT175" s="536">
        <f t="shared" ca="1" si="52"/>
        <v>1</v>
      </c>
      <c r="AU175" s="538">
        <f>IF(AS175&lt;&gt;0,MAXA($AU$14:AU174)+AS175,0)</f>
        <v>80</v>
      </c>
      <c r="AV175" s="538">
        <f ca="1">IF(AT175&lt;&gt;0,MAXA($AU$14:AU174)+AT175,0)</f>
        <v>80</v>
      </c>
      <c r="AW175" s="69"/>
    </row>
    <row r="176" spans="1:49" ht="18.75" customHeight="1" x14ac:dyDescent="0.25">
      <c r="A176" s="69"/>
      <c r="B176" s="56" t="str">
        <f>MID(Info!$AZ$3,(WEEKDAY(I176,2)-1)*3+1,3)</f>
        <v>Mar</v>
      </c>
      <c r="C176" s="523">
        <f>_xlfn.XLOOKUP(I176,Fchs!$C$108:$C$149,Fchs!$D$108:$D$149,0)</f>
        <v>0</v>
      </c>
      <c r="D176" s="523">
        <f>_xlfn.XLOOKUP(I176,Fchs!$C$108:$C$149,Fchs!$E$108:$E$149)</f>
        <v>0</v>
      </c>
      <c r="E176" s="532" t="str">
        <f>IF($AS176&lt;&gt;0,_xlfn.XLOOKUP($G176,UDs!$E$34:$E$55,UDs!$B$34:$B$55,,-1),0)</f>
        <v/>
      </c>
      <c r="F176" s="532" t="str">
        <f t="shared" ca="1" si="48"/>
        <v/>
      </c>
      <c r="G176" s="569">
        <f>IF(AU176&lt;&gt;0,MAX($AU$13:$AU175)+1,0)</f>
        <v>81</v>
      </c>
      <c r="H176" s="569">
        <f>IF(AS176&lt;&gt;0,COUNT($H$14:H175,1),"")</f>
        <v>81</v>
      </c>
      <c r="I176" s="533">
        <f t="shared" si="53"/>
        <v>46049</v>
      </c>
      <c r="J176" s="534"/>
      <c r="K176" s="535"/>
      <c r="L176" s="126">
        <f t="shared" ca="1" si="57"/>
        <v>1</v>
      </c>
      <c r="M176" s="127">
        <f t="shared" ca="1" si="57"/>
        <v>1</v>
      </c>
      <c r="N176" s="127">
        <f t="shared" ca="1" si="57"/>
        <v>1</v>
      </c>
      <c r="O176" s="127">
        <f t="shared" ca="1" si="57"/>
        <v>1</v>
      </c>
      <c r="P176" s="128">
        <f t="shared" ca="1" si="57"/>
        <v>1</v>
      </c>
      <c r="Q176" s="126">
        <f t="shared" ca="1" si="57"/>
        <v>1</v>
      </c>
      <c r="R176" s="127">
        <f t="shared" ca="1" si="57"/>
        <v>1</v>
      </c>
      <c r="S176" s="127">
        <f t="shared" ca="1" si="57"/>
        <v>1</v>
      </c>
      <c r="T176" s="127">
        <f t="shared" ca="1" si="57"/>
        <v>1</v>
      </c>
      <c r="U176" s="128">
        <f t="shared" ca="1" si="57"/>
        <v>1</v>
      </c>
      <c r="V176" s="126">
        <f t="shared" ca="1" si="57"/>
        <v>1</v>
      </c>
      <c r="W176" s="127">
        <f t="shared" ca="1" si="57"/>
        <v>1</v>
      </c>
      <c r="X176" s="127">
        <f t="shared" ca="1" si="57"/>
        <v>1</v>
      </c>
      <c r="Y176" s="127">
        <f t="shared" ca="1" si="57"/>
        <v>1</v>
      </c>
      <c r="Z176" s="128">
        <f t="shared" ca="1" si="57"/>
        <v>1</v>
      </c>
      <c r="AA176" s="126">
        <f t="shared" ca="1" si="57"/>
        <v>1</v>
      </c>
      <c r="AB176" s="127">
        <f t="shared" ca="1" si="56"/>
        <v>1</v>
      </c>
      <c r="AC176" s="127">
        <f t="shared" ca="1" si="56"/>
        <v>1</v>
      </c>
      <c r="AD176" s="127">
        <f t="shared" ca="1" si="56"/>
        <v>1</v>
      </c>
      <c r="AE176" s="128">
        <f t="shared" ca="1" si="56"/>
        <v>1</v>
      </c>
      <c r="AF176" s="126">
        <f t="shared" ca="1" si="56"/>
        <v>1</v>
      </c>
      <c r="AG176" s="127">
        <f t="shared" ca="1" si="56"/>
        <v>1</v>
      </c>
      <c r="AH176" s="127">
        <f t="shared" ca="1" si="56"/>
        <v>1</v>
      </c>
      <c r="AI176" s="127">
        <f t="shared" ca="1" si="56"/>
        <v>1</v>
      </c>
      <c r="AJ176" s="128">
        <f t="shared" ca="1" si="56"/>
        <v>1</v>
      </c>
      <c r="AK176" s="126">
        <f t="shared" ca="1" si="56"/>
        <v>1</v>
      </c>
      <c r="AL176" s="127">
        <f t="shared" ca="1" si="56"/>
        <v>1</v>
      </c>
      <c r="AM176" s="127">
        <f t="shared" ca="1" si="56"/>
        <v>1</v>
      </c>
      <c r="AN176" s="127">
        <f t="shared" ca="1" si="56"/>
        <v>1</v>
      </c>
      <c r="AO176" s="129">
        <f t="shared" ca="1" si="44"/>
        <v>1</v>
      </c>
      <c r="AP176" s="536" t="str">
        <f t="shared" si="49"/>
        <v/>
      </c>
      <c r="AQ176" s="536" t="str">
        <f t="shared" si="50"/>
        <v>X</v>
      </c>
      <c r="AR176" s="536" t="str">
        <f t="shared" si="51"/>
        <v/>
      </c>
      <c r="AS176" s="537">
        <f>IF(OR(J176&lt;&gt;"",AP176&amp;AQ176&amp;AR176&lt;&gt;"X",WEEKDAY(I176,2)&gt;5,C176&lt;&gt;0,(FechaInicio1Tri&gt;I176),(FechaFinEEva&lt;I176)),0,_xlfn.XLOOKUP(WEEKDAY(I176,2),Fchs!$J$10:$N$10,Fchs!$J$12:$N$12))</f>
        <v>1</v>
      </c>
      <c r="AT176" s="536">
        <f t="shared" ca="1" si="52"/>
        <v>1</v>
      </c>
      <c r="AU176" s="538">
        <f>IF(AS176&lt;&gt;0,MAXA($AU$14:AU175)+AS176,0)</f>
        <v>81</v>
      </c>
      <c r="AV176" s="538">
        <f ca="1">IF(AT176&lt;&gt;0,MAXA($AU$14:AU175)+AT176,0)</f>
        <v>81</v>
      </c>
      <c r="AW176" s="69"/>
    </row>
    <row r="177" spans="1:49" ht="18.75" customHeight="1" x14ac:dyDescent="0.25">
      <c r="A177" s="69"/>
      <c r="B177" s="56" t="str">
        <f>MID(Info!$AZ$3,(WEEKDAY(I177,2)-1)*3+1,3)</f>
        <v>Mié</v>
      </c>
      <c r="C177" s="523">
        <f>_xlfn.XLOOKUP(I177,Fchs!$C$108:$C$149,Fchs!$D$108:$D$149,0)</f>
        <v>0</v>
      </c>
      <c r="D177" s="523">
        <f>_xlfn.XLOOKUP(I177,Fchs!$C$108:$C$149,Fchs!$E$108:$E$149)</f>
        <v>0</v>
      </c>
      <c r="E177" s="532" t="str">
        <f>IF($AS177&lt;&gt;0,_xlfn.XLOOKUP($G177,UDs!$E$34:$E$55,UDs!$B$34:$B$55,,-1),0)</f>
        <v/>
      </c>
      <c r="F177" s="532" t="str">
        <f t="shared" ca="1" si="48"/>
        <v/>
      </c>
      <c r="G177" s="569">
        <f>IF(AU177&lt;&gt;0,MAX($AU$13:$AU176)+1,0)</f>
        <v>82</v>
      </c>
      <c r="H177" s="569">
        <f>IF(AS177&lt;&gt;0,COUNT($H$14:H176,1),"")</f>
        <v>82</v>
      </c>
      <c r="I177" s="533">
        <f t="shared" si="53"/>
        <v>46050</v>
      </c>
      <c r="J177" s="534"/>
      <c r="K177" s="535"/>
      <c r="L177" s="126">
        <f t="shared" ca="1" si="57"/>
        <v>1</v>
      </c>
      <c r="M177" s="127">
        <f t="shared" ca="1" si="57"/>
        <v>1</v>
      </c>
      <c r="N177" s="127">
        <f t="shared" ca="1" si="57"/>
        <v>1</v>
      </c>
      <c r="O177" s="127">
        <f t="shared" ca="1" si="57"/>
        <v>1</v>
      </c>
      <c r="P177" s="128">
        <f t="shared" ca="1" si="57"/>
        <v>1</v>
      </c>
      <c r="Q177" s="126">
        <f t="shared" ca="1" si="57"/>
        <v>1</v>
      </c>
      <c r="R177" s="127">
        <f t="shared" ca="1" si="57"/>
        <v>1</v>
      </c>
      <c r="S177" s="127">
        <f t="shared" ca="1" si="57"/>
        <v>1</v>
      </c>
      <c r="T177" s="127">
        <f t="shared" ca="1" si="57"/>
        <v>1</v>
      </c>
      <c r="U177" s="128">
        <f t="shared" ca="1" si="57"/>
        <v>1</v>
      </c>
      <c r="V177" s="126">
        <f t="shared" ca="1" si="57"/>
        <v>1</v>
      </c>
      <c r="W177" s="127">
        <f t="shared" ca="1" si="57"/>
        <v>1</v>
      </c>
      <c r="X177" s="127">
        <f t="shared" ca="1" si="57"/>
        <v>1</v>
      </c>
      <c r="Y177" s="127">
        <f t="shared" ca="1" si="57"/>
        <v>1</v>
      </c>
      <c r="Z177" s="128">
        <f t="shared" ca="1" si="57"/>
        <v>1</v>
      </c>
      <c r="AA177" s="126">
        <f t="shared" ca="1" si="57"/>
        <v>1</v>
      </c>
      <c r="AB177" s="127">
        <f t="shared" ca="1" si="56"/>
        <v>1</v>
      </c>
      <c r="AC177" s="127">
        <f t="shared" ca="1" si="56"/>
        <v>1</v>
      </c>
      <c r="AD177" s="127">
        <f t="shared" ca="1" si="56"/>
        <v>1</v>
      </c>
      <c r="AE177" s="128">
        <f t="shared" ca="1" si="56"/>
        <v>1</v>
      </c>
      <c r="AF177" s="126">
        <f t="shared" ca="1" si="56"/>
        <v>1</v>
      </c>
      <c r="AG177" s="127">
        <f t="shared" ca="1" si="56"/>
        <v>1</v>
      </c>
      <c r="AH177" s="127">
        <f t="shared" ca="1" si="56"/>
        <v>1</v>
      </c>
      <c r="AI177" s="127">
        <f t="shared" ca="1" si="56"/>
        <v>1</v>
      </c>
      <c r="AJ177" s="128">
        <f t="shared" ca="1" si="56"/>
        <v>1</v>
      </c>
      <c r="AK177" s="126">
        <f t="shared" ca="1" si="56"/>
        <v>1</v>
      </c>
      <c r="AL177" s="127">
        <f t="shared" ca="1" si="56"/>
        <v>1</v>
      </c>
      <c r="AM177" s="127">
        <f t="shared" ca="1" si="56"/>
        <v>1</v>
      </c>
      <c r="AN177" s="127">
        <f t="shared" ca="1" si="56"/>
        <v>1</v>
      </c>
      <c r="AO177" s="129">
        <f t="shared" ca="1" si="44"/>
        <v>1</v>
      </c>
      <c r="AP177" s="536" t="str">
        <f t="shared" si="49"/>
        <v/>
      </c>
      <c r="AQ177" s="536" t="str">
        <f t="shared" si="50"/>
        <v>X</v>
      </c>
      <c r="AR177" s="536" t="str">
        <f t="shared" si="51"/>
        <v/>
      </c>
      <c r="AS177" s="537">
        <f>IF(OR(J177&lt;&gt;"",AP177&amp;AQ177&amp;AR177&lt;&gt;"X",WEEKDAY(I177,2)&gt;5,C177&lt;&gt;0,(FechaInicio1Tri&gt;I177),(FechaFinEEva&lt;I177)),0,_xlfn.XLOOKUP(WEEKDAY(I177,2),Fchs!$J$10:$N$10,Fchs!$J$12:$N$12))</f>
        <v>1</v>
      </c>
      <c r="AT177" s="536">
        <f t="shared" ca="1" si="52"/>
        <v>1</v>
      </c>
      <c r="AU177" s="538">
        <f>IF(AS177&lt;&gt;0,MAXA($AU$14:AU176)+AS177,0)</f>
        <v>82</v>
      </c>
      <c r="AV177" s="538">
        <f ca="1">IF(AT177&lt;&gt;0,MAXA($AU$14:AU176)+AT177,0)</f>
        <v>82</v>
      </c>
      <c r="AW177" s="69"/>
    </row>
    <row r="178" spans="1:49" ht="18.75" customHeight="1" x14ac:dyDescent="0.25">
      <c r="A178" s="69"/>
      <c r="B178" s="56" t="str">
        <f>MID(Info!$AZ$3,(WEEKDAY(I178,2)-1)*3+1,3)</f>
        <v>Jue</v>
      </c>
      <c r="C178" s="523" t="str">
        <f>_xlfn.XLOOKUP(I178,Fchs!$C$108:$C$149,Fchs!$D$108:$D$149,0)</f>
        <v>S.Valero</v>
      </c>
      <c r="D178" s="523">
        <f>_xlfn.XLOOKUP(I178,Fchs!$C$108:$C$149,Fchs!$E$108:$E$149)</f>
        <v>0</v>
      </c>
      <c r="E178" s="532">
        <f>IF($AS178&lt;&gt;0,_xlfn.XLOOKUP($G178,UDs!$E$34:$E$55,UDs!$B$34:$B$55,,-1),0)</f>
        <v>0</v>
      </c>
      <c r="F178" s="532">
        <f t="shared" ca="1" si="48"/>
        <v>0</v>
      </c>
      <c r="G178" s="569">
        <f>IF(AU178&lt;&gt;0,MAX($AU$13:$AU177)+1,0)</f>
        <v>0</v>
      </c>
      <c r="H178" s="569" t="str">
        <f>IF(AS178&lt;&gt;0,COUNT($H$14:H177,1),"")</f>
        <v/>
      </c>
      <c r="I178" s="533">
        <f t="shared" si="53"/>
        <v>46051</v>
      </c>
      <c r="J178" s="534"/>
      <c r="K178" s="535"/>
      <c r="L178" s="126">
        <f t="shared" ca="1" si="57"/>
        <v>0</v>
      </c>
      <c r="M178" s="127">
        <f t="shared" ca="1" si="57"/>
        <v>0</v>
      </c>
      <c r="N178" s="127">
        <f t="shared" ca="1" si="57"/>
        <v>0</v>
      </c>
      <c r="O178" s="127">
        <f t="shared" ca="1" si="57"/>
        <v>0</v>
      </c>
      <c r="P178" s="128">
        <f t="shared" ca="1" si="57"/>
        <v>0</v>
      </c>
      <c r="Q178" s="126">
        <f t="shared" ca="1" si="57"/>
        <v>0</v>
      </c>
      <c r="R178" s="127">
        <f t="shared" ca="1" si="57"/>
        <v>0</v>
      </c>
      <c r="S178" s="127">
        <f t="shared" ca="1" si="57"/>
        <v>0</v>
      </c>
      <c r="T178" s="127">
        <f t="shared" ca="1" si="57"/>
        <v>0</v>
      </c>
      <c r="U178" s="128">
        <f t="shared" ca="1" si="57"/>
        <v>0</v>
      </c>
      <c r="V178" s="126">
        <f t="shared" ca="1" si="57"/>
        <v>0</v>
      </c>
      <c r="W178" s="127">
        <f t="shared" ca="1" si="57"/>
        <v>0</v>
      </c>
      <c r="X178" s="127">
        <f t="shared" ca="1" si="57"/>
        <v>0</v>
      </c>
      <c r="Y178" s="127">
        <f t="shared" ca="1" si="57"/>
        <v>0</v>
      </c>
      <c r="Z178" s="128">
        <f t="shared" ca="1" si="57"/>
        <v>0</v>
      </c>
      <c r="AA178" s="126">
        <f t="shared" ca="1" si="57"/>
        <v>0</v>
      </c>
      <c r="AB178" s="127">
        <f t="shared" ca="1" si="56"/>
        <v>0</v>
      </c>
      <c r="AC178" s="127">
        <f t="shared" ca="1" si="56"/>
        <v>0</v>
      </c>
      <c r="AD178" s="127">
        <f t="shared" ca="1" si="56"/>
        <v>0</v>
      </c>
      <c r="AE178" s="128">
        <f t="shared" ca="1" si="56"/>
        <v>0</v>
      </c>
      <c r="AF178" s="126">
        <f t="shared" ca="1" si="56"/>
        <v>0</v>
      </c>
      <c r="AG178" s="127">
        <f t="shared" ca="1" si="56"/>
        <v>0</v>
      </c>
      <c r="AH178" s="127">
        <f t="shared" ca="1" si="56"/>
        <v>0</v>
      </c>
      <c r="AI178" s="127">
        <f t="shared" ca="1" si="56"/>
        <v>0</v>
      </c>
      <c r="AJ178" s="128">
        <f t="shared" ca="1" si="56"/>
        <v>0</v>
      </c>
      <c r="AK178" s="126">
        <f t="shared" ca="1" si="56"/>
        <v>0</v>
      </c>
      <c r="AL178" s="127">
        <f t="shared" ca="1" si="56"/>
        <v>0</v>
      </c>
      <c r="AM178" s="127">
        <f t="shared" ca="1" si="56"/>
        <v>0</v>
      </c>
      <c r="AN178" s="127">
        <f t="shared" ca="1" si="56"/>
        <v>0</v>
      </c>
      <c r="AO178" s="129">
        <f t="shared" ca="1" si="56"/>
        <v>0</v>
      </c>
      <c r="AP178" s="536" t="str">
        <f t="shared" si="49"/>
        <v/>
      </c>
      <c r="AQ178" s="536" t="str">
        <f t="shared" si="50"/>
        <v>X</v>
      </c>
      <c r="AR178" s="536" t="str">
        <f t="shared" si="51"/>
        <v/>
      </c>
      <c r="AS178" s="537">
        <f>IF(OR(J178&lt;&gt;"",AP178&amp;AQ178&amp;AR178&lt;&gt;"X",WEEKDAY(I178,2)&gt;5,C178&lt;&gt;0,(FechaInicio1Tri&gt;I178),(FechaFinEEva&lt;I178)),0,_xlfn.XLOOKUP(WEEKDAY(I178,2),Fchs!$J$10:$N$10,Fchs!$J$12:$N$12))</f>
        <v>0</v>
      </c>
      <c r="AT178" s="536">
        <f t="shared" ca="1" si="52"/>
        <v>0</v>
      </c>
      <c r="AU178" s="538">
        <f>IF(AS178&lt;&gt;0,MAXA($AU$14:AU177)+AS178,0)</f>
        <v>0</v>
      </c>
      <c r="AV178" s="538">
        <f ca="1">IF(AT178&lt;&gt;0,MAXA($AU$14:AU177)+AT178,0)</f>
        <v>0</v>
      </c>
      <c r="AW178" s="69"/>
    </row>
    <row r="179" spans="1:49" ht="18.75" customHeight="1" x14ac:dyDescent="0.25">
      <c r="A179" s="69"/>
      <c r="B179" s="56" t="str">
        <f>MID(Info!$AZ$3,(WEEKDAY(I179,2)-1)*3+1,3)</f>
        <v>Vie</v>
      </c>
      <c r="C179" s="523">
        <f>_xlfn.XLOOKUP(I179,Fchs!$C$108:$C$149,Fchs!$D$108:$D$149,0)</f>
        <v>0</v>
      </c>
      <c r="D179" s="523">
        <f>_xlfn.XLOOKUP(I179,Fchs!$C$108:$C$149,Fchs!$E$108:$E$149)</f>
        <v>0</v>
      </c>
      <c r="E179" s="532" t="str">
        <f>IF($AS179&lt;&gt;0,_xlfn.XLOOKUP($G179,UDs!$E$34:$E$55,UDs!$B$34:$B$55,,-1),0)</f>
        <v/>
      </c>
      <c r="F179" s="532" t="str">
        <f t="shared" ca="1" si="48"/>
        <v/>
      </c>
      <c r="G179" s="569">
        <f>IF(AU179&lt;&gt;0,MAX($AU$13:$AU178)+1,0)</f>
        <v>83</v>
      </c>
      <c r="H179" s="569">
        <f>IF(AS179&lt;&gt;0,COUNT($H$14:H178,1),"")</f>
        <v>83</v>
      </c>
      <c r="I179" s="533">
        <f t="shared" si="53"/>
        <v>46052</v>
      </c>
      <c r="J179" s="534"/>
      <c r="K179" s="535"/>
      <c r="L179" s="126">
        <f t="shared" ca="1" si="57"/>
        <v>1</v>
      </c>
      <c r="M179" s="127">
        <f t="shared" ca="1" si="57"/>
        <v>1</v>
      </c>
      <c r="N179" s="127">
        <f t="shared" ca="1" si="57"/>
        <v>1</v>
      </c>
      <c r="O179" s="127">
        <f t="shared" ca="1" si="57"/>
        <v>1</v>
      </c>
      <c r="P179" s="128">
        <f t="shared" ca="1" si="57"/>
        <v>1</v>
      </c>
      <c r="Q179" s="126">
        <f t="shared" ca="1" si="57"/>
        <v>1</v>
      </c>
      <c r="R179" s="127">
        <f t="shared" ca="1" si="57"/>
        <v>1</v>
      </c>
      <c r="S179" s="127">
        <f t="shared" ca="1" si="57"/>
        <v>1</v>
      </c>
      <c r="T179" s="127">
        <f t="shared" ca="1" si="57"/>
        <v>1</v>
      </c>
      <c r="U179" s="128">
        <f t="shared" ca="1" si="57"/>
        <v>1</v>
      </c>
      <c r="V179" s="126">
        <f t="shared" ca="1" si="57"/>
        <v>1</v>
      </c>
      <c r="W179" s="127">
        <f t="shared" ca="1" si="57"/>
        <v>1</v>
      </c>
      <c r="X179" s="127">
        <f t="shared" ca="1" si="57"/>
        <v>1</v>
      </c>
      <c r="Y179" s="127">
        <f t="shared" ca="1" si="57"/>
        <v>1</v>
      </c>
      <c r="Z179" s="128">
        <f t="shared" ca="1" si="57"/>
        <v>1</v>
      </c>
      <c r="AA179" s="126">
        <f t="shared" ca="1" si="57"/>
        <v>1</v>
      </c>
      <c r="AB179" s="127">
        <f t="shared" ca="1" si="56"/>
        <v>1</v>
      </c>
      <c r="AC179" s="127">
        <f t="shared" ca="1" si="56"/>
        <v>1</v>
      </c>
      <c r="AD179" s="127">
        <f t="shared" ca="1" si="56"/>
        <v>1</v>
      </c>
      <c r="AE179" s="128">
        <f t="shared" ca="1" si="56"/>
        <v>1</v>
      </c>
      <c r="AF179" s="126">
        <f t="shared" ca="1" si="56"/>
        <v>1</v>
      </c>
      <c r="AG179" s="127">
        <f t="shared" ca="1" si="56"/>
        <v>1</v>
      </c>
      <c r="AH179" s="127">
        <f t="shared" ca="1" si="56"/>
        <v>1</v>
      </c>
      <c r="AI179" s="127">
        <f t="shared" ca="1" si="56"/>
        <v>1</v>
      </c>
      <c r="AJ179" s="128">
        <f t="shared" ca="1" si="56"/>
        <v>1</v>
      </c>
      <c r="AK179" s="126">
        <f t="shared" ca="1" si="56"/>
        <v>1</v>
      </c>
      <c r="AL179" s="127">
        <f t="shared" ca="1" si="56"/>
        <v>1</v>
      </c>
      <c r="AM179" s="127">
        <f t="shared" ca="1" si="56"/>
        <v>1</v>
      </c>
      <c r="AN179" s="127">
        <f t="shared" ca="1" si="56"/>
        <v>1</v>
      </c>
      <c r="AO179" s="129">
        <f t="shared" ca="1" si="56"/>
        <v>1</v>
      </c>
      <c r="AP179" s="536" t="str">
        <f t="shared" si="49"/>
        <v/>
      </c>
      <c r="AQ179" s="536" t="str">
        <f t="shared" si="50"/>
        <v>X</v>
      </c>
      <c r="AR179" s="536" t="str">
        <f t="shared" si="51"/>
        <v/>
      </c>
      <c r="AS179" s="537">
        <f>IF(OR(J179&lt;&gt;"",AP179&amp;AQ179&amp;AR179&lt;&gt;"X",WEEKDAY(I179,2)&gt;5,C179&lt;&gt;0,(FechaInicio1Tri&gt;I179),(FechaFinEEva&lt;I179)),0,_xlfn.XLOOKUP(WEEKDAY(I179,2),Fchs!$J$10:$N$10,Fchs!$J$12:$N$12))</f>
        <v>1</v>
      </c>
      <c r="AT179" s="536">
        <f t="shared" ca="1" si="52"/>
        <v>1</v>
      </c>
      <c r="AU179" s="538">
        <f>IF(AS179&lt;&gt;0,MAXA($AU$14:AU178)+AS179,0)</f>
        <v>83</v>
      </c>
      <c r="AV179" s="538">
        <f ca="1">IF(AT179&lt;&gt;0,MAXA($AU$14:AU178)+AT179,0)</f>
        <v>83</v>
      </c>
      <c r="AW179" s="69"/>
    </row>
    <row r="180" spans="1:49" ht="18.75" customHeight="1" x14ac:dyDescent="0.25">
      <c r="A180" s="69"/>
      <c r="B180" s="530" t="str">
        <f>MID(Info!$AZ$3,(WEEKDAY(I180,2)-1)*3+1,3)</f>
        <v>Sáb</v>
      </c>
      <c r="C180" s="611">
        <f>_xlfn.XLOOKUP(I180,Fchs!$C$108:$C$149,Fchs!$D$108:$D$149,0)</f>
        <v>0</v>
      </c>
      <c r="D180" s="611">
        <f>_xlfn.XLOOKUP(I180,Fchs!$C$108:$C$149,Fchs!$E$108:$E$149)</f>
        <v>0</v>
      </c>
      <c r="E180" s="539">
        <f>IF($AS180&lt;&gt;0,_xlfn.XLOOKUP($G180,UDs!$E$34:$E$55,UDs!$B$34:$B$55,,-1),0)</f>
        <v>0</v>
      </c>
      <c r="F180" s="539">
        <f t="shared" ca="1" si="48"/>
        <v>0</v>
      </c>
      <c r="G180" s="570">
        <f>IF(AU180&lt;&gt;0,MAX($AU$13:$AU179)+1,0)</f>
        <v>0</v>
      </c>
      <c r="H180" s="570" t="str">
        <f>IF(AS180&lt;&gt;0,COUNT($H$14:H179,1),"")</f>
        <v/>
      </c>
      <c r="I180" s="540">
        <f t="shared" si="53"/>
        <v>46053</v>
      </c>
      <c r="J180" s="541"/>
      <c r="K180" s="542"/>
      <c r="L180" s="121">
        <f t="shared" ca="1" si="57"/>
        <v>0</v>
      </c>
      <c r="M180" s="122">
        <f t="shared" ca="1" si="57"/>
        <v>0</v>
      </c>
      <c r="N180" s="122">
        <f t="shared" ca="1" si="57"/>
        <v>0</v>
      </c>
      <c r="O180" s="122">
        <f t="shared" ca="1" si="57"/>
        <v>0</v>
      </c>
      <c r="P180" s="123">
        <f t="shared" ca="1" si="57"/>
        <v>0</v>
      </c>
      <c r="Q180" s="121">
        <f t="shared" ca="1" si="57"/>
        <v>0</v>
      </c>
      <c r="R180" s="122">
        <f t="shared" ca="1" si="57"/>
        <v>0</v>
      </c>
      <c r="S180" s="122">
        <f t="shared" ca="1" si="57"/>
        <v>0</v>
      </c>
      <c r="T180" s="122">
        <f t="shared" ca="1" si="57"/>
        <v>0</v>
      </c>
      <c r="U180" s="123">
        <f t="shared" ca="1" si="57"/>
        <v>0</v>
      </c>
      <c r="V180" s="121">
        <f t="shared" ca="1" si="57"/>
        <v>0</v>
      </c>
      <c r="W180" s="122">
        <f t="shared" ca="1" si="57"/>
        <v>0</v>
      </c>
      <c r="X180" s="122">
        <f t="shared" ca="1" si="57"/>
        <v>0</v>
      </c>
      <c r="Y180" s="122">
        <f t="shared" ca="1" si="57"/>
        <v>0</v>
      </c>
      <c r="Z180" s="123">
        <f t="shared" ca="1" si="57"/>
        <v>0</v>
      </c>
      <c r="AA180" s="121">
        <f t="shared" ca="1" si="57"/>
        <v>0</v>
      </c>
      <c r="AB180" s="122">
        <f t="shared" ca="1" si="56"/>
        <v>0</v>
      </c>
      <c r="AC180" s="122">
        <f t="shared" ca="1" si="56"/>
        <v>0</v>
      </c>
      <c r="AD180" s="122">
        <f t="shared" ca="1" si="56"/>
        <v>0</v>
      </c>
      <c r="AE180" s="123">
        <f t="shared" ca="1" si="56"/>
        <v>0</v>
      </c>
      <c r="AF180" s="121">
        <f t="shared" ca="1" si="56"/>
        <v>0</v>
      </c>
      <c r="AG180" s="122">
        <f t="shared" ca="1" si="56"/>
        <v>0</v>
      </c>
      <c r="AH180" s="122">
        <f t="shared" ca="1" si="56"/>
        <v>0</v>
      </c>
      <c r="AI180" s="122">
        <f t="shared" ca="1" si="56"/>
        <v>0</v>
      </c>
      <c r="AJ180" s="123">
        <f t="shared" ca="1" si="56"/>
        <v>0</v>
      </c>
      <c r="AK180" s="121">
        <f t="shared" ca="1" si="56"/>
        <v>0</v>
      </c>
      <c r="AL180" s="122">
        <f t="shared" ca="1" si="56"/>
        <v>0</v>
      </c>
      <c r="AM180" s="122">
        <f t="shared" ca="1" si="56"/>
        <v>0</v>
      </c>
      <c r="AN180" s="122">
        <f t="shared" ca="1" si="56"/>
        <v>0</v>
      </c>
      <c r="AO180" s="123">
        <f t="shared" ca="1" si="56"/>
        <v>0</v>
      </c>
      <c r="AP180" s="536" t="str">
        <f t="shared" si="49"/>
        <v/>
      </c>
      <c r="AQ180" s="536" t="str">
        <f t="shared" si="50"/>
        <v/>
      </c>
      <c r="AR180" s="536" t="str">
        <f t="shared" si="51"/>
        <v/>
      </c>
      <c r="AS180" s="537">
        <f>IF(OR(J180&lt;&gt;"",AP180&amp;AQ180&amp;AR180&lt;&gt;"X",WEEKDAY(I180,2)&gt;5,C180&lt;&gt;0,(FechaInicio1Tri&gt;I180),(FechaFinEEva&lt;I180)),0,_xlfn.XLOOKUP(WEEKDAY(I180,2),Fchs!$J$10:$N$10,Fchs!$J$12:$N$12))</f>
        <v>0</v>
      </c>
      <c r="AT180" s="536">
        <f t="shared" ca="1" si="52"/>
        <v>0</v>
      </c>
      <c r="AU180" s="538">
        <f>IF(AS180&lt;&gt;0,MAXA($AU$14:AU179)+AS180,0)</f>
        <v>0</v>
      </c>
      <c r="AV180" s="538">
        <f ca="1">IF(AT180&lt;&gt;0,MAXA($AU$14:AU179)+AT180,0)</f>
        <v>0</v>
      </c>
      <c r="AW180" s="69"/>
    </row>
    <row r="181" spans="1:49" ht="18.75" customHeight="1" thickBot="1" x14ac:dyDescent="0.3">
      <c r="A181" s="69"/>
      <c r="B181" s="79"/>
      <c r="C181" s="543"/>
      <c r="D181" s="543"/>
      <c r="E181" s="106"/>
      <c r="F181" s="543"/>
      <c r="G181" s="124"/>
      <c r="H181" s="124"/>
      <c r="I181" s="544"/>
      <c r="J181" s="106"/>
      <c r="K181" s="106"/>
      <c r="L181" s="543"/>
      <c r="M181" s="543"/>
      <c r="N181" s="543"/>
      <c r="O181" s="543"/>
      <c r="P181" s="543"/>
      <c r="Q181" s="543"/>
      <c r="R181" s="543"/>
      <c r="S181" s="543"/>
      <c r="T181" s="543"/>
      <c r="U181" s="543"/>
      <c r="V181" s="543"/>
      <c r="W181" s="543"/>
      <c r="X181" s="543"/>
      <c r="Y181" s="543"/>
      <c r="Z181" s="543"/>
      <c r="AA181" s="543"/>
      <c r="AB181" s="543"/>
      <c r="AC181" s="543"/>
      <c r="AD181" s="543"/>
      <c r="AE181" s="543"/>
      <c r="AF181" s="543"/>
      <c r="AG181" s="543"/>
      <c r="AH181" s="543"/>
      <c r="AI181" s="543"/>
      <c r="AJ181" s="543"/>
      <c r="AK181" s="543"/>
      <c r="AL181" s="543"/>
      <c r="AM181" s="543"/>
      <c r="AN181" s="543"/>
      <c r="AO181" s="543"/>
      <c r="AP181" s="124" t="str">
        <f>IF(AND(FechaInicio1Tri&lt;=$I181, FechaFin1Tri&gt;=$I181),"X","")</f>
        <v/>
      </c>
      <c r="AQ181" s="124" t="str">
        <f>IF(AND(FechaInicio2Tri&lt;=$I181, FechaFin2Tri&gt;=$I181),"X","")</f>
        <v/>
      </c>
      <c r="AR181" s="124" t="str">
        <f>IF(AND(FechaInicio3Tri&lt;=$I181, FechaFin3Tri&gt;=$I181, NTri&gt;=3),"X","")</f>
        <v/>
      </c>
      <c r="AS181" s="543"/>
      <c r="AT181" s="543"/>
      <c r="AU181" s="545"/>
      <c r="AV181" s="545"/>
      <c r="AW181" s="69"/>
    </row>
    <row r="182" spans="1:49" ht="18.75" customHeight="1" x14ac:dyDescent="0.25">
      <c r="A182" s="69"/>
      <c r="B182" s="546" t="str">
        <f>MID(Info!$AZ$5,(MONTH(I184)-1)*3+1,3)&amp;" "&amp;YEAR(I184)</f>
        <v xml:space="preserve"> 2026</v>
      </c>
      <c r="C182" s="543"/>
      <c r="D182" s="543"/>
      <c r="E182" s="106"/>
      <c r="F182" s="543"/>
      <c r="G182" s="124"/>
      <c r="H182" s="124"/>
      <c r="I182" s="544"/>
      <c r="J182" s="106"/>
      <c r="K182" s="106"/>
      <c r="L182" s="543"/>
      <c r="M182" s="543"/>
      <c r="N182" s="543"/>
      <c r="O182" s="543"/>
      <c r="P182" s="543"/>
      <c r="Q182" s="543"/>
      <c r="R182" s="543"/>
      <c r="S182" s="543"/>
      <c r="T182" s="543"/>
      <c r="U182" s="543"/>
      <c r="V182" s="543"/>
      <c r="W182" s="543"/>
      <c r="X182" s="543"/>
      <c r="Y182" s="543"/>
      <c r="Z182" s="543"/>
      <c r="AA182" s="543"/>
      <c r="AB182" s="543"/>
      <c r="AC182" s="543"/>
      <c r="AD182" s="543"/>
      <c r="AE182" s="543"/>
      <c r="AF182" s="543"/>
      <c r="AG182" s="543"/>
      <c r="AH182" s="543"/>
      <c r="AI182" s="543"/>
      <c r="AJ182" s="543"/>
      <c r="AK182" s="543"/>
      <c r="AL182" s="543"/>
      <c r="AM182" s="543"/>
      <c r="AN182" s="543"/>
      <c r="AO182" s="543"/>
      <c r="AP182" s="547">
        <f>SUMIF(AP184:AP214,"X",$AS184:$AS214)</f>
        <v>0</v>
      </c>
      <c r="AQ182" s="547">
        <f>SUMIF(AQ184:AQ214,"X",$AS184:$AS214)</f>
        <v>0</v>
      </c>
      <c r="AR182" s="547">
        <f>SUMIF(AR184:AR214,"X",$AS184:$AS214)</f>
        <v>0</v>
      </c>
      <c r="AS182" s="543"/>
      <c r="AT182" s="543"/>
      <c r="AU182" s="545"/>
      <c r="AV182" s="545"/>
      <c r="AW182" s="69"/>
    </row>
    <row r="183" spans="1:49" ht="18.75" customHeight="1" thickBot="1" x14ac:dyDescent="0.3">
      <c r="A183" s="69"/>
      <c r="B183" s="527" t="str">
        <f ca="1">IFERROR(SUM(AP183:AR183)/SUM(AP182:AR182),"--")</f>
        <v>--</v>
      </c>
      <c r="C183" s="549"/>
      <c r="D183" s="549"/>
      <c r="E183" s="548"/>
      <c r="F183" s="549"/>
      <c r="G183" s="125"/>
      <c r="H183" s="125"/>
      <c r="I183" s="550"/>
      <c r="J183" s="548"/>
      <c r="K183" s="548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49"/>
      <c r="AB183" s="549"/>
      <c r="AC183" s="549"/>
      <c r="AD183" s="549"/>
      <c r="AE183" s="549"/>
      <c r="AF183" s="549"/>
      <c r="AG183" s="549"/>
      <c r="AH183" s="549"/>
      <c r="AI183" s="549"/>
      <c r="AJ183" s="549"/>
      <c r="AK183" s="549"/>
      <c r="AL183" s="549"/>
      <c r="AM183" s="549"/>
      <c r="AN183" s="549"/>
      <c r="AO183" s="549"/>
      <c r="AP183" s="531">
        <f>SUMIF(AP184:AP214,"X",$AT184:$AT214)</f>
        <v>0</v>
      </c>
      <c r="AQ183" s="531">
        <f ca="1">SUMIF(AQ184:AQ214,"X",$AT184:$AT214)</f>
        <v>0</v>
      </c>
      <c r="AR183" s="531">
        <f>SUMIF(AR184:AR214,"X",$AT184:$AT214)</f>
        <v>0</v>
      </c>
      <c r="AS183" s="543"/>
      <c r="AT183" s="543"/>
      <c r="AU183" s="545"/>
      <c r="AV183" s="545"/>
      <c r="AW183" s="69"/>
    </row>
    <row r="184" spans="1:49" ht="18.75" customHeight="1" x14ac:dyDescent="0.25">
      <c r="A184" s="69"/>
      <c r="B184" s="56" t="str">
        <f>MID(Info!$AZ$3,(WEEKDAY(I184,2)-1)*3+1,3)</f>
        <v>Dom</v>
      </c>
      <c r="C184" s="523">
        <f>_xlfn.XLOOKUP(I184,Fchs!$F$108:$F$149,Fchs!$G$108:$G$149,0)</f>
        <v>0</v>
      </c>
      <c r="D184" s="523">
        <f>_xlfn.XLOOKUP(I184,Fchs!$F$108:$F$149,Fchs!$H$108:$H$149)</f>
        <v>0</v>
      </c>
      <c r="E184" s="532">
        <f>IF($AS184&lt;&gt;0,_xlfn.XLOOKUP($G184,UDs!$E$34:$E$55,UDs!$B$34:$B$55,,-1),0)</f>
        <v>0</v>
      </c>
      <c r="F184" s="552">
        <f t="shared" ref="F184:F212" ca="1" si="58">IF(AT184&lt;&gt;0,E184,0)</f>
        <v>0</v>
      </c>
      <c r="G184" s="127">
        <f>IF(AU184&lt;&gt;0,MAX($AU$13:$AU183)+1,0)</f>
        <v>0</v>
      </c>
      <c r="H184" s="127" t="str">
        <f>IF(AS184&lt;&gt;0,COUNT($H$14:H183,1),"")</f>
        <v/>
      </c>
      <c r="I184" s="533">
        <f>DATE(YEAR(FechaInicio1Tri),MONTH(FechaInicio1Tri)+5,1)</f>
        <v>46054</v>
      </c>
      <c r="J184" s="553"/>
      <c r="K184" s="535"/>
      <c r="L184" s="126">
        <f t="shared" ref="L184:AA198" ca="1" si="59">$AT184</f>
        <v>0</v>
      </c>
      <c r="M184" s="127">
        <f t="shared" ca="1" si="59"/>
        <v>0</v>
      </c>
      <c r="N184" s="127">
        <f t="shared" ca="1" si="59"/>
        <v>0</v>
      </c>
      <c r="O184" s="127">
        <f t="shared" ca="1" si="59"/>
        <v>0</v>
      </c>
      <c r="P184" s="128">
        <f t="shared" ca="1" si="59"/>
        <v>0</v>
      </c>
      <c r="Q184" s="126">
        <f t="shared" ca="1" si="59"/>
        <v>0</v>
      </c>
      <c r="R184" s="127">
        <f t="shared" ca="1" si="59"/>
        <v>0</v>
      </c>
      <c r="S184" s="127">
        <f t="shared" ca="1" si="59"/>
        <v>0</v>
      </c>
      <c r="T184" s="127">
        <f t="shared" ca="1" si="59"/>
        <v>0</v>
      </c>
      <c r="U184" s="128">
        <f t="shared" ca="1" si="59"/>
        <v>0</v>
      </c>
      <c r="V184" s="126">
        <f t="shared" ca="1" si="59"/>
        <v>0</v>
      </c>
      <c r="W184" s="127">
        <f t="shared" ca="1" si="59"/>
        <v>0</v>
      </c>
      <c r="X184" s="127">
        <f t="shared" ca="1" si="59"/>
        <v>0</v>
      </c>
      <c r="Y184" s="127">
        <f t="shared" ca="1" si="59"/>
        <v>0</v>
      </c>
      <c r="Z184" s="128">
        <f t="shared" ca="1" si="59"/>
        <v>0</v>
      </c>
      <c r="AA184" s="126">
        <f t="shared" ca="1" si="59"/>
        <v>0</v>
      </c>
      <c r="AB184" s="127">
        <f t="shared" ref="AB184:AN197" ca="1" si="60">$AT184</f>
        <v>0</v>
      </c>
      <c r="AC184" s="127">
        <f t="shared" ca="1" si="60"/>
        <v>0</v>
      </c>
      <c r="AD184" s="127">
        <f t="shared" ca="1" si="60"/>
        <v>0</v>
      </c>
      <c r="AE184" s="128">
        <f t="shared" ca="1" si="60"/>
        <v>0</v>
      </c>
      <c r="AF184" s="126">
        <f t="shared" ca="1" si="60"/>
        <v>0</v>
      </c>
      <c r="AG184" s="127">
        <f t="shared" ca="1" si="60"/>
        <v>0</v>
      </c>
      <c r="AH184" s="127">
        <f t="shared" ca="1" si="60"/>
        <v>0</v>
      </c>
      <c r="AI184" s="127">
        <f t="shared" ca="1" si="60"/>
        <v>0</v>
      </c>
      <c r="AJ184" s="128">
        <f t="shared" ca="1" si="60"/>
        <v>0</v>
      </c>
      <c r="AK184" s="126">
        <f t="shared" ca="1" si="60"/>
        <v>0</v>
      </c>
      <c r="AL184" s="127">
        <f t="shared" ca="1" si="60"/>
        <v>0</v>
      </c>
      <c r="AM184" s="127">
        <f t="shared" ca="1" si="60"/>
        <v>0</v>
      </c>
      <c r="AN184" s="127">
        <f t="shared" ca="1" si="60"/>
        <v>0</v>
      </c>
      <c r="AO184" s="129">
        <f t="shared" ca="1" si="56"/>
        <v>0</v>
      </c>
      <c r="AP184" s="536" t="str">
        <f t="shared" ref="AP184:AP212" si="61">IF(AND(FechaInicio1Tri&lt;=$I184, FechaFin1Tri&gt;=$I184,WEEKDAY($I184,2)&lt;=5),"X","")</f>
        <v/>
      </c>
      <c r="AQ184" s="536" t="str">
        <f t="shared" ref="AQ184:AQ211" si="62">IF(AND(FechaInicio2Tri&lt;=$I184, FechaFin2Tri&gt;=$I184,WEEKDAY($I184,2)&lt;=5),"X","")</f>
        <v/>
      </c>
      <c r="AR184" s="536" t="str">
        <f t="shared" ref="AR184:AR212" si="63">IF(AND(FechaInicio3Tri&lt;=$I184, FechaFin3Tri&gt;=$I184, NTri&gt;=3,WEEKDAY($I184,2)&lt;=5),"X","")</f>
        <v/>
      </c>
      <c r="AS184" s="537">
        <f>IF(OR(J184&lt;&gt;"",AP184&amp;AQ184&amp;AR184&lt;&gt;"X",WEEKDAY(I184,2)&gt;5,C184&lt;&gt;0,(FechaInicio1Tri&gt;I184),(FechaFinEEva&lt;I184)),0,_xlfn.XLOOKUP(WEEKDAY(I184,2),Fchs!$J$10:$N$10,Fchs!$J$12:$N$12))</f>
        <v>0</v>
      </c>
      <c r="AT184" s="536">
        <f t="shared" ref="AT184:AT212" ca="1" si="64">IF(OR(AS184=0,FechaHoy&lt;I184,(FechaInicio1Tri&gt;I184),(FechaFinEEva&lt;I184)),0,AS184)</f>
        <v>0</v>
      </c>
      <c r="AU184" s="538">
        <f>IF(AS184&lt;&gt;0,MAXA($AU$14:AU183)+AS184,0)</f>
        <v>0</v>
      </c>
      <c r="AV184" s="538">
        <f ca="1">IF(AT184&lt;&gt;0,MAXA($AU$14:AU183)+AT184,0)</f>
        <v>0</v>
      </c>
      <c r="AW184" s="69"/>
    </row>
    <row r="185" spans="1:49" ht="18.75" customHeight="1" x14ac:dyDescent="0.25">
      <c r="A185" s="69"/>
      <c r="B185" s="56" t="str">
        <f>MID(Info!$AZ$3,(WEEKDAY(I185,2)-1)*3+1,3)</f>
        <v>Lun</v>
      </c>
      <c r="C185" s="523" t="str">
        <f>_xlfn.XLOOKUP(I185,Fchs!$F$108:$F$149,Fchs!$G$108:$G$149,0)</f>
        <v>1ºGx Prácticas</v>
      </c>
      <c r="D185" s="523">
        <f>_xlfn.XLOOKUP(I185,Fchs!$F$108:$F$149,Fchs!$H$108:$H$149)</f>
        <v>0</v>
      </c>
      <c r="E185" s="532">
        <f>IF($AS185&lt;&gt;0,_xlfn.XLOOKUP($G185,UDs!$E$34:$E$55,UDs!$B$34:$B$55,,-1),0)</f>
        <v>0</v>
      </c>
      <c r="F185" s="532">
        <f t="shared" ca="1" si="58"/>
        <v>0</v>
      </c>
      <c r="G185" s="569">
        <f>IF(AU185&lt;&gt;0,MAX($AU$13:$AU184)+1,0)</f>
        <v>0</v>
      </c>
      <c r="H185" s="569" t="str">
        <f>IF(AS185&lt;&gt;0,COUNT($H$14:H184,1),"")</f>
        <v/>
      </c>
      <c r="I185" s="533">
        <f t="shared" ref="I185:I211" si="65">I184+1</f>
        <v>46055</v>
      </c>
      <c r="J185" s="534"/>
      <c r="K185" s="535"/>
      <c r="L185" s="126">
        <f t="shared" ca="1" si="59"/>
        <v>0</v>
      </c>
      <c r="M185" s="127">
        <f t="shared" ca="1" si="59"/>
        <v>0</v>
      </c>
      <c r="N185" s="127">
        <f t="shared" ca="1" si="59"/>
        <v>0</v>
      </c>
      <c r="O185" s="127">
        <f t="shared" ca="1" si="59"/>
        <v>0</v>
      </c>
      <c r="P185" s="128">
        <f t="shared" ca="1" si="59"/>
        <v>0</v>
      </c>
      <c r="Q185" s="126">
        <f t="shared" ca="1" si="59"/>
        <v>0</v>
      </c>
      <c r="R185" s="127">
        <f t="shared" ca="1" si="59"/>
        <v>0</v>
      </c>
      <c r="S185" s="127">
        <f t="shared" ca="1" si="59"/>
        <v>0</v>
      </c>
      <c r="T185" s="127">
        <f t="shared" ca="1" si="59"/>
        <v>0</v>
      </c>
      <c r="U185" s="128">
        <f t="shared" ca="1" si="59"/>
        <v>0</v>
      </c>
      <c r="V185" s="126">
        <f t="shared" ca="1" si="59"/>
        <v>0</v>
      </c>
      <c r="W185" s="127">
        <f t="shared" ca="1" si="59"/>
        <v>0</v>
      </c>
      <c r="X185" s="127">
        <f t="shared" ca="1" si="59"/>
        <v>0</v>
      </c>
      <c r="Y185" s="127">
        <f t="shared" ca="1" si="59"/>
        <v>0</v>
      </c>
      <c r="Z185" s="128">
        <f t="shared" ca="1" si="59"/>
        <v>0</v>
      </c>
      <c r="AA185" s="126">
        <f t="shared" ca="1" si="59"/>
        <v>0</v>
      </c>
      <c r="AB185" s="127">
        <f t="shared" ca="1" si="60"/>
        <v>0</v>
      </c>
      <c r="AC185" s="127">
        <f t="shared" ca="1" si="60"/>
        <v>0</v>
      </c>
      <c r="AD185" s="127">
        <f t="shared" ca="1" si="60"/>
        <v>0</v>
      </c>
      <c r="AE185" s="128">
        <f t="shared" ca="1" si="60"/>
        <v>0</v>
      </c>
      <c r="AF185" s="126">
        <f t="shared" ca="1" si="60"/>
        <v>0</v>
      </c>
      <c r="AG185" s="127">
        <f t="shared" ca="1" si="60"/>
        <v>0</v>
      </c>
      <c r="AH185" s="127">
        <f t="shared" ca="1" si="60"/>
        <v>0</v>
      </c>
      <c r="AI185" s="127">
        <f t="shared" ca="1" si="60"/>
        <v>0</v>
      </c>
      <c r="AJ185" s="128">
        <f t="shared" ca="1" si="60"/>
        <v>0</v>
      </c>
      <c r="AK185" s="126">
        <f t="shared" ca="1" si="60"/>
        <v>0</v>
      </c>
      <c r="AL185" s="127">
        <f t="shared" ca="1" si="60"/>
        <v>0</v>
      </c>
      <c r="AM185" s="127">
        <f t="shared" ca="1" si="60"/>
        <v>0</v>
      </c>
      <c r="AN185" s="127">
        <f t="shared" ca="1" si="60"/>
        <v>0</v>
      </c>
      <c r="AO185" s="129">
        <f t="shared" ca="1" si="56"/>
        <v>0</v>
      </c>
      <c r="AP185" s="536" t="str">
        <f t="shared" si="61"/>
        <v/>
      </c>
      <c r="AQ185" s="536" t="str">
        <f t="shared" si="62"/>
        <v>X</v>
      </c>
      <c r="AR185" s="536" t="str">
        <f t="shared" si="63"/>
        <v/>
      </c>
      <c r="AS185" s="537">
        <f>IF(OR(J185&lt;&gt;"",AP185&amp;AQ185&amp;AR185&lt;&gt;"X",WEEKDAY(I185,2)&gt;5,C185&lt;&gt;0,(FechaInicio1Tri&gt;I185),(FechaFinEEva&lt;I185)),0,_xlfn.XLOOKUP(WEEKDAY(I185,2),Fchs!$J$10:$N$10,Fchs!$J$12:$N$12))</f>
        <v>0</v>
      </c>
      <c r="AT185" s="536">
        <f t="shared" ca="1" si="64"/>
        <v>0</v>
      </c>
      <c r="AU185" s="538">
        <f>IF(AS185&lt;&gt;0,MAXA($AU$14:AU184)+AS185,0)</f>
        <v>0</v>
      </c>
      <c r="AV185" s="538">
        <f ca="1">IF(AT185&lt;&gt;0,MAXA($AU$14:AU184)+AT185,0)</f>
        <v>0</v>
      </c>
      <c r="AW185" s="69"/>
    </row>
    <row r="186" spans="1:49" ht="18.75" customHeight="1" x14ac:dyDescent="0.25">
      <c r="A186" s="69"/>
      <c r="B186" s="56" t="str">
        <f>MID(Info!$AZ$3,(WEEKDAY(I186,2)-1)*3+1,3)</f>
        <v>Mar</v>
      </c>
      <c r="C186" s="523" t="str">
        <f>_xlfn.XLOOKUP(I186,Fchs!$F$108:$F$149,Fchs!$G$108:$G$149,0)</f>
        <v>1ºGx Prácticas</v>
      </c>
      <c r="D186" s="523">
        <f>_xlfn.XLOOKUP(I186,Fchs!$F$108:$F$149,Fchs!$H$108:$H$149)</f>
        <v>0</v>
      </c>
      <c r="E186" s="532">
        <f>IF($AS186&lt;&gt;0,_xlfn.XLOOKUP($G186,UDs!$E$34:$E$55,UDs!$B$34:$B$55,,-1),0)</f>
        <v>0</v>
      </c>
      <c r="F186" s="532">
        <f t="shared" ca="1" si="58"/>
        <v>0</v>
      </c>
      <c r="G186" s="569">
        <f>IF(AU186&lt;&gt;0,MAX($AU$13:$AU185)+1,0)</f>
        <v>0</v>
      </c>
      <c r="H186" s="569" t="str">
        <f>IF(AS186&lt;&gt;0,COUNT($H$14:H185,1),"")</f>
        <v/>
      </c>
      <c r="I186" s="533">
        <f t="shared" si="65"/>
        <v>46056</v>
      </c>
      <c r="J186" s="534"/>
      <c r="K186" s="535"/>
      <c r="L186" s="126">
        <f t="shared" ca="1" si="59"/>
        <v>0</v>
      </c>
      <c r="M186" s="127">
        <f t="shared" ca="1" si="59"/>
        <v>0</v>
      </c>
      <c r="N186" s="127">
        <f t="shared" ca="1" si="59"/>
        <v>0</v>
      </c>
      <c r="O186" s="127">
        <f t="shared" ca="1" si="59"/>
        <v>0</v>
      </c>
      <c r="P186" s="128">
        <f t="shared" ca="1" si="59"/>
        <v>0</v>
      </c>
      <c r="Q186" s="126">
        <f t="shared" ca="1" si="59"/>
        <v>0</v>
      </c>
      <c r="R186" s="127">
        <f t="shared" ca="1" si="59"/>
        <v>0</v>
      </c>
      <c r="S186" s="127">
        <f t="shared" ca="1" si="59"/>
        <v>0</v>
      </c>
      <c r="T186" s="127">
        <f t="shared" ca="1" si="59"/>
        <v>0</v>
      </c>
      <c r="U186" s="128">
        <f t="shared" ca="1" si="59"/>
        <v>0</v>
      </c>
      <c r="V186" s="126">
        <f t="shared" ca="1" si="59"/>
        <v>0</v>
      </c>
      <c r="W186" s="127">
        <f t="shared" ca="1" si="59"/>
        <v>0</v>
      </c>
      <c r="X186" s="127">
        <f t="shared" ca="1" si="59"/>
        <v>0</v>
      </c>
      <c r="Y186" s="127">
        <f t="shared" ca="1" si="59"/>
        <v>0</v>
      </c>
      <c r="Z186" s="128">
        <f t="shared" ca="1" si="59"/>
        <v>0</v>
      </c>
      <c r="AA186" s="126">
        <f t="shared" ca="1" si="59"/>
        <v>0</v>
      </c>
      <c r="AB186" s="127">
        <f t="shared" ca="1" si="60"/>
        <v>0</v>
      </c>
      <c r="AC186" s="127">
        <f t="shared" ca="1" si="60"/>
        <v>0</v>
      </c>
      <c r="AD186" s="127">
        <f t="shared" ca="1" si="60"/>
        <v>0</v>
      </c>
      <c r="AE186" s="128">
        <f t="shared" ca="1" si="60"/>
        <v>0</v>
      </c>
      <c r="AF186" s="126">
        <f t="shared" ca="1" si="60"/>
        <v>0</v>
      </c>
      <c r="AG186" s="127">
        <f t="shared" ca="1" si="60"/>
        <v>0</v>
      </c>
      <c r="AH186" s="127">
        <f t="shared" ca="1" si="60"/>
        <v>0</v>
      </c>
      <c r="AI186" s="127">
        <f t="shared" ca="1" si="60"/>
        <v>0</v>
      </c>
      <c r="AJ186" s="128">
        <f t="shared" ca="1" si="60"/>
        <v>0</v>
      </c>
      <c r="AK186" s="126">
        <f t="shared" ca="1" si="60"/>
        <v>0</v>
      </c>
      <c r="AL186" s="127">
        <f t="shared" ca="1" si="60"/>
        <v>0</v>
      </c>
      <c r="AM186" s="127">
        <f t="shared" ca="1" si="60"/>
        <v>0</v>
      </c>
      <c r="AN186" s="127">
        <f t="shared" ca="1" si="60"/>
        <v>0</v>
      </c>
      <c r="AO186" s="129">
        <f t="shared" ca="1" si="56"/>
        <v>0</v>
      </c>
      <c r="AP186" s="536" t="str">
        <f t="shared" si="61"/>
        <v/>
      </c>
      <c r="AQ186" s="536" t="str">
        <f t="shared" si="62"/>
        <v>X</v>
      </c>
      <c r="AR186" s="536" t="str">
        <f t="shared" si="63"/>
        <v/>
      </c>
      <c r="AS186" s="537">
        <f>IF(OR(J186&lt;&gt;"",AP186&amp;AQ186&amp;AR186&lt;&gt;"X",WEEKDAY(I186,2)&gt;5,C186&lt;&gt;0,(FechaInicio1Tri&gt;I186),(FechaFinEEva&lt;I186)),0,_xlfn.XLOOKUP(WEEKDAY(I186,2),Fchs!$J$10:$N$10,Fchs!$J$12:$N$12))</f>
        <v>0</v>
      </c>
      <c r="AT186" s="536">
        <f t="shared" ca="1" si="64"/>
        <v>0</v>
      </c>
      <c r="AU186" s="538">
        <f>IF(AS186&lt;&gt;0,MAXA($AU$14:AU185)+AS186,0)</f>
        <v>0</v>
      </c>
      <c r="AV186" s="538">
        <f ca="1">IF(AT186&lt;&gt;0,MAXA($AU$14:AU185)+AT186,0)</f>
        <v>0</v>
      </c>
      <c r="AW186" s="69"/>
    </row>
    <row r="187" spans="1:49" ht="18.75" customHeight="1" x14ac:dyDescent="0.25">
      <c r="A187" s="69"/>
      <c r="B187" s="56" t="str">
        <f>MID(Info!$AZ$3,(WEEKDAY(I187,2)-1)*3+1,3)</f>
        <v>Mié</v>
      </c>
      <c r="C187" s="523" t="str">
        <f>_xlfn.XLOOKUP(I187,Fchs!$F$108:$F$149,Fchs!$G$108:$G$149,0)</f>
        <v>1ºGx Prácticas</v>
      </c>
      <c r="D187" s="523">
        <f>_xlfn.XLOOKUP(I187,Fchs!$F$108:$F$149,Fchs!$H$108:$H$149)</f>
        <v>0</v>
      </c>
      <c r="E187" s="532">
        <f>IF($AS187&lt;&gt;0,_xlfn.XLOOKUP($G187,UDs!$E$34:$E$55,UDs!$B$34:$B$55,,-1),0)</f>
        <v>0</v>
      </c>
      <c r="F187" s="532">
        <f t="shared" ca="1" si="58"/>
        <v>0</v>
      </c>
      <c r="G187" s="569">
        <f>IF(AU187&lt;&gt;0,MAX($AU$13:$AU186)+1,0)</f>
        <v>0</v>
      </c>
      <c r="H187" s="569" t="str">
        <f>IF(AS187&lt;&gt;0,COUNT($H$14:H186,1),"")</f>
        <v/>
      </c>
      <c r="I187" s="533">
        <f t="shared" si="65"/>
        <v>46057</v>
      </c>
      <c r="J187" s="534"/>
      <c r="K187" s="535"/>
      <c r="L187" s="126">
        <f t="shared" ca="1" si="59"/>
        <v>0</v>
      </c>
      <c r="M187" s="127">
        <f t="shared" ca="1" si="59"/>
        <v>0</v>
      </c>
      <c r="N187" s="127">
        <f t="shared" ca="1" si="59"/>
        <v>0</v>
      </c>
      <c r="O187" s="127">
        <f t="shared" ca="1" si="59"/>
        <v>0</v>
      </c>
      <c r="P187" s="128">
        <f t="shared" ca="1" si="59"/>
        <v>0</v>
      </c>
      <c r="Q187" s="126">
        <f t="shared" ca="1" si="59"/>
        <v>0</v>
      </c>
      <c r="R187" s="127">
        <f t="shared" ca="1" si="59"/>
        <v>0</v>
      </c>
      <c r="S187" s="127">
        <f t="shared" ca="1" si="59"/>
        <v>0</v>
      </c>
      <c r="T187" s="127">
        <f t="shared" ca="1" si="59"/>
        <v>0</v>
      </c>
      <c r="U187" s="128">
        <f t="shared" ca="1" si="59"/>
        <v>0</v>
      </c>
      <c r="V187" s="126">
        <f t="shared" ca="1" si="59"/>
        <v>0</v>
      </c>
      <c r="W187" s="127">
        <f t="shared" ca="1" si="59"/>
        <v>0</v>
      </c>
      <c r="X187" s="127">
        <f t="shared" ca="1" si="59"/>
        <v>0</v>
      </c>
      <c r="Y187" s="127">
        <f t="shared" ca="1" si="59"/>
        <v>0</v>
      </c>
      <c r="Z187" s="128">
        <f t="shared" ca="1" si="59"/>
        <v>0</v>
      </c>
      <c r="AA187" s="126">
        <f t="shared" ca="1" si="59"/>
        <v>0</v>
      </c>
      <c r="AB187" s="127">
        <f t="shared" ca="1" si="60"/>
        <v>0</v>
      </c>
      <c r="AC187" s="127">
        <f t="shared" ca="1" si="60"/>
        <v>0</v>
      </c>
      <c r="AD187" s="127">
        <f t="shared" ca="1" si="60"/>
        <v>0</v>
      </c>
      <c r="AE187" s="128">
        <f t="shared" ca="1" si="60"/>
        <v>0</v>
      </c>
      <c r="AF187" s="126">
        <f t="shared" ca="1" si="60"/>
        <v>0</v>
      </c>
      <c r="AG187" s="127">
        <f t="shared" ca="1" si="60"/>
        <v>0</v>
      </c>
      <c r="AH187" s="127">
        <f t="shared" ca="1" si="60"/>
        <v>0</v>
      </c>
      <c r="AI187" s="127">
        <f t="shared" ca="1" si="60"/>
        <v>0</v>
      </c>
      <c r="AJ187" s="128">
        <f t="shared" ca="1" si="60"/>
        <v>0</v>
      </c>
      <c r="AK187" s="126">
        <f t="shared" ca="1" si="60"/>
        <v>0</v>
      </c>
      <c r="AL187" s="127">
        <f t="shared" ca="1" si="60"/>
        <v>0</v>
      </c>
      <c r="AM187" s="127">
        <f t="shared" ca="1" si="60"/>
        <v>0</v>
      </c>
      <c r="AN187" s="127">
        <f t="shared" ca="1" si="60"/>
        <v>0</v>
      </c>
      <c r="AO187" s="129">
        <f t="shared" ca="1" si="56"/>
        <v>0</v>
      </c>
      <c r="AP187" s="536" t="str">
        <f t="shared" si="61"/>
        <v/>
      </c>
      <c r="AQ187" s="536" t="str">
        <f t="shared" si="62"/>
        <v>X</v>
      </c>
      <c r="AR187" s="536" t="str">
        <f t="shared" si="63"/>
        <v/>
      </c>
      <c r="AS187" s="537">
        <f>IF(OR(J187&lt;&gt;"",AP187&amp;AQ187&amp;AR187&lt;&gt;"X",WEEKDAY(I187,2)&gt;5,C187&lt;&gt;0,(FechaInicio1Tri&gt;I187),(FechaFinEEva&lt;I187)),0,_xlfn.XLOOKUP(WEEKDAY(I187,2),Fchs!$J$10:$N$10,Fchs!$J$12:$N$12))</f>
        <v>0</v>
      </c>
      <c r="AT187" s="536">
        <f t="shared" ca="1" si="64"/>
        <v>0</v>
      </c>
      <c r="AU187" s="538">
        <f>IF(AS187&lt;&gt;0,MAXA($AU$14:AU186)+AS187,0)</f>
        <v>0</v>
      </c>
      <c r="AV187" s="538">
        <f ca="1">IF(AT187&lt;&gt;0,MAXA($AU$14:AU186)+AT187,0)</f>
        <v>0</v>
      </c>
      <c r="AW187" s="69"/>
    </row>
    <row r="188" spans="1:49" ht="18.75" customHeight="1" x14ac:dyDescent="0.25">
      <c r="A188" s="69"/>
      <c r="B188" s="56" t="str">
        <f>MID(Info!$AZ$3,(WEEKDAY(I188,2)-1)*3+1,3)</f>
        <v>Jue</v>
      </c>
      <c r="C188" s="523" t="str">
        <f>_xlfn.XLOOKUP(I188,Fchs!$F$108:$F$149,Fchs!$G$108:$G$149,0)</f>
        <v>1ºGx Prácticas</v>
      </c>
      <c r="D188" s="523">
        <f>_xlfn.XLOOKUP(I188,Fchs!$F$108:$F$149,Fchs!$H$108:$H$149)</f>
        <v>0</v>
      </c>
      <c r="E188" s="532">
        <f>IF($AS188&lt;&gt;0,_xlfn.XLOOKUP($G188,UDs!$E$34:$E$55,UDs!$B$34:$B$55,,-1),0)</f>
        <v>0</v>
      </c>
      <c r="F188" s="532">
        <f t="shared" ca="1" si="58"/>
        <v>0</v>
      </c>
      <c r="G188" s="569">
        <f>IF(AU188&lt;&gt;0,MAX($AU$13:$AU187)+1,0)</f>
        <v>0</v>
      </c>
      <c r="H188" s="569" t="str">
        <f>IF(AS188&lt;&gt;0,COUNT($H$14:H187,1),"")</f>
        <v/>
      </c>
      <c r="I188" s="533">
        <f t="shared" si="65"/>
        <v>46058</v>
      </c>
      <c r="J188" s="534"/>
      <c r="K188" s="535"/>
      <c r="L188" s="126">
        <f t="shared" ca="1" si="59"/>
        <v>0</v>
      </c>
      <c r="M188" s="127">
        <f t="shared" ca="1" si="59"/>
        <v>0</v>
      </c>
      <c r="N188" s="127">
        <f t="shared" ca="1" si="59"/>
        <v>0</v>
      </c>
      <c r="O188" s="127">
        <f t="shared" ca="1" si="59"/>
        <v>0</v>
      </c>
      <c r="P188" s="128">
        <f t="shared" ca="1" si="59"/>
        <v>0</v>
      </c>
      <c r="Q188" s="126">
        <f t="shared" ca="1" si="59"/>
        <v>0</v>
      </c>
      <c r="R188" s="127">
        <f t="shared" ca="1" si="59"/>
        <v>0</v>
      </c>
      <c r="S188" s="127">
        <f t="shared" ca="1" si="59"/>
        <v>0</v>
      </c>
      <c r="T188" s="127">
        <f t="shared" ca="1" si="59"/>
        <v>0</v>
      </c>
      <c r="U188" s="128">
        <f t="shared" ca="1" si="59"/>
        <v>0</v>
      </c>
      <c r="V188" s="126">
        <f t="shared" ca="1" si="59"/>
        <v>0</v>
      </c>
      <c r="W188" s="127">
        <f t="shared" ca="1" si="59"/>
        <v>0</v>
      </c>
      <c r="X188" s="127">
        <f t="shared" ca="1" si="59"/>
        <v>0</v>
      </c>
      <c r="Y188" s="127">
        <f t="shared" ca="1" si="59"/>
        <v>0</v>
      </c>
      <c r="Z188" s="128">
        <f t="shared" ca="1" si="59"/>
        <v>0</v>
      </c>
      <c r="AA188" s="126">
        <f t="shared" ca="1" si="59"/>
        <v>0</v>
      </c>
      <c r="AB188" s="127">
        <f t="shared" ca="1" si="60"/>
        <v>0</v>
      </c>
      <c r="AC188" s="127">
        <f t="shared" ca="1" si="60"/>
        <v>0</v>
      </c>
      <c r="AD188" s="127">
        <f t="shared" ca="1" si="60"/>
        <v>0</v>
      </c>
      <c r="AE188" s="128">
        <f t="shared" ca="1" si="60"/>
        <v>0</v>
      </c>
      <c r="AF188" s="126">
        <f t="shared" ca="1" si="60"/>
        <v>0</v>
      </c>
      <c r="AG188" s="127">
        <f t="shared" ca="1" si="60"/>
        <v>0</v>
      </c>
      <c r="AH188" s="127">
        <f t="shared" ca="1" si="60"/>
        <v>0</v>
      </c>
      <c r="AI188" s="127">
        <f t="shared" ca="1" si="60"/>
        <v>0</v>
      </c>
      <c r="AJ188" s="128">
        <f t="shared" ca="1" si="60"/>
        <v>0</v>
      </c>
      <c r="AK188" s="126">
        <f t="shared" ca="1" si="60"/>
        <v>0</v>
      </c>
      <c r="AL188" s="127">
        <f t="shared" ca="1" si="60"/>
        <v>0</v>
      </c>
      <c r="AM188" s="127">
        <f t="shared" ca="1" si="60"/>
        <v>0</v>
      </c>
      <c r="AN188" s="127">
        <f t="shared" ca="1" si="60"/>
        <v>0</v>
      </c>
      <c r="AO188" s="129">
        <f t="shared" ca="1" si="56"/>
        <v>0</v>
      </c>
      <c r="AP188" s="536" t="str">
        <f t="shared" si="61"/>
        <v/>
      </c>
      <c r="AQ188" s="536" t="str">
        <f t="shared" si="62"/>
        <v>X</v>
      </c>
      <c r="AR188" s="536" t="str">
        <f t="shared" si="63"/>
        <v/>
      </c>
      <c r="AS188" s="537">
        <f>IF(OR(J188&lt;&gt;"",AP188&amp;AQ188&amp;AR188&lt;&gt;"X",WEEKDAY(I188,2)&gt;5,C188&lt;&gt;0,(FechaInicio1Tri&gt;I188),(FechaFinEEva&lt;I188)),0,_xlfn.XLOOKUP(WEEKDAY(I188,2),Fchs!$J$10:$N$10,Fchs!$J$12:$N$12))</f>
        <v>0</v>
      </c>
      <c r="AT188" s="536">
        <f t="shared" ca="1" si="64"/>
        <v>0</v>
      </c>
      <c r="AU188" s="538">
        <f>IF(AS188&lt;&gt;0,MAXA($AU$14:AU187)+AS188,0)</f>
        <v>0</v>
      </c>
      <c r="AV188" s="538">
        <f ca="1">IF(AT188&lt;&gt;0,MAXA($AU$14:AU187)+AT188,0)</f>
        <v>0</v>
      </c>
      <c r="AW188" s="69"/>
    </row>
    <row r="189" spans="1:49" ht="18.75" customHeight="1" x14ac:dyDescent="0.25">
      <c r="A189" s="69"/>
      <c r="B189" s="56" t="str">
        <f>MID(Info!$AZ$3,(WEEKDAY(I189,2)-1)*3+1,3)</f>
        <v>Vie</v>
      </c>
      <c r="C189" s="523" t="str">
        <f>_xlfn.XLOOKUP(I189,Fchs!$F$108:$F$149,Fchs!$G$108:$G$149,0)</f>
        <v>1ºGx Prácticas</v>
      </c>
      <c r="D189" s="523">
        <f>_xlfn.XLOOKUP(I189,Fchs!$F$108:$F$149,Fchs!$H$108:$H$149)</f>
        <v>0</v>
      </c>
      <c r="E189" s="532">
        <f>IF($AS189&lt;&gt;0,_xlfn.XLOOKUP($G189,UDs!$E$34:$E$55,UDs!$B$34:$B$55,,-1),0)</f>
        <v>0</v>
      </c>
      <c r="F189" s="532">
        <f t="shared" ca="1" si="58"/>
        <v>0</v>
      </c>
      <c r="G189" s="569">
        <f>IF(AU189&lt;&gt;0,MAX($AU$13:$AU188)+1,0)</f>
        <v>0</v>
      </c>
      <c r="H189" s="569" t="str">
        <f>IF(AS189&lt;&gt;0,COUNT($H$14:H188,1),"")</f>
        <v/>
      </c>
      <c r="I189" s="533">
        <f t="shared" si="65"/>
        <v>46059</v>
      </c>
      <c r="J189" s="534"/>
      <c r="K189" s="535"/>
      <c r="L189" s="126">
        <f t="shared" ca="1" si="59"/>
        <v>0</v>
      </c>
      <c r="M189" s="127">
        <f t="shared" ca="1" si="59"/>
        <v>0</v>
      </c>
      <c r="N189" s="127">
        <f t="shared" ca="1" si="59"/>
        <v>0</v>
      </c>
      <c r="O189" s="127">
        <f t="shared" ca="1" si="59"/>
        <v>0</v>
      </c>
      <c r="P189" s="128">
        <f t="shared" ca="1" si="59"/>
        <v>0</v>
      </c>
      <c r="Q189" s="126">
        <f t="shared" ca="1" si="59"/>
        <v>0</v>
      </c>
      <c r="R189" s="127">
        <f t="shared" ca="1" si="59"/>
        <v>0</v>
      </c>
      <c r="S189" s="127">
        <f t="shared" ca="1" si="59"/>
        <v>0</v>
      </c>
      <c r="T189" s="127">
        <f t="shared" ca="1" si="59"/>
        <v>0</v>
      </c>
      <c r="U189" s="128">
        <f t="shared" ca="1" si="59"/>
        <v>0</v>
      </c>
      <c r="V189" s="126">
        <f t="shared" ca="1" si="59"/>
        <v>0</v>
      </c>
      <c r="W189" s="127">
        <f t="shared" ca="1" si="59"/>
        <v>0</v>
      </c>
      <c r="X189" s="127">
        <f t="shared" ca="1" si="59"/>
        <v>0</v>
      </c>
      <c r="Y189" s="127">
        <f t="shared" ca="1" si="59"/>
        <v>0</v>
      </c>
      <c r="Z189" s="128">
        <f t="shared" ca="1" si="59"/>
        <v>0</v>
      </c>
      <c r="AA189" s="126">
        <f t="shared" ca="1" si="59"/>
        <v>0</v>
      </c>
      <c r="AB189" s="127">
        <f t="shared" ca="1" si="60"/>
        <v>0</v>
      </c>
      <c r="AC189" s="127">
        <f t="shared" ca="1" si="60"/>
        <v>0</v>
      </c>
      <c r="AD189" s="127">
        <f t="shared" ca="1" si="60"/>
        <v>0</v>
      </c>
      <c r="AE189" s="128">
        <f t="shared" ca="1" si="60"/>
        <v>0</v>
      </c>
      <c r="AF189" s="126">
        <f t="shared" ca="1" si="60"/>
        <v>0</v>
      </c>
      <c r="AG189" s="127">
        <f t="shared" ca="1" si="60"/>
        <v>0</v>
      </c>
      <c r="AH189" s="127">
        <f t="shared" ca="1" si="60"/>
        <v>0</v>
      </c>
      <c r="AI189" s="127">
        <f t="shared" ca="1" si="60"/>
        <v>0</v>
      </c>
      <c r="AJ189" s="128">
        <f t="shared" ca="1" si="60"/>
        <v>0</v>
      </c>
      <c r="AK189" s="126">
        <f t="shared" ca="1" si="60"/>
        <v>0</v>
      </c>
      <c r="AL189" s="127">
        <f t="shared" ca="1" si="60"/>
        <v>0</v>
      </c>
      <c r="AM189" s="127">
        <f t="shared" ca="1" si="60"/>
        <v>0</v>
      </c>
      <c r="AN189" s="127">
        <f t="shared" ca="1" si="60"/>
        <v>0</v>
      </c>
      <c r="AO189" s="129">
        <f t="shared" ca="1" si="56"/>
        <v>0</v>
      </c>
      <c r="AP189" s="536" t="str">
        <f t="shared" si="61"/>
        <v/>
      </c>
      <c r="AQ189" s="536" t="str">
        <f t="shared" si="62"/>
        <v>X</v>
      </c>
      <c r="AR189" s="536" t="str">
        <f t="shared" si="63"/>
        <v/>
      </c>
      <c r="AS189" s="537">
        <f>IF(OR(J189&lt;&gt;"",AP189&amp;AQ189&amp;AR189&lt;&gt;"X",WEEKDAY(I189,2)&gt;5,C189&lt;&gt;0,(FechaInicio1Tri&gt;I189),(FechaFinEEva&lt;I189)),0,_xlfn.XLOOKUP(WEEKDAY(I189,2),Fchs!$J$10:$N$10,Fchs!$J$12:$N$12))</f>
        <v>0</v>
      </c>
      <c r="AT189" s="536">
        <f t="shared" ca="1" si="64"/>
        <v>0</v>
      </c>
      <c r="AU189" s="538">
        <f>IF(AS189&lt;&gt;0,MAXA($AU$14:AU188)+AS189,0)</f>
        <v>0</v>
      </c>
      <c r="AV189" s="538">
        <f ca="1">IF(AT189&lt;&gt;0,MAXA($AU$14:AU188)+AT189,0)</f>
        <v>0</v>
      </c>
      <c r="AW189" s="69"/>
    </row>
    <row r="190" spans="1:49" ht="18.75" customHeight="1" x14ac:dyDescent="0.25">
      <c r="A190" s="69"/>
      <c r="B190" s="56" t="str">
        <f>MID(Info!$AZ$3,(WEEKDAY(I190,2)-1)*3+1,3)</f>
        <v>Sáb</v>
      </c>
      <c r="C190" s="523">
        <f>_xlfn.XLOOKUP(I190,Fchs!$F$108:$F$149,Fchs!$G$108:$G$149,0)</f>
        <v>0</v>
      </c>
      <c r="D190" s="523">
        <f>_xlfn.XLOOKUP(I190,Fchs!$F$108:$F$149,Fchs!$H$108:$H$149)</f>
        <v>0</v>
      </c>
      <c r="E190" s="532">
        <f>IF($AS190&lt;&gt;0,_xlfn.XLOOKUP($G190,UDs!$E$34:$E$55,UDs!$B$34:$B$55,,-1),0)</f>
        <v>0</v>
      </c>
      <c r="F190" s="532">
        <f t="shared" ca="1" si="58"/>
        <v>0</v>
      </c>
      <c r="G190" s="569">
        <f>IF(AU190&lt;&gt;0,MAX($AU$13:$AU189)+1,0)</f>
        <v>0</v>
      </c>
      <c r="H190" s="569" t="str">
        <f>IF(AS190&lt;&gt;0,COUNT($H$14:H189,1),"")</f>
        <v/>
      </c>
      <c r="I190" s="533">
        <f t="shared" si="65"/>
        <v>46060</v>
      </c>
      <c r="J190" s="534"/>
      <c r="K190" s="535"/>
      <c r="L190" s="126">
        <f t="shared" ca="1" si="59"/>
        <v>0</v>
      </c>
      <c r="M190" s="127">
        <f t="shared" ca="1" si="59"/>
        <v>0</v>
      </c>
      <c r="N190" s="127">
        <f t="shared" ca="1" si="59"/>
        <v>0</v>
      </c>
      <c r="O190" s="127">
        <f t="shared" ca="1" si="59"/>
        <v>0</v>
      </c>
      <c r="P190" s="128">
        <f t="shared" ca="1" si="59"/>
        <v>0</v>
      </c>
      <c r="Q190" s="126">
        <f t="shared" ca="1" si="59"/>
        <v>0</v>
      </c>
      <c r="R190" s="127">
        <f t="shared" ca="1" si="59"/>
        <v>0</v>
      </c>
      <c r="S190" s="127">
        <f t="shared" ca="1" si="59"/>
        <v>0</v>
      </c>
      <c r="T190" s="127">
        <f t="shared" ca="1" si="59"/>
        <v>0</v>
      </c>
      <c r="U190" s="128">
        <f t="shared" ca="1" si="59"/>
        <v>0</v>
      </c>
      <c r="V190" s="126">
        <f t="shared" ca="1" si="59"/>
        <v>0</v>
      </c>
      <c r="W190" s="127">
        <f t="shared" ca="1" si="59"/>
        <v>0</v>
      </c>
      <c r="X190" s="127">
        <f t="shared" ca="1" si="59"/>
        <v>0</v>
      </c>
      <c r="Y190" s="127">
        <f t="shared" ca="1" si="59"/>
        <v>0</v>
      </c>
      <c r="Z190" s="128">
        <f t="shared" ca="1" si="59"/>
        <v>0</v>
      </c>
      <c r="AA190" s="126">
        <f t="shared" ca="1" si="59"/>
        <v>0</v>
      </c>
      <c r="AB190" s="127">
        <f t="shared" ca="1" si="60"/>
        <v>0</v>
      </c>
      <c r="AC190" s="127">
        <f t="shared" ca="1" si="60"/>
        <v>0</v>
      </c>
      <c r="AD190" s="127">
        <f t="shared" ca="1" si="60"/>
        <v>0</v>
      </c>
      <c r="AE190" s="128">
        <f t="shared" ca="1" si="60"/>
        <v>0</v>
      </c>
      <c r="AF190" s="126">
        <f t="shared" ca="1" si="60"/>
        <v>0</v>
      </c>
      <c r="AG190" s="127">
        <f t="shared" ca="1" si="60"/>
        <v>0</v>
      </c>
      <c r="AH190" s="127">
        <f t="shared" ca="1" si="60"/>
        <v>0</v>
      </c>
      <c r="AI190" s="127">
        <f t="shared" ca="1" si="60"/>
        <v>0</v>
      </c>
      <c r="AJ190" s="128">
        <f t="shared" ca="1" si="60"/>
        <v>0</v>
      </c>
      <c r="AK190" s="126">
        <f t="shared" ca="1" si="60"/>
        <v>0</v>
      </c>
      <c r="AL190" s="127">
        <f t="shared" ca="1" si="60"/>
        <v>0</v>
      </c>
      <c r="AM190" s="127">
        <f t="shared" ca="1" si="60"/>
        <v>0</v>
      </c>
      <c r="AN190" s="127">
        <f t="shared" ca="1" si="60"/>
        <v>0</v>
      </c>
      <c r="AO190" s="129">
        <f t="shared" ca="1" si="56"/>
        <v>0</v>
      </c>
      <c r="AP190" s="536" t="str">
        <f t="shared" si="61"/>
        <v/>
      </c>
      <c r="AQ190" s="536" t="str">
        <f t="shared" si="62"/>
        <v/>
      </c>
      <c r="AR190" s="536" t="str">
        <f t="shared" si="63"/>
        <v/>
      </c>
      <c r="AS190" s="537">
        <f>IF(OR(J190&lt;&gt;"",AP190&amp;AQ190&amp;AR190&lt;&gt;"X",WEEKDAY(I190,2)&gt;5,C190&lt;&gt;0,(FechaInicio1Tri&gt;I190),(FechaFinEEva&lt;I190)),0,_xlfn.XLOOKUP(WEEKDAY(I190,2),Fchs!$J$10:$N$10,Fchs!$J$12:$N$12))</f>
        <v>0</v>
      </c>
      <c r="AT190" s="536">
        <f t="shared" ca="1" si="64"/>
        <v>0</v>
      </c>
      <c r="AU190" s="538">
        <f>IF(AS190&lt;&gt;0,MAXA($AU$14:AU189)+AS190,0)</f>
        <v>0</v>
      </c>
      <c r="AV190" s="538">
        <f ca="1">IF(AT190&lt;&gt;0,MAXA($AU$14:AU189)+AT190,0)</f>
        <v>0</v>
      </c>
      <c r="AW190" s="69"/>
    </row>
    <row r="191" spans="1:49" ht="18.75" customHeight="1" x14ac:dyDescent="0.25">
      <c r="A191" s="69"/>
      <c r="B191" s="56" t="str">
        <f>MID(Info!$AZ$3,(WEEKDAY(I191,2)-1)*3+1,3)</f>
        <v>Dom</v>
      </c>
      <c r="C191" s="523">
        <f>_xlfn.XLOOKUP(I191,Fchs!$F$108:$F$149,Fchs!$G$108:$G$149,0)</f>
        <v>0</v>
      </c>
      <c r="D191" s="523">
        <f>_xlfn.XLOOKUP(I191,Fchs!$F$108:$F$149,Fchs!$H$108:$H$149)</f>
        <v>0</v>
      </c>
      <c r="E191" s="532">
        <f>IF($AS191&lt;&gt;0,_xlfn.XLOOKUP($G191,UDs!$E$34:$E$55,UDs!$B$34:$B$55,,-1),0)</f>
        <v>0</v>
      </c>
      <c r="F191" s="532">
        <f t="shared" ca="1" si="58"/>
        <v>0</v>
      </c>
      <c r="G191" s="569">
        <f>IF(AU191&lt;&gt;0,MAX($AU$13:$AU190)+1,0)</f>
        <v>0</v>
      </c>
      <c r="H191" s="569" t="str">
        <f>IF(AS191&lt;&gt;0,COUNT($H$14:H190,1),"")</f>
        <v/>
      </c>
      <c r="I191" s="533">
        <f t="shared" si="65"/>
        <v>46061</v>
      </c>
      <c r="J191" s="534"/>
      <c r="K191" s="535"/>
      <c r="L191" s="126">
        <f t="shared" ca="1" si="59"/>
        <v>0</v>
      </c>
      <c r="M191" s="127">
        <f t="shared" ca="1" si="59"/>
        <v>0</v>
      </c>
      <c r="N191" s="127">
        <f t="shared" ca="1" si="59"/>
        <v>0</v>
      </c>
      <c r="O191" s="127">
        <f t="shared" ca="1" si="59"/>
        <v>0</v>
      </c>
      <c r="P191" s="128">
        <f t="shared" ca="1" si="59"/>
        <v>0</v>
      </c>
      <c r="Q191" s="126">
        <f t="shared" ca="1" si="59"/>
        <v>0</v>
      </c>
      <c r="R191" s="127">
        <f t="shared" ca="1" si="59"/>
        <v>0</v>
      </c>
      <c r="S191" s="127">
        <f t="shared" ca="1" si="59"/>
        <v>0</v>
      </c>
      <c r="T191" s="127">
        <f t="shared" ca="1" si="59"/>
        <v>0</v>
      </c>
      <c r="U191" s="128">
        <f t="shared" ca="1" si="59"/>
        <v>0</v>
      </c>
      <c r="V191" s="126">
        <f t="shared" ca="1" si="59"/>
        <v>0</v>
      </c>
      <c r="W191" s="127">
        <f t="shared" ca="1" si="59"/>
        <v>0</v>
      </c>
      <c r="X191" s="127">
        <f t="shared" ca="1" si="59"/>
        <v>0</v>
      </c>
      <c r="Y191" s="127">
        <f t="shared" ca="1" si="59"/>
        <v>0</v>
      </c>
      <c r="Z191" s="128">
        <f t="shared" ca="1" si="59"/>
        <v>0</v>
      </c>
      <c r="AA191" s="126">
        <f t="shared" ca="1" si="59"/>
        <v>0</v>
      </c>
      <c r="AB191" s="127">
        <f t="shared" ca="1" si="60"/>
        <v>0</v>
      </c>
      <c r="AC191" s="127">
        <f t="shared" ca="1" si="60"/>
        <v>0</v>
      </c>
      <c r="AD191" s="127">
        <f t="shared" ca="1" si="60"/>
        <v>0</v>
      </c>
      <c r="AE191" s="128">
        <f t="shared" ca="1" si="60"/>
        <v>0</v>
      </c>
      <c r="AF191" s="126">
        <f t="shared" ca="1" si="60"/>
        <v>0</v>
      </c>
      <c r="AG191" s="127">
        <f t="shared" ca="1" si="60"/>
        <v>0</v>
      </c>
      <c r="AH191" s="127">
        <f t="shared" ca="1" si="60"/>
        <v>0</v>
      </c>
      <c r="AI191" s="127">
        <f t="shared" ca="1" si="60"/>
        <v>0</v>
      </c>
      <c r="AJ191" s="128">
        <f t="shared" ca="1" si="60"/>
        <v>0</v>
      </c>
      <c r="AK191" s="126">
        <f t="shared" ca="1" si="60"/>
        <v>0</v>
      </c>
      <c r="AL191" s="127">
        <f t="shared" ca="1" si="60"/>
        <v>0</v>
      </c>
      <c r="AM191" s="127">
        <f t="shared" ca="1" si="60"/>
        <v>0</v>
      </c>
      <c r="AN191" s="127">
        <f t="shared" ca="1" si="60"/>
        <v>0</v>
      </c>
      <c r="AO191" s="129">
        <f t="shared" ca="1" si="56"/>
        <v>0</v>
      </c>
      <c r="AP191" s="536" t="str">
        <f t="shared" si="61"/>
        <v/>
      </c>
      <c r="AQ191" s="536" t="str">
        <f t="shared" si="62"/>
        <v/>
      </c>
      <c r="AR191" s="536" t="str">
        <f t="shared" si="63"/>
        <v/>
      </c>
      <c r="AS191" s="537">
        <f>IF(OR(J191&lt;&gt;"",AP191&amp;AQ191&amp;AR191&lt;&gt;"X",WEEKDAY(I191,2)&gt;5,C191&lt;&gt;0,(FechaInicio1Tri&gt;I191),(FechaFinEEva&lt;I191)),0,_xlfn.XLOOKUP(WEEKDAY(I191,2),Fchs!$J$10:$N$10,Fchs!$J$12:$N$12))</f>
        <v>0</v>
      </c>
      <c r="AT191" s="536">
        <f t="shared" ca="1" si="64"/>
        <v>0</v>
      </c>
      <c r="AU191" s="538">
        <f>IF(AS191&lt;&gt;0,MAXA($AU$14:AU190)+AS191,0)</f>
        <v>0</v>
      </c>
      <c r="AV191" s="538">
        <f ca="1">IF(AT191&lt;&gt;0,MAXA($AU$14:AU190)+AT191,0)</f>
        <v>0</v>
      </c>
      <c r="AW191" s="69"/>
    </row>
    <row r="192" spans="1:49" ht="18.75" customHeight="1" x14ac:dyDescent="0.25">
      <c r="A192" s="69"/>
      <c r="B192" s="56" t="str">
        <f>MID(Info!$AZ$3,(WEEKDAY(I192,2)-1)*3+1,3)</f>
        <v>Lun</v>
      </c>
      <c r="C192" s="523" t="str">
        <f>_xlfn.XLOOKUP(I192,Fchs!$F$108:$F$149,Fchs!$G$108:$G$149,0)</f>
        <v>1ºGx Prácticas</v>
      </c>
      <c r="D192" s="523">
        <f>_xlfn.XLOOKUP(I192,Fchs!$F$108:$F$149,Fchs!$H$108:$H$149)</f>
        <v>0</v>
      </c>
      <c r="E192" s="532">
        <f>IF($AS192&lt;&gt;0,_xlfn.XLOOKUP($G192,UDs!$E$34:$E$55,UDs!$B$34:$B$55,,-1),0)</f>
        <v>0</v>
      </c>
      <c r="F192" s="532">
        <f t="shared" ca="1" si="58"/>
        <v>0</v>
      </c>
      <c r="G192" s="569">
        <f>IF(AU192&lt;&gt;0,MAX($AU$13:$AU191)+1,0)</f>
        <v>0</v>
      </c>
      <c r="H192" s="569" t="str">
        <f>IF(AS192&lt;&gt;0,COUNT($H$14:H191,1),"")</f>
        <v/>
      </c>
      <c r="I192" s="533">
        <f t="shared" si="65"/>
        <v>46062</v>
      </c>
      <c r="J192" s="534"/>
      <c r="K192" s="535"/>
      <c r="L192" s="126">
        <f t="shared" ca="1" si="59"/>
        <v>0</v>
      </c>
      <c r="M192" s="127">
        <f t="shared" ca="1" si="59"/>
        <v>0</v>
      </c>
      <c r="N192" s="127">
        <f t="shared" ca="1" si="59"/>
        <v>0</v>
      </c>
      <c r="O192" s="127">
        <f t="shared" ca="1" si="59"/>
        <v>0</v>
      </c>
      <c r="P192" s="128">
        <f t="shared" ca="1" si="59"/>
        <v>0</v>
      </c>
      <c r="Q192" s="126">
        <f t="shared" ca="1" si="59"/>
        <v>0</v>
      </c>
      <c r="R192" s="127">
        <f t="shared" ca="1" si="59"/>
        <v>0</v>
      </c>
      <c r="S192" s="127">
        <f t="shared" ca="1" si="59"/>
        <v>0</v>
      </c>
      <c r="T192" s="127">
        <f t="shared" ca="1" si="59"/>
        <v>0</v>
      </c>
      <c r="U192" s="128">
        <f t="shared" ca="1" si="59"/>
        <v>0</v>
      </c>
      <c r="V192" s="126">
        <f t="shared" ca="1" si="59"/>
        <v>0</v>
      </c>
      <c r="W192" s="127">
        <f t="shared" ca="1" si="59"/>
        <v>0</v>
      </c>
      <c r="X192" s="127">
        <f t="shared" ca="1" si="59"/>
        <v>0</v>
      </c>
      <c r="Y192" s="127">
        <f t="shared" ca="1" si="59"/>
        <v>0</v>
      </c>
      <c r="Z192" s="128">
        <f t="shared" ca="1" si="59"/>
        <v>0</v>
      </c>
      <c r="AA192" s="126">
        <f t="shared" ca="1" si="59"/>
        <v>0</v>
      </c>
      <c r="AB192" s="127">
        <f t="shared" ca="1" si="60"/>
        <v>0</v>
      </c>
      <c r="AC192" s="127">
        <f t="shared" ca="1" si="60"/>
        <v>0</v>
      </c>
      <c r="AD192" s="127">
        <f t="shared" ca="1" si="60"/>
        <v>0</v>
      </c>
      <c r="AE192" s="128">
        <f t="shared" ca="1" si="60"/>
        <v>0</v>
      </c>
      <c r="AF192" s="126">
        <f t="shared" ca="1" si="60"/>
        <v>0</v>
      </c>
      <c r="AG192" s="127">
        <f t="shared" ca="1" si="60"/>
        <v>0</v>
      </c>
      <c r="AH192" s="127">
        <f t="shared" ca="1" si="60"/>
        <v>0</v>
      </c>
      <c r="AI192" s="127">
        <f t="shared" ca="1" si="60"/>
        <v>0</v>
      </c>
      <c r="AJ192" s="128">
        <f t="shared" ca="1" si="60"/>
        <v>0</v>
      </c>
      <c r="AK192" s="126">
        <f t="shared" ca="1" si="60"/>
        <v>0</v>
      </c>
      <c r="AL192" s="127">
        <f t="shared" ca="1" si="60"/>
        <v>0</v>
      </c>
      <c r="AM192" s="127">
        <f t="shared" ca="1" si="60"/>
        <v>0</v>
      </c>
      <c r="AN192" s="127">
        <f t="shared" ca="1" si="60"/>
        <v>0</v>
      </c>
      <c r="AO192" s="129">
        <f t="shared" ca="1" si="56"/>
        <v>0</v>
      </c>
      <c r="AP192" s="536" t="str">
        <f t="shared" si="61"/>
        <v/>
      </c>
      <c r="AQ192" s="536" t="str">
        <f t="shared" si="62"/>
        <v>X</v>
      </c>
      <c r="AR192" s="536" t="str">
        <f t="shared" si="63"/>
        <v/>
      </c>
      <c r="AS192" s="537">
        <f>IF(OR(J192&lt;&gt;"",AP192&amp;AQ192&amp;AR192&lt;&gt;"X",WEEKDAY(I192,2)&gt;5,C192&lt;&gt;0,(FechaInicio1Tri&gt;I192),(FechaFinEEva&lt;I192)),0,_xlfn.XLOOKUP(WEEKDAY(I192,2),Fchs!$J$10:$N$10,Fchs!$J$12:$N$12))</f>
        <v>0</v>
      </c>
      <c r="AT192" s="536">
        <f t="shared" ca="1" si="64"/>
        <v>0</v>
      </c>
      <c r="AU192" s="538">
        <f>IF(AS192&lt;&gt;0,MAXA($AU$14:AU191)+AS192,0)</f>
        <v>0</v>
      </c>
      <c r="AV192" s="538">
        <f ca="1">IF(AT192&lt;&gt;0,MAXA($AU$14:AU191)+AT192,0)</f>
        <v>0</v>
      </c>
      <c r="AW192" s="69"/>
    </row>
    <row r="193" spans="1:49" ht="18.75" customHeight="1" x14ac:dyDescent="0.25">
      <c r="A193" s="69"/>
      <c r="B193" s="56" t="str">
        <f>MID(Info!$AZ$3,(WEEKDAY(I193,2)-1)*3+1,3)</f>
        <v>Mar</v>
      </c>
      <c r="C193" s="523" t="str">
        <f>_xlfn.XLOOKUP(I193,Fchs!$F$108:$F$149,Fchs!$G$108:$G$149,0)</f>
        <v>1ºGx Prácticas</v>
      </c>
      <c r="D193" s="523">
        <f>_xlfn.XLOOKUP(I193,Fchs!$F$108:$F$149,Fchs!$H$108:$H$149)</f>
        <v>0</v>
      </c>
      <c r="E193" s="532">
        <f>IF($AS193&lt;&gt;0,_xlfn.XLOOKUP($G193,UDs!$E$34:$E$55,UDs!$B$34:$B$55,,-1),0)</f>
        <v>0</v>
      </c>
      <c r="F193" s="532">
        <f t="shared" ca="1" si="58"/>
        <v>0</v>
      </c>
      <c r="G193" s="569">
        <f>IF(AU193&lt;&gt;0,MAX($AU$13:$AU192)+1,0)</f>
        <v>0</v>
      </c>
      <c r="H193" s="569" t="str">
        <f>IF(AS193&lt;&gt;0,COUNT($H$14:H192,1),"")</f>
        <v/>
      </c>
      <c r="I193" s="533">
        <f t="shared" si="65"/>
        <v>46063</v>
      </c>
      <c r="J193" s="534"/>
      <c r="K193" s="535"/>
      <c r="L193" s="126">
        <f t="shared" ca="1" si="59"/>
        <v>0</v>
      </c>
      <c r="M193" s="127">
        <f t="shared" ca="1" si="59"/>
        <v>0</v>
      </c>
      <c r="N193" s="127">
        <f t="shared" ca="1" si="59"/>
        <v>0</v>
      </c>
      <c r="O193" s="127">
        <f t="shared" ca="1" si="59"/>
        <v>0</v>
      </c>
      <c r="P193" s="128">
        <f t="shared" ca="1" si="59"/>
        <v>0</v>
      </c>
      <c r="Q193" s="126">
        <f t="shared" ca="1" si="59"/>
        <v>0</v>
      </c>
      <c r="R193" s="127">
        <f t="shared" ca="1" si="59"/>
        <v>0</v>
      </c>
      <c r="S193" s="127">
        <f t="shared" ca="1" si="59"/>
        <v>0</v>
      </c>
      <c r="T193" s="127">
        <f t="shared" ca="1" si="59"/>
        <v>0</v>
      </c>
      <c r="U193" s="128">
        <f t="shared" ca="1" si="59"/>
        <v>0</v>
      </c>
      <c r="V193" s="126">
        <f t="shared" ca="1" si="59"/>
        <v>0</v>
      </c>
      <c r="W193" s="127">
        <f t="shared" ca="1" si="59"/>
        <v>0</v>
      </c>
      <c r="X193" s="127">
        <f t="shared" ca="1" si="59"/>
        <v>0</v>
      </c>
      <c r="Y193" s="127">
        <f t="shared" ca="1" si="59"/>
        <v>0</v>
      </c>
      <c r="Z193" s="128">
        <f t="shared" ca="1" si="59"/>
        <v>0</v>
      </c>
      <c r="AA193" s="126">
        <f t="shared" ca="1" si="59"/>
        <v>0</v>
      </c>
      <c r="AB193" s="127">
        <f t="shared" ca="1" si="60"/>
        <v>0</v>
      </c>
      <c r="AC193" s="127">
        <f t="shared" ca="1" si="60"/>
        <v>0</v>
      </c>
      <c r="AD193" s="127">
        <f t="shared" ca="1" si="60"/>
        <v>0</v>
      </c>
      <c r="AE193" s="128">
        <f t="shared" ca="1" si="60"/>
        <v>0</v>
      </c>
      <c r="AF193" s="126">
        <f t="shared" ca="1" si="60"/>
        <v>0</v>
      </c>
      <c r="AG193" s="127">
        <f t="shared" ca="1" si="60"/>
        <v>0</v>
      </c>
      <c r="AH193" s="127">
        <f t="shared" ca="1" si="60"/>
        <v>0</v>
      </c>
      <c r="AI193" s="127">
        <f t="shared" ca="1" si="60"/>
        <v>0</v>
      </c>
      <c r="AJ193" s="128">
        <f t="shared" ca="1" si="60"/>
        <v>0</v>
      </c>
      <c r="AK193" s="126">
        <f t="shared" ca="1" si="60"/>
        <v>0</v>
      </c>
      <c r="AL193" s="127">
        <f t="shared" ca="1" si="60"/>
        <v>0</v>
      </c>
      <c r="AM193" s="127">
        <f t="shared" ca="1" si="60"/>
        <v>0</v>
      </c>
      <c r="AN193" s="127">
        <f t="shared" ca="1" si="60"/>
        <v>0</v>
      </c>
      <c r="AO193" s="129">
        <f t="shared" ca="1" si="56"/>
        <v>0</v>
      </c>
      <c r="AP193" s="536" t="str">
        <f t="shared" si="61"/>
        <v/>
      </c>
      <c r="AQ193" s="536" t="str">
        <f t="shared" si="62"/>
        <v>X</v>
      </c>
      <c r="AR193" s="536" t="str">
        <f t="shared" si="63"/>
        <v/>
      </c>
      <c r="AS193" s="537">
        <f>IF(OR(J193&lt;&gt;"",AP193&amp;AQ193&amp;AR193&lt;&gt;"X",WEEKDAY(I193,2)&gt;5,C193&lt;&gt;0,(FechaInicio1Tri&gt;I193),(FechaFinEEva&lt;I193)),0,_xlfn.XLOOKUP(WEEKDAY(I193,2),Fchs!$J$10:$N$10,Fchs!$J$12:$N$12))</f>
        <v>0</v>
      </c>
      <c r="AT193" s="536">
        <f t="shared" ca="1" si="64"/>
        <v>0</v>
      </c>
      <c r="AU193" s="538">
        <f>IF(AS193&lt;&gt;0,MAXA($AU$14:AU192)+AS193,0)</f>
        <v>0</v>
      </c>
      <c r="AV193" s="538">
        <f ca="1">IF(AT193&lt;&gt;0,MAXA($AU$14:AU192)+AT193,0)</f>
        <v>0</v>
      </c>
      <c r="AW193" s="69"/>
    </row>
    <row r="194" spans="1:49" ht="18.75" customHeight="1" x14ac:dyDescent="0.25">
      <c r="A194" s="69"/>
      <c r="B194" s="56" t="str">
        <f>MID(Info!$AZ$3,(WEEKDAY(I194,2)-1)*3+1,3)</f>
        <v>Mié</v>
      </c>
      <c r="C194" s="523" t="str">
        <f>_xlfn.XLOOKUP(I194,Fchs!$F$108:$F$149,Fchs!$G$108:$G$149,0)</f>
        <v>1ºGx Prácticas</v>
      </c>
      <c r="D194" s="523">
        <f>_xlfn.XLOOKUP(I194,Fchs!$F$108:$F$149,Fchs!$H$108:$H$149)</f>
        <v>0</v>
      </c>
      <c r="E194" s="532">
        <f>IF($AS194&lt;&gt;0,_xlfn.XLOOKUP($G194,UDs!$E$34:$E$55,UDs!$B$34:$B$55,,-1),0)</f>
        <v>0</v>
      </c>
      <c r="F194" s="532">
        <f t="shared" ca="1" si="58"/>
        <v>0</v>
      </c>
      <c r="G194" s="569">
        <f>IF(AU194&lt;&gt;0,MAX($AU$13:$AU193)+1,0)</f>
        <v>0</v>
      </c>
      <c r="H194" s="569" t="str">
        <f>IF(AS194&lt;&gt;0,COUNT($H$14:H193,1),"")</f>
        <v/>
      </c>
      <c r="I194" s="533">
        <f t="shared" si="65"/>
        <v>46064</v>
      </c>
      <c r="J194" s="534"/>
      <c r="K194" s="535"/>
      <c r="L194" s="126">
        <f t="shared" ca="1" si="59"/>
        <v>0</v>
      </c>
      <c r="M194" s="127">
        <f t="shared" ca="1" si="59"/>
        <v>0</v>
      </c>
      <c r="N194" s="127">
        <f t="shared" ca="1" si="59"/>
        <v>0</v>
      </c>
      <c r="O194" s="127">
        <f t="shared" ca="1" si="59"/>
        <v>0</v>
      </c>
      <c r="P194" s="128">
        <f t="shared" ca="1" si="59"/>
        <v>0</v>
      </c>
      <c r="Q194" s="126">
        <f t="shared" ca="1" si="59"/>
        <v>0</v>
      </c>
      <c r="R194" s="127">
        <f t="shared" ca="1" si="59"/>
        <v>0</v>
      </c>
      <c r="S194" s="127">
        <f t="shared" ca="1" si="59"/>
        <v>0</v>
      </c>
      <c r="T194" s="127">
        <f t="shared" ca="1" si="59"/>
        <v>0</v>
      </c>
      <c r="U194" s="128">
        <f t="shared" ca="1" si="59"/>
        <v>0</v>
      </c>
      <c r="V194" s="126">
        <f t="shared" ca="1" si="59"/>
        <v>0</v>
      </c>
      <c r="W194" s="127">
        <f t="shared" ca="1" si="59"/>
        <v>0</v>
      </c>
      <c r="X194" s="127">
        <f t="shared" ca="1" si="59"/>
        <v>0</v>
      </c>
      <c r="Y194" s="127">
        <f t="shared" ca="1" si="59"/>
        <v>0</v>
      </c>
      <c r="Z194" s="128">
        <f t="shared" ca="1" si="59"/>
        <v>0</v>
      </c>
      <c r="AA194" s="126">
        <f t="shared" ca="1" si="59"/>
        <v>0</v>
      </c>
      <c r="AB194" s="127">
        <f t="shared" ca="1" si="60"/>
        <v>0</v>
      </c>
      <c r="AC194" s="127">
        <f t="shared" ca="1" si="60"/>
        <v>0</v>
      </c>
      <c r="AD194" s="127">
        <f t="shared" ca="1" si="60"/>
        <v>0</v>
      </c>
      <c r="AE194" s="128">
        <f t="shared" ca="1" si="60"/>
        <v>0</v>
      </c>
      <c r="AF194" s="126">
        <f t="shared" ca="1" si="60"/>
        <v>0</v>
      </c>
      <c r="AG194" s="127">
        <f t="shared" ca="1" si="60"/>
        <v>0</v>
      </c>
      <c r="AH194" s="127">
        <f t="shared" ca="1" si="60"/>
        <v>0</v>
      </c>
      <c r="AI194" s="127">
        <f t="shared" ca="1" si="60"/>
        <v>0</v>
      </c>
      <c r="AJ194" s="128">
        <f t="shared" ca="1" si="60"/>
        <v>0</v>
      </c>
      <c r="AK194" s="126">
        <f t="shared" ca="1" si="60"/>
        <v>0</v>
      </c>
      <c r="AL194" s="127">
        <f t="shared" ca="1" si="60"/>
        <v>0</v>
      </c>
      <c r="AM194" s="127">
        <f t="shared" ca="1" si="60"/>
        <v>0</v>
      </c>
      <c r="AN194" s="127">
        <f t="shared" ca="1" si="60"/>
        <v>0</v>
      </c>
      <c r="AO194" s="129">
        <f t="shared" ca="1" si="56"/>
        <v>0</v>
      </c>
      <c r="AP194" s="536" t="str">
        <f t="shared" si="61"/>
        <v/>
      </c>
      <c r="AQ194" s="536" t="str">
        <f t="shared" si="62"/>
        <v>X</v>
      </c>
      <c r="AR194" s="536" t="str">
        <f t="shared" si="63"/>
        <v/>
      </c>
      <c r="AS194" s="537">
        <f>IF(OR(J194&lt;&gt;"",AP194&amp;AQ194&amp;AR194&lt;&gt;"X",WEEKDAY(I194,2)&gt;5,C194&lt;&gt;0,(FechaInicio1Tri&gt;I194),(FechaFinEEva&lt;I194)),0,_xlfn.XLOOKUP(WEEKDAY(I194,2),Fchs!$J$10:$N$10,Fchs!$J$12:$N$12))</f>
        <v>0</v>
      </c>
      <c r="AT194" s="536">
        <f t="shared" ca="1" si="64"/>
        <v>0</v>
      </c>
      <c r="AU194" s="538">
        <f>IF(AS194&lt;&gt;0,MAXA($AU$14:AU193)+AS194,0)</f>
        <v>0</v>
      </c>
      <c r="AV194" s="538">
        <f ca="1">IF(AT194&lt;&gt;0,MAXA($AU$14:AU193)+AT194,0)</f>
        <v>0</v>
      </c>
      <c r="AW194" s="69"/>
    </row>
    <row r="195" spans="1:49" ht="18.75" customHeight="1" x14ac:dyDescent="0.25">
      <c r="A195" s="69"/>
      <c r="B195" s="56" t="str">
        <f>MID(Info!$AZ$3,(WEEKDAY(I195,2)-1)*3+1,3)</f>
        <v>Jue</v>
      </c>
      <c r="C195" s="523" t="str">
        <f>_xlfn.XLOOKUP(I195,Fchs!$F$108:$F$149,Fchs!$G$108:$G$149,0)</f>
        <v>1ºGx Prácticas</v>
      </c>
      <c r="D195" s="523">
        <f>_xlfn.XLOOKUP(I195,Fchs!$F$108:$F$149,Fchs!$H$108:$H$149)</f>
        <v>0</v>
      </c>
      <c r="E195" s="532">
        <f>IF($AS195&lt;&gt;0,_xlfn.XLOOKUP($G195,UDs!$E$34:$E$55,UDs!$B$34:$B$55,,-1),0)</f>
        <v>0</v>
      </c>
      <c r="F195" s="532">
        <f t="shared" ca="1" si="58"/>
        <v>0</v>
      </c>
      <c r="G195" s="569">
        <f>IF(AU195&lt;&gt;0,MAX($AU$13:$AU194)+1,0)</f>
        <v>0</v>
      </c>
      <c r="H195" s="569" t="str">
        <f>IF(AS195&lt;&gt;0,COUNT($H$14:H194,1),"")</f>
        <v/>
      </c>
      <c r="I195" s="533">
        <f t="shared" si="65"/>
        <v>46065</v>
      </c>
      <c r="J195" s="534"/>
      <c r="K195" s="535"/>
      <c r="L195" s="126">
        <f t="shared" ca="1" si="59"/>
        <v>0</v>
      </c>
      <c r="M195" s="127">
        <f t="shared" ca="1" si="59"/>
        <v>0</v>
      </c>
      <c r="N195" s="127">
        <f t="shared" ca="1" si="59"/>
        <v>0</v>
      </c>
      <c r="O195" s="127">
        <f t="shared" ca="1" si="59"/>
        <v>0</v>
      </c>
      <c r="P195" s="128">
        <f t="shared" ca="1" si="59"/>
        <v>0</v>
      </c>
      <c r="Q195" s="126">
        <f t="shared" ca="1" si="59"/>
        <v>0</v>
      </c>
      <c r="R195" s="127">
        <f t="shared" ca="1" si="59"/>
        <v>0</v>
      </c>
      <c r="S195" s="127">
        <f t="shared" ca="1" si="59"/>
        <v>0</v>
      </c>
      <c r="T195" s="127">
        <f t="shared" ca="1" si="59"/>
        <v>0</v>
      </c>
      <c r="U195" s="128">
        <f t="shared" ca="1" si="59"/>
        <v>0</v>
      </c>
      <c r="V195" s="126">
        <f t="shared" ca="1" si="59"/>
        <v>0</v>
      </c>
      <c r="W195" s="127">
        <f t="shared" ca="1" si="59"/>
        <v>0</v>
      </c>
      <c r="X195" s="127">
        <f t="shared" ca="1" si="59"/>
        <v>0</v>
      </c>
      <c r="Y195" s="127">
        <f t="shared" ca="1" si="59"/>
        <v>0</v>
      </c>
      <c r="Z195" s="128">
        <f t="shared" ca="1" si="59"/>
        <v>0</v>
      </c>
      <c r="AA195" s="126">
        <f t="shared" ca="1" si="59"/>
        <v>0</v>
      </c>
      <c r="AB195" s="127">
        <f t="shared" ca="1" si="60"/>
        <v>0</v>
      </c>
      <c r="AC195" s="127">
        <f t="shared" ca="1" si="60"/>
        <v>0</v>
      </c>
      <c r="AD195" s="127">
        <f t="shared" ca="1" si="60"/>
        <v>0</v>
      </c>
      <c r="AE195" s="128">
        <f t="shared" ca="1" si="60"/>
        <v>0</v>
      </c>
      <c r="AF195" s="126">
        <f t="shared" ca="1" si="60"/>
        <v>0</v>
      </c>
      <c r="AG195" s="127">
        <f t="shared" ca="1" si="60"/>
        <v>0</v>
      </c>
      <c r="AH195" s="127">
        <f t="shared" ca="1" si="60"/>
        <v>0</v>
      </c>
      <c r="AI195" s="127">
        <f t="shared" ca="1" si="60"/>
        <v>0</v>
      </c>
      <c r="AJ195" s="128">
        <f t="shared" ca="1" si="60"/>
        <v>0</v>
      </c>
      <c r="AK195" s="126">
        <f t="shared" ca="1" si="60"/>
        <v>0</v>
      </c>
      <c r="AL195" s="127">
        <f t="shared" ca="1" si="60"/>
        <v>0</v>
      </c>
      <c r="AM195" s="127">
        <f t="shared" ca="1" si="60"/>
        <v>0</v>
      </c>
      <c r="AN195" s="127">
        <f t="shared" ca="1" si="60"/>
        <v>0</v>
      </c>
      <c r="AO195" s="129">
        <f t="shared" ca="1" si="56"/>
        <v>0</v>
      </c>
      <c r="AP195" s="536" t="str">
        <f t="shared" si="61"/>
        <v/>
      </c>
      <c r="AQ195" s="536" t="str">
        <f t="shared" si="62"/>
        <v>X</v>
      </c>
      <c r="AR195" s="536" t="str">
        <f t="shared" si="63"/>
        <v/>
      </c>
      <c r="AS195" s="537">
        <f>IF(OR(J195&lt;&gt;"",AP195&amp;AQ195&amp;AR195&lt;&gt;"X",WEEKDAY(I195,2)&gt;5,C195&lt;&gt;0,(FechaInicio1Tri&gt;I195),(FechaFinEEva&lt;I195)),0,_xlfn.XLOOKUP(WEEKDAY(I195,2),Fchs!$J$10:$N$10,Fchs!$J$12:$N$12))</f>
        <v>0</v>
      </c>
      <c r="AT195" s="536">
        <f t="shared" ca="1" si="64"/>
        <v>0</v>
      </c>
      <c r="AU195" s="538">
        <f>IF(AS195&lt;&gt;0,MAXA($AU$14:AU194)+AS195,0)</f>
        <v>0</v>
      </c>
      <c r="AV195" s="538">
        <f ca="1">IF(AT195&lt;&gt;0,MAXA($AU$14:AU194)+AT195,0)</f>
        <v>0</v>
      </c>
      <c r="AW195" s="69"/>
    </row>
    <row r="196" spans="1:49" ht="18.75" customHeight="1" x14ac:dyDescent="0.25">
      <c r="A196" s="69"/>
      <c r="B196" s="56" t="str">
        <f>MID(Info!$AZ$3,(WEEKDAY(I196,2)-1)*3+1,3)</f>
        <v>Vie</v>
      </c>
      <c r="C196" s="523" t="str">
        <f>_xlfn.XLOOKUP(I196,Fchs!$F$108:$F$149,Fchs!$G$108:$G$149,0)</f>
        <v>1ºGx Prácticas</v>
      </c>
      <c r="D196" s="523">
        <f>_xlfn.XLOOKUP(I196,Fchs!$F$108:$F$149,Fchs!$H$108:$H$149)</f>
        <v>0</v>
      </c>
      <c r="E196" s="532">
        <f>IF($AS196&lt;&gt;0,_xlfn.XLOOKUP($G196,UDs!$E$34:$E$55,UDs!$B$34:$B$55,,-1),0)</f>
        <v>0</v>
      </c>
      <c r="F196" s="532">
        <f t="shared" ca="1" si="58"/>
        <v>0</v>
      </c>
      <c r="G196" s="569">
        <f>IF(AU196&lt;&gt;0,MAX($AU$13:$AU195)+1,0)</f>
        <v>0</v>
      </c>
      <c r="H196" s="569" t="str">
        <f>IF(AS196&lt;&gt;0,COUNT($H$14:H195,1),"")</f>
        <v/>
      </c>
      <c r="I196" s="533">
        <f t="shared" si="65"/>
        <v>46066</v>
      </c>
      <c r="J196" s="534"/>
      <c r="K196" s="535"/>
      <c r="L196" s="126">
        <f t="shared" ca="1" si="59"/>
        <v>0</v>
      </c>
      <c r="M196" s="127">
        <f t="shared" ca="1" si="59"/>
        <v>0</v>
      </c>
      <c r="N196" s="127">
        <f t="shared" ca="1" si="59"/>
        <v>0</v>
      </c>
      <c r="O196" s="127">
        <f t="shared" ca="1" si="59"/>
        <v>0</v>
      </c>
      <c r="P196" s="128">
        <f t="shared" ca="1" si="59"/>
        <v>0</v>
      </c>
      <c r="Q196" s="126">
        <f t="shared" ca="1" si="59"/>
        <v>0</v>
      </c>
      <c r="R196" s="127">
        <f t="shared" ca="1" si="59"/>
        <v>0</v>
      </c>
      <c r="S196" s="127">
        <f t="shared" ca="1" si="59"/>
        <v>0</v>
      </c>
      <c r="T196" s="127">
        <f t="shared" ca="1" si="59"/>
        <v>0</v>
      </c>
      <c r="U196" s="128">
        <f t="shared" ca="1" si="59"/>
        <v>0</v>
      </c>
      <c r="V196" s="126">
        <f t="shared" ca="1" si="59"/>
        <v>0</v>
      </c>
      <c r="W196" s="127">
        <f t="shared" ca="1" si="59"/>
        <v>0</v>
      </c>
      <c r="X196" s="127">
        <f t="shared" ca="1" si="59"/>
        <v>0</v>
      </c>
      <c r="Y196" s="127">
        <f t="shared" ca="1" si="59"/>
        <v>0</v>
      </c>
      <c r="Z196" s="128">
        <f t="shared" ca="1" si="59"/>
        <v>0</v>
      </c>
      <c r="AA196" s="126">
        <f t="shared" ca="1" si="59"/>
        <v>0</v>
      </c>
      <c r="AB196" s="127">
        <f t="shared" ca="1" si="60"/>
        <v>0</v>
      </c>
      <c r="AC196" s="127">
        <f t="shared" ca="1" si="60"/>
        <v>0</v>
      </c>
      <c r="AD196" s="127">
        <f t="shared" ca="1" si="60"/>
        <v>0</v>
      </c>
      <c r="AE196" s="128">
        <f t="shared" ca="1" si="60"/>
        <v>0</v>
      </c>
      <c r="AF196" s="126">
        <f t="shared" ca="1" si="60"/>
        <v>0</v>
      </c>
      <c r="AG196" s="127">
        <f t="shared" ca="1" si="60"/>
        <v>0</v>
      </c>
      <c r="AH196" s="127">
        <f t="shared" ca="1" si="60"/>
        <v>0</v>
      </c>
      <c r="AI196" s="127">
        <f t="shared" ca="1" si="60"/>
        <v>0</v>
      </c>
      <c r="AJ196" s="128">
        <f t="shared" ca="1" si="60"/>
        <v>0</v>
      </c>
      <c r="AK196" s="126">
        <f t="shared" ca="1" si="60"/>
        <v>0</v>
      </c>
      <c r="AL196" s="127">
        <f t="shared" ca="1" si="60"/>
        <v>0</v>
      </c>
      <c r="AM196" s="127">
        <f t="shared" ca="1" si="60"/>
        <v>0</v>
      </c>
      <c r="AN196" s="127">
        <f t="shared" ca="1" si="60"/>
        <v>0</v>
      </c>
      <c r="AO196" s="129">
        <f t="shared" ca="1" si="56"/>
        <v>0</v>
      </c>
      <c r="AP196" s="536" t="str">
        <f t="shared" si="61"/>
        <v/>
      </c>
      <c r="AQ196" s="536" t="str">
        <f t="shared" si="62"/>
        <v>X</v>
      </c>
      <c r="AR196" s="536" t="str">
        <f t="shared" si="63"/>
        <v/>
      </c>
      <c r="AS196" s="537">
        <f>IF(OR(J196&lt;&gt;"",AP196&amp;AQ196&amp;AR196&lt;&gt;"X",WEEKDAY(I196,2)&gt;5,C196&lt;&gt;0,(FechaInicio1Tri&gt;I196),(FechaFinEEva&lt;I196)),0,_xlfn.XLOOKUP(WEEKDAY(I196,2),Fchs!$J$10:$N$10,Fchs!$J$12:$N$12))</f>
        <v>0</v>
      </c>
      <c r="AT196" s="536">
        <f t="shared" ca="1" si="64"/>
        <v>0</v>
      </c>
      <c r="AU196" s="538">
        <f>IF(AS196&lt;&gt;0,MAXA($AU$14:AU195)+AS196,0)</f>
        <v>0</v>
      </c>
      <c r="AV196" s="538">
        <f ca="1">IF(AT196&lt;&gt;0,MAXA($AU$14:AU195)+AT196,0)</f>
        <v>0</v>
      </c>
      <c r="AW196" s="69"/>
    </row>
    <row r="197" spans="1:49" ht="18.75" customHeight="1" x14ac:dyDescent="0.25">
      <c r="A197" s="69"/>
      <c r="B197" s="56" t="str">
        <f>MID(Info!$AZ$3,(WEEKDAY(I197,2)-1)*3+1,3)</f>
        <v>Sáb</v>
      </c>
      <c r="C197" s="523">
        <f>_xlfn.XLOOKUP(I197,Fchs!$F$108:$F$149,Fchs!$G$108:$G$149,0)</f>
        <v>0</v>
      </c>
      <c r="D197" s="523">
        <f>_xlfn.XLOOKUP(I197,Fchs!$F$108:$F$149,Fchs!$H$108:$H$149)</f>
        <v>0</v>
      </c>
      <c r="E197" s="532">
        <f>IF($AS197&lt;&gt;0,_xlfn.XLOOKUP($G197,UDs!$E$34:$E$55,UDs!$B$34:$B$55,,-1),0)</f>
        <v>0</v>
      </c>
      <c r="F197" s="532">
        <f t="shared" ca="1" si="58"/>
        <v>0</v>
      </c>
      <c r="G197" s="569">
        <f>IF(AU197&lt;&gt;0,MAX($AU$13:$AU196)+1,0)</f>
        <v>0</v>
      </c>
      <c r="H197" s="569" t="str">
        <f>IF(AS197&lt;&gt;0,COUNT($H$14:H196,1),"")</f>
        <v/>
      </c>
      <c r="I197" s="533">
        <f t="shared" si="65"/>
        <v>46067</v>
      </c>
      <c r="J197" s="534"/>
      <c r="K197" s="535"/>
      <c r="L197" s="126">
        <f t="shared" ca="1" si="59"/>
        <v>0</v>
      </c>
      <c r="M197" s="127">
        <f t="shared" ca="1" si="59"/>
        <v>0</v>
      </c>
      <c r="N197" s="127">
        <f t="shared" ca="1" si="59"/>
        <v>0</v>
      </c>
      <c r="O197" s="127">
        <f t="shared" ca="1" si="59"/>
        <v>0</v>
      </c>
      <c r="P197" s="128">
        <f t="shared" ca="1" si="59"/>
        <v>0</v>
      </c>
      <c r="Q197" s="126">
        <f t="shared" ca="1" si="59"/>
        <v>0</v>
      </c>
      <c r="R197" s="127">
        <f t="shared" ca="1" si="59"/>
        <v>0</v>
      </c>
      <c r="S197" s="127">
        <f t="shared" ca="1" si="59"/>
        <v>0</v>
      </c>
      <c r="T197" s="127">
        <f t="shared" ca="1" si="59"/>
        <v>0</v>
      </c>
      <c r="U197" s="128">
        <f t="shared" ca="1" si="59"/>
        <v>0</v>
      </c>
      <c r="V197" s="126">
        <f t="shared" ca="1" si="59"/>
        <v>0</v>
      </c>
      <c r="W197" s="127">
        <f t="shared" ca="1" si="59"/>
        <v>0</v>
      </c>
      <c r="X197" s="127">
        <f t="shared" ca="1" si="59"/>
        <v>0</v>
      </c>
      <c r="Y197" s="127">
        <f t="shared" ca="1" si="59"/>
        <v>0</v>
      </c>
      <c r="Z197" s="128">
        <f t="shared" ca="1" si="59"/>
        <v>0</v>
      </c>
      <c r="AA197" s="126">
        <f t="shared" ca="1" si="59"/>
        <v>0</v>
      </c>
      <c r="AB197" s="127">
        <f t="shared" ca="1" si="60"/>
        <v>0</v>
      </c>
      <c r="AC197" s="127">
        <f t="shared" ca="1" si="60"/>
        <v>0</v>
      </c>
      <c r="AD197" s="127">
        <f t="shared" ca="1" si="60"/>
        <v>0</v>
      </c>
      <c r="AE197" s="128">
        <f t="shared" ca="1" si="60"/>
        <v>0</v>
      </c>
      <c r="AF197" s="126">
        <f t="shared" ca="1" si="60"/>
        <v>0</v>
      </c>
      <c r="AG197" s="127">
        <f t="shared" ca="1" si="60"/>
        <v>0</v>
      </c>
      <c r="AH197" s="127">
        <f t="shared" ca="1" si="60"/>
        <v>0</v>
      </c>
      <c r="AI197" s="127">
        <f t="shared" ca="1" si="60"/>
        <v>0</v>
      </c>
      <c r="AJ197" s="128">
        <f t="shared" ca="1" si="60"/>
        <v>0</v>
      </c>
      <c r="AK197" s="126">
        <f t="shared" ca="1" si="60"/>
        <v>0</v>
      </c>
      <c r="AL197" s="127">
        <f t="shared" ca="1" si="60"/>
        <v>0</v>
      </c>
      <c r="AM197" s="127">
        <f t="shared" ca="1" si="60"/>
        <v>0</v>
      </c>
      <c r="AN197" s="127">
        <f t="shared" ca="1" si="60"/>
        <v>0</v>
      </c>
      <c r="AO197" s="129">
        <f t="shared" ca="1" si="56"/>
        <v>0</v>
      </c>
      <c r="AP197" s="536" t="str">
        <f t="shared" si="61"/>
        <v/>
      </c>
      <c r="AQ197" s="536" t="str">
        <f t="shared" si="62"/>
        <v/>
      </c>
      <c r="AR197" s="536" t="str">
        <f t="shared" si="63"/>
        <v/>
      </c>
      <c r="AS197" s="537">
        <f>IF(OR(J197&lt;&gt;"",AP197&amp;AQ197&amp;AR197&lt;&gt;"X",WEEKDAY(I197,2)&gt;5,C197&lt;&gt;0,(FechaInicio1Tri&gt;I197),(FechaFinEEva&lt;I197)),0,_xlfn.XLOOKUP(WEEKDAY(I197,2),Fchs!$J$10:$N$10,Fchs!$J$12:$N$12))</f>
        <v>0</v>
      </c>
      <c r="AT197" s="536">
        <f t="shared" ca="1" si="64"/>
        <v>0</v>
      </c>
      <c r="AU197" s="538">
        <f>IF(AS197&lt;&gt;0,MAXA($AU$14:AU196)+AS197,0)</f>
        <v>0</v>
      </c>
      <c r="AV197" s="538">
        <f ca="1">IF(AT197&lt;&gt;0,MAXA($AU$14:AU196)+AT197,0)</f>
        <v>0</v>
      </c>
      <c r="AW197" s="69"/>
    </row>
    <row r="198" spans="1:49" ht="18.75" customHeight="1" x14ac:dyDescent="0.25">
      <c r="A198" s="69"/>
      <c r="B198" s="56" t="str">
        <f>MID(Info!$AZ$3,(WEEKDAY(I198,2)-1)*3+1,3)</f>
        <v>Dom</v>
      </c>
      <c r="C198" s="523">
        <f>_xlfn.XLOOKUP(I198,Fchs!$F$108:$F$149,Fchs!$G$108:$G$149,0)</f>
        <v>0</v>
      </c>
      <c r="D198" s="523">
        <f>_xlfn.XLOOKUP(I198,Fchs!$F$108:$F$149,Fchs!$H$108:$H$149)</f>
        <v>0</v>
      </c>
      <c r="E198" s="532">
        <f>IF($AS198&lt;&gt;0,_xlfn.XLOOKUP($G198,UDs!$E$34:$E$55,UDs!$B$34:$B$55,,-1),0)</f>
        <v>0</v>
      </c>
      <c r="F198" s="532">
        <f t="shared" ca="1" si="58"/>
        <v>0</v>
      </c>
      <c r="G198" s="569">
        <f>IF(AU198&lt;&gt;0,MAX($AU$13:$AU197)+1,0)</f>
        <v>0</v>
      </c>
      <c r="H198" s="569" t="str">
        <f>IF(AS198&lt;&gt;0,COUNT($H$14:H197,1),"")</f>
        <v/>
      </c>
      <c r="I198" s="533">
        <f t="shared" si="65"/>
        <v>46068</v>
      </c>
      <c r="J198" s="534"/>
      <c r="K198" s="535"/>
      <c r="L198" s="126">
        <f t="shared" ca="1" si="59"/>
        <v>0</v>
      </c>
      <c r="M198" s="127">
        <f t="shared" ca="1" si="59"/>
        <v>0</v>
      </c>
      <c r="N198" s="127">
        <f t="shared" ca="1" si="59"/>
        <v>0</v>
      </c>
      <c r="O198" s="127">
        <f t="shared" ca="1" si="59"/>
        <v>0</v>
      </c>
      <c r="P198" s="128">
        <f t="shared" ca="1" si="59"/>
        <v>0</v>
      </c>
      <c r="Q198" s="126">
        <f t="shared" ca="1" si="59"/>
        <v>0</v>
      </c>
      <c r="R198" s="127">
        <f t="shared" ca="1" si="59"/>
        <v>0</v>
      </c>
      <c r="S198" s="127">
        <f t="shared" ca="1" si="59"/>
        <v>0</v>
      </c>
      <c r="T198" s="127">
        <f t="shared" ca="1" si="59"/>
        <v>0</v>
      </c>
      <c r="U198" s="128">
        <f t="shared" ca="1" si="59"/>
        <v>0</v>
      </c>
      <c r="V198" s="126">
        <f t="shared" ca="1" si="59"/>
        <v>0</v>
      </c>
      <c r="W198" s="127">
        <f t="shared" ca="1" si="59"/>
        <v>0</v>
      </c>
      <c r="X198" s="127">
        <f t="shared" ca="1" si="59"/>
        <v>0</v>
      </c>
      <c r="Y198" s="127">
        <f t="shared" ca="1" si="59"/>
        <v>0</v>
      </c>
      <c r="Z198" s="128">
        <f t="shared" ca="1" si="59"/>
        <v>0</v>
      </c>
      <c r="AA198" s="126">
        <f t="shared" ref="AA198:AN212" ca="1" si="66">$AT198</f>
        <v>0</v>
      </c>
      <c r="AB198" s="127">
        <f t="shared" ca="1" si="66"/>
        <v>0</v>
      </c>
      <c r="AC198" s="127">
        <f t="shared" ca="1" si="66"/>
        <v>0</v>
      </c>
      <c r="AD198" s="127">
        <f t="shared" ca="1" si="66"/>
        <v>0</v>
      </c>
      <c r="AE198" s="128">
        <f t="shared" ca="1" si="66"/>
        <v>0</v>
      </c>
      <c r="AF198" s="126">
        <f t="shared" ca="1" si="66"/>
        <v>0</v>
      </c>
      <c r="AG198" s="127">
        <f t="shared" ca="1" si="66"/>
        <v>0</v>
      </c>
      <c r="AH198" s="127">
        <f t="shared" ca="1" si="66"/>
        <v>0</v>
      </c>
      <c r="AI198" s="127">
        <f t="shared" ca="1" si="66"/>
        <v>0</v>
      </c>
      <c r="AJ198" s="128">
        <f t="shared" ca="1" si="66"/>
        <v>0</v>
      </c>
      <c r="AK198" s="126">
        <f t="shared" ca="1" si="66"/>
        <v>0</v>
      </c>
      <c r="AL198" s="127">
        <f t="shared" ca="1" si="66"/>
        <v>0</v>
      </c>
      <c r="AM198" s="127">
        <f t="shared" ca="1" si="66"/>
        <v>0</v>
      </c>
      <c r="AN198" s="127">
        <f t="shared" ca="1" si="66"/>
        <v>0</v>
      </c>
      <c r="AO198" s="129">
        <f t="shared" ca="1" si="56"/>
        <v>0</v>
      </c>
      <c r="AP198" s="536" t="str">
        <f t="shared" si="61"/>
        <v/>
      </c>
      <c r="AQ198" s="536" t="str">
        <f t="shared" si="62"/>
        <v/>
      </c>
      <c r="AR198" s="536" t="str">
        <f t="shared" si="63"/>
        <v/>
      </c>
      <c r="AS198" s="537">
        <f>IF(OR(J198&lt;&gt;"",AP198&amp;AQ198&amp;AR198&lt;&gt;"X",WEEKDAY(I198,2)&gt;5,C198&lt;&gt;0,(FechaInicio1Tri&gt;I198),(FechaFinEEva&lt;I198)),0,_xlfn.XLOOKUP(WEEKDAY(I198,2),Fchs!$J$10:$N$10,Fchs!$J$12:$N$12))</f>
        <v>0</v>
      </c>
      <c r="AT198" s="536">
        <f t="shared" ca="1" si="64"/>
        <v>0</v>
      </c>
      <c r="AU198" s="538">
        <f>IF(AS198&lt;&gt;0,MAXA($AU$14:AU197)+AS198,0)</f>
        <v>0</v>
      </c>
      <c r="AV198" s="538">
        <f ca="1">IF(AT198&lt;&gt;0,MAXA($AU$14:AU197)+AT198,0)</f>
        <v>0</v>
      </c>
      <c r="AW198" s="69"/>
    </row>
    <row r="199" spans="1:49" ht="18.75" customHeight="1" x14ac:dyDescent="0.25">
      <c r="A199" s="69"/>
      <c r="B199" s="56" t="str">
        <f>MID(Info!$AZ$3,(WEEKDAY(I199,2)-1)*3+1,3)</f>
        <v>Lun</v>
      </c>
      <c r="C199" s="523" t="str">
        <f>_xlfn.XLOOKUP(I199,Fchs!$F$108:$F$149,Fchs!$G$108:$G$149,0)</f>
        <v>1ºGx Prácticas</v>
      </c>
      <c r="D199" s="523">
        <f>_xlfn.XLOOKUP(I199,Fchs!$F$108:$F$149,Fchs!$H$108:$H$149)</f>
        <v>0</v>
      </c>
      <c r="E199" s="532">
        <f>IF($AS199&lt;&gt;0,_xlfn.XLOOKUP($G199,UDs!$E$34:$E$55,UDs!$B$34:$B$55,,-1),0)</f>
        <v>0</v>
      </c>
      <c r="F199" s="532">
        <f t="shared" ca="1" si="58"/>
        <v>0</v>
      </c>
      <c r="G199" s="569">
        <f>IF(AU199&lt;&gt;0,MAX($AU$13:$AU198)+1,0)</f>
        <v>0</v>
      </c>
      <c r="H199" s="569" t="str">
        <f>IF(AS199&lt;&gt;0,COUNT($H$14:H198,1),"")</f>
        <v/>
      </c>
      <c r="I199" s="533">
        <f t="shared" si="65"/>
        <v>46069</v>
      </c>
      <c r="J199" s="534"/>
      <c r="K199" s="535"/>
      <c r="L199" s="126">
        <f t="shared" ref="L199:AA212" ca="1" si="67">$AT199</f>
        <v>0</v>
      </c>
      <c r="M199" s="127">
        <f t="shared" ca="1" si="67"/>
        <v>0</v>
      </c>
      <c r="N199" s="127">
        <f t="shared" ca="1" si="67"/>
        <v>0</v>
      </c>
      <c r="O199" s="127">
        <f t="shared" ca="1" si="67"/>
        <v>0</v>
      </c>
      <c r="P199" s="128">
        <f t="shared" ca="1" si="67"/>
        <v>0</v>
      </c>
      <c r="Q199" s="126">
        <f t="shared" ca="1" si="67"/>
        <v>0</v>
      </c>
      <c r="R199" s="127">
        <f t="shared" ca="1" si="67"/>
        <v>0</v>
      </c>
      <c r="S199" s="127">
        <f t="shared" ca="1" si="67"/>
        <v>0</v>
      </c>
      <c r="T199" s="127">
        <f t="shared" ca="1" si="67"/>
        <v>0</v>
      </c>
      <c r="U199" s="128">
        <f t="shared" ca="1" si="67"/>
        <v>0</v>
      </c>
      <c r="V199" s="126">
        <f t="shared" ca="1" si="67"/>
        <v>0</v>
      </c>
      <c r="W199" s="127">
        <f t="shared" ca="1" si="67"/>
        <v>0</v>
      </c>
      <c r="X199" s="127">
        <f t="shared" ca="1" si="67"/>
        <v>0</v>
      </c>
      <c r="Y199" s="127">
        <f t="shared" ca="1" si="67"/>
        <v>0</v>
      </c>
      <c r="Z199" s="128">
        <f t="shared" ca="1" si="67"/>
        <v>0</v>
      </c>
      <c r="AA199" s="126">
        <f t="shared" ca="1" si="67"/>
        <v>0</v>
      </c>
      <c r="AB199" s="127">
        <f t="shared" ca="1" si="66"/>
        <v>0</v>
      </c>
      <c r="AC199" s="127">
        <f t="shared" ca="1" si="66"/>
        <v>0</v>
      </c>
      <c r="AD199" s="127">
        <f t="shared" ca="1" si="66"/>
        <v>0</v>
      </c>
      <c r="AE199" s="128">
        <f t="shared" ca="1" si="66"/>
        <v>0</v>
      </c>
      <c r="AF199" s="126">
        <f t="shared" ca="1" si="66"/>
        <v>0</v>
      </c>
      <c r="AG199" s="127">
        <f t="shared" ca="1" si="66"/>
        <v>0</v>
      </c>
      <c r="AH199" s="127">
        <f t="shared" ca="1" si="66"/>
        <v>0</v>
      </c>
      <c r="AI199" s="127">
        <f t="shared" ca="1" si="66"/>
        <v>0</v>
      </c>
      <c r="AJ199" s="128">
        <f t="shared" ca="1" si="66"/>
        <v>0</v>
      </c>
      <c r="AK199" s="126">
        <f t="shared" ca="1" si="66"/>
        <v>0</v>
      </c>
      <c r="AL199" s="127">
        <f t="shared" ca="1" si="66"/>
        <v>0</v>
      </c>
      <c r="AM199" s="127">
        <f t="shared" ca="1" si="66"/>
        <v>0</v>
      </c>
      <c r="AN199" s="127">
        <f t="shared" ca="1" si="66"/>
        <v>0</v>
      </c>
      <c r="AO199" s="129">
        <f t="shared" ca="1" si="56"/>
        <v>0</v>
      </c>
      <c r="AP199" s="536" t="str">
        <f t="shared" si="61"/>
        <v/>
      </c>
      <c r="AQ199" s="536" t="str">
        <f t="shared" si="62"/>
        <v>X</v>
      </c>
      <c r="AR199" s="536" t="str">
        <f t="shared" si="63"/>
        <v/>
      </c>
      <c r="AS199" s="537">
        <f>IF(OR(J199&lt;&gt;"",AP199&amp;AQ199&amp;AR199&lt;&gt;"X",WEEKDAY(I199,2)&gt;5,C199&lt;&gt;0,(FechaInicio1Tri&gt;I199),(FechaFinEEva&lt;I199)),0,_xlfn.XLOOKUP(WEEKDAY(I199,2),Fchs!$J$10:$N$10,Fchs!$J$12:$N$12))</f>
        <v>0</v>
      </c>
      <c r="AT199" s="536">
        <f t="shared" ca="1" si="64"/>
        <v>0</v>
      </c>
      <c r="AU199" s="538">
        <f>IF(AS199&lt;&gt;0,MAXA($AU$14:AU198)+AS199,0)</f>
        <v>0</v>
      </c>
      <c r="AV199" s="538">
        <f ca="1">IF(AT199&lt;&gt;0,MAXA($AU$14:AU198)+AT199,0)</f>
        <v>0</v>
      </c>
      <c r="AW199" s="69"/>
    </row>
    <row r="200" spans="1:49" ht="18.75" customHeight="1" x14ac:dyDescent="0.25">
      <c r="A200" s="69"/>
      <c r="B200" s="56" t="str">
        <f>MID(Info!$AZ$3,(WEEKDAY(I200,2)-1)*3+1,3)</f>
        <v>Mar</v>
      </c>
      <c r="C200" s="523" t="str">
        <f>_xlfn.XLOOKUP(I200,Fchs!$F$108:$F$149,Fchs!$G$108:$G$149,0)</f>
        <v>1ºGx Prácticas</v>
      </c>
      <c r="D200" s="523">
        <f>_xlfn.XLOOKUP(I200,Fchs!$F$108:$F$149,Fchs!$H$108:$H$149)</f>
        <v>0</v>
      </c>
      <c r="E200" s="532">
        <f>IF($AS200&lt;&gt;0,_xlfn.XLOOKUP($G200,UDs!$E$34:$E$55,UDs!$B$34:$B$55,,-1),0)</f>
        <v>0</v>
      </c>
      <c r="F200" s="532">
        <f t="shared" ca="1" si="58"/>
        <v>0</v>
      </c>
      <c r="G200" s="569">
        <f>IF(AU200&lt;&gt;0,MAX($AU$13:$AU199)+1,0)</f>
        <v>0</v>
      </c>
      <c r="H200" s="569" t="str">
        <f>IF(AS200&lt;&gt;0,COUNT($H$14:H199,1),"")</f>
        <v/>
      </c>
      <c r="I200" s="533">
        <f t="shared" si="65"/>
        <v>46070</v>
      </c>
      <c r="J200" s="534"/>
      <c r="K200" s="535"/>
      <c r="L200" s="126">
        <f t="shared" ca="1" si="67"/>
        <v>0</v>
      </c>
      <c r="M200" s="127">
        <f t="shared" ca="1" si="67"/>
        <v>0</v>
      </c>
      <c r="N200" s="127">
        <f t="shared" ca="1" si="67"/>
        <v>0</v>
      </c>
      <c r="O200" s="127">
        <f t="shared" ca="1" si="67"/>
        <v>0</v>
      </c>
      <c r="P200" s="128">
        <f t="shared" ca="1" si="67"/>
        <v>0</v>
      </c>
      <c r="Q200" s="126">
        <f t="shared" ca="1" si="67"/>
        <v>0</v>
      </c>
      <c r="R200" s="127">
        <f t="shared" ca="1" si="67"/>
        <v>0</v>
      </c>
      <c r="S200" s="127">
        <f t="shared" ca="1" si="67"/>
        <v>0</v>
      </c>
      <c r="T200" s="127">
        <f t="shared" ca="1" si="67"/>
        <v>0</v>
      </c>
      <c r="U200" s="128">
        <f t="shared" ca="1" si="67"/>
        <v>0</v>
      </c>
      <c r="V200" s="126">
        <f t="shared" ca="1" si="67"/>
        <v>0</v>
      </c>
      <c r="W200" s="127">
        <f t="shared" ca="1" si="67"/>
        <v>0</v>
      </c>
      <c r="X200" s="127">
        <f t="shared" ca="1" si="67"/>
        <v>0</v>
      </c>
      <c r="Y200" s="127">
        <f t="shared" ca="1" si="67"/>
        <v>0</v>
      </c>
      <c r="Z200" s="128">
        <f t="shared" ca="1" si="67"/>
        <v>0</v>
      </c>
      <c r="AA200" s="126">
        <f t="shared" ca="1" si="67"/>
        <v>0</v>
      </c>
      <c r="AB200" s="127">
        <f t="shared" ca="1" si="66"/>
        <v>0</v>
      </c>
      <c r="AC200" s="127">
        <f t="shared" ca="1" si="66"/>
        <v>0</v>
      </c>
      <c r="AD200" s="127">
        <f t="shared" ca="1" si="66"/>
        <v>0</v>
      </c>
      <c r="AE200" s="128">
        <f t="shared" ca="1" si="66"/>
        <v>0</v>
      </c>
      <c r="AF200" s="126">
        <f t="shared" ca="1" si="66"/>
        <v>0</v>
      </c>
      <c r="AG200" s="127">
        <f t="shared" ca="1" si="66"/>
        <v>0</v>
      </c>
      <c r="AH200" s="127">
        <f t="shared" ca="1" si="66"/>
        <v>0</v>
      </c>
      <c r="AI200" s="127">
        <f t="shared" ca="1" si="66"/>
        <v>0</v>
      </c>
      <c r="AJ200" s="128">
        <f t="shared" ca="1" si="66"/>
        <v>0</v>
      </c>
      <c r="AK200" s="126">
        <f t="shared" ca="1" si="66"/>
        <v>0</v>
      </c>
      <c r="AL200" s="127">
        <f t="shared" ca="1" si="66"/>
        <v>0</v>
      </c>
      <c r="AM200" s="127">
        <f t="shared" ca="1" si="66"/>
        <v>0</v>
      </c>
      <c r="AN200" s="127">
        <f t="shared" ca="1" si="66"/>
        <v>0</v>
      </c>
      <c r="AO200" s="129">
        <f t="shared" ca="1" si="56"/>
        <v>0</v>
      </c>
      <c r="AP200" s="536" t="str">
        <f t="shared" si="61"/>
        <v/>
      </c>
      <c r="AQ200" s="536" t="str">
        <f t="shared" si="62"/>
        <v>X</v>
      </c>
      <c r="AR200" s="536" t="str">
        <f t="shared" si="63"/>
        <v/>
      </c>
      <c r="AS200" s="537">
        <f>IF(OR(J200&lt;&gt;"",AP200&amp;AQ200&amp;AR200&lt;&gt;"X",WEEKDAY(I200,2)&gt;5,C200&lt;&gt;0,(FechaInicio1Tri&gt;I200),(FechaFinEEva&lt;I200)),0,_xlfn.XLOOKUP(WEEKDAY(I200,2),Fchs!$J$10:$N$10,Fchs!$J$12:$N$12))</f>
        <v>0</v>
      </c>
      <c r="AT200" s="536">
        <f t="shared" ca="1" si="64"/>
        <v>0</v>
      </c>
      <c r="AU200" s="538">
        <f>IF(AS200&lt;&gt;0,MAXA($AU$14:AU199)+AS200,0)</f>
        <v>0</v>
      </c>
      <c r="AV200" s="538">
        <f ca="1">IF(AT200&lt;&gt;0,MAXA($AU$14:AU199)+AT200,0)</f>
        <v>0</v>
      </c>
      <c r="AW200" s="69"/>
    </row>
    <row r="201" spans="1:49" ht="18.75" customHeight="1" x14ac:dyDescent="0.25">
      <c r="A201" s="69"/>
      <c r="B201" s="56" t="str">
        <f>MID(Info!$AZ$3,(WEEKDAY(I201,2)-1)*3+1,3)</f>
        <v>Mié</v>
      </c>
      <c r="C201" s="523" t="str">
        <f>_xlfn.XLOOKUP(I201,Fchs!$F$108:$F$149,Fchs!$G$108:$G$149,0)</f>
        <v>1ºGx Prácticas</v>
      </c>
      <c r="D201" s="523">
        <f>_xlfn.XLOOKUP(I201,Fchs!$F$108:$F$149,Fchs!$H$108:$H$149)</f>
        <v>0</v>
      </c>
      <c r="E201" s="532">
        <f>IF($AS201&lt;&gt;0,_xlfn.XLOOKUP($G201,UDs!$E$34:$E$55,UDs!$B$34:$B$55,,-1),0)</f>
        <v>0</v>
      </c>
      <c r="F201" s="532">
        <f t="shared" ca="1" si="58"/>
        <v>0</v>
      </c>
      <c r="G201" s="569">
        <f>IF(AU201&lt;&gt;0,MAX($AU$13:$AU200)+1,0)</f>
        <v>0</v>
      </c>
      <c r="H201" s="569" t="str">
        <f>IF(AS201&lt;&gt;0,COUNT($H$14:H200,1),"")</f>
        <v/>
      </c>
      <c r="I201" s="533">
        <f t="shared" si="65"/>
        <v>46071</v>
      </c>
      <c r="J201" s="534"/>
      <c r="K201" s="535"/>
      <c r="L201" s="126">
        <f t="shared" ca="1" si="67"/>
        <v>0</v>
      </c>
      <c r="M201" s="127">
        <f t="shared" ca="1" si="67"/>
        <v>0</v>
      </c>
      <c r="N201" s="127">
        <f t="shared" ca="1" si="67"/>
        <v>0</v>
      </c>
      <c r="O201" s="127">
        <f t="shared" ca="1" si="67"/>
        <v>0</v>
      </c>
      <c r="P201" s="128">
        <f t="shared" ca="1" si="67"/>
        <v>0</v>
      </c>
      <c r="Q201" s="126">
        <f t="shared" ca="1" si="67"/>
        <v>0</v>
      </c>
      <c r="R201" s="127">
        <f t="shared" ca="1" si="67"/>
        <v>0</v>
      </c>
      <c r="S201" s="127">
        <f t="shared" ca="1" si="67"/>
        <v>0</v>
      </c>
      <c r="T201" s="127">
        <f t="shared" ca="1" si="67"/>
        <v>0</v>
      </c>
      <c r="U201" s="128">
        <f t="shared" ca="1" si="67"/>
        <v>0</v>
      </c>
      <c r="V201" s="126">
        <f t="shared" ca="1" si="67"/>
        <v>0</v>
      </c>
      <c r="W201" s="127">
        <f t="shared" ca="1" si="67"/>
        <v>0</v>
      </c>
      <c r="X201" s="127">
        <f t="shared" ca="1" si="67"/>
        <v>0</v>
      </c>
      <c r="Y201" s="127">
        <f t="shared" ca="1" si="67"/>
        <v>0</v>
      </c>
      <c r="Z201" s="128">
        <f t="shared" ca="1" si="67"/>
        <v>0</v>
      </c>
      <c r="AA201" s="126">
        <f t="shared" ca="1" si="67"/>
        <v>0</v>
      </c>
      <c r="AB201" s="127">
        <f t="shared" ca="1" si="66"/>
        <v>0</v>
      </c>
      <c r="AC201" s="127">
        <f t="shared" ca="1" si="66"/>
        <v>0</v>
      </c>
      <c r="AD201" s="127">
        <f t="shared" ca="1" si="66"/>
        <v>0</v>
      </c>
      <c r="AE201" s="128">
        <f t="shared" ca="1" si="66"/>
        <v>0</v>
      </c>
      <c r="AF201" s="126">
        <f t="shared" ca="1" si="66"/>
        <v>0</v>
      </c>
      <c r="AG201" s="127">
        <f t="shared" ca="1" si="66"/>
        <v>0</v>
      </c>
      <c r="AH201" s="127">
        <f t="shared" ca="1" si="66"/>
        <v>0</v>
      </c>
      <c r="AI201" s="127">
        <f t="shared" ca="1" si="66"/>
        <v>0</v>
      </c>
      <c r="AJ201" s="128">
        <f t="shared" ca="1" si="66"/>
        <v>0</v>
      </c>
      <c r="AK201" s="126">
        <f t="shared" ca="1" si="66"/>
        <v>0</v>
      </c>
      <c r="AL201" s="127">
        <f t="shared" ca="1" si="66"/>
        <v>0</v>
      </c>
      <c r="AM201" s="127">
        <f t="shared" ca="1" si="66"/>
        <v>0</v>
      </c>
      <c r="AN201" s="127">
        <f t="shared" ca="1" si="66"/>
        <v>0</v>
      </c>
      <c r="AO201" s="129">
        <f t="shared" ca="1" si="56"/>
        <v>0</v>
      </c>
      <c r="AP201" s="536" t="str">
        <f t="shared" si="61"/>
        <v/>
      </c>
      <c r="AQ201" s="536" t="str">
        <f t="shared" si="62"/>
        <v>X</v>
      </c>
      <c r="AR201" s="536" t="str">
        <f t="shared" si="63"/>
        <v/>
      </c>
      <c r="AS201" s="537">
        <f>IF(OR(J201&lt;&gt;"",AP201&amp;AQ201&amp;AR201&lt;&gt;"X",WEEKDAY(I201,2)&gt;5,C201&lt;&gt;0,(FechaInicio1Tri&gt;I201),(FechaFinEEva&lt;I201)),0,_xlfn.XLOOKUP(WEEKDAY(I201,2),Fchs!$J$10:$N$10,Fchs!$J$12:$N$12))</f>
        <v>0</v>
      </c>
      <c r="AT201" s="536">
        <f t="shared" ca="1" si="64"/>
        <v>0</v>
      </c>
      <c r="AU201" s="538">
        <f>IF(AS201&lt;&gt;0,MAXA($AU$14:AU200)+AS201,0)</f>
        <v>0</v>
      </c>
      <c r="AV201" s="538">
        <f ca="1">IF(AT201&lt;&gt;0,MAXA($AU$14:AU200)+AT201,0)</f>
        <v>0</v>
      </c>
      <c r="AW201" s="69"/>
    </row>
    <row r="202" spans="1:49" ht="18.75" customHeight="1" x14ac:dyDescent="0.25">
      <c r="A202" s="69"/>
      <c r="B202" s="56" t="str">
        <f>MID(Info!$AZ$3,(WEEKDAY(I202,2)-1)*3+1,3)</f>
        <v>Jue</v>
      </c>
      <c r="C202" s="523" t="str">
        <f>_xlfn.XLOOKUP(I202,Fchs!$F$108:$F$149,Fchs!$G$108:$G$149,0)</f>
        <v>1ºGx Prácticas</v>
      </c>
      <c r="D202" s="523">
        <f>_xlfn.XLOOKUP(I202,Fchs!$F$108:$F$149,Fchs!$H$108:$H$149)</f>
        <v>0</v>
      </c>
      <c r="E202" s="532">
        <f>IF($AS202&lt;&gt;0,_xlfn.XLOOKUP($G202,UDs!$E$34:$E$55,UDs!$B$34:$B$55,,-1),0)</f>
        <v>0</v>
      </c>
      <c r="F202" s="532">
        <f t="shared" ca="1" si="58"/>
        <v>0</v>
      </c>
      <c r="G202" s="569">
        <f>IF(AU202&lt;&gt;0,MAX($AU$13:$AU201)+1,0)</f>
        <v>0</v>
      </c>
      <c r="H202" s="569" t="str">
        <f>IF(AS202&lt;&gt;0,COUNT($H$14:H201,1),"")</f>
        <v/>
      </c>
      <c r="I202" s="533">
        <f t="shared" si="65"/>
        <v>46072</v>
      </c>
      <c r="J202" s="534"/>
      <c r="K202" s="535"/>
      <c r="L202" s="126">
        <f t="shared" ca="1" si="67"/>
        <v>0</v>
      </c>
      <c r="M202" s="127">
        <f t="shared" ca="1" si="67"/>
        <v>0</v>
      </c>
      <c r="N202" s="127">
        <f t="shared" ca="1" si="67"/>
        <v>0</v>
      </c>
      <c r="O202" s="127">
        <f t="shared" ca="1" si="67"/>
        <v>0</v>
      </c>
      <c r="P202" s="128">
        <f t="shared" ca="1" si="67"/>
        <v>0</v>
      </c>
      <c r="Q202" s="126">
        <f t="shared" ca="1" si="67"/>
        <v>0</v>
      </c>
      <c r="R202" s="127">
        <f t="shared" ca="1" si="67"/>
        <v>0</v>
      </c>
      <c r="S202" s="127">
        <f t="shared" ca="1" si="67"/>
        <v>0</v>
      </c>
      <c r="T202" s="127">
        <f t="shared" ca="1" si="67"/>
        <v>0</v>
      </c>
      <c r="U202" s="128">
        <f t="shared" ca="1" si="67"/>
        <v>0</v>
      </c>
      <c r="V202" s="126">
        <f t="shared" ca="1" si="67"/>
        <v>0</v>
      </c>
      <c r="W202" s="127">
        <f t="shared" ca="1" si="67"/>
        <v>0</v>
      </c>
      <c r="X202" s="127">
        <f t="shared" ca="1" si="67"/>
        <v>0</v>
      </c>
      <c r="Y202" s="127">
        <f t="shared" ca="1" si="67"/>
        <v>0</v>
      </c>
      <c r="Z202" s="128">
        <f t="shared" ca="1" si="67"/>
        <v>0</v>
      </c>
      <c r="AA202" s="126">
        <f t="shared" ca="1" si="67"/>
        <v>0</v>
      </c>
      <c r="AB202" s="127">
        <f t="shared" ca="1" si="66"/>
        <v>0</v>
      </c>
      <c r="AC202" s="127">
        <f t="shared" ca="1" si="66"/>
        <v>0</v>
      </c>
      <c r="AD202" s="127">
        <f t="shared" ca="1" si="66"/>
        <v>0</v>
      </c>
      <c r="AE202" s="128">
        <f t="shared" ca="1" si="66"/>
        <v>0</v>
      </c>
      <c r="AF202" s="126">
        <f t="shared" ca="1" si="66"/>
        <v>0</v>
      </c>
      <c r="AG202" s="127">
        <f t="shared" ca="1" si="66"/>
        <v>0</v>
      </c>
      <c r="AH202" s="127">
        <f t="shared" ca="1" si="66"/>
        <v>0</v>
      </c>
      <c r="AI202" s="127">
        <f t="shared" ca="1" si="66"/>
        <v>0</v>
      </c>
      <c r="AJ202" s="128">
        <f t="shared" ca="1" si="66"/>
        <v>0</v>
      </c>
      <c r="AK202" s="126">
        <f t="shared" ca="1" si="66"/>
        <v>0</v>
      </c>
      <c r="AL202" s="127">
        <f t="shared" ca="1" si="66"/>
        <v>0</v>
      </c>
      <c r="AM202" s="127">
        <f t="shared" ca="1" si="66"/>
        <v>0</v>
      </c>
      <c r="AN202" s="127">
        <f t="shared" ca="1" si="66"/>
        <v>0</v>
      </c>
      <c r="AO202" s="129">
        <f t="shared" ca="1" si="56"/>
        <v>0</v>
      </c>
      <c r="AP202" s="536" t="str">
        <f t="shared" si="61"/>
        <v/>
      </c>
      <c r="AQ202" s="536" t="str">
        <f t="shared" si="62"/>
        <v>X</v>
      </c>
      <c r="AR202" s="536" t="str">
        <f t="shared" si="63"/>
        <v/>
      </c>
      <c r="AS202" s="537">
        <f>IF(OR(J202&lt;&gt;"",AP202&amp;AQ202&amp;AR202&lt;&gt;"X",WEEKDAY(I202,2)&gt;5,C202&lt;&gt;0,(FechaInicio1Tri&gt;I202),(FechaFinEEva&lt;I202)),0,_xlfn.XLOOKUP(WEEKDAY(I202,2),Fchs!$J$10:$N$10,Fchs!$J$12:$N$12))</f>
        <v>0</v>
      </c>
      <c r="AT202" s="536">
        <f t="shared" ca="1" si="64"/>
        <v>0</v>
      </c>
      <c r="AU202" s="538">
        <f>IF(AS202&lt;&gt;0,MAXA($AU$14:AU201)+AS202,0)</f>
        <v>0</v>
      </c>
      <c r="AV202" s="538">
        <f ca="1">IF(AT202&lt;&gt;0,MAXA($AU$14:AU201)+AT202,0)</f>
        <v>0</v>
      </c>
      <c r="AW202" s="69"/>
    </row>
    <row r="203" spans="1:49" ht="18.75" customHeight="1" x14ac:dyDescent="0.25">
      <c r="A203" s="69"/>
      <c r="B203" s="56" t="str">
        <f>MID(Info!$AZ$3,(WEEKDAY(I203,2)-1)*3+1,3)</f>
        <v>Vie</v>
      </c>
      <c r="C203" s="523" t="str">
        <f>_xlfn.XLOOKUP(I203,Fchs!$F$108:$F$149,Fchs!$G$108:$G$149,0)</f>
        <v>1ºGx Prácticas</v>
      </c>
      <c r="D203" s="523">
        <f>_xlfn.XLOOKUP(I203,Fchs!$F$108:$F$149,Fchs!$H$108:$H$149)</f>
        <v>0</v>
      </c>
      <c r="E203" s="532">
        <f>IF($AS203&lt;&gt;0,_xlfn.XLOOKUP($G203,UDs!$E$34:$E$55,UDs!$B$34:$B$55,,-1),0)</f>
        <v>0</v>
      </c>
      <c r="F203" s="532">
        <f t="shared" ca="1" si="58"/>
        <v>0</v>
      </c>
      <c r="G203" s="569">
        <f>IF(AU203&lt;&gt;0,MAX($AU$13:$AU202)+1,0)</f>
        <v>0</v>
      </c>
      <c r="H203" s="569" t="str">
        <f>IF(AS203&lt;&gt;0,COUNT($H$14:H202,1),"")</f>
        <v/>
      </c>
      <c r="I203" s="533">
        <f t="shared" si="65"/>
        <v>46073</v>
      </c>
      <c r="J203" s="534"/>
      <c r="K203" s="535"/>
      <c r="L203" s="126">
        <f t="shared" ca="1" si="67"/>
        <v>0</v>
      </c>
      <c r="M203" s="127">
        <f t="shared" ca="1" si="67"/>
        <v>0</v>
      </c>
      <c r="N203" s="127">
        <f t="shared" ca="1" si="67"/>
        <v>0</v>
      </c>
      <c r="O203" s="127">
        <f t="shared" ca="1" si="67"/>
        <v>0</v>
      </c>
      <c r="P203" s="128">
        <f t="shared" ca="1" si="67"/>
        <v>0</v>
      </c>
      <c r="Q203" s="126">
        <f t="shared" ca="1" si="67"/>
        <v>0</v>
      </c>
      <c r="R203" s="127">
        <f t="shared" ca="1" si="67"/>
        <v>0</v>
      </c>
      <c r="S203" s="127">
        <f t="shared" ca="1" si="67"/>
        <v>0</v>
      </c>
      <c r="T203" s="127">
        <f t="shared" ca="1" si="67"/>
        <v>0</v>
      </c>
      <c r="U203" s="128">
        <f t="shared" ca="1" si="67"/>
        <v>0</v>
      </c>
      <c r="V203" s="126">
        <f t="shared" ca="1" si="67"/>
        <v>0</v>
      </c>
      <c r="W203" s="127">
        <f t="shared" ca="1" si="67"/>
        <v>0</v>
      </c>
      <c r="X203" s="127">
        <f t="shared" ca="1" si="67"/>
        <v>0</v>
      </c>
      <c r="Y203" s="127">
        <f t="shared" ca="1" si="67"/>
        <v>0</v>
      </c>
      <c r="Z203" s="128">
        <f t="shared" ca="1" si="67"/>
        <v>0</v>
      </c>
      <c r="AA203" s="126">
        <f t="shared" ca="1" si="67"/>
        <v>0</v>
      </c>
      <c r="AB203" s="127">
        <f t="shared" ca="1" si="66"/>
        <v>0</v>
      </c>
      <c r="AC203" s="127">
        <f t="shared" ca="1" si="66"/>
        <v>0</v>
      </c>
      <c r="AD203" s="127">
        <f t="shared" ca="1" si="66"/>
        <v>0</v>
      </c>
      <c r="AE203" s="128">
        <f t="shared" ca="1" si="66"/>
        <v>0</v>
      </c>
      <c r="AF203" s="126">
        <f t="shared" ca="1" si="66"/>
        <v>0</v>
      </c>
      <c r="AG203" s="127">
        <f t="shared" ca="1" si="66"/>
        <v>0</v>
      </c>
      <c r="AH203" s="127">
        <f t="shared" ca="1" si="66"/>
        <v>0</v>
      </c>
      <c r="AI203" s="127">
        <f t="shared" ca="1" si="66"/>
        <v>0</v>
      </c>
      <c r="AJ203" s="128">
        <f t="shared" ca="1" si="66"/>
        <v>0</v>
      </c>
      <c r="AK203" s="126">
        <f t="shared" ca="1" si="66"/>
        <v>0</v>
      </c>
      <c r="AL203" s="127">
        <f t="shared" ca="1" si="66"/>
        <v>0</v>
      </c>
      <c r="AM203" s="127">
        <f t="shared" ca="1" si="66"/>
        <v>0</v>
      </c>
      <c r="AN203" s="127">
        <f t="shared" ca="1" si="66"/>
        <v>0</v>
      </c>
      <c r="AO203" s="129">
        <f t="shared" ca="1" si="56"/>
        <v>0</v>
      </c>
      <c r="AP203" s="536" t="str">
        <f t="shared" si="61"/>
        <v/>
      </c>
      <c r="AQ203" s="536" t="str">
        <f t="shared" si="62"/>
        <v>X</v>
      </c>
      <c r="AR203" s="536" t="str">
        <f t="shared" si="63"/>
        <v/>
      </c>
      <c r="AS203" s="537">
        <f>IF(OR(J203&lt;&gt;"",AP203&amp;AQ203&amp;AR203&lt;&gt;"X",WEEKDAY(I203,2)&gt;5,C203&lt;&gt;0,(FechaInicio1Tri&gt;I203),(FechaFinEEva&lt;I203)),0,_xlfn.XLOOKUP(WEEKDAY(I203,2),Fchs!$J$10:$N$10,Fchs!$J$12:$N$12))</f>
        <v>0</v>
      </c>
      <c r="AT203" s="536">
        <f t="shared" ca="1" si="64"/>
        <v>0</v>
      </c>
      <c r="AU203" s="538">
        <f>IF(AS203&lt;&gt;0,MAXA($AU$14:AU202)+AS203,0)</f>
        <v>0</v>
      </c>
      <c r="AV203" s="538">
        <f ca="1">IF(AT203&lt;&gt;0,MAXA($AU$14:AU202)+AT203,0)</f>
        <v>0</v>
      </c>
      <c r="AW203" s="69"/>
    </row>
    <row r="204" spans="1:49" ht="18.75" customHeight="1" x14ac:dyDescent="0.25">
      <c r="A204" s="69"/>
      <c r="B204" s="56" t="str">
        <f>MID(Info!$AZ$3,(WEEKDAY(I204,2)-1)*3+1,3)</f>
        <v>Sáb</v>
      </c>
      <c r="C204" s="523">
        <f>_xlfn.XLOOKUP(I204,Fchs!$F$108:$F$149,Fchs!$G$108:$G$149,0)</f>
        <v>0</v>
      </c>
      <c r="D204" s="523">
        <f>_xlfn.XLOOKUP(I204,Fchs!$F$108:$F$149,Fchs!$H$108:$H$149)</f>
        <v>0</v>
      </c>
      <c r="E204" s="532">
        <f>IF($AS204&lt;&gt;0,_xlfn.XLOOKUP($G204,UDs!$E$34:$E$55,UDs!$B$34:$B$55,,-1),0)</f>
        <v>0</v>
      </c>
      <c r="F204" s="532">
        <f t="shared" ca="1" si="58"/>
        <v>0</v>
      </c>
      <c r="G204" s="569">
        <f>IF(AU204&lt;&gt;0,MAX($AU$13:$AU203)+1,0)</f>
        <v>0</v>
      </c>
      <c r="H204" s="569" t="str">
        <f>IF(AS204&lt;&gt;0,COUNT($H$14:H203,1),"")</f>
        <v/>
      </c>
      <c r="I204" s="533">
        <f t="shared" si="65"/>
        <v>46074</v>
      </c>
      <c r="J204" s="534"/>
      <c r="K204" s="535"/>
      <c r="L204" s="126">
        <f t="shared" ca="1" si="67"/>
        <v>0</v>
      </c>
      <c r="M204" s="127">
        <f t="shared" ca="1" si="67"/>
        <v>0</v>
      </c>
      <c r="N204" s="127">
        <f t="shared" ca="1" si="67"/>
        <v>0</v>
      </c>
      <c r="O204" s="127">
        <f t="shared" ca="1" si="67"/>
        <v>0</v>
      </c>
      <c r="P204" s="128">
        <f t="shared" ca="1" si="67"/>
        <v>0</v>
      </c>
      <c r="Q204" s="126">
        <f t="shared" ca="1" si="67"/>
        <v>0</v>
      </c>
      <c r="R204" s="127">
        <f t="shared" ca="1" si="67"/>
        <v>0</v>
      </c>
      <c r="S204" s="127">
        <f t="shared" ca="1" si="67"/>
        <v>0</v>
      </c>
      <c r="T204" s="127">
        <f t="shared" ca="1" si="67"/>
        <v>0</v>
      </c>
      <c r="U204" s="128">
        <f t="shared" ca="1" si="67"/>
        <v>0</v>
      </c>
      <c r="V204" s="126">
        <f t="shared" ca="1" si="67"/>
        <v>0</v>
      </c>
      <c r="W204" s="127">
        <f t="shared" ca="1" si="67"/>
        <v>0</v>
      </c>
      <c r="X204" s="127">
        <f t="shared" ca="1" si="67"/>
        <v>0</v>
      </c>
      <c r="Y204" s="127">
        <f t="shared" ca="1" si="67"/>
        <v>0</v>
      </c>
      <c r="Z204" s="128">
        <f t="shared" ca="1" si="67"/>
        <v>0</v>
      </c>
      <c r="AA204" s="126">
        <f t="shared" ca="1" si="67"/>
        <v>0</v>
      </c>
      <c r="AB204" s="127">
        <f t="shared" ca="1" si="66"/>
        <v>0</v>
      </c>
      <c r="AC204" s="127">
        <f t="shared" ca="1" si="66"/>
        <v>0</v>
      </c>
      <c r="AD204" s="127">
        <f t="shared" ca="1" si="66"/>
        <v>0</v>
      </c>
      <c r="AE204" s="128">
        <f t="shared" ca="1" si="66"/>
        <v>0</v>
      </c>
      <c r="AF204" s="126">
        <f t="shared" ca="1" si="66"/>
        <v>0</v>
      </c>
      <c r="AG204" s="127">
        <f t="shared" ca="1" si="66"/>
        <v>0</v>
      </c>
      <c r="AH204" s="127">
        <f t="shared" ca="1" si="66"/>
        <v>0</v>
      </c>
      <c r="AI204" s="127">
        <f t="shared" ca="1" si="66"/>
        <v>0</v>
      </c>
      <c r="AJ204" s="128">
        <f t="shared" ca="1" si="66"/>
        <v>0</v>
      </c>
      <c r="AK204" s="126">
        <f t="shared" ca="1" si="66"/>
        <v>0</v>
      </c>
      <c r="AL204" s="127">
        <f t="shared" ca="1" si="66"/>
        <v>0</v>
      </c>
      <c r="AM204" s="127">
        <f t="shared" ca="1" si="66"/>
        <v>0</v>
      </c>
      <c r="AN204" s="127">
        <f t="shared" ca="1" si="66"/>
        <v>0</v>
      </c>
      <c r="AO204" s="129">
        <f t="shared" ca="1" si="56"/>
        <v>0</v>
      </c>
      <c r="AP204" s="536" t="str">
        <f t="shared" si="61"/>
        <v/>
      </c>
      <c r="AQ204" s="536" t="str">
        <f t="shared" si="62"/>
        <v/>
      </c>
      <c r="AR204" s="536" t="str">
        <f t="shared" si="63"/>
        <v/>
      </c>
      <c r="AS204" s="537">
        <f>IF(OR(J204&lt;&gt;"",AP204&amp;AQ204&amp;AR204&lt;&gt;"X",WEEKDAY(I204,2)&gt;5,C204&lt;&gt;0,(FechaInicio1Tri&gt;I204),(FechaFinEEva&lt;I204)),0,_xlfn.XLOOKUP(WEEKDAY(I204,2),Fchs!$J$10:$N$10,Fchs!$J$12:$N$12))</f>
        <v>0</v>
      </c>
      <c r="AT204" s="536">
        <f t="shared" ca="1" si="64"/>
        <v>0</v>
      </c>
      <c r="AU204" s="538">
        <f>IF(AS204&lt;&gt;0,MAXA($AU$14:AU203)+AS204,0)</f>
        <v>0</v>
      </c>
      <c r="AV204" s="538">
        <f ca="1">IF(AT204&lt;&gt;0,MAXA($AU$14:AU203)+AT204,0)</f>
        <v>0</v>
      </c>
      <c r="AW204" s="69"/>
    </row>
    <row r="205" spans="1:49" ht="18.75" customHeight="1" x14ac:dyDescent="0.25">
      <c r="A205" s="69"/>
      <c r="B205" s="56" t="str">
        <f>MID(Info!$AZ$3,(WEEKDAY(I205,2)-1)*3+1,3)</f>
        <v>Dom</v>
      </c>
      <c r="C205" s="523">
        <f>_xlfn.XLOOKUP(I205,Fchs!$F$108:$F$149,Fchs!$G$108:$G$149,0)</f>
        <v>0</v>
      </c>
      <c r="D205" s="523">
        <f>_xlfn.XLOOKUP(I205,Fchs!$F$108:$F$149,Fchs!$H$108:$H$149)</f>
        <v>0</v>
      </c>
      <c r="E205" s="532">
        <f>IF($AS205&lt;&gt;0,_xlfn.XLOOKUP($G205,UDs!$E$34:$E$55,UDs!$B$34:$B$55,,-1),0)</f>
        <v>0</v>
      </c>
      <c r="F205" s="532">
        <f t="shared" ca="1" si="58"/>
        <v>0</v>
      </c>
      <c r="G205" s="569">
        <f>IF(AU205&lt;&gt;0,MAX($AU$13:$AU204)+1,0)</f>
        <v>0</v>
      </c>
      <c r="H205" s="569" t="str">
        <f>IF(AS205&lt;&gt;0,COUNT($H$14:H204,1),"")</f>
        <v/>
      </c>
      <c r="I205" s="533">
        <f t="shared" si="65"/>
        <v>46075</v>
      </c>
      <c r="J205" s="534"/>
      <c r="K205" s="535"/>
      <c r="L205" s="126">
        <f t="shared" ca="1" si="67"/>
        <v>0</v>
      </c>
      <c r="M205" s="127">
        <f t="shared" ca="1" si="67"/>
        <v>0</v>
      </c>
      <c r="N205" s="127">
        <f t="shared" ca="1" si="67"/>
        <v>0</v>
      </c>
      <c r="O205" s="127">
        <f t="shared" ca="1" si="67"/>
        <v>0</v>
      </c>
      <c r="P205" s="128">
        <f t="shared" ca="1" si="67"/>
        <v>0</v>
      </c>
      <c r="Q205" s="126">
        <f t="shared" ca="1" si="67"/>
        <v>0</v>
      </c>
      <c r="R205" s="127">
        <f t="shared" ca="1" si="67"/>
        <v>0</v>
      </c>
      <c r="S205" s="127">
        <f t="shared" ca="1" si="67"/>
        <v>0</v>
      </c>
      <c r="T205" s="127">
        <f t="shared" ca="1" si="67"/>
        <v>0</v>
      </c>
      <c r="U205" s="128">
        <f t="shared" ca="1" si="67"/>
        <v>0</v>
      </c>
      <c r="V205" s="126">
        <f t="shared" ca="1" si="67"/>
        <v>0</v>
      </c>
      <c r="W205" s="127">
        <f t="shared" ca="1" si="67"/>
        <v>0</v>
      </c>
      <c r="X205" s="127">
        <f t="shared" ca="1" si="67"/>
        <v>0</v>
      </c>
      <c r="Y205" s="127">
        <f t="shared" ca="1" si="67"/>
        <v>0</v>
      </c>
      <c r="Z205" s="128">
        <f t="shared" ca="1" si="67"/>
        <v>0</v>
      </c>
      <c r="AA205" s="126">
        <f t="shared" ca="1" si="67"/>
        <v>0</v>
      </c>
      <c r="AB205" s="127">
        <f t="shared" ca="1" si="66"/>
        <v>0</v>
      </c>
      <c r="AC205" s="127">
        <f t="shared" ca="1" si="66"/>
        <v>0</v>
      </c>
      <c r="AD205" s="127">
        <f t="shared" ca="1" si="66"/>
        <v>0</v>
      </c>
      <c r="AE205" s="128">
        <f t="shared" ca="1" si="66"/>
        <v>0</v>
      </c>
      <c r="AF205" s="126">
        <f t="shared" ca="1" si="66"/>
        <v>0</v>
      </c>
      <c r="AG205" s="127">
        <f t="shared" ca="1" si="66"/>
        <v>0</v>
      </c>
      <c r="AH205" s="127">
        <f t="shared" ca="1" si="66"/>
        <v>0</v>
      </c>
      <c r="AI205" s="127">
        <f t="shared" ca="1" si="66"/>
        <v>0</v>
      </c>
      <c r="AJ205" s="128">
        <f t="shared" ca="1" si="66"/>
        <v>0</v>
      </c>
      <c r="AK205" s="126">
        <f t="shared" ca="1" si="66"/>
        <v>0</v>
      </c>
      <c r="AL205" s="127">
        <f t="shared" ca="1" si="66"/>
        <v>0</v>
      </c>
      <c r="AM205" s="127">
        <f t="shared" ca="1" si="66"/>
        <v>0</v>
      </c>
      <c r="AN205" s="127">
        <f t="shared" ca="1" si="66"/>
        <v>0</v>
      </c>
      <c r="AO205" s="129">
        <f t="shared" ca="1" si="56"/>
        <v>0</v>
      </c>
      <c r="AP205" s="536" t="str">
        <f t="shared" si="61"/>
        <v/>
      </c>
      <c r="AQ205" s="536" t="str">
        <f t="shared" si="62"/>
        <v/>
      </c>
      <c r="AR205" s="536" t="str">
        <f t="shared" si="63"/>
        <v/>
      </c>
      <c r="AS205" s="537">
        <f>IF(OR(J205&lt;&gt;"",AP205&amp;AQ205&amp;AR205&lt;&gt;"X",WEEKDAY(I205,2)&gt;5,C205&lt;&gt;0,(FechaInicio1Tri&gt;I205),(FechaFinEEva&lt;I205)),0,_xlfn.XLOOKUP(WEEKDAY(I205,2),Fchs!$J$10:$N$10,Fchs!$J$12:$N$12))</f>
        <v>0</v>
      </c>
      <c r="AT205" s="536">
        <f t="shared" ca="1" si="64"/>
        <v>0</v>
      </c>
      <c r="AU205" s="538">
        <f>IF(AS205&lt;&gt;0,MAXA($AU$14:AU204)+AS205,0)</f>
        <v>0</v>
      </c>
      <c r="AV205" s="538">
        <f ca="1">IF(AT205&lt;&gt;0,MAXA($AU$14:AU204)+AT205,0)</f>
        <v>0</v>
      </c>
      <c r="AW205" s="69"/>
    </row>
    <row r="206" spans="1:49" ht="18.75" customHeight="1" x14ac:dyDescent="0.25">
      <c r="A206" s="69"/>
      <c r="B206" s="56" t="str">
        <f>MID(Info!$AZ$3,(WEEKDAY(I206,2)-1)*3+1,3)</f>
        <v>Lun</v>
      </c>
      <c r="C206" s="523" t="str">
        <f>_xlfn.XLOOKUP(I206,Fchs!$F$108:$F$149,Fchs!$G$108:$G$149,0)</f>
        <v>1ºGx Prácticas</v>
      </c>
      <c r="D206" s="523">
        <f>_xlfn.XLOOKUP(I206,Fchs!$F$108:$F$149,Fchs!$H$108:$H$149)</f>
        <v>0</v>
      </c>
      <c r="E206" s="532">
        <f>IF($AS206&lt;&gt;0,_xlfn.XLOOKUP($G206,UDs!$E$34:$E$55,UDs!$B$34:$B$55,,-1),0)</f>
        <v>0</v>
      </c>
      <c r="F206" s="532">
        <f t="shared" ca="1" si="58"/>
        <v>0</v>
      </c>
      <c r="G206" s="569">
        <f>IF(AU206&lt;&gt;0,MAX($AU$13:$AU205)+1,0)</f>
        <v>0</v>
      </c>
      <c r="H206" s="569" t="str">
        <f>IF(AS206&lt;&gt;0,COUNT($H$14:H205,1),"")</f>
        <v/>
      </c>
      <c r="I206" s="533">
        <f t="shared" si="65"/>
        <v>46076</v>
      </c>
      <c r="J206" s="534"/>
      <c r="K206" s="535"/>
      <c r="L206" s="126">
        <f t="shared" ca="1" si="67"/>
        <v>0</v>
      </c>
      <c r="M206" s="127">
        <f t="shared" ca="1" si="67"/>
        <v>0</v>
      </c>
      <c r="N206" s="127">
        <f t="shared" ca="1" si="67"/>
        <v>0</v>
      </c>
      <c r="O206" s="127">
        <f t="shared" ca="1" si="67"/>
        <v>0</v>
      </c>
      <c r="P206" s="128">
        <f t="shared" ca="1" si="67"/>
        <v>0</v>
      </c>
      <c r="Q206" s="126">
        <f t="shared" ca="1" si="67"/>
        <v>0</v>
      </c>
      <c r="R206" s="127">
        <f t="shared" ca="1" si="67"/>
        <v>0</v>
      </c>
      <c r="S206" s="127">
        <f t="shared" ca="1" si="67"/>
        <v>0</v>
      </c>
      <c r="T206" s="127">
        <f t="shared" ca="1" si="67"/>
        <v>0</v>
      </c>
      <c r="U206" s="128">
        <f t="shared" ca="1" si="67"/>
        <v>0</v>
      </c>
      <c r="V206" s="126">
        <f t="shared" ca="1" si="67"/>
        <v>0</v>
      </c>
      <c r="W206" s="127">
        <f t="shared" ca="1" si="67"/>
        <v>0</v>
      </c>
      <c r="X206" s="127">
        <f t="shared" ca="1" si="67"/>
        <v>0</v>
      </c>
      <c r="Y206" s="127">
        <f t="shared" ca="1" si="67"/>
        <v>0</v>
      </c>
      <c r="Z206" s="128">
        <f t="shared" ca="1" si="67"/>
        <v>0</v>
      </c>
      <c r="AA206" s="126">
        <f t="shared" ca="1" si="67"/>
        <v>0</v>
      </c>
      <c r="AB206" s="127">
        <f t="shared" ca="1" si="66"/>
        <v>0</v>
      </c>
      <c r="AC206" s="127">
        <f t="shared" ca="1" si="66"/>
        <v>0</v>
      </c>
      <c r="AD206" s="127">
        <f t="shared" ca="1" si="66"/>
        <v>0</v>
      </c>
      <c r="AE206" s="128">
        <f t="shared" ca="1" si="66"/>
        <v>0</v>
      </c>
      <c r="AF206" s="126">
        <f t="shared" ca="1" si="66"/>
        <v>0</v>
      </c>
      <c r="AG206" s="127">
        <f t="shared" ca="1" si="66"/>
        <v>0</v>
      </c>
      <c r="AH206" s="127">
        <f t="shared" ca="1" si="66"/>
        <v>0</v>
      </c>
      <c r="AI206" s="127">
        <f t="shared" ca="1" si="66"/>
        <v>0</v>
      </c>
      <c r="AJ206" s="128">
        <f t="shared" ca="1" si="66"/>
        <v>0</v>
      </c>
      <c r="AK206" s="126">
        <f t="shared" ca="1" si="66"/>
        <v>0</v>
      </c>
      <c r="AL206" s="127">
        <f t="shared" ca="1" si="66"/>
        <v>0</v>
      </c>
      <c r="AM206" s="127">
        <f t="shared" ca="1" si="66"/>
        <v>0</v>
      </c>
      <c r="AN206" s="127">
        <f t="shared" ca="1" si="66"/>
        <v>0</v>
      </c>
      <c r="AO206" s="129">
        <f t="shared" ca="1" si="56"/>
        <v>0</v>
      </c>
      <c r="AP206" s="536" t="str">
        <f t="shared" si="61"/>
        <v/>
      </c>
      <c r="AQ206" s="536" t="str">
        <f t="shared" si="62"/>
        <v>X</v>
      </c>
      <c r="AR206" s="536" t="str">
        <f t="shared" si="63"/>
        <v/>
      </c>
      <c r="AS206" s="537">
        <f>IF(OR(J206&lt;&gt;"",AP206&amp;AQ206&amp;AR206&lt;&gt;"X",WEEKDAY(I206,2)&gt;5,C206&lt;&gt;0,(FechaInicio1Tri&gt;I206),(FechaFinEEva&lt;I206)),0,_xlfn.XLOOKUP(WEEKDAY(I206,2),Fchs!$J$10:$N$10,Fchs!$J$12:$N$12))</f>
        <v>0</v>
      </c>
      <c r="AT206" s="536">
        <f t="shared" ca="1" si="64"/>
        <v>0</v>
      </c>
      <c r="AU206" s="538">
        <f>IF(AS206&lt;&gt;0,MAXA($AU$14:AU205)+AS206,0)</f>
        <v>0</v>
      </c>
      <c r="AV206" s="538">
        <f ca="1">IF(AT206&lt;&gt;0,MAXA($AU$14:AU205)+AT206,0)</f>
        <v>0</v>
      </c>
      <c r="AW206" s="69"/>
    </row>
    <row r="207" spans="1:49" ht="18.75" customHeight="1" x14ac:dyDescent="0.25">
      <c r="A207" s="69"/>
      <c r="B207" s="56" t="str">
        <f>MID(Info!$AZ$3,(WEEKDAY(I207,2)-1)*3+1,3)</f>
        <v>Mar</v>
      </c>
      <c r="C207" s="523" t="str">
        <f>_xlfn.XLOOKUP(I207,Fchs!$F$108:$F$149,Fchs!$G$108:$G$149,0)</f>
        <v>1ºGx Prácticas</v>
      </c>
      <c r="D207" s="523">
        <f>_xlfn.XLOOKUP(I207,Fchs!$F$108:$F$149,Fchs!$H$108:$H$149)</f>
        <v>0</v>
      </c>
      <c r="E207" s="532">
        <f>IF($AS207&lt;&gt;0,_xlfn.XLOOKUP($G207,UDs!$E$34:$E$55,UDs!$B$34:$B$55,,-1),0)</f>
        <v>0</v>
      </c>
      <c r="F207" s="532">
        <f t="shared" ca="1" si="58"/>
        <v>0</v>
      </c>
      <c r="G207" s="569">
        <f>IF(AU207&lt;&gt;0,MAX($AU$13:$AU206)+1,0)</f>
        <v>0</v>
      </c>
      <c r="H207" s="569" t="str">
        <f>IF(AS207&lt;&gt;0,COUNT($H$14:H206,1),"")</f>
        <v/>
      </c>
      <c r="I207" s="533">
        <f t="shared" si="65"/>
        <v>46077</v>
      </c>
      <c r="J207" s="534"/>
      <c r="K207" s="535"/>
      <c r="L207" s="126">
        <f t="shared" ca="1" si="67"/>
        <v>0</v>
      </c>
      <c r="M207" s="127">
        <f t="shared" ca="1" si="67"/>
        <v>0</v>
      </c>
      <c r="N207" s="127">
        <f t="shared" ca="1" si="67"/>
        <v>0</v>
      </c>
      <c r="O207" s="127">
        <f t="shared" ca="1" si="67"/>
        <v>0</v>
      </c>
      <c r="P207" s="128">
        <f t="shared" ca="1" si="67"/>
        <v>0</v>
      </c>
      <c r="Q207" s="126">
        <f t="shared" ca="1" si="67"/>
        <v>0</v>
      </c>
      <c r="R207" s="127">
        <f t="shared" ca="1" si="67"/>
        <v>0</v>
      </c>
      <c r="S207" s="127">
        <f t="shared" ca="1" si="67"/>
        <v>0</v>
      </c>
      <c r="T207" s="127">
        <f t="shared" ca="1" si="67"/>
        <v>0</v>
      </c>
      <c r="U207" s="128">
        <f t="shared" ca="1" si="67"/>
        <v>0</v>
      </c>
      <c r="V207" s="126">
        <f t="shared" ca="1" si="67"/>
        <v>0</v>
      </c>
      <c r="W207" s="127">
        <f t="shared" ca="1" si="67"/>
        <v>0</v>
      </c>
      <c r="X207" s="127">
        <f t="shared" ca="1" si="67"/>
        <v>0</v>
      </c>
      <c r="Y207" s="127">
        <f t="shared" ca="1" si="67"/>
        <v>0</v>
      </c>
      <c r="Z207" s="128">
        <f t="shared" ca="1" si="67"/>
        <v>0</v>
      </c>
      <c r="AA207" s="126">
        <f t="shared" ca="1" si="67"/>
        <v>0</v>
      </c>
      <c r="AB207" s="127">
        <f t="shared" ca="1" si="66"/>
        <v>0</v>
      </c>
      <c r="AC207" s="127">
        <f t="shared" ca="1" si="66"/>
        <v>0</v>
      </c>
      <c r="AD207" s="127">
        <f t="shared" ca="1" si="66"/>
        <v>0</v>
      </c>
      <c r="AE207" s="128">
        <f t="shared" ca="1" si="66"/>
        <v>0</v>
      </c>
      <c r="AF207" s="126">
        <f t="shared" ca="1" si="66"/>
        <v>0</v>
      </c>
      <c r="AG207" s="127">
        <f t="shared" ca="1" si="66"/>
        <v>0</v>
      </c>
      <c r="AH207" s="127">
        <f t="shared" ca="1" si="66"/>
        <v>0</v>
      </c>
      <c r="AI207" s="127">
        <f t="shared" ca="1" si="66"/>
        <v>0</v>
      </c>
      <c r="AJ207" s="128">
        <f t="shared" ca="1" si="66"/>
        <v>0</v>
      </c>
      <c r="AK207" s="126">
        <f t="shared" ca="1" si="66"/>
        <v>0</v>
      </c>
      <c r="AL207" s="127">
        <f t="shared" ca="1" si="66"/>
        <v>0</v>
      </c>
      <c r="AM207" s="127">
        <f t="shared" ca="1" si="66"/>
        <v>0</v>
      </c>
      <c r="AN207" s="127">
        <f t="shared" ca="1" si="66"/>
        <v>0</v>
      </c>
      <c r="AO207" s="129">
        <f t="shared" ca="1" si="56"/>
        <v>0</v>
      </c>
      <c r="AP207" s="536" t="str">
        <f t="shared" si="61"/>
        <v/>
      </c>
      <c r="AQ207" s="536" t="str">
        <f t="shared" si="62"/>
        <v>X</v>
      </c>
      <c r="AR207" s="536" t="str">
        <f t="shared" si="63"/>
        <v/>
      </c>
      <c r="AS207" s="537">
        <f>IF(OR(J207&lt;&gt;"",AP207&amp;AQ207&amp;AR207&lt;&gt;"X",WEEKDAY(I207,2)&gt;5,C207&lt;&gt;0,(FechaInicio1Tri&gt;I207),(FechaFinEEva&lt;I207)),0,_xlfn.XLOOKUP(WEEKDAY(I207,2),Fchs!$J$10:$N$10,Fchs!$J$12:$N$12))</f>
        <v>0</v>
      </c>
      <c r="AT207" s="536">
        <f t="shared" ca="1" si="64"/>
        <v>0</v>
      </c>
      <c r="AU207" s="538">
        <f>IF(AS207&lt;&gt;0,MAXA($AU$14:AU206)+AS207,0)</f>
        <v>0</v>
      </c>
      <c r="AV207" s="538">
        <f ca="1">IF(AT207&lt;&gt;0,MAXA($AU$14:AU206)+AT207,0)</f>
        <v>0</v>
      </c>
      <c r="AW207" s="69"/>
    </row>
    <row r="208" spans="1:49" ht="18.75" customHeight="1" x14ac:dyDescent="0.25">
      <c r="A208" s="69"/>
      <c r="B208" s="56" t="str">
        <f>MID(Info!$AZ$3,(WEEKDAY(I208,2)-1)*3+1,3)</f>
        <v>Mié</v>
      </c>
      <c r="C208" s="523" t="str">
        <f>_xlfn.XLOOKUP(I208,Fchs!$F$108:$F$149,Fchs!$G$108:$G$149,0)</f>
        <v>1ºGx Prácticas</v>
      </c>
      <c r="D208" s="523" t="str">
        <f>_xlfn.XLOOKUP(I208,Fchs!$F$108:$F$149,Fchs!$H$108:$H$149)</f>
        <v>2ºGx-Junta 2ªEv.</v>
      </c>
      <c r="E208" s="532">
        <f>IF($AS208&lt;&gt;0,_xlfn.XLOOKUP($G208,UDs!$E$34:$E$55,UDs!$B$34:$B$55,,-1),0)</f>
        <v>0</v>
      </c>
      <c r="F208" s="532">
        <f t="shared" ca="1" si="58"/>
        <v>0</v>
      </c>
      <c r="G208" s="569">
        <f>IF(AU208&lt;&gt;0,MAX($AU$13:$AU207)+1,0)</f>
        <v>0</v>
      </c>
      <c r="H208" s="569" t="str">
        <f>IF(AS208&lt;&gt;0,COUNT($H$14:H207,1),"")</f>
        <v/>
      </c>
      <c r="I208" s="533">
        <f t="shared" si="65"/>
        <v>46078</v>
      </c>
      <c r="J208" s="534"/>
      <c r="K208" s="535"/>
      <c r="L208" s="126">
        <f t="shared" ca="1" si="67"/>
        <v>0</v>
      </c>
      <c r="M208" s="127">
        <f t="shared" ca="1" si="67"/>
        <v>0</v>
      </c>
      <c r="N208" s="127">
        <f t="shared" ca="1" si="67"/>
        <v>0</v>
      </c>
      <c r="O208" s="127">
        <f t="shared" ca="1" si="67"/>
        <v>0</v>
      </c>
      <c r="P208" s="128">
        <f t="shared" ca="1" si="67"/>
        <v>0</v>
      </c>
      <c r="Q208" s="126">
        <f t="shared" ca="1" si="67"/>
        <v>0</v>
      </c>
      <c r="R208" s="127">
        <f t="shared" ca="1" si="67"/>
        <v>0</v>
      </c>
      <c r="S208" s="127">
        <f t="shared" ca="1" si="67"/>
        <v>0</v>
      </c>
      <c r="T208" s="127">
        <f t="shared" ca="1" si="67"/>
        <v>0</v>
      </c>
      <c r="U208" s="128">
        <f t="shared" ca="1" si="67"/>
        <v>0</v>
      </c>
      <c r="V208" s="126">
        <f t="shared" ca="1" si="67"/>
        <v>0</v>
      </c>
      <c r="W208" s="127">
        <f t="shared" ca="1" si="67"/>
        <v>0</v>
      </c>
      <c r="X208" s="127">
        <f t="shared" ca="1" si="67"/>
        <v>0</v>
      </c>
      <c r="Y208" s="127">
        <f t="shared" ca="1" si="67"/>
        <v>0</v>
      </c>
      <c r="Z208" s="128">
        <f t="shared" ca="1" si="67"/>
        <v>0</v>
      </c>
      <c r="AA208" s="126">
        <f t="shared" ca="1" si="67"/>
        <v>0</v>
      </c>
      <c r="AB208" s="127">
        <f t="shared" ca="1" si="66"/>
        <v>0</v>
      </c>
      <c r="AC208" s="127">
        <f t="shared" ca="1" si="66"/>
        <v>0</v>
      </c>
      <c r="AD208" s="127">
        <f t="shared" ca="1" si="66"/>
        <v>0</v>
      </c>
      <c r="AE208" s="128">
        <f t="shared" ca="1" si="66"/>
        <v>0</v>
      </c>
      <c r="AF208" s="126">
        <f t="shared" ca="1" si="66"/>
        <v>0</v>
      </c>
      <c r="AG208" s="127">
        <f t="shared" ca="1" si="66"/>
        <v>0</v>
      </c>
      <c r="AH208" s="127">
        <f t="shared" ca="1" si="66"/>
        <v>0</v>
      </c>
      <c r="AI208" s="127">
        <f t="shared" ca="1" si="66"/>
        <v>0</v>
      </c>
      <c r="AJ208" s="128">
        <f t="shared" ca="1" si="66"/>
        <v>0</v>
      </c>
      <c r="AK208" s="126">
        <f t="shared" ca="1" si="66"/>
        <v>0</v>
      </c>
      <c r="AL208" s="127">
        <f t="shared" ca="1" si="66"/>
        <v>0</v>
      </c>
      <c r="AM208" s="127">
        <f t="shared" ca="1" si="66"/>
        <v>0</v>
      </c>
      <c r="AN208" s="127">
        <f t="shared" ca="1" si="66"/>
        <v>0</v>
      </c>
      <c r="AO208" s="129">
        <f t="shared" ca="1" si="56"/>
        <v>0</v>
      </c>
      <c r="AP208" s="536" t="str">
        <f t="shared" si="61"/>
        <v/>
      </c>
      <c r="AQ208" s="536" t="str">
        <f t="shared" si="62"/>
        <v>X</v>
      </c>
      <c r="AR208" s="536" t="str">
        <f t="shared" si="63"/>
        <v/>
      </c>
      <c r="AS208" s="537">
        <f>IF(OR(J208&lt;&gt;"",AP208&amp;AQ208&amp;AR208&lt;&gt;"X",WEEKDAY(I208,2)&gt;5,C208&lt;&gt;0,(FechaInicio1Tri&gt;I208),(FechaFinEEva&lt;I208)),0,_xlfn.XLOOKUP(WEEKDAY(I208,2),Fchs!$J$10:$N$10,Fchs!$J$12:$N$12))</f>
        <v>0</v>
      </c>
      <c r="AT208" s="536">
        <f t="shared" ca="1" si="64"/>
        <v>0</v>
      </c>
      <c r="AU208" s="538">
        <f>IF(AS208&lt;&gt;0,MAXA($AU$14:AU207)+AS208,0)</f>
        <v>0</v>
      </c>
      <c r="AV208" s="538">
        <f ca="1">IF(AT208&lt;&gt;0,MAXA($AU$14:AU207)+AT208,0)</f>
        <v>0</v>
      </c>
      <c r="AW208" s="69"/>
    </row>
    <row r="209" spans="1:49" ht="18.75" customHeight="1" x14ac:dyDescent="0.25">
      <c r="A209" s="69"/>
      <c r="B209" s="56" t="str">
        <f>MID(Info!$AZ$3,(WEEKDAY(I209,2)-1)*3+1,3)</f>
        <v>Jue</v>
      </c>
      <c r="C209" s="523" t="str">
        <f>_xlfn.XLOOKUP(I209,Fchs!$F$108:$F$149,Fchs!$G$108:$G$149,0)</f>
        <v>1ºGx Prácticas</v>
      </c>
      <c r="D209" s="523">
        <f>_xlfn.XLOOKUP(I209,Fchs!$F$108:$F$149,Fchs!$H$108:$H$149)</f>
        <v>0</v>
      </c>
      <c r="E209" s="532">
        <f>IF($AS209&lt;&gt;0,_xlfn.XLOOKUP($G209,UDs!$E$34:$E$55,UDs!$B$34:$B$55,,-1),0)</f>
        <v>0</v>
      </c>
      <c r="F209" s="532">
        <f t="shared" ca="1" si="58"/>
        <v>0</v>
      </c>
      <c r="G209" s="569">
        <f>IF(AU209&lt;&gt;0,MAX($AU$13:$AU208)+1,0)</f>
        <v>0</v>
      </c>
      <c r="H209" s="569" t="str">
        <f>IF(AS209&lt;&gt;0,COUNT($H$14:H208,1),"")</f>
        <v/>
      </c>
      <c r="I209" s="533">
        <f t="shared" si="65"/>
        <v>46079</v>
      </c>
      <c r="J209" s="534"/>
      <c r="K209" s="535"/>
      <c r="L209" s="126">
        <f t="shared" ca="1" si="67"/>
        <v>0</v>
      </c>
      <c r="M209" s="127">
        <f t="shared" ca="1" si="67"/>
        <v>0</v>
      </c>
      <c r="N209" s="127">
        <f t="shared" ca="1" si="67"/>
        <v>0</v>
      </c>
      <c r="O209" s="127">
        <f t="shared" ca="1" si="67"/>
        <v>0</v>
      </c>
      <c r="P209" s="128">
        <f t="shared" ca="1" si="67"/>
        <v>0</v>
      </c>
      <c r="Q209" s="126">
        <f t="shared" ca="1" si="67"/>
        <v>0</v>
      </c>
      <c r="R209" s="127">
        <f t="shared" ca="1" si="67"/>
        <v>0</v>
      </c>
      <c r="S209" s="127">
        <f t="shared" ca="1" si="67"/>
        <v>0</v>
      </c>
      <c r="T209" s="127">
        <f t="shared" ca="1" si="67"/>
        <v>0</v>
      </c>
      <c r="U209" s="128">
        <f t="shared" ca="1" si="67"/>
        <v>0</v>
      </c>
      <c r="V209" s="126">
        <f t="shared" ca="1" si="67"/>
        <v>0</v>
      </c>
      <c r="W209" s="127">
        <f t="shared" ca="1" si="67"/>
        <v>0</v>
      </c>
      <c r="X209" s="127">
        <f t="shared" ca="1" si="67"/>
        <v>0</v>
      </c>
      <c r="Y209" s="127">
        <f t="shared" ca="1" si="67"/>
        <v>0</v>
      </c>
      <c r="Z209" s="128">
        <f t="shared" ca="1" si="67"/>
        <v>0</v>
      </c>
      <c r="AA209" s="126">
        <f t="shared" ca="1" si="67"/>
        <v>0</v>
      </c>
      <c r="AB209" s="127">
        <f t="shared" ca="1" si="66"/>
        <v>0</v>
      </c>
      <c r="AC209" s="127">
        <f t="shared" ca="1" si="66"/>
        <v>0</v>
      </c>
      <c r="AD209" s="127">
        <f t="shared" ca="1" si="66"/>
        <v>0</v>
      </c>
      <c r="AE209" s="128">
        <f t="shared" ca="1" si="66"/>
        <v>0</v>
      </c>
      <c r="AF209" s="126">
        <f t="shared" ca="1" si="66"/>
        <v>0</v>
      </c>
      <c r="AG209" s="127">
        <f t="shared" ca="1" si="66"/>
        <v>0</v>
      </c>
      <c r="AH209" s="127">
        <f t="shared" ca="1" si="66"/>
        <v>0</v>
      </c>
      <c r="AI209" s="127">
        <f t="shared" ca="1" si="66"/>
        <v>0</v>
      </c>
      <c r="AJ209" s="128">
        <f t="shared" ca="1" si="66"/>
        <v>0</v>
      </c>
      <c r="AK209" s="126">
        <f t="shared" ca="1" si="66"/>
        <v>0</v>
      </c>
      <c r="AL209" s="127">
        <f t="shared" ca="1" si="66"/>
        <v>0</v>
      </c>
      <c r="AM209" s="127">
        <f t="shared" ca="1" si="66"/>
        <v>0</v>
      </c>
      <c r="AN209" s="127">
        <f t="shared" ca="1" si="66"/>
        <v>0</v>
      </c>
      <c r="AO209" s="129">
        <f t="shared" ca="1" si="56"/>
        <v>0</v>
      </c>
      <c r="AP209" s="536" t="str">
        <f t="shared" si="61"/>
        <v/>
      </c>
      <c r="AQ209" s="536" t="str">
        <f t="shared" si="62"/>
        <v>X</v>
      </c>
      <c r="AR209" s="536" t="str">
        <f t="shared" si="63"/>
        <v/>
      </c>
      <c r="AS209" s="537">
        <f>IF(OR(J209&lt;&gt;"",AP209&amp;AQ209&amp;AR209&lt;&gt;"X",WEEKDAY(I209,2)&gt;5,C209&lt;&gt;0,(FechaInicio1Tri&gt;I209),(FechaFinEEva&lt;I209)),0,_xlfn.XLOOKUP(WEEKDAY(I209,2),Fchs!$J$10:$N$10,Fchs!$J$12:$N$12))</f>
        <v>0</v>
      </c>
      <c r="AT209" s="536">
        <f t="shared" ca="1" si="64"/>
        <v>0</v>
      </c>
      <c r="AU209" s="538">
        <f>IF(AS209&lt;&gt;0,MAXA($AU$14:AU208)+AS209,0)</f>
        <v>0</v>
      </c>
      <c r="AV209" s="538">
        <f ca="1">IF(AT209&lt;&gt;0,MAXA($AU$14:AU208)+AT209,0)</f>
        <v>0</v>
      </c>
      <c r="AW209" s="69"/>
    </row>
    <row r="210" spans="1:49" ht="18.75" customHeight="1" x14ac:dyDescent="0.25">
      <c r="A210" s="69"/>
      <c r="B210" s="56" t="str">
        <f>MID(Info!$AZ$3,(WEEKDAY(I210,2)-1)*3+1,3)</f>
        <v>Vie</v>
      </c>
      <c r="C210" s="523" t="str">
        <f>_xlfn.XLOOKUP(I210,Fchs!$F$108:$F$149,Fchs!$G$108:$G$149,0)</f>
        <v>1ºGx Prácticas</v>
      </c>
      <c r="D210" s="523" t="str">
        <f>_xlfn.XLOOKUP(I210,Fchs!$F$108:$F$149,Fchs!$H$108:$H$149)</f>
        <v>2ºGx-Boletín 2ªEv.</v>
      </c>
      <c r="E210" s="532">
        <f>IF($AS210&lt;&gt;0,_xlfn.XLOOKUP($G210,UDs!$E$34:$E$55,UDs!$B$34:$B$55,,-1),0)</f>
        <v>0</v>
      </c>
      <c r="F210" s="532">
        <f t="shared" ca="1" si="58"/>
        <v>0</v>
      </c>
      <c r="G210" s="569">
        <f>IF(AU210&lt;&gt;0,MAX($AU$13:$AU209)+1,0)</f>
        <v>0</v>
      </c>
      <c r="H210" s="569" t="str">
        <f>IF(AS210&lt;&gt;0,COUNT($H$14:H209,1),"")</f>
        <v/>
      </c>
      <c r="I210" s="533">
        <f t="shared" si="65"/>
        <v>46080</v>
      </c>
      <c r="J210" s="534"/>
      <c r="K210" s="535"/>
      <c r="L210" s="126">
        <f t="shared" ca="1" si="67"/>
        <v>0</v>
      </c>
      <c r="M210" s="127">
        <f t="shared" ca="1" si="67"/>
        <v>0</v>
      </c>
      <c r="N210" s="127">
        <f t="shared" ca="1" si="67"/>
        <v>0</v>
      </c>
      <c r="O210" s="127">
        <f t="shared" ca="1" si="67"/>
        <v>0</v>
      </c>
      <c r="P210" s="128">
        <f t="shared" ca="1" si="67"/>
        <v>0</v>
      </c>
      <c r="Q210" s="126">
        <f t="shared" ca="1" si="67"/>
        <v>0</v>
      </c>
      <c r="R210" s="127">
        <f t="shared" ca="1" si="67"/>
        <v>0</v>
      </c>
      <c r="S210" s="127">
        <f t="shared" ca="1" si="67"/>
        <v>0</v>
      </c>
      <c r="T210" s="127">
        <f t="shared" ca="1" si="67"/>
        <v>0</v>
      </c>
      <c r="U210" s="128">
        <f t="shared" ca="1" si="67"/>
        <v>0</v>
      </c>
      <c r="V210" s="126">
        <f t="shared" ca="1" si="67"/>
        <v>0</v>
      </c>
      <c r="W210" s="127">
        <f t="shared" ca="1" si="67"/>
        <v>0</v>
      </c>
      <c r="X210" s="127">
        <f t="shared" ca="1" si="67"/>
        <v>0</v>
      </c>
      <c r="Y210" s="127">
        <f t="shared" ca="1" si="67"/>
        <v>0</v>
      </c>
      <c r="Z210" s="128">
        <f t="shared" ca="1" si="67"/>
        <v>0</v>
      </c>
      <c r="AA210" s="126">
        <f t="shared" ca="1" si="67"/>
        <v>0</v>
      </c>
      <c r="AB210" s="127">
        <f t="shared" ca="1" si="66"/>
        <v>0</v>
      </c>
      <c r="AC210" s="127">
        <f t="shared" ca="1" si="66"/>
        <v>0</v>
      </c>
      <c r="AD210" s="127">
        <f t="shared" ca="1" si="66"/>
        <v>0</v>
      </c>
      <c r="AE210" s="128">
        <f t="shared" ca="1" si="66"/>
        <v>0</v>
      </c>
      <c r="AF210" s="126">
        <f t="shared" ca="1" si="66"/>
        <v>0</v>
      </c>
      <c r="AG210" s="127">
        <f t="shared" ca="1" si="66"/>
        <v>0</v>
      </c>
      <c r="AH210" s="127">
        <f t="shared" ca="1" si="66"/>
        <v>0</v>
      </c>
      <c r="AI210" s="127">
        <f t="shared" ca="1" si="66"/>
        <v>0</v>
      </c>
      <c r="AJ210" s="128">
        <f t="shared" ca="1" si="66"/>
        <v>0</v>
      </c>
      <c r="AK210" s="126">
        <f t="shared" ca="1" si="66"/>
        <v>0</v>
      </c>
      <c r="AL210" s="127">
        <f t="shared" ca="1" si="66"/>
        <v>0</v>
      </c>
      <c r="AM210" s="127">
        <f t="shared" ca="1" si="66"/>
        <v>0</v>
      </c>
      <c r="AN210" s="127">
        <f t="shared" ca="1" si="66"/>
        <v>0</v>
      </c>
      <c r="AO210" s="129">
        <f t="shared" ca="1" si="56"/>
        <v>0</v>
      </c>
      <c r="AP210" s="536" t="str">
        <f t="shared" si="61"/>
        <v/>
      </c>
      <c r="AQ210" s="536" t="str">
        <f t="shared" si="62"/>
        <v>X</v>
      </c>
      <c r="AR210" s="536" t="str">
        <f t="shared" si="63"/>
        <v/>
      </c>
      <c r="AS210" s="537">
        <f>IF(OR(J210&lt;&gt;"",AP210&amp;AQ210&amp;AR210&lt;&gt;"X",WEEKDAY(I210,2)&gt;5,C210&lt;&gt;0,(FechaInicio1Tri&gt;I210),(FechaFinEEva&lt;I210)),0,_xlfn.XLOOKUP(WEEKDAY(I210,2),Fchs!$J$10:$N$10,Fchs!$J$12:$N$12))</f>
        <v>0</v>
      </c>
      <c r="AT210" s="536">
        <f t="shared" ca="1" si="64"/>
        <v>0</v>
      </c>
      <c r="AU210" s="538">
        <f>IF(AS210&lt;&gt;0,MAXA($AU$14:AU209)+AS210,0)</f>
        <v>0</v>
      </c>
      <c r="AV210" s="538">
        <f ca="1">IF(AT210&lt;&gt;0,MAXA($AU$14:AU209)+AT210,0)</f>
        <v>0</v>
      </c>
      <c r="AW210" s="69"/>
    </row>
    <row r="211" spans="1:49" ht="18.75" customHeight="1" x14ac:dyDescent="0.25">
      <c r="A211" s="69"/>
      <c r="B211" s="56" t="str">
        <f>MID(Info!$AZ$3,(WEEKDAY(I211,2)-1)*3+1,3)</f>
        <v>Sáb</v>
      </c>
      <c r="C211" s="523">
        <f>_xlfn.XLOOKUP(I211,Fchs!$F$108:$F$149,Fchs!$G$108:$G$149,0)</f>
        <v>0</v>
      </c>
      <c r="D211" s="523">
        <f>_xlfn.XLOOKUP(I211,Fchs!$F$108:$F$149,Fchs!$H$108:$H$149)</f>
        <v>0</v>
      </c>
      <c r="E211" s="532">
        <f>IF($AS211&lt;&gt;0,_xlfn.XLOOKUP($G211,UDs!$E$34:$E$55,UDs!$B$34:$B$55,,-1),0)</f>
        <v>0</v>
      </c>
      <c r="F211" s="532">
        <f t="shared" ca="1" si="58"/>
        <v>0</v>
      </c>
      <c r="G211" s="569">
        <f>IF(AU211&lt;&gt;0,MAX($AU$13:$AU210)+1,0)</f>
        <v>0</v>
      </c>
      <c r="H211" s="569" t="str">
        <f>IF(AS211&lt;&gt;0,COUNT($H$14:H210,1),"")</f>
        <v/>
      </c>
      <c r="I211" s="533">
        <f t="shared" si="65"/>
        <v>46081</v>
      </c>
      <c r="J211" s="534"/>
      <c r="K211" s="535"/>
      <c r="L211" s="126">
        <f t="shared" ca="1" si="67"/>
        <v>0</v>
      </c>
      <c r="M211" s="127">
        <f t="shared" ca="1" si="67"/>
        <v>0</v>
      </c>
      <c r="N211" s="127">
        <f t="shared" ca="1" si="67"/>
        <v>0</v>
      </c>
      <c r="O211" s="127">
        <f t="shared" ca="1" si="67"/>
        <v>0</v>
      </c>
      <c r="P211" s="128">
        <f t="shared" ca="1" si="67"/>
        <v>0</v>
      </c>
      <c r="Q211" s="126">
        <f t="shared" ca="1" si="67"/>
        <v>0</v>
      </c>
      <c r="R211" s="127">
        <f t="shared" ca="1" si="67"/>
        <v>0</v>
      </c>
      <c r="S211" s="127">
        <f t="shared" ca="1" si="67"/>
        <v>0</v>
      </c>
      <c r="T211" s="127">
        <f t="shared" ca="1" si="67"/>
        <v>0</v>
      </c>
      <c r="U211" s="128">
        <f t="shared" ca="1" si="67"/>
        <v>0</v>
      </c>
      <c r="V211" s="126">
        <f t="shared" ca="1" si="67"/>
        <v>0</v>
      </c>
      <c r="W211" s="127">
        <f t="shared" ca="1" si="67"/>
        <v>0</v>
      </c>
      <c r="X211" s="127">
        <f t="shared" ca="1" si="67"/>
        <v>0</v>
      </c>
      <c r="Y211" s="127">
        <f t="shared" ca="1" si="67"/>
        <v>0</v>
      </c>
      <c r="Z211" s="128">
        <f t="shared" ca="1" si="67"/>
        <v>0</v>
      </c>
      <c r="AA211" s="126">
        <f t="shared" ca="1" si="67"/>
        <v>0</v>
      </c>
      <c r="AB211" s="127">
        <f t="shared" ca="1" si="66"/>
        <v>0</v>
      </c>
      <c r="AC211" s="127">
        <f t="shared" ca="1" si="66"/>
        <v>0</v>
      </c>
      <c r="AD211" s="127">
        <f t="shared" ca="1" si="66"/>
        <v>0</v>
      </c>
      <c r="AE211" s="128">
        <f t="shared" ca="1" si="66"/>
        <v>0</v>
      </c>
      <c r="AF211" s="126">
        <f t="shared" ca="1" si="66"/>
        <v>0</v>
      </c>
      <c r="AG211" s="127">
        <f t="shared" ca="1" si="66"/>
        <v>0</v>
      </c>
      <c r="AH211" s="127">
        <f t="shared" ca="1" si="66"/>
        <v>0</v>
      </c>
      <c r="AI211" s="127">
        <f t="shared" ca="1" si="66"/>
        <v>0</v>
      </c>
      <c r="AJ211" s="128">
        <f t="shared" ca="1" si="66"/>
        <v>0</v>
      </c>
      <c r="AK211" s="126">
        <f t="shared" ca="1" si="66"/>
        <v>0</v>
      </c>
      <c r="AL211" s="127">
        <f t="shared" ca="1" si="66"/>
        <v>0</v>
      </c>
      <c r="AM211" s="127">
        <f t="shared" ca="1" si="66"/>
        <v>0</v>
      </c>
      <c r="AN211" s="127">
        <f t="shared" ca="1" si="66"/>
        <v>0</v>
      </c>
      <c r="AO211" s="129">
        <f t="shared" ca="1" si="56"/>
        <v>0</v>
      </c>
      <c r="AP211" s="536" t="str">
        <f t="shared" si="61"/>
        <v/>
      </c>
      <c r="AQ211" s="536" t="str">
        <f t="shared" si="62"/>
        <v/>
      </c>
      <c r="AR211" s="536" t="str">
        <f t="shared" si="63"/>
        <v/>
      </c>
      <c r="AS211" s="537">
        <f>IF(OR(J211&lt;&gt;"",AP211&amp;AQ211&amp;AR211&lt;&gt;"X",WEEKDAY(I211,2)&gt;5,C211&lt;&gt;0,(FechaInicio1Tri&gt;I211),(FechaFinEEva&lt;I211)),0,_xlfn.XLOOKUP(WEEKDAY(I211,2),Fchs!$J$10:$N$10,Fchs!$J$12:$N$12))</f>
        <v>0</v>
      </c>
      <c r="AT211" s="536">
        <f t="shared" ca="1" si="64"/>
        <v>0</v>
      </c>
      <c r="AU211" s="538">
        <f>IF(AS211&lt;&gt;0,MAXA($AU$14:AU210)+AS211,0)</f>
        <v>0</v>
      </c>
      <c r="AV211" s="538">
        <f ca="1">IF(AT211&lt;&gt;0,MAXA($AU$14:AU210)+AT211,0)</f>
        <v>0</v>
      </c>
      <c r="AW211" s="69"/>
    </row>
    <row r="212" spans="1:49" ht="18.75" customHeight="1" x14ac:dyDescent="0.25">
      <c r="A212" s="69"/>
      <c r="B212" s="530" t="str">
        <f>MID(Info!$AZ$3,(WEEKDAY(I212,2)-1)*3+1,3)</f>
        <v>Dom</v>
      </c>
      <c r="C212" s="611">
        <f>_xlfn.XLOOKUP(I212,Fchs!$F$108:$F$149,Fchs!$G$108:$G$149,0)</f>
        <v>0</v>
      </c>
      <c r="D212" s="612"/>
      <c r="E212" s="532">
        <f>IF($AS212&lt;&gt;0,_xlfn.XLOOKUP($G212,UDs!$E$34:$E$55,UDs!$B$34:$B$55,,-1),0)</f>
        <v>0</v>
      </c>
      <c r="F212" s="539">
        <f t="shared" ca="1" si="58"/>
        <v>0</v>
      </c>
      <c r="G212" s="570">
        <f>IF(AU212&lt;&gt;0,MAX($AU$13:$AU211)+1,0)</f>
        <v>0</v>
      </c>
      <c r="H212" s="570" t="str">
        <f>IF(AS212&lt;&gt;0,COUNT($H$14:H211,1),"")</f>
        <v/>
      </c>
      <c r="I212" s="540">
        <f>I211+1</f>
        <v>46082</v>
      </c>
      <c r="J212" s="541"/>
      <c r="K212" s="542"/>
      <c r="L212" s="121">
        <f t="shared" ca="1" si="67"/>
        <v>0</v>
      </c>
      <c r="M212" s="122">
        <f t="shared" ca="1" si="67"/>
        <v>0</v>
      </c>
      <c r="N212" s="122">
        <f t="shared" ca="1" si="67"/>
        <v>0</v>
      </c>
      <c r="O212" s="122">
        <f t="shared" ca="1" si="67"/>
        <v>0</v>
      </c>
      <c r="P212" s="123">
        <f t="shared" ca="1" si="67"/>
        <v>0</v>
      </c>
      <c r="Q212" s="121">
        <f t="shared" ca="1" si="67"/>
        <v>0</v>
      </c>
      <c r="R212" s="122">
        <f t="shared" ca="1" si="67"/>
        <v>0</v>
      </c>
      <c r="S212" s="122">
        <f t="shared" ca="1" si="67"/>
        <v>0</v>
      </c>
      <c r="T212" s="122">
        <f t="shared" ca="1" si="67"/>
        <v>0</v>
      </c>
      <c r="U212" s="123">
        <f t="shared" ca="1" si="67"/>
        <v>0</v>
      </c>
      <c r="V212" s="121">
        <f t="shared" ca="1" si="67"/>
        <v>0</v>
      </c>
      <c r="W212" s="122">
        <f t="shared" ca="1" si="67"/>
        <v>0</v>
      </c>
      <c r="X212" s="122">
        <f t="shared" ca="1" si="67"/>
        <v>0</v>
      </c>
      <c r="Y212" s="122">
        <f t="shared" ca="1" si="67"/>
        <v>0</v>
      </c>
      <c r="Z212" s="123">
        <f t="shared" ca="1" si="67"/>
        <v>0</v>
      </c>
      <c r="AA212" s="121">
        <f t="shared" ca="1" si="67"/>
        <v>0</v>
      </c>
      <c r="AB212" s="122">
        <f t="shared" ca="1" si="66"/>
        <v>0</v>
      </c>
      <c r="AC212" s="122">
        <f t="shared" ca="1" si="66"/>
        <v>0</v>
      </c>
      <c r="AD212" s="122">
        <f t="shared" ca="1" si="66"/>
        <v>0</v>
      </c>
      <c r="AE212" s="123">
        <f t="shared" ca="1" si="66"/>
        <v>0</v>
      </c>
      <c r="AF212" s="121">
        <f t="shared" ca="1" si="66"/>
        <v>0</v>
      </c>
      <c r="AG212" s="122">
        <f t="shared" ca="1" si="66"/>
        <v>0</v>
      </c>
      <c r="AH212" s="122">
        <f t="shared" ca="1" si="66"/>
        <v>0</v>
      </c>
      <c r="AI212" s="122">
        <f t="shared" ca="1" si="66"/>
        <v>0</v>
      </c>
      <c r="AJ212" s="123">
        <f t="shared" ca="1" si="66"/>
        <v>0</v>
      </c>
      <c r="AK212" s="121">
        <f t="shared" ca="1" si="66"/>
        <v>0</v>
      </c>
      <c r="AL212" s="122">
        <f t="shared" ca="1" si="66"/>
        <v>0</v>
      </c>
      <c r="AM212" s="122">
        <f t="shared" ca="1" si="66"/>
        <v>0</v>
      </c>
      <c r="AN212" s="122">
        <f t="shared" ca="1" si="66"/>
        <v>0</v>
      </c>
      <c r="AO212" s="123">
        <f t="shared" ca="1" si="56"/>
        <v>0</v>
      </c>
      <c r="AP212" s="536" t="str">
        <f t="shared" si="61"/>
        <v/>
      </c>
      <c r="AQ212" s="536" t="str">
        <f>IF(AND(MONTH(I212)=2,FechaInicio2Tri&lt;=$I212, FechaFin2Tri&gt;=$I212,WEEKDAY($I212,2)&lt;=5),"X","")</f>
        <v/>
      </c>
      <c r="AR212" s="536" t="str">
        <f t="shared" si="63"/>
        <v/>
      </c>
      <c r="AS212" s="537">
        <f>IF(OR(J212&lt;&gt;"",AP212&amp;AQ212&amp;AR212&lt;&gt;"X",WEEKDAY(I212,2)&gt;5,C212&lt;&gt;0,(FechaInicio1Tri&gt;I212),(FechaFinEEva&lt;I212)),0,_xlfn.XLOOKUP(WEEKDAY(I212,2),Fchs!$J$10:$N$10,Fchs!$J$12:$N$12))</f>
        <v>0</v>
      </c>
      <c r="AT212" s="536">
        <f t="shared" ca="1" si="64"/>
        <v>0</v>
      </c>
      <c r="AU212" s="538">
        <f>IF(AS212&lt;&gt;0,MAXA($AU$14:AU211)+AS212,0)</f>
        <v>0</v>
      </c>
      <c r="AV212" s="538">
        <f ca="1">IF(AT212&lt;&gt;0,MAXA($AU$14:AU211)+AT212,0)</f>
        <v>0</v>
      </c>
      <c r="AW212" s="69"/>
    </row>
    <row r="213" spans="1:49" ht="18.75" customHeight="1" x14ac:dyDescent="0.25">
      <c r="A213" s="69"/>
      <c r="B213" s="79" t="s">
        <v>31</v>
      </c>
      <c r="C213" s="543"/>
      <c r="D213" s="543"/>
      <c r="E213" s="543"/>
      <c r="F213" s="543"/>
      <c r="G213" s="124"/>
      <c r="H213" s="124"/>
      <c r="I213" s="544"/>
      <c r="J213" s="106"/>
      <c r="K213" s="106"/>
      <c r="L213" s="543"/>
      <c r="M213" s="543"/>
      <c r="N213" s="543"/>
      <c r="O213" s="543"/>
      <c r="P213" s="543"/>
      <c r="Q213" s="543"/>
      <c r="R213" s="543"/>
      <c r="S213" s="543"/>
      <c r="T213" s="543"/>
      <c r="U213" s="543"/>
      <c r="V213" s="543"/>
      <c r="W213" s="543"/>
      <c r="X213" s="543"/>
      <c r="Y213" s="543"/>
      <c r="Z213" s="543"/>
      <c r="AA213" s="543"/>
      <c r="AB213" s="543"/>
      <c r="AC213" s="543"/>
      <c r="AD213" s="543"/>
      <c r="AE213" s="543"/>
      <c r="AF213" s="543"/>
      <c r="AG213" s="543"/>
      <c r="AH213" s="543"/>
      <c r="AI213" s="543"/>
      <c r="AJ213" s="543"/>
      <c r="AK213" s="543"/>
      <c r="AL213" s="543"/>
      <c r="AM213" s="543"/>
      <c r="AN213" s="543"/>
      <c r="AO213" s="543"/>
      <c r="AP213" s="124"/>
      <c r="AQ213" s="124"/>
      <c r="AR213" s="124"/>
      <c r="AS213" s="543"/>
      <c r="AT213" s="543"/>
      <c r="AU213" s="545"/>
      <c r="AV213" s="545"/>
      <c r="AW213" s="69"/>
    </row>
    <row r="214" spans="1:49" ht="18.75" customHeight="1" x14ac:dyDescent="0.25">
      <c r="A214" s="69"/>
      <c r="B214" s="79"/>
      <c r="C214" s="543"/>
      <c r="D214" s="543"/>
      <c r="E214" s="543"/>
      <c r="F214" s="543"/>
      <c r="G214" s="124"/>
      <c r="H214" s="124"/>
      <c r="I214" s="544"/>
      <c r="J214" s="106"/>
      <c r="K214" s="106"/>
      <c r="L214" s="543"/>
      <c r="M214" s="543"/>
      <c r="N214" s="543"/>
      <c r="O214" s="543"/>
      <c r="P214" s="543"/>
      <c r="Q214" s="543"/>
      <c r="R214" s="543"/>
      <c r="S214" s="543"/>
      <c r="T214" s="543"/>
      <c r="U214" s="543"/>
      <c r="V214" s="543"/>
      <c r="W214" s="543"/>
      <c r="X214" s="543"/>
      <c r="Y214" s="543"/>
      <c r="Z214" s="543"/>
      <c r="AA214" s="543"/>
      <c r="AB214" s="543"/>
      <c r="AC214" s="543"/>
      <c r="AD214" s="543"/>
      <c r="AE214" s="543"/>
      <c r="AF214" s="543"/>
      <c r="AG214" s="543"/>
      <c r="AH214" s="543"/>
      <c r="AI214" s="543"/>
      <c r="AJ214" s="543"/>
      <c r="AK214" s="543"/>
      <c r="AL214" s="543"/>
      <c r="AM214" s="543"/>
      <c r="AN214" s="543"/>
      <c r="AO214" s="543"/>
      <c r="AP214" s="124"/>
      <c r="AQ214" s="124"/>
      <c r="AR214" s="124"/>
      <c r="AS214" s="543"/>
      <c r="AT214" s="543"/>
      <c r="AU214" s="545"/>
      <c r="AV214" s="545"/>
      <c r="AW214" s="69"/>
    </row>
    <row r="215" spans="1:49" ht="18.75" customHeight="1" thickBot="1" x14ac:dyDescent="0.3">
      <c r="A215" s="69"/>
      <c r="B215" s="79"/>
      <c r="C215" s="543"/>
      <c r="D215" s="543"/>
      <c r="E215" s="543"/>
      <c r="F215" s="543"/>
      <c r="G215" s="124"/>
      <c r="H215" s="124"/>
      <c r="I215" s="544"/>
      <c r="J215" s="106"/>
      <c r="K215" s="106"/>
      <c r="L215" s="543"/>
      <c r="M215" s="543"/>
      <c r="N215" s="543"/>
      <c r="O215" s="543"/>
      <c r="P215" s="543"/>
      <c r="Q215" s="543"/>
      <c r="R215" s="543"/>
      <c r="S215" s="543"/>
      <c r="T215" s="543"/>
      <c r="U215" s="543"/>
      <c r="V215" s="543"/>
      <c r="W215" s="543"/>
      <c r="X215" s="543"/>
      <c r="Y215" s="543"/>
      <c r="Z215" s="543"/>
      <c r="AA215" s="543"/>
      <c r="AB215" s="543"/>
      <c r="AC215" s="543"/>
      <c r="AD215" s="543"/>
      <c r="AE215" s="543"/>
      <c r="AF215" s="543"/>
      <c r="AG215" s="543"/>
      <c r="AH215" s="543"/>
      <c r="AI215" s="543"/>
      <c r="AJ215" s="543"/>
      <c r="AK215" s="543"/>
      <c r="AL215" s="543"/>
      <c r="AM215" s="543"/>
      <c r="AN215" s="543"/>
      <c r="AO215" s="543"/>
      <c r="AP215" s="124"/>
      <c r="AQ215" s="124"/>
      <c r="AR215" s="124"/>
      <c r="AS215" s="543"/>
      <c r="AT215" s="543"/>
      <c r="AU215" s="545"/>
      <c r="AV215" s="545"/>
      <c r="AW215" s="69"/>
    </row>
    <row r="216" spans="1:49" ht="18.75" customHeight="1" x14ac:dyDescent="0.25">
      <c r="A216" s="69"/>
      <c r="B216" s="546" t="str">
        <f>MID(Info!$AZ$5,(MONTH(I218)-1)*3+1,3)&amp;" "&amp;YEAR(I218)</f>
        <v xml:space="preserve"> 2026</v>
      </c>
      <c r="C216" s="543"/>
      <c r="D216" s="543"/>
      <c r="E216" s="543"/>
      <c r="F216" s="543"/>
      <c r="G216" s="124"/>
      <c r="H216" s="124"/>
      <c r="I216" s="544"/>
      <c r="J216" s="106"/>
      <c r="K216" s="106"/>
      <c r="L216" s="543"/>
      <c r="M216" s="543"/>
      <c r="N216" s="543"/>
      <c r="O216" s="543"/>
      <c r="P216" s="543"/>
      <c r="Q216" s="543"/>
      <c r="R216" s="543"/>
      <c r="S216" s="543"/>
      <c r="T216" s="543"/>
      <c r="U216" s="543"/>
      <c r="V216" s="543"/>
      <c r="W216" s="543"/>
      <c r="X216" s="543"/>
      <c r="Y216" s="543"/>
      <c r="Z216" s="543"/>
      <c r="AA216" s="543"/>
      <c r="AB216" s="543"/>
      <c r="AC216" s="543"/>
      <c r="AD216" s="543"/>
      <c r="AE216" s="543"/>
      <c r="AF216" s="543"/>
      <c r="AG216" s="543"/>
      <c r="AH216" s="543"/>
      <c r="AI216" s="543"/>
      <c r="AJ216" s="543"/>
      <c r="AK216" s="543"/>
      <c r="AL216" s="543"/>
      <c r="AM216" s="543"/>
      <c r="AN216" s="543"/>
      <c r="AO216" s="543"/>
      <c r="AP216" s="547">
        <f>SUMIF(AP218:AP248,"X",$AS218:$AS248)</f>
        <v>0</v>
      </c>
      <c r="AQ216" s="547">
        <f>SUMIF(AQ218:AQ248,"X",$AS218:$AS248)</f>
        <v>9</v>
      </c>
      <c r="AR216" s="547">
        <f>SUMIF(AR218:AR248,"X",$AS218:$AS248)</f>
        <v>10</v>
      </c>
      <c r="AS216" s="543"/>
      <c r="AT216" s="543"/>
      <c r="AU216" s="545"/>
      <c r="AV216" s="545"/>
      <c r="AW216" s="69"/>
    </row>
    <row r="217" spans="1:49" ht="18.75" customHeight="1" thickBot="1" x14ac:dyDescent="0.3">
      <c r="A217" s="69"/>
      <c r="B217" s="527">
        <f ca="1">IFERROR(SUM(AP217:AR217)/SUM(AP216:AR216),"--")</f>
        <v>0.63157894736842102</v>
      </c>
      <c r="C217" s="549"/>
      <c r="D217" s="549"/>
      <c r="E217" s="549"/>
      <c r="F217" s="549"/>
      <c r="G217" s="125"/>
      <c r="H217" s="125"/>
      <c r="I217" s="550"/>
      <c r="J217" s="548"/>
      <c r="K217" s="548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49"/>
      <c r="AB217" s="549"/>
      <c r="AC217" s="549"/>
      <c r="AD217" s="549"/>
      <c r="AE217" s="549"/>
      <c r="AF217" s="549"/>
      <c r="AG217" s="549"/>
      <c r="AH217" s="549"/>
      <c r="AI217" s="549"/>
      <c r="AJ217" s="549"/>
      <c r="AK217" s="549"/>
      <c r="AL217" s="549"/>
      <c r="AM217" s="549"/>
      <c r="AN217" s="549"/>
      <c r="AO217" s="549"/>
      <c r="AP217" s="531">
        <f>SUMIF(AP218:AP248,"X",$AT218:$AT248)</f>
        <v>0</v>
      </c>
      <c r="AQ217" s="531">
        <f ca="1">SUMIF(AQ218:AQ248,"X",$AT218:$AT248)</f>
        <v>9</v>
      </c>
      <c r="AR217" s="531">
        <f ca="1">SUMIF(AR218:AR248,"X",$AT218:$AT248)</f>
        <v>3</v>
      </c>
      <c r="AS217" s="543"/>
      <c r="AT217" s="543"/>
      <c r="AU217" s="545"/>
      <c r="AV217" s="545"/>
      <c r="AW217" s="69"/>
    </row>
    <row r="218" spans="1:49" ht="18.75" customHeight="1" x14ac:dyDescent="0.25">
      <c r="A218" s="69"/>
      <c r="B218" s="56" t="str">
        <f>MID(Info!$AZ$3,(WEEKDAY(I218,2)-1)*3+1,3)</f>
        <v>Dom</v>
      </c>
      <c r="C218" s="523">
        <f>_xlfn.XLOOKUP(I218,Fchs!$I$108:$I$149,Fchs!$J$108:$J$149,0)</f>
        <v>0</v>
      </c>
      <c r="D218" s="523">
        <f>_xlfn.XLOOKUP(I218,Fchs!$I$108:$I$149,Fchs!$K$108:$K$149)</f>
        <v>0</v>
      </c>
      <c r="E218" s="532">
        <f>IF($AS218&lt;&gt;0,_xlfn.XLOOKUP($G218,UDs!$E$34:$E$55,UDs!$B$34:$B$55,,-1),0)</f>
        <v>0</v>
      </c>
      <c r="F218" s="552">
        <f t="shared" ref="F218:F248" ca="1" si="68">IF(AT218&lt;&gt;0,E218,0)</f>
        <v>0</v>
      </c>
      <c r="G218" s="127">
        <f>IF(AU218&lt;&gt;0,MAX($AU$13:$AU217)+1,0)</f>
        <v>0</v>
      </c>
      <c r="H218" s="127" t="str">
        <f>IF(AS218&lt;&gt;0,COUNT($H$14:H217,1),"")</f>
        <v/>
      </c>
      <c r="I218" s="533">
        <f>DATE(YEAR(FechaInicio1Tri),MONTH(FechaInicio1Tri)+6,1)</f>
        <v>46082</v>
      </c>
      <c r="J218" s="553"/>
      <c r="K218" s="535"/>
      <c r="L218" s="126">
        <f t="shared" ref="L218:AA230" ca="1" si="69">$AT218</f>
        <v>0</v>
      </c>
      <c r="M218" s="127">
        <f t="shared" ca="1" si="69"/>
        <v>0</v>
      </c>
      <c r="N218" s="127">
        <f t="shared" ca="1" si="69"/>
        <v>0</v>
      </c>
      <c r="O218" s="127">
        <f t="shared" ca="1" si="69"/>
        <v>0</v>
      </c>
      <c r="P218" s="128">
        <f t="shared" ca="1" si="69"/>
        <v>0</v>
      </c>
      <c r="Q218" s="126">
        <f t="shared" ca="1" si="69"/>
        <v>0</v>
      </c>
      <c r="R218" s="127">
        <f t="shared" ca="1" si="69"/>
        <v>0</v>
      </c>
      <c r="S218" s="127">
        <f t="shared" ca="1" si="69"/>
        <v>0</v>
      </c>
      <c r="T218" s="127">
        <f t="shared" ca="1" si="69"/>
        <v>0</v>
      </c>
      <c r="U218" s="128">
        <f t="shared" ca="1" si="69"/>
        <v>0</v>
      </c>
      <c r="V218" s="126">
        <f t="shared" ca="1" si="69"/>
        <v>0</v>
      </c>
      <c r="W218" s="127">
        <f t="shared" ca="1" si="69"/>
        <v>0</v>
      </c>
      <c r="X218" s="127">
        <f t="shared" ca="1" si="69"/>
        <v>0</v>
      </c>
      <c r="Y218" s="127">
        <f t="shared" ca="1" si="69"/>
        <v>0</v>
      </c>
      <c r="Z218" s="128">
        <f t="shared" ca="1" si="69"/>
        <v>0</v>
      </c>
      <c r="AA218" s="126">
        <f t="shared" ca="1" si="69"/>
        <v>0</v>
      </c>
      <c r="AB218" s="127">
        <f t="shared" ref="AB218:AO269" ca="1" si="70">$AT218</f>
        <v>0</v>
      </c>
      <c r="AC218" s="127">
        <f t="shared" ca="1" si="70"/>
        <v>0</v>
      </c>
      <c r="AD218" s="127">
        <f t="shared" ca="1" si="70"/>
        <v>0</v>
      </c>
      <c r="AE218" s="128">
        <f t="shared" ca="1" si="70"/>
        <v>0</v>
      </c>
      <c r="AF218" s="126">
        <f t="shared" ca="1" si="70"/>
        <v>0</v>
      </c>
      <c r="AG218" s="127">
        <f t="shared" ca="1" si="70"/>
        <v>0</v>
      </c>
      <c r="AH218" s="127">
        <f t="shared" ca="1" si="70"/>
        <v>0</v>
      </c>
      <c r="AI218" s="127">
        <f t="shared" ca="1" si="70"/>
        <v>0</v>
      </c>
      <c r="AJ218" s="128">
        <f t="shared" ca="1" si="70"/>
        <v>0</v>
      </c>
      <c r="AK218" s="126">
        <f t="shared" ca="1" si="70"/>
        <v>0</v>
      </c>
      <c r="AL218" s="127">
        <f t="shared" ca="1" si="70"/>
        <v>0</v>
      </c>
      <c r="AM218" s="127">
        <f t="shared" ca="1" si="70"/>
        <v>0</v>
      </c>
      <c r="AN218" s="127">
        <f t="shared" ca="1" si="70"/>
        <v>0</v>
      </c>
      <c r="AO218" s="129">
        <f t="shared" ca="1" si="56"/>
        <v>0</v>
      </c>
      <c r="AP218" s="536" t="str">
        <f t="shared" ref="AP218:AP248" si="71">IF(AND(FechaInicio1Tri&lt;=$I218, FechaFin1Tri&gt;=$I218,WEEKDAY($I218,2)&lt;=5),"X","")</f>
        <v/>
      </c>
      <c r="AQ218" s="536" t="str">
        <f t="shared" ref="AQ218:AQ248" si="72">IF(AND(FechaInicio2Tri&lt;=$I218, FechaFin2Tri&gt;=$I218,WEEKDAY($I218,2)&lt;=5),"X","")</f>
        <v/>
      </c>
      <c r="AR218" s="536" t="str">
        <f t="shared" ref="AR218:AR248" si="73">IF(AND(FechaInicio3Tri&lt;=$I218, FechaFin3Tri&gt;=$I218, NTri&gt;=3,WEEKDAY($I218,2)&lt;=5),"X","")</f>
        <v/>
      </c>
      <c r="AS218" s="537">
        <f>IF(OR(J218&lt;&gt;"",AP218&amp;AQ218&amp;AR218&lt;&gt;"X",WEEKDAY(I218,2)&gt;5,C218&lt;&gt;0,(FechaInicio1Tri&gt;I218),(FechaFinEEva&lt;I218)),0,_xlfn.XLOOKUP(WEEKDAY(I218,2),Fchs!$J$10:$N$10,Fchs!$J$12:$N$12))</f>
        <v>0</v>
      </c>
      <c r="AT218" s="536">
        <f t="shared" ref="AT218:AT248" ca="1" si="74">IF(OR(AS218=0,FechaHoy&lt;I218,(FechaInicio1Tri&gt;I218),(FechaFinEEva&lt;I218)),0,AS218)</f>
        <v>0</v>
      </c>
      <c r="AU218" s="538">
        <f>IF(AS218&lt;&gt;0,MAXA($AU$14:AU217)+AS218,0)</f>
        <v>0</v>
      </c>
      <c r="AV218" s="538">
        <f ca="1">IF(AT218&lt;&gt;0,MAXA($AU$14:AU217)+AT218,0)</f>
        <v>0</v>
      </c>
      <c r="AW218" s="69"/>
    </row>
    <row r="219" spans="1:49" ht="18.75" customHeight="1" x14ac:dyDescent="0.25">
      <c r="A219" s="69"/>
      <c r="B219" s="56" t="str">
        <f>MID(Info!$AZ$3,(WEEKDAY(I219,2)-1)*3+1,3)</f>
        <v>Lun</v>
      </c>
      <c r="C219" s="523">
        <f>_xlfn.XLOOKUP(I219,Fchs!$I$108:$I$149,Fchs!$J$108:$J$149,0)</f>
        <v>0</v>
      </c>
      <c r="D219" s="523" t="str">
        <f>_xlfn.XLOOKUP(I219,Fchs!$I$108:$I$149,Fchs!$K$108:$K$149)</f>
        <v>2ºGx-InicioFE</v>
      </c>
      <c r="E219" s="532" t="str">
        <f>IF($AS219&lt;&gt;0,_xlfn.XLOOKUP($G219,UDs!$E$34:$E$55,UDs!$B$34:$B$55,,-1),0)</f>
        <v/>
      </c>
      <c r="F219" s="532" t="str">
        <f t="shared" ca="1" si="68"/>
        <v/>
      </c>
      <c r="G219" s="569">
        <f>IF(AU219&lt;&gt;0,MAX($AU$13:$AU218)+1,0)</f>
        <v>84</v>
      </c>
      <c r="H219" s="569">
        <f>IF(AS219&lt;&gt;0,COUNT($H$14:H218,1),"")</f>
        <v>84</v>
      </c>
      <c r="I219" s="533">
        <f t="shared" ref="I219:I248" si="75">I218+1</f>
        <v>46083</v>
      </c>
      <c r="J219" s="534"/>
      <c r="K219" s="535"/>
      <c r="L219" s="126">
        <f t="shared" ca="1" si="69"/>
        <v>1</v>
      </c>
      <c r="M219" s="127">
        <f t="shared" ca="1" si="69"/>
        <v>1</v>
      </c>
      <c r="N219" s="127">
        <f t="shared" ca="1" si="69"/>
        <v>1</v>
      </c>
      <c r="O219" s="127">
        <f t="shared" ca="1" si="69"/>
        <v>1</v>
      </c>
      <c r="P219" s="128">
        <f t="shared" ca="1" si="69"/>
        <v>1</v>
      </c>
      <c r="Q219" s="126">
        <f t="shared" ca="1" si="69"/>
        <v>1</v>
      </c>
      <c r="R219" s="127">
        <f t="shared" ca="1" si="69"/>
        <v>1</v>
      </c>
      <c r="S219" s="127">
        <f t="shared" ca="1" si="69"/>
        <v>1</v>
      </c>
      <c r="T219" s="127">
        <f t="shared" ca="1" si="69"/>
        <v>1</v>
      </c>
      <c r="U219" s="128">
        <f t="shared" ca="1" si="69"/>
        <v>1</v>
      </c>
      <c r="V219" s="126">
        <f t="shared" ca="1" si="69"/>
        <v>1</v>
      </c>
      <c r="W219" s="127">
        <f t="shared" ca="1" si="69"/>
        <v>1</v>
      </c>
      <c r="X219" s="127">
        <f t="shared" ca="1" si="69"/>
        <v>1</v>
      </c>
      <c r="Y219" s="127">
        <f t="shared" ca="1" si="69"/>
        <v>1</v>
      </c>
      <c r="Z219" s="128">
        <f t="shared" ca="1" si="69"/>
        <v>1</v>
      </c>
      <c r="AA219" s="126">
        <f t="shared" ca="1" si="69"/>
        <v>1</v>
      </c>
      <c r="AB219" s="127">
        <f t="shared" ca="1" si="70"/>
        <v>1</v>
      </c>
      <c r="AC219" s="127">
        <f t="shared" ca="1" si="70"/>
        <v>1</v>
      </c>
      <c r="AD219" s="127">
        <f t="shared" ca="1" si="70"/>
        <v>1</v>
      </c>
      <c r="AE219" s="128">
        <f t="shared" ca="1" si="70"/>
        <v>1</v>
      </c>
      <c r="AF219" s="126">
        <f t="shared" ca="1" si="70"/>
        <v>1</v>
      </c>
      <c r="AG219" s="127">
        <f t="shared" ca="1" si="70"/>
        <v>1</v>
      </c>
      <c r="AH219" s="127">
        <f t="shared" ca="1" si="70"/>
        <v>1</v>
      </c>
      <c r="AI219" s="127">
        <f t="shared" ca="1" si="70"/>
        <v>1</v>
      </c>
      <c r="AJ219" s="128">
        <f t="shared" ca="1" si="70"/>
        <v>1</v>
      </c>
      <c r="AK219" s="126">
        <f t="shared" ca="1" si="70"/>
        <v>1</v>
      </c>
      <c r="AL219" s="127">
        <f t="shared" ca="1" si="70"/>
        <v>1</v>
      </c>
      <c r="AM219" s="127">
        <f t="shared" ca="1" si="70"/>
        <v>1</v>
      </c>
      <c r="AN219" s="127">
        <f t="shared" ca="1" si="70"/>
        <v>1</v>
      </c>
      <c r="AO219" s="129">
        <f t="shared" ca="1" si="56"/>
        <v>1</v>
      </c>
      <c r="AP219" s="536" t="str">
        <f t="shared" si="71"/>
        <v/>
      </c>
      <c r="AQ219" s="536" t="str">
        <f t="shared" si="72"/>
        <v>X</v>
      </c>
      <c r="AR219" s="536" t="str">
        <f t="shared" si="73"/>
        <v/>
      </c>
      <c r="AS219" s="537">
        <f>IF(OR(J219&lt;&gt;"",AP219&amp;AQ219&amp;AR219&lt;&gt;"X",WEEKDAY(I219,2)&gt;5,C219&lt;&gt;0,(FechaInicio1Tri&gt;I219),(FechaFinEEva&lt;I219)),0,_xlfn.XLOOKUP(WEEKDAY(I219,2),Fchs!$J$10:$N$10,Fchs!$J$12:$N$12))</f>
        <v>1</v>
      </c>
      <c r="AT219" s="536">
        <f t="shared" ca="1" si="74"/>
        <v>1</v>
      </c>
      <c r="AU219" s="538">
        <f>IF(AS219&lt;&gt;0,MAXA($AU$14:AU218)+AS219,0)</f>
        <v>84</v>
      </c>
      <c r="AV219" s="538">
        <f ca="1">IF(AT219&lt;&gt;0,MAXA($AU$14:AU218)+AT219,0)</f>
        <v>84</v>
      </c>
      <c r="AW219" s="69"/>
    </row>
    <row r="220" spans="1:49" ht="18.75" customHeight="1" x14ac:dyDescent="0.25">
      <c r="A220" s="69"/>
      <c r="B220" s="56" t="str">
        <f>MID(Info!$AZ$3,(WEEKDAY(I220,2)-1)*3+1,3)</f>
        <v>Mar</v>
      </c>
      <c r="C220" s="523">
        <f>_xlfn.XLOOKUP(I220,Fchs!$I$108:$I$149,Fchs!$J$108:$J$149,0)</f>
        <v>0</v>
      </c>
      <c r="D220" s="523" t="str">
        <f>_xlfn.XLOOKUP(I220,Fchs!$I$108:$I$149,Fchs!$K$108:$K$149)</f>
        <v>2ºGx-Reclama+1d</v>
      </c>
      <c r="E220" s="532" t="str">
        <f>IF($AS220&lt;&gt;0,_xlfn.XLOOKUP($G220,UDs!$E$34:$E$55,UDs!$B$34:$B$55,,-1),0)</f>
        <v/>
      </c>
      <c r="F220" s="532" t="str">
        <f t="shared" ca="1" si="68"/>
        <v/>
      </c>
      <c r="G220" s="569">
        <f>IF(AU220&lt;&gt;0,MAX($AU$13:$AU219)+1,0)</f>
        <v>85</v>
      </c>
      <c r="H220" s="569">
        <f>IF(AS220&lt;&gt;0,COUNT($H$14:H219,1),"")</f>
        <v>85</v>
      </c>
      <c r="I220" s="533">
        <f t="shared" si="75"/>
        <v>46084</v>
      </c>
      <c r="J220" s="534"/>
      <c r="K220" s="535"/>
      <c r="L220" s="126">
        <f t="shared" ca="1" si="69"/>
        <v>1</v>
      </c>
      <c r="M220" s="127">
        <f t="shared" ca="1" si="69"/>
        <v>1</v>
      </c>
      <c r="N220" s="127">
        <f t="shared" ca="1" si="69"/>
        <v>1</v>
      </c>
      <c r="O220" s="127">
        <f t="shared" ca="1" si="69"/>
        <v>1</v>
      </c>
      <c r="P220" s="128">
        <f t="shared" ca="1" si="69"/>
        <v>1</v>
      </c>
      <c r="Q220" s="126">
        <f t="shared" ca="1" si="69"/>
        <v>1</v>
      </c>
      <c r="R220" s="127">
        <f t="shared" ca="1" si="69"/>
        <v>1</v>
      </c>
      <c r="S220" s="127">
        <f t="shared" ca="1" si="69"/>
        <v>1</v>
      </c>
      <c r="T220" s="127">
        <f t="shared" ca="1" si="69"/>
        <v>1</v>
      </c>
      <c r="U220" s="128">
        <f t="shared" ca="1" si="69"/>
        <v>1</v>
      </c>
      <c r="V220" s="126">
        <f t="shared" ca="1" si="69"/>
        <v>1</v>
      </c>
      <c r="W220" s="127">
        <f t="shared" ca="1" si="69"/>
        <v>1</v>
      </c>
      <c r="X220" s="127">
        <f t="shared" ca="1" si="69"/>
        <v>1</v>
      </c>
      <c r="Y220" s="127">
        <f t="shared" ca="1" si="69"/>
        <v>1</v>
      </c>
      <c r="Z220" s="128">
        <f t="shared" ca="1" si="69"/>
        <v>1</v>
      </c>
      <c r="AA220" s="126">
        <f t="shared" ca="1" si="69"/>
        <v>1</v>
      </c>
      <c r="AB220" s="127">
        <f t="shared" ca="1" si="70"/>
        <v>1</v>
      </c>
      <c r="AC220" s="127">
        <f t="shared" ca="1" si="70"/>
        <v>1</v>
      </c>
      <c r="AD220" s="127">
        <f t="shared" ca="1" si="70"/>
        <v>1</v>
      </c>
      <c r="AE220" s="128">
        <f t="shared" ca="1" si="70"/>
        <v>1</v>
      </c>
      <c r="AF220" s="126">
        <f t="shared" ca="1" si="70"/>
        <v>1</v>
      </c>
      <c r="AG220" s="127">
        <f t="shared" ca="1" si="70"/>
        <v>1</v>
      </c>
      <c r="AH220" s="127">
        <f t="shared" ca="1" si="70"/>
        <v>1</v>
      </c>
      <c r="AI220" s="127">
        <f t="shared" ca="1" si="70"/>
        <v>1</v>
      </c>
      <c r="AJ220" s="128">
        <f t="shared" ca="1" si="70"/>
        <v>1</v>
      </c>
      <c r="AK220" s="126">
        <f t="shared" ca="1" si="70"/>
        <v>1</v>
      </c>
      <c r="AL220" s="127">
        <f t="shared" ca="1" si="70"/>
        <v>1</v>
      </c>
      <c r="AM220" s="127">
        <f t="shared" ca="1" si="70"/>
        <v>1</v>
      </c>
      <c r="AN220" s="127">
        <f t="shared" ca="1" si="70"/>
        <v>1</v>
      </c>
      <c r="AO220" s="129">
        <f t="shared" ca="1" si="56"/>
        <v>1</v>
      </c>
      <c r="AP220" s="536" t="str">
        <f t="shared" si="71"/>
        <v/>
      </c>
      <c r="AQ220" s="536" t="str">
        <f t="shared" si="72"/>
        <v>X</v>
      </c>
      <c r="AR220" s="536" t="str">
        <f t="shared" si="73"/>
        <v/>
      </c>
      <c r="AS220" s="537">
        <f>IF(OR(J220&lt;&gt;"",AP220&amp;AQ220&amp;AR220&lt;&gt;"X",WEEKDAY(I220,2)&gt;5,C220&lt;&gt;0,(FechaInicio1Tri&gt;I220),(FechaFinEEva&lt;I220)),0,_xlfn.XLOOKUP(WEEKDAY(I220,2),Fchs!$J$10:$N$10,Fchs!$J$12:$N$12))</f>
        <v>1</v>
      </c>
      <c r="AT220" s="536">
        <f t="shared" ca="1" si="74"/>
        <v>1</v>
      </c>
      <c r="AU220" s="538">
        <f>IF(AS220&lt;&gt;0,MAXA($AU$14:AU219)+AS220,0)</f>
        <v>85</v>
      </c>
      <c r="AV220" s="538">
        <f ca="1">IF(AT220&lt;&gt;0,MAXA($AU$14:AU219)+AT220,0)</f>
        <v>85</v>
      </c>
      <c r="AW220" s="69"/>
    </row>
    <row r="221" spans="1:49" ht="18.75" customHeight="1" x14ac:dyDescent="0.25">
      <c r="A221" s="69"/>
      <c r="B221" s="56" t="str">
        <f>MID(Info!$AZ$3,(WEEKDAY(I221,2)-1)*3+1,3)</f>
        <v>Mié</v>
      </c>
      <c r="C221" s="523">
        <f>_xlfn.XLOOKUP(I221,Fchs!$I$108:$I$149,Fchs!$J$108:$J$149,0)</f>
        <v>0</v>
      </c>
      <c r="D221" s="523">
        <f>_xlfn.XLOOKUP(I221,Fchs!$I$108:$I$149,Fchs!$K$108:$K$149)</f>
        <v>0</v>
      </c>
      <c r="E221" s="532" t="str">
        <f>IF($AS221&lt;&gt;0,_xlfn.XLOOKUP($G221,UDs!$E$34:$E$55,UDs!$B$34:$B$55,,-1),0)</f>
        <v/>
      </c>
      <c r="F221" s="532" t="str">
        <f t="shared" ca="1" si="68"/>
        <v/>
      </c>
      <c r="G221" s="569">
        <f>IF(AU221&lt;&gt;0,MAX($AU$13:$AU220)+1,0)</f>
        <v>86</v>
      </c>
      <c r="H221" s="569">
        <f>IF(AS221&lt;&gt;0,COUNT($H$14:H220,1),"")</f>
        <v>86</v>
      </c>
      <c r="I221" s="533">
        <f t="shared" si="75"/>
        <v>46085</v>
      </c>
      <c r="J221" s="534"/>
      <c r="K221" s="535"/>
      <c r="L221" s="126">
        <f t="shared" ca="1" si="69"/>
        <v>1</v>
      </c>
      <c r="M221" s="127">
        <f t="shared" ca="1" si="69"/>
        <v>1</v>
      </c>
      <c r="N221" s="127">
        <f t="shared" ca="1" si="69"/>
        <v>1</v>
      </c>
      <c r="O221" s="127">
        <f t="shared" ca="1" si="69"/>
        <v>1</v>
      </c>
      <c r="P221" s="128">
        <f t="shared" ca="1" si="69"/>
        <v>1</v>
      </c>
      <c r="Q221" s="126">
        <f t="shared" ca="1" si="69"/>
        <v>1</v>
      </c>
      <c r="R221" s="127">
        <f t="shared" ca="1" si="69"/>
        <v>1</v>
      </c>
      <c r="S221" s="127">
        <f t="shared" ca="1" si="69"/>
        <v>1</v>
      </c>
      <c r="T221" s="127">
        <f t="shared" ca="1" si="69"/>
        <v>1</v>
      </c>
      <c r="U221" s="128">
        <f t="shared" ca="1" si="69"/>
        <v>1</v>
      </c>
      <c r="V221" s="126">
        <f t="shared" ca="1" si="69"/>
        <v>1</v>
      </c>
      <c r="W221" s="127">
        <f t="shared" ca="1" si="69"/>
        <v>1</v>
      </c>
      <c r="X221" s="127">
        <f t="shared" ca="1" si="69"/>
        <v>1</v>
      </c>
      <c r="Y221" s="127">
        <f t="shared" ca="1" si="69"/>
        <v>1</v>
      </c>
      <c r="Z221" s="128">
        <f t="shared" ca="1" si="69"/>
        <v>1</v>
      </c>
      <c r="AA221" s="126">
        <f t="shared" ca="1" si="69"/>
        <v>1</v>
      </c>
      <c r="AB221" s="127">
        <f t="shared" ca="1" si="70"/>
        <v>1</v>
      </c>
      <c r="AC221" s="127">
        <f t="shared" ca="1" si="70"/>
        <v>1</v>
      </c>
      <c r="AD221" s="127">
        <f t="shared" ca="1" si="70"/>
        <v>1</v>
      </c>
      <c r="AE221" s="128">
        <f t="shared" ca="1" si="70"/>
        <v>1</v>
      </c>
      <c r="AF221" s="126">
        <f t="shared" ca="1" si="70"/>
        <v>1</v>
      </c>
      <c r="AG221" s="127">
        <f t="shared" ca="1" si="70"/>
        <v>1</v>
      </c>
      <c r="AH221" s="127">
        <f t="shared" ca="1" si="70"/>
        <v>1</v>
      </c>
      <c r="AI221" s="127">
        <f t="shared" ca="1" si="70"/>
        <v>1</v>
      </c>
      <c r="AJ221" s="128">
        <f t="shared" ca="1" si="70"/>
        <v>1</v>
      </c>
      <c r="AK221" s="126">
        <f t="shared" ca="1" si="70"/>
        <v>1</v>
      </c>
      <c r="AL221" s="127">
        <f t="shared" ca="1" si="70"/>
        <v>1</v>
      </c>
      <c r="AM221" s="127">
        <f t="shared" ca="1" si="70"/>
        <v>1</v>
      </c>
      <c r="AN221" s="127">
        <f t="shared" ca="1" si="70"/>
        <v>1</v>
      </c>
      <c r="AO221" s="129">
        <f t="shared" ca="1" si="56"/>
        <v>1</v>
      </c>
      <c r="AP221" s="536" t="str">
        <f t="shared" si="71"/>
        <v/>
      </c>
      <c r="AQ221" s="536" t="str">
        <f t="shared" si="72"/>
        <v>X</v>
      </c>
      <c r="AR221" s="536" t="str">
        <f t="shared" si="73"/>
        <v/>
      </c>
      <c r="AS221" s="537">
        <f>IF(OR(J221&lt;&gt;"",AP221&amp;AQ221&amp;AR221&lt;&gt;"X",WEEKDAY(I221,2)&gt;5,C221&lt;&gt;0,(FechaInicio1Tri&gt;I221),(FechaFinEEva&lt;I221)),0,_xlfn.XLOOKUP(WEEKDAY(I221,2),Fchs!$J$10:$N$10,Fchs!$J$12:$N$12))</f>
        <v>1</v>
      </c>
      <c r="AT221" s="536">
        <f t="shared" ca="1" si="74"/>
        <v>1</v>
      </c>
      <c r="AU221" s="538">
        <f>IF(AS221&lt;&gt;0,MAXA($AU$14:AU220)+AS221,0)</f>
        <v>86</v>
      </c>
      <c r="AV221" s="538">
        <f ca="1">IF(AT221&lt;&gt;0,MAXA($AU$14:AU220)+AT221,0)</f>
        <v>86</v>
      </c>
      <c r="AW221" s="69"/>
    </row>
    <row r="222" spans="1:49" ht="18.75" customHeight="1" x14ac:dyDescent="0.25">
      <c r="A222" s="69"/>
      <c r="B222" s="56" t="str">
        <f>MID(Info!$AZ$3,(WEEKDAY(I222,2)-1)*3+1,3)</f>
        <v>Jue</v>
      </c>
      <c r="C222" s="523">
        <f>_xlfn.XLOOKUP(I222,Fchs!$I$108:$I$149,Fchs!$J$108:$J$149,0)</f>
        <v>0</v>
      </c>
      <c r="D222" s="523">
        <f>_xlfn.XLOOKUP(I222,Fchs!$I$108:$I$149,Fchs!$K$108:$K$149)</f>
        <v>0</v>
      </c>
      <c r="E222" s="532" t="str">
        <f>IF($AS222&lt;&gt;0,_xlfn.XLOOKUP($G222,UDs!$E$34:$E$55,UDs!$B$34:$B$55,,-1),0)</f>
        <v/>
      </c>
      <c r="F222" s="532" t="str">
        <f t="shared" ca="1" si="68"/>
        <v/>
      </c>
      <c r="G222" s="569">
        <f>IF(AU222&lt;&gt;0,MAX($AU$13:$AU221)+1,0)</f>
        <v>87</v>
      </c>
      <c r="H222" s="569">
        <f>IF(AS222&lt;&gt;0,COUNT($H$14:H221,1),"")</f>
        <v>87</v>
      </c>
      <c r="I222" s="533">
        <f t="shared" si="75"/>
        <v>46086</v>
      </c>
      <c r="J222" s="534"/>
      <c r="K222" s="535"/>
      <c r="L222" s="126">
        <f t="shared" ca="1" si="69"/>
        <v>1</v>
      </c>
      <c r="M222" s="127">
        <f t="shared" ca="1" si="69"/>
        <v>1</v>
      </c>
      <c r="N222" s="127">
        <f t="shared" ca="1" si="69"/>
        <v>1</v>
      </c>
      <c r="O222" s="127">
        <f t="shared" ca="1" si="69"/>
        <v>1</v>
      </c>
      <c r="P222" s="128">
        <f t="shared" ca="1" si="69"/>
        <v>1</v>
      </c>
      <c r="Q222" s="126">
        <f t="shared" ca="1" si="69"/>
        <v>1</v>
      </c>
      <c r="R222" s="127">
        <f t="shared" ca="1" si="69"/>
        <v>1</v>
      </c>
      <c r="S222" s="127">
        <f t="shared" ca="1" si="69"/>
        <v>1</v>
      </c>
      <c r="T222" s="127">
        <f t="shared" ca="1" si="69"/>
        <v>1</v>
      </c>
      <c r="U222" s="128">
        <f t="shared" ca="1" si="69"/>
        <v>1</v>
      </c>
      <c r="V222" s="126">
        <f t="shared" ca="1" si="69"/>
        <v>1</v>
      </c>
      <c r="W222" s="127">
        <f t="shared" ca="1" si="69"/>
        <v>1</v>
      </c>
      <c r="X222" s="127">
        <f t="shared" ca="1" si="69"/>
        <v>1</v>
      </c>
      <c r="Y222" s="127">
        <f t="shared" ca="1" si="69"/>
        <v>1</v>
      </c>
      <c r="Z222" s="128">
        <f t="shared" ca="1" si="69"/>
        <v>1</v>
      </c>
      <c r="AA222" s="126">
        <f t="shared" ca="1" si="69"/>
        <v>1</v>
      </c>
      <c r="AB222" s="127">
        <f t="shared" ca="1" si="70"/>
        <v>1</v>
      </c>
      <c r="AC222" s="127">
        <f t="shared" ca="1" si="70"/>
        <v>1</v>
      </c>
      <c r="AD222" s="127">
        <f t="shared" ca="1" si="70"/>
        <v>1</v>
      </c>
      <c r="AE222" s="128">
        <f t="shared" ca="1" si="70"/>
        <v>1</v>
      </c>
      <c r="AF222" s="126">
        <f t="shared" ca="1" si="70"/>
        <v>1</v>
      </c>
      <c r="AG222" s="127">
        <f t="shared" ca="1" si="70"/>
        <v>1</v>
      </c>
      <c r="AH222" s="127">
        <f t="shared" ca="1" si="70"/>
        <v>1</v>
      </c>
      <c r="AI222" s="127">
        <f t="shared" ca="1" si="70"/>
        <v>1</v>
      </c>
      <c r="AJ222" s="128">
        <f t="shared" ca="1" si="70"/>
        <v>1</v>
      </c>
      <c r="AK222" s="126">
        <f t="shared" ca="1" si="70"/>
        <v>1</v>
      </c>
      <c r="AL222" s="127">
        <f t="shared" ca="1" si="70"/>
        <v>1</v>
      </c>
      <c r="AM222" s="127">
        <f t="shared" ca="1" si="70"/>
        <v>1</v>
      </c>
      <c r="AN222" s="127">
        <f t="shared" ca="1" si="70"/>
        <v>1</v>
      </c>
      <c r="AO222" s="129">
        <f t="shared" ca="1" si="56"/>
        <v>1</v>
      </c>
      <c r="AP222" s="536" t="str">
        <f t="shared" si="71"/>
        <v/>
      </c>
      <c r="AQ222" s="536" t="str">
        <f t="shared" si="72"/>
        <v>X</v>
      </c>
      <c r="AR222" s="536" t="str">
        <f t="shared" si="73"/>
        <v/>
      </c>
      <c r="AS222" s="537">
        <f>IF(OR(J222&lt;&gt;"",AP222&amp;AQ222&amp;AR222&lt;&gt;"X",WEEKDAY(I222,2)&gt;5,C222&lt;&gt;0,(FechaInicio1Tri&gt;I222),(FechaFinEEva&lt;I222)),0,_xlfn.XLOOKUP(WEEKDAY(I222,2),Fchs!$J$10:$N$10,Fchs!$J$12:$N$12))</f>
        <v>1</v>
      </c>
      <c r="AT222" s="536">
        <f t="shared" ca="1" si="74"/>
        <v>1</v>
      </c>
      <c r="AU222" s="538">
        <f>IF(AS222&lt;&gt;0,MAXA($AU$14:AU221)+AS222,0)</f>
        <v>87</v>
      </c>
      <c r="AV222" s="538">
        <f ca="1">IF(AT222&lt;&gt;0,MAXA($AU$14:AU221)+AT222,0)</f>
        <v>87</v>
      </c>
      <c r="AW222" s="69"/>
    </row>
    <row r="223" spans="1:49" ht="18.75" customHeight="1" x14ac:dyDescent="0.25">
      <c r="A223" s="69"/>
      <c r="B223" s="56" t="str">
        <f>MID(Info!$AZ$3,(WEEKDAY(I223,2)-1)*3+1,3)</f>
        <v>Vie</v>
      </c>
      <c r="C223" s="523" t="str">
        <f>_xlfn.XLOOKUP(I223,Fchs!$I$108:$I$149,Fchs!$J$108:$J$149,0)</f>
        <v>Cincomarzada</v>
      </c>
      <c r="D223" s="523">
        <f>_xlfn.XLOOKUP(I223,Fchs!$I$108:$I$149,Fchs!$K$108:$K$149)</f>
        <v>0</v>
      </c>
      <c r="E223" s="532">
        <f>IF($AS223&lt;&gt;0,_xlfn.XLOOKUP($G223,UDs!$E$34:$E$55,UDs!$B$34:$B$55,,-1),0)</f>
        <v>0</v>
      </c>
      <c r="F223" s="532">
        <f t="shared" ca="1" si="68"/>
        <v>0</v>
      </c>
      <c r="G223" s="569">
        <f>IF(AU223&lt;&gt;0,MAX($AU$13:$AU222)+1,0)</f>
        <v>0</v>
      </c>
      <c r="H223" s="569" t="str">
        <f>IF(AS223&lt;&gt;0,COUNT($H$14:H222,1),"")</f>
        <v/>
      </c>
      <c r="I223" s="533">
        <f t="shared" si="75"/>
        <v>46087</v>
      </c>
      <c r="J223" s="534"/>
      <c r="K223" s="535"/>
      <c r="L223" s="126">
        <f t="shared" ca="1" si="69"/>
        <v>0</v>
      </c>
      <c r="M223" s="127">
        <f t="shared" ca="1" si="69"/>
        <v>0</v>
      </c>
      <c r="N223" s="127">
        <f t="shared" ca="1" si="69"/>
        <v>0</v>
      </c>
      <c r="O223" s="127">
        <f t="shared" ca="1" si="69"/>
        <v>0</v>
      </c>
      <c r="P223" s="128">
        <f t="shared" ca="1" si="69"/>
        <v>0</v>
      </c>
      <c r="Q223" s="126">
        <f t="shared" ca="1" si="69"/>
        <v>0</v>
      </c>
      <c r="R223" s="127">
        <f t="shared" ca="1" si="69"/>
        <v>0</v>
      </c>
      <c r="S223" s="127">
        <f t="shared" ca="1" si="69"/>
        <v>0</v>
      </c>
      <c r="T223" s="127">
        <f t="shared" ca="1" si="69"/>
        <v>0</v>
      </c>
      <c r="U223" s="128">
        <f t="shared" ca="1" si="69"/>
        <v>0</v>
      </c>
      <c r="V223" s="126">
        <f t="shared" ca="1" si="69"/>
        <v>0</v>
      </c>
      <c r="W223" s="127">
        <f t="shared" ca="1" si="69"/>
        <v>0</v>
      </c>
      <c r="X223" s="127">
        <f t="shared" ca="1" si="69"/>
        <v>0</v>
      </c>
      <c r="Y223" s="127">
        <f t="shared" ca="1" si="69"/>
        <v>0</v>
      </c>
      <c r="Z223" s="128">
        <f t="shared" ca="1" si="69"/>
        <v>0</v>
      </c>
      <c r="AA223" s="126">
        <f t="shared" ca="1" si="69"/>
        <v>0</v>
      </c>
      <c r="AB223" s="127">
        <f t="shared" ca="1" si="70"/>
        <v>0</v>
      </c>
      <c r="AC223" s="127">
        <f t="shared" ca="1" si="70"/>
        <v>0</v>
      </c>
      <c r="AD223" s="127">
        <f t="shared" ca="1" si="70"/>
        <v>0</v>
      </c>
      <c r="AE223" s="128">
        <f t="shared" ca="1" si="70"/>
        <v>0</v>
      </c>
      <c r="AF223" s="126">
        <f t="shared" ca="1" si="70"/>
        <v>0</v>
      </c>
      <c r="AG223" s="127">
        <f t="shared" ca="1" si="70"/>
        <v>0</v>
      </c>
      <c r="AH223" s="127">
        <f t="shared" ca="1" si="70"/>
        <v>0</v>
      </c>
      <c r="AI223" s="127">
        <f t="shared" ca="1" si="70"/>
        <v>0</v>
      </c>
      <c r="AJ223" s="128">
        <f t="shared" ca="1" si="70"/>
        <v>0</v>
      </c>
      <c r="AK223" s="126">
        <f t="shared" ca="1" si="70"/>
        <v>0</v>
      </c>
      <c r="AL223" s="127">
        <f t="shared" ca="1" si="70"/>
        <v>0</v>
      </c>
      <c r="AM223" s="127">
        <f t="shared" ca="1" si="70"/>
        <v>0</v>
      </c>
      <c r="AN223" s="127">
        <f t="shared" ca="1" si="70"/>
        <v>0</v>
      </c>
      <c r="AO223" s="129">
        <f t="shared" ca="1" si="56"/>
        <v>0</v>
      </c>
      <c r="AP223" s="536" t="str">
        <f t="shared" si="71"/>
        <v/>
      </c>
      <c r="AQ223" s="536" t="str">
        <f t="shared" si="72"/>
        <v>X</v>
      </c>
      <c r="AR223" s="536" t="str">
        <f t="shared" si="73"/>
        <v/>
      </c>
      <c r="AS223" s="537">
        <f>IF(OR(J223&lt;&gt;"",AP223&amp;AQ223&amp;AR223&lt;&gt;"X",WEEKDAY(I223,2)&gt;5,C223&lt;&gt;0,(FechaInicio1Tri&gt;I223),(FechaFinEEva&lt;I223)),0,_xlfn.XLOOKUP(WEEKDAY(I223,2),Fchs!$J$10:$N$10,Fchs!$J$12:$N$12))</f>
        <v>0</v>
      </c>
      <c r="AT223" s="536">
        <f t="shared" ca="1" si="74"/>
        <v>0</v>
      </c>
      <c r="AU223" s="538">
        <f>IF(AS223&lt;&gt;0,MAXA($AU$14:AU222)+AS223,0)</f>
        <v>0</v>
      </c>
      <c r="AV223" s="538">
        <f ca="1">IF(AT223&lt;&gt;0,MAXA($AU$14:AU222)+AT223,0)</f>
        <v>0</v>
      </c>
      <c r="AW223" s="69"/>
    </row>
    <row r="224" spans="1:49" ht="18.75" customHeight="1" x14ac:dyDescent="0.25">
      <c r="A224" s="69"/>
      <c r="B224" s="56" t="str">
        <f>MID(Info!$AZ$3,(WEEKDAY(I224,2)-1)*3+1,3)</f>
        <v>Sáb</v>
      </c>
      <c r="C224" s="523">
        <f>_xlfn.XLOOKUP(I224,Fchs!$I$108:$I$149,Fchs!$J$108:$J$149,0)</f>
        <v>0</v>
      </c>
      <c r="D224" s="523">
        <f>_xlfn.XLOOKUP(I224,Fchs!$I$108:$I$149,Fchs!$K$108:$K$149)</f>
        <v>0</v>
      </c>
      <c r="E224" s="532">
        <f>IF($AS224&lt;&gt;0,_xlfn.XLOOKUP($G224,UDs!$E$34:$E$55,UDs!$B$34:$B$55,,-1),0)</f>
        <v>0</v>
      </c>
      <c r="F224" s="532">
        <f t="shared" ca="1" si="68"/>
        <v>0</v>
      </c>
      <c r="G224" s="569">
        <f>IF(AU224&lt;&gt;0,MAX($AU$13:$AU223)+1,0)</f>
        <v>0</v>
      </c>
      <c r="H224" s="569" t="str">
        <f>IF(AS224&lt;&gt;0,COUNT($H$14:H223,1),"")</f>
        <v/>
      </c>
      <c r="I224" s="533">
        <f t="shared" si="75"/>
        <v>46088</v>
      </c>
      <c r="J224" s="534"/>
      <c r="K224" s="535"/>
      <c r="L224" s="126">
        <f t="shared" ca="1" si="69"/>
        <v>0</v>
      </c>
      <c r="M224" s="127">
        <f t="shared" ca="1" si="69"/>
        <v>0</v>
      </c>
      <c r="N224" s="127">
        <f t="shared" ca="1" si="69"/>
        <v>0</v>
      </c>
      <c r="O224" s="127">
        <f t="shared" ca="1" si="69"/>
        <v>0</v>
      </c>
      <c r="P224" s="128">
        <f t="shared" ca="1" si="69"/>
        <v>0</v>
      </c>
      <c r="Q224" s="126">
        <f t="shared" ca="1" si="69"/>
        <v>0</v>
      </c>
      <c r="R224" s="127">
        <f t="shared" ca="1" si="69"/>
        <v>0</v>
      </c>
      <c r="S224" s="127">
        <f t="shared" ca="1" si="69"/>
        <v>0</v>
      </c>
      <c r="T224" s="127">
        <f t="shared" ca="1" si="69"/>
        <v>0</v>
      </c>
      <c r="U224" s="128">
        <f t="shared" ca="1" si="69"/>
        <v>0</v>
      </c>
      <c r="V224" s="126">
        <f t="shared" ca="1" si="69"/>
        <v>0</v>
      </c>
      <c r="W224" s="127">
        <f t="shared" ca="1" si="69"/>
        <v>0</v>
      </c>
      <c r="X224" s="127">
        <f t="shared" ca="1" si="69"/>
        <v>0</v>
      </c>
      <c r="Y224" s="127">
        <f t="shared" ca="1" si="69"/>
        <v>0</v>
      </c>
      <c r="Z224" s="128">
        <f t="shared" ca="1" si="69"/>
        <v>0</v>
      </c>
      <c r="AA224" s="126">
        <f t="shared" ca="1" si="69"/>
        <v>0</v>
      </c>
      <c r="AB224" s="127">
        <f t="shared" ca="1" si="70"/>
        <v>0</v>
      </c>
      <c r="AC224" s="127">
        <f t="shared" ca="1" si="70"/>
        <v>0</v>
      </c>
      <c r="AD224" s="127">
        <f t="shared" ca="1" si="70"/>
        <v>0</v>
      </c>
      <c r="AE224" s="128">
        <f t="shared" ca="1" si="70"/>
        <v>0</v>
      </c>
      <c r="AF224" s="126">
        <f t="shared" ca="1" si="70"/>
        <v>0</v>
      </c>
      <c r="AG224" s="127">
        <f t="shared" ca="1" si="70"/>
        <v>0</v>
      </c>
      <c r="AH224" s="127">
        <f t="shared" ca="1" si="70"/>
        <v>0</v>
      </c>
      <c r="AI224" s="127">
        <f t="shared" ca="1" si="70"/>
        <v>0</v>
      </c>
      <c r="AJ224" s="128">
        <f t="shared" ca="1" si="70"/>
        <v>0</v>
      </c>
      <c r="AK224" s="126">
        <f t="shared" ca="1" si="70"/>
        <v>0</v>
      </c>
      <c r="AL224" s="127">
        <f t="shared" ca="1" si="70"/>
        <v>0</v>
      </c>
      <c r="AM224" s="127">
        <f t="shared" ca="1" si="70"/>
        <v>0</v>
      </c>
      <c r="AN224" s="127">
        <f t="shared" ca="1" si="70"/>
        <v>0</v>
      </c>
      <c r="AO224" s="129">
        <f t="shared" ca="1" si="70"/>
        <v>0</v>
      </c>
      <c r="AP224" s="536" t="str">
        <f t="shared" si="71"/>
        <v/>
      </c>
      <c r="AQ224" s="536" t="str">
        <f t="shared" si="72"/>
        <v/>
      </c>
      <c r="AR224" s="536" t="str">
        <f t="shared" si="73"/>
        <v/>
      </c>
      <c r="AS224" s="537">
        <f>IF(OR(J224&lt;&gt;"",AP224&amp;AQ224&amp;AR224&lt;&gt;"X",WEEKDAY(I224,2)&gt;5,C224&lt;&gt;0,(FechaInicio1Tri&gt;I224),(FechaFinEEva&lt;I224)),0,_xlfn.XLOOKUP(WEEKDAY(I224,2),Fchs!$J$10:$N$10,Fchs!$J$12:$N$12))</f>
        <v>0</v>
      </c>
      <c r="AT224" s="536">
        <f t="shared" ca="1" si="74"/>
        <v>0</v>
      </c>
      <c r="AU224" s="538">
        <f>IF(AS224&lt;&gt;0,MAXA($AU$14:AU223)+AS224,0)</f>
        <v>0</v>
      </c>
      <c r="AV224" s="538">
        <f ca="1">IF(AT224&lt;&gt;0,MAXA($AU$14:AU223)+AT224,0)</f>
        <v>0</v>
      </c>
      <c r="AW224" s="69"/>
    </row>
    <row r="225" spans="1:49" ht="18.75" customHeight="1" x14ac:dyDescent="0.25">
      <c r="A225" s="69"/>
      <c r="B225" s="56" t="str">
        <f>MID(Info!$AZ$3,(WEEKDAY(I225,2)-1)*3+1,3)</f>
        <v>Dom</v>
      </c>
      <c r="C225" s="523">
        <f>_xlfn.XLOOKUP(I225,Fchs!$I$108:$I$149,Fchs!$J$108:$J$149,0)</f>
        <v>0</v>
      </c>
      <c r="D225" s="523">
        <f>_xlfn.XLOOKUP(I225,Fchs!$I$108:$I$149,Fchs!$K$108:$K$149)</f>
        <v>0</v>
      </c>
      <c r="E225" s="532">
        <f>IF($AS225&lt;&gt;0,_xlfn.XLOOKUP($G225,UDs!$E$34:$E$55,UDs!$B$34:$B$55,,-1),0)</f>
        <v>0</v>
      </c>
      <c r="F225" s="532">
        <f t="shared" ca="1" si="68"/>
        <v>0</v>
      </c>
      <c r="G225" s="569">
        <f>IF(AU225&lt;&gt;0,MAX($AU$13:$AU224)+1,0)</f>
        <v>0</v>
      </c>
      <c r="H225" s="569" t="str">
        <f>IF(AS225&lt;&gt;0,COUNT($H$14:H224,1),"")</f>
        <v/>
      </c>
      <c r="I225" s="533">
        <f t="shared" si="75"/>
        <v>46089</v>
      </c>
      <c r="J225" s="534"/>
      <c r="K225" s="535"/>
      <c r="L225" s="126">
        <f t="shared" ca="1" si="69"/>
        <v>0</v>
      </c>
      <c r="M225" s="127">
        <f t="shared" ca="1" si="69"/>
        <v>0</v>
      </c>
      <c r="N225" s="127">
        <f t="shared" ca="1" si="69"/>
        <v>0</v>
      </c>
      <c r="O225" s="127">
        <f t="shared" ca="1" si="69"/>
        <v>0</v>
      </c>
      <c r="P225" s="128">
        <f t="shared" ca="1" si="69"/>
        <v>0</v>
      </c>
      <c r="Q225" s="126">
        <f t="shared" ca="1" si="69"/>
        <v>0</v>
      </c>
      <c r="R225" s="127">
        <f t="shared" ca="1" si="69"/>
        <v>0</v>
      </c>
      <c r="S225" s="127">
        <f t="shared" ca="1" si="69"/>
        <v>0</v>
      </c>
      <c r="T225" s="127">
        <f t="shared" ca="1" si="69"/>
        <v>0</v>
      </c>
      <c r="U225" s="128">
        <f t="shared" ca="1" si="69"/>
        <v>0</v>
      </c>
      <c r="V225" s="126">
        <f t="shared" ca="1" si="69"/>
        <v>0</v>
      </c>
      <c r="W225" s="127">
        <f t="shared" ca="1" si="69"/>
        <v>0</v>
      </c>
      <c r="X225" s="127">
        <f t="shared" ca="1" si="69"/>
        <v>0</v>
      </c>
      <c r="Y225" s="127">
        <f t="shared" ca="1" si="69"/>
        <v>0</v>
      </c>
      <c r="Z225" s="128">
        <f t="shared" ca="1" si="69"/>
        <v>0</v>
      </c>
      <c r="AA225" s="126">
        <f t="shared" ca="1" si="69"/>
        <v>0</v>
      </c>
      <c r="AB225" s="127">
        <f t="shared" ca="1" si="70"/>
        <v>0</v>
      </c>
      <c r="AC225" s="127">
        <f t="shared" ca="1" si="70"/>
        <v>0</v>
      </c>
      <c r="AD225" s="127">
        <f t="shared" ca="1" si="70"/>
        <v>0</v>
      </c>
      <c r="AE225" s="128">
        <f t="shared" ca="1" si="70"/>
        <v>0</v>
      </c>
      <c r="AF225" s="126">
        <f t="shared" ca="1" si="70"/>
        <v>0</v>
      </c>
      <c r="AG225" s="127">
        <f t="shared" ca="1" si="70"/>
        <v>0</v>
      </c>
      <c r="AH225" s="127">
        <f t="shared" ca="1" si="70"/>
        <v>0</v>
      </c>
      <c r="AI225" s="127">
        <f t="shared" ca="1" si="70"/>
        <v>0</v>
      </c>
      <c r="AJ225" s="128">
        <f t="shared" ca="1" si="70"/>
        <v>0</v>
      </c>
      <c r="AK225" s="126">
        <f t="shared" ca="1" si="70"/>
        <v>0</v>
      </c>
      <c r="AL225" s="127">
        <f t="shared" ca="1" si="70"/>
        <v>0</v>
      </c>
      <c r="AM225" s="127">
        <f t="shared" ca="1" si="70"/>
        <v>0</v>
      </c>
      <c r="AN225" s="127">
        <f t="shared" ca="1" si="70"/>
        <v>0</v>
      </c>
      <c r="AO225" s="129">
        <f t="shared" ca="1" si="70"/>
        <v>0</v>
      </c>
      <c r="AP225" s="536" t="str">
        <f t="shared" si="71"/>
        <v/>
      </c>
      <c r="AQ225" s="536" t="str">
        <f t="shared" si="72"/>
        <v/>
      </c>
      <c r="AR225" s="536" t="str">
        <f t="shared" si="73"/>
        <v/>
      </c>
      <c r="AS225" s="537">
        <f>IF(OR(J225&lt;&gt;"",AP225&amp;AQ225&amp;AR225&lt;&gt;"X",WEEKDAY(I225,2)&gt;5,C225&lt;&gt;0,(FechaInicio1Tri&gt;I225),(FechaFinEEva&lt;I225)),0,_xlfn.XLOOKUP(WEEKDAY(I225,2),Fchs!$J$10:$N$10,Fchs!$J$12:$N$12))</f>
        <v>0</v>
      </c>
      <c r="AT225" s="536">
        <f t="shared" ca="1" si="74"/>
        <v>0</v>
      </c>
      <c r="AU225" s="538">
        <f>IF(AS225&lt;&gt;0,MAXA($AU$14:AU224)+AS225,0)</f>
        <v>0</v>
      </c>
      <c r="AV225" s="538">
        <f ca="1">IF(AT225&lt;&gt;0,MAXA($AU$14:AU224)+AT225,0)</f>
        <v>0</v>
      </c>
      <c r="AW225" s="69"/>
    </row>
    <row r="226" spans="1:49" ht="18.75" customHeight="1" x14ac:dyDescent="0.25">
      <c r="A226" s="69"/>
      <c r="B226" s="56" t="str">
        <f>MID(Info!$AZ$3,(WEEKDAY(I226,2)-1)*3+1,3)</f>
        <v>Lun</v>
      </c>
      <c r="C226" s="523">
        <f>_xlfn.XLOOKUP(I226,Fchs!$I$108:$I$149,Fchs!$J$108:$J$149,0)</f>
        <v>0</v>
      </c>
      <c r="D226" s="523">
        <f>_xlfn.XLOOKUP(I226,Fchs!$I$108:$I$149,Fchs!$K$108:$K$149)</f>
        <v>0</v>
      </c>
      <c r="E226" s="532" t="str">
        <f>IF($AS226&lt;&gt;0,_xlfn.XLOOKUP($G226,UDs!$E$34:$E$55,UDs!$B$34:$B$55,,-1),0)</f>
        <v/>
      </c>
      <c r="F226" s="532" t="str">
        <f t="shared" ca="1" si="68"/>
        <v/>
      </c>
      <c r="G226" s="569">
        <f>IF(AU226&lt;&gt;0,MAX($AU$13:$AU225)+1,0)</f>
        <v>88</v>
      </c>
      <c r="H226" s="569">
        <f>IF(AS226&lt;&gt;0,COUNT($H$14:H225,1),"")</f>
        <v>88</v>
      </c>
      <c r="I226" s="533">
        <f t="shared" si="75"/>
        <v>46090</v>
      </c>
      <c r="J226" s="534"/>
      <c r="K226" s="535"/>
      <c r="L226" s="126">
        <f t="shared" ca="1" si="69"/>
        <v>1</v>
      </c>
      <c r="M226" s="127">
        <f t="shared" ca="1" si="69"/>
        <v>1</v>
      </c>
      <c r="N226" s="127">
        <f t="shared" ca="1" si="69"/>
        <v>1</v>
      </c>
      <c r="O226" s="127">
        <f t="shared" ca="1" si="69"/>
        <v>1</v>
      </c>
      <c r="P226" s="128">
        <f t="shared" ca="1" si="69"/>
        <v>1</v>
      </c>
      <c r="Q226" s="126">
        <f t="shared" ca="1" si="69"/>
        <v>1</v>
      </c>
      <c r="R226" s="127">
        <f t="shared" ca="1" si="69"/>
        <v>1</v>
      </c>
      <c r="S226" s="127">
        <f t="shared" ca="1" si="69"/>
        <v>1</v>
      </c>
      <c r="T226" s="127">
        <f t="shared" ca="1" si="69"/>
        <v>1</v>
      </c>
      <c r="U226" s="128">
        <f t="shared" ca="1" si="69"/>
        <v>1</v>
      </c>
      <c r="V226" s="126">
        <f t="shared" ca="1" si="69"/>
        <v>1</v>
      </c>
      <c r="W226" s="127">
        <f t="shared" ca="1" si="69"/>
        <v>1</v>
      </c>
      <c r="X226" s="127">
        <f t="shared" ca="1" si="69"/>
        <v>1</v>
      </c>
      <c r="Y226" s="127">
        <f t="shared" ca="1" si="69"/>
        <v>1</v>
      </c>
      <c r="Z226" s="128">
        <f t="shared" ca="1" si="69"/>
        <v>1</v>
      </c>
      <c r="AA226" s="126">
        <f t="shared" ca="1" si="69"/>
        <v>1</v>
      </c>
      <c r="AB226" s="127">
        <f t="shared" ca="1" si="70"/>
        <v>1</v>
      </c>
      <c r="AC226" s="127">
        <f t="shared" ca="1" si="70"/>
        <v>1</v>
      </c>
      <c r="AD226" s="127">
        <f t="shared" ca="1" si="70"/>
        <v>1</v>
      </c>
      <c r="AE226" s="128">
        <f t="shared" ca="1" si="70"/>
        <v>1</v>
      </c>
      <c r="AF226" s="126">
        <f t="shared" ca="1" si="70"/>
        <v>1</v>
      </c>
      <c r="AG226" s="127">
        <f t="shared" ca="1" si="70"/>
        <v>1</v>
      </c>
      <c r="AH226" s="127">
        <f t="shared" ca="1" si="70"/>
        <v>1</v>
      </c>
      <c r="AI226" s="127">
        <f t="shared" ca="1" si="70"/>
        <v>1</v>
      </c>
      <c r="AJ226" s="128">
        <f t="shared" ca="1" si="70"/>
        <v>1</v>
      </c>
      <c r="AK226" s="126">
        <f t="shared" ca="1" si="70"/>
        <v>1</v>
      </c>
      <c r="AL226" s="127">
        <f t="shared" ca="1" si="70"/>
        <v>1</v>
      </c>
      <c r="AM226" s="127">
        <f t="shared" ca="1" si="70"/>
        <v>1</v>
      </c>
      <c r="AN226" s="127">
        <f t="shared" ca="1" si="70"/>
        <v>1</v>
      </c>
      <c r="AO226" s="129">
        <f t="shared" ca="1" si="70"/>
        <v>1</v>
      </c>
      <c r="AP226" s="536" t="str">
        <f t="shared" si="71"/>
        <v/>
      </c>
      <c r="AQ226" s="536" t="str">
        <f t="shared" si="72"/>
        <v>X</v>
      </c>
      <c r="AR226" s="536" t="str">
        <f t="shared" si="73"/>
        <v/>
      </c>
      <c r="AS226" s="537">
        <f>IF(OR(J226&lt;&gt;"",AP226&amp;AQ226&amp;AR226&lt;&gt;"X",WEEKDAY(I226,2)&gt;5,C226&lt;&gt;0,(FechaInicio1Tri&gt;I226),(FechaFinEEva&lt;I226)),0,_xlfn.XLOOKUP(WEEKDAY(I226,2),Fchs!$J$10:$N$10,Fchs!$J$12:$N$12))</f>
        <v>1</v>
      </c>
      <c r="AT226" s="536">
        <f t="shared" ca="1" si="74"/>
        <v>1</v>
      </c>
      <c r="AU226" s="538">
        <f>IF(AS226&lt;&gt;0,MAXA($AU$14:AU225)+AS226,0)</f>
        <v>88</v>
      </c>
      <c r="AV226" s="538">
        <f ca="1">IF(AT226&lt;&gt;0,MAXA($AU$14:AU225)+AT226,0)</f>
        <v>88</v>
      </c>
      <c r="AW226" s="69"/>
    </row>
    <row r="227" spans="1:49" ht="18.75" customHeight="1" x14ac:dyDescent="0.25">
      <c r="A227" s="69"/>
      <c r="B227" s="56" t="str">
        <f>MID(Info!$AZ$3,(WEEKDAY(I227,2)-1)*3+1,3)</f>
        <v>Mar</v>
      </c>
      <c r="C227" s="523">
        <f>_xlfn.XLOOKUP(I227,Fchs!$I$108:$I$149,Fchs!$J$108:$J$149,0)</f>
        <v>0</v>
      </c>
      <c r="D227" s="523">
        <f>_xlfn.XLOOKUP(I227,Fchs!$I$108:$I$149,Fchs!$K$108:$K$149)</f>
        <v>0</v>
      </c>
      <c r="E227" s="532" t="str">
        <f>IF($AS227&lt;&gt;0,_xlfn.XLOOKUP($G227,UDs!$E$34:$E$55,UDs!$B$34:$B$55,,-1),0)</f>
        <v/>
      </c>
      <c r="F227" s="532" t="str">
        <f t="shared" ca="1" si="68"/>
        <v/>
      </c>
      <c r="G227" s="569">
        <f>IF(AU227&lt;&gt;0,MAX($AU$13:$AU226)+1,0)</f>
        <v>89</v>
      </c>
      <c r="H227" s="569">
        <f>IF(AS227&lt;&gt;0,COUNT($H$14:H226,1),"")</f>
        <v>89</v>
      </c>
      <c r="I227" s="533">
        <f t="shared" si="75"/>
        <v>46091</v>
      </c>
      <c r="J227" s="534"/>
      <c r="K227" s="535"/>
      <c r="L227" s="126">
        <f t="shared" ca="1" si="69"/>
        <v>1</v>
      </c>
      <c r="M227" s="127">
        <f t="shared" ca="1" si="69"/>
        <v>1</v>
      </c>
      <c r="N227" s="127">
        <f t="shared" ca="1" si="69"/>
        <v>1</v>
      </c>
      <c r="O227" s="127">
        <f t="shared" ca="1" si="69"/>
        <v>1</v>
      </c>
      <c r="P227" s="128">
        <f t="shared" ca="1" si="69"/>
        <v>1</v>
      </c>
      <c r="Q227" s="126">
        <f t="shared" ca="1" si="69"/>
        <v>1</v>
      </c>
      <c r="R227" s="127">
        <f t="shared" ca="1" si="69"/>
        <v>1</v>
      </c>
      <c r="S227" s="127">
        <f t="shared" ca="1" si="69"/>
        <v>1</v>
      </c>
      <c r="T227" s="127">
        <f t="shared" ca="1" si="69"/>
        <v>1</v>
      </c>
      <c r="U227" s="128">
        <f t="shared" ca="1" si="69"/>
        <v>1</v>
      </c>
      <c r="V227" s="126">
        <f t="shared" ca="1" si="69"/>
        <v>1</v>
      </c>
      <c r="W227" s="127">
        <f t="shared" ca="1" si="69"/>
        <v>1</v>
      </c>
      <c r="X227" s="127">
        <f t="shared" ca="1" si="69"/>
        <v>1</v>
      </c>
      <c r="Y227" s="127">
        <f t="shared" ca="1" si="69"/>
        <v>1</v>
      </c>
      <c r="Z227" s="128">
        <f t="shared" ca="1" si="69"/>
        <v>1</v>
      </c>
      <c r="AA227" s="126">
        <f t="shared" ca="1" si="69"/>
        <v>1</v>
      </c>
      <c r="AB227" s="127">
        <f t="shared" ca="1" si="70"/>
        <v>1</v>
      </c>
      <c r="AC227" s="127">
        <f t="shared" ca="1" si="70"/>
        <v>1</v>
      </c>
      <c r="AD227" s="127">
        <f t="shared" ca="1" si="70"/>
        <v>1</v>
      </c>
      <c r="AE227" s="128">
        <f t="shared" ca="1" si="70"/>
        <v>1</v>
      </c>
      <c r="AF227" s="126">
        <f t="shared" ca="1" si="70"/>
        <v>1</v>
      </c>
      <c r="AG227" s="127">
        <f t="shared" ca="1" si="70"/>
        <v>1</v>
      </c>
      <c r="AH227" s="127">
        <f t="shared" ca="1" si="70"/>
        <v>1</v>
      </c>
      <c r="AI227" s="127">
        <f t="shared" ca="1" si="70"/>
        <v>1</v>
      </c>
      <c r="AJ227" s="128">
        <f t="shared" ca="1" si="70"/>
        <v>1</v>
      </c>
      <c r="AK227" s="126">
        <f t="shared" ca="1" si="70"/>
        <v>1</v>
      </c>
      <c r="AL227" s="127">
        <f t="shared" ca="1" si="70"/>
        <v>1</v>
      </c>
      <c r="AM227" s="127">
        <f t="shared" ca="1" si="70"/>
        <v>1</v>
      </c>
      <c r="AN227" s="127">
        <f t="shared" ca="1" si="70"/>
        <v>1</v>
      </c>
      <c r="AO227" s="129">
        <f t="shared" ca="1" si="70"/>
        <v>1</v>
      </c>
      <c r="AP227" s="536" t="str">
        <f t="shared" si="71"/>
        <v/>
      </c>
      <c r="AQ227" s="536" t="str">
        <f t="shared" si="72"/>
        <v>X</v>
      </c>
      <c r="AR227" s="536" t="str">
        <f t="shared" si="73"/>
        <v/>
      </c>
      <c r="AS227" s="537">
        <f>IF(OR(J227&lt;&gt;"",AP227&amp;AQ227&amp;AR227&lt;&gt;"X",WEEKDAY(I227,2)&gt;5,C227&lt;&gt;0,(FechaInicio1Tri&gt;I227),(FechaFinEEva&lt;I227)),0,_xlfn.XLOOKUP(WEEKDAY(I227,2),Fchs!$J$10:$N$10,Fchs!$J$12:$N$12))</f>
        <v>1</v>
      </c>
      <c r="AT227" s="536">
        <f t="shared" ca="1" si="74"/>
        <v>1</v>
      </c>
      <c r="AU227" s="538">
        <f>IF(AS227&lt;&gt;0,MAXA($AU$14:AU226)+AS227,0)</f>
        <v>89</v>
      </c>
      <c r="AV227" s="538">
        <f ca="1">IF(AT227&lt;&gt;0,MAXA($AU$14:AU226)+AT227,0)</f>
        <v>89</v>
      </c>
      <c r="AW227" s="69"/>
    </row>
    <row r="228" spans="1:49" ht="18.75" customHeight="1" x14ac:dyDescent="0.25">
      <c r="A228" s="69"/>
      <c r="B228" s="56" t="str">
        <f>MID(Info!$AZ$3,(WEEKDAY(I228,2)-1)*3+1,3)</f>
        <v>Mié</v>
      </c>
      <c r="C228" s="523">
        <f>_xlfn.XLOOKUP(I228,Fchs!$I$108:$I$149,Fchs!$J$108:$J$149,0)</f>
        <v>0</v>
      </c>
      <c r="D228" s="523" t="str">
        <f>_xlfn.XLOOKUP(I228,Fchs!$I$108:$I$149,Fchs!$K$108:$K$149)</f>
        <v>1ºGx-Junta 2ªEv.</v>
      </c>
      <c r="E228" s="532" t="str">
        <f>IF($AS228&lt;&gt;0,_xlfn.XLOOKUP($G228,UDs!$E$34:$E$55,UDs!$B$34:$B$55,,-1),0)</f>
        <v/>
      </c>
      <c r="F228" s="532" t="str">
        <f t="shared" ca="1" si="68"/>
        <v/>
      </c>
      <c r="G228" s="569">
        <f>IF(AU228&lt;&gt;0,MAX($AU$13:$AU227)+1,0)</f>
        <v>90</v>
      </c>
      <c r="H228" s="569">
        <f>IF(AS228&lt;&gt;0,COUNT($H$14:H227,1),"")</f>
        <v>90</v>
      </c>
      <c r="I228" s="533">
        <f t="shared" si="75"/>
        <v>46092</v>
      </c>
      <c r="J228" s="534"/>
      <c r="K228" s="535"/>
      <c r="L228" s="126">
        <f t="shared" ca="1" si="69"/>
        <v>1</v>
      </c>
      <c r="M228" s="127">
        <f t="shared" ca="1" si="69"/>
        <v>1</v>
      </c>
      <c r="N228" s="127">
        <f t="shared" ca="1" si="69"/>
        <v>1</v>
      </c>
      <c r="O228" s="127">
        <f t="shared" ca="1" si="69"/>
        <v>1</v>
      </c>
      <c r="P228" s="128">
        <f t="shared" ca="1" si="69"/>
        <v>1</v>
      </c>
      <c r="Q228" s="126">
        <f t="shared" ca="1" si="69"/>
        <v>1</v>
      </c>
      <c r="R228" s="127">
        <f t="shared" ca="1" si="69"/>
        <v>1</v>
      </c>
      <c r="S228" s="127">
        <f t="shared" ca="1" si="69"/>
        <v>1</v>
      </c>
      <c r="T228" s="127">
        <f t="shared" ca="1" si="69"/>
        <v>1</v>
      </c>
      <c r="U228" s="128">
        <f t="shared" ca="1" si="69"/>
        <v>1</v>
      </c>
      <c r="V228" s="126">
        <f t="shared" ca="1" si="69"/>
        <v>1</v>
      </c>
      <c r="W228" s="127">
        <f t="shared" ca="1" si="69"/>
        <v>1</v>
      </c>
      <c r="X228" s="127">
        <f t="shared" ca="1" si="69"/>
        <v>1</v>
      </c>
      <c r="Y228" s="127">
        <f t="shared" ca="1" si="69"/>
        <v>1</v>
      </c>
      <c r="Z228" s="128">
        <f t="shared" ca="1" si="69"/>
        <v>1</v>
      </c>
      <c r="AA228" s="126">
        <f t="shared" ca="1" si="69"/>
        <v>1</v>
      </c>
      <c r="AB228" s="127">
        <f t="shared" ca="1" si="70"/>
        <v>1</v>
      </c>
      <c r="AC228" s="127">
        <f t="shared" ca="1" si="70"/>
        <v>1</v>
      </c>
      <c r="AD228" s="127">
        <f t="shared" ca="1" si="70"/>
        <v>1</v>
      </c>
      <c r="AE228" s="128">
        <f t="shared" ca="1" si="70"/>
        <v>1</v>
      </c>
      <c r="AF228" s="126">
        <f t="shared" ca="1" si="70"/>
        <v>1</v>
      </c>
      <c r="AG228" s="127">
        <f t="shared" ca="1" si="70"/>
        <v>1</v>
      </c>
      <c r="AH228" s="127">
        <f t="shared" ca="1" si="70"/>
        <v>1</v>
      </c>
      <c r="AI228" s="127">
        <f t="shared" ca="1" si="70"/>
        <v>1</v>
      </c>
      <c r="AJ228" s="128">
        <f t="shared" ca="1" si="70"/>
        <v>1</v>
      </c>
      <c r="AK228" s="126">
        <f t="shared" ca="1" si="70"/>
        <v>1</v>
      </c>
      <c r="AL228" s="127">
        <f t="shared" ca="1" si="70"/>
        <v>1</v>
      </c>
      <c r="AM228" s="127">
        <f t="shared" ca="1" si="70"/>
        <v>1</v>
      </c>
      <c r="AN228" s="127">
        <f t="shared" ca="1" si="70"/>
        <v>1</v>
      </c>
      <c r="AO228" s="129">
        <f t="shared" ca="1" si="70"/>
        <v>1</v>
      </c>
      <c r="AP228" s="536" t="str">
        <f t="shared" si="71"/>
        <v/>
      </c>
      <c r="AQ228" s="536" t="str">
        <f t="shared" si="72"/>
        <v>X</v>
      </c>
      <c r="AR228" s="536" t="str">
        <f t="shared" si="73"/>
        <v/>
      </c>
      <c r="AS228" s="537">
        <f>IF(OR(J228&lt;&gt;"",AP228&amp;AQ228&amp;AR228&lt;&gt;"X",WEEKDAY(I228,2)&gt;5,C228&lt;&gt;0,(FechaInicio1Tri&gt;I228),(FechaFinEEva&lt;I228)),0,_xlfn.XLOOKUP(WEEKDAY(I228,2),Fchs!$J$10:$N$10,Fchs!$J$12:$N$12))</f>
        <v>1</v>
      </c>
      <c r="AT228" s="536">
        <f t="shared" ca="1" si="74"/>
        <v>1</v>
      </c>
      <c r="AU228" s="538">
        <f>IF(AS228&lt;&gt;0,MAXA($AU$14:AU227)+AS228,0)</f>
        <v>90</v>
      </c>
      <c r="AV228" s="538">
        <f ca="1">IF(AT228&lt;&gt;0,MAXA($AU$14:AU227)+AT228,0)</f>
        <v>90</v>
      </c>
      <c r="AW228" s="69"/>
    </row>
    <row r="229" spans="1:49" ht="18.75" customHeight="1" x14ac:dyDescent="0.25">
      <c r="A229" s="69"/>
      <c r="B229" s="56" t="str">
        <f>MID(Info!$AZ$3,(WEEKDAY(I229,2)-1)*3+1,3)</f>
        <v>Jue</v>
      </c>
      <c r="C229" s="523">
        <f>_xlfn.XLOOKUP(I229,Fchs!$I$108:$I$149,Fchs!$J$108:$J$149,0)</f>
        <v>0</v>
      </c>
      <c r="D229" s="523">
        <f>_xlfn.XLOOKUP(I229,Fchs!$I$108:$I$149,Fchs!$K$108:$K$149)</f>
        <v>0</v>
      </c>
      <c r="E229" s="532" t="str">
        <f>IF($AS229&lt;&gt;0,_xlfn.XLOOKUP($G229,UDs!$E$34:$E$55,UDs!$B$34:$B$55,,-1),0)</f>
        <v/>
      </c>
      <c r="F229" s="532" t="str">
        <f t="shared" ca="1" si="68"/>
        <v/>
      </c>
      <c r="G229" s="569">
        <f>IF(AU229&lt;&gt;0,MAX($AU$13:$AU228)+1,0)</f>
        <v>91</v>
      </c>
      <c r="H229" s="569">
        <f>IF(AS229&lt;&gt;0,COUNT($H$14:H228,1),"")</f>
        <v>91</v>
      </c>
      <c r="I229" s="533">
        <f t="shared" si="75"/>
        <v>46093</v>
      </c>
      <c r="J229" s="534"/>
      <c r="K229" s="535"/>
      <c r="L229" s="126">
        <f t="shared" ca="1" si="69"/>
        <v>1</v>
      </c>
      <c r="M229" s="127">
        <f t="shared" ca="1" si="69"/>
        <v>1</v>
      </c>
      <c r="N229" s="127">
        <f t="shared" ca="1" si="69"/>
        <v>1</v>
      </c>
      <c r="O229" s="127">
        <f t="shared" ca="1" si="69"/>
        <v>1</v>
      </c>
      <c r="P229" s="128">
        <f t="shared" ca="1" si="69"/>
        <v>1</v>
      </c>
      <c r="Q229" s="126">
        <f t="shared" ca="1" si="69"/>
        <v>1</v>
      </c>
      <c r="R229" s="127">
        <f t="shared" ca="1" si="69"/>
        <v>1</v>
      </c>
      <c r="S229" s="127">
        <f t="shared" ca="1" si="69"/>
        <v>1</v>
      </c>
      <c r="T229" s="127">
        <f t="shared" ca="1" si="69"/>
        <v>1</v>
      </c>
      <c r="U229" s="128">
        <f t="shared" ca="1" si="69"/>
        <v>1</v>
      </c>
      <c r="V229" s="126">
        <f t="shared" ca="1" si="69"/>
        <v>1</v>
      </c>
      <c r="W229" s="127">
        <f t="shared" ca="1" si="69"/>
        <v>1</v>
      </c>
      <c r="X229" s="127">
        <f t="shared" ca="1" si="69"/>
        <v>1</v>
      </c>
      <c r="Y229" s="127">
        <f t="shared" ca="1" si="69"/>
        <v>1</v>
      </c>
      <c r="Z229" s="128">
        <f t="shared" ca="1" si="69"/>
        <v>1</v>
      </c>
      <c r="AA229" s="126">
        <f t="shared" ca="1" si="69"/>
        <v>1</v>
      </c>
      <c r="AB229" s="127">
        <f t="shared" ca="1" si="70"/>
        <v>1</v>
      </c>
      <c r="AC229" s="127">
        <f t="shared" ca="1" si="70"/>
        <v>1</v>
      </c>
      <c r="AD229" s="127">
        <f t="shared" ca="1" si="70"/>
        <v>1</v>
      </c>
      <c r="AE229" s="128">
        <f t="shared" ca="1" si="70"/>
        <v>1</v>
      </c>
      <c r="AF229" s="126">
        <f t="shared" ca="1" si="70"/>
        <v>1</v>
      </c>
      <c r="AG229" s="127">
        <f t="shared" ca="1" si="70"/>
        <v>1</v>
      </c>
      <c r="AH229" s="127">
        <f t="shared" ca="1" si="70"/>
        <v>1</v>
      </c>
      <c r="AI229" s="127">
        <f t="shared" ca="1" si="70"/>
        <v>1</v>
      </c>
      <c r="AJ229" s="128">
        <f t="shared" ca="1" si="70"/>
        <v>1</v>
      </c>
      <c r="AK229" s="126">
        <f t="shared" ca="1" si="70"/>
        <v>1</v>
      </c>
      <c r="AL229" s="127">
        <f t="shared" ca="1" si="70"/>
        <v>1</v>
      </c>
      <c r="AM229" s="127">
        <f t="shared" ca="1" si="70"/>
        <v>1</v>
      </c>
      <c r="AN229" s="127">
        <f t="shared" ca="1" si="70"/>
        <v>1</v>
      </c>
      <c r="AO229" s="129">
        <f t="shared" ca="1" si="70"/>
        <v>1</v>
      </c>
      <c r="AP229" s="536" t="str">
        <f t="shared" si="71"/>
        <v/>
      </c>
      <c r="AQ229" s="536" t="str">
        <f t="shared" si="72"/>
        <v>X</v>
      </c>
      <c r="AR229" s="536" t="str">
        <f t="shared" si="73"/>
        <v/>
      </c>
      <c r="AS229" s="537">
        <f>IF(OR(J229&lt;&gt;"",AP229&amp;AQ229&amp;AR229&lt;&gt;"X",WEEKDAY(I229,2)&gt;5,C229&lt;&gt;0,(FechaInicio1Tri&gt;I229),(FechaFinEEva&lt;I229)),0,_xlfn.XLOOKUP(WEEKDAY(I229,2),Fchs!$J$10:$N$10,Fchs!$J$12:$N$12))</f>
        <v>1</v>
      </c>
      <c r="AT229" s="536">
        <f t="shared" ca="1" si="74"/>
        <v>1</v>
      </c>
      <c r="AU229" s="538">
        <f>IF(AS229&lt;&gt;0,MAXA($AU$14:AU228)+AS229,0)</f>
        <v>91</v>
      </c>
      <c r="AV229" s="538">
        <f ca="1">IF(AT229&lt;&gt;0,MAXA($AU$14:AU228)+AT229,0)</f>
        <v>91</v>
      </c>
      <c r="AW229" s="69"/>
    </row>
    <row r="230" spans="1:49" ht="18.75" customHeight="1" x14ac:dyDescent="0.25">
      <c r="A230" s="69"/>
      <c r="B230" s="56" t="str">
        <f>MID(Info!$AZ$3,(WEEKDAY(I230,2)-1)*3+1,3)</f>
        <v>Vie</v>
      </c>
      <c r="C230" s="523">
        <f>_xlfn.XLOOKUP(I230,Fchs!$I$108:$I$149,Fchs!$J$108:$J$149,0)</f>
        <v>0</v>
      </c>
      <c r="D230" s="523" t="str">
        <f>_xlfn.XLOOKUP(I230,Fchs!$I$108:$I$149,Fchs!$K$108:$K$149)</f>
        <v>1ºGx-Boletín 2ªEv.</v>
      </c>
      <c r="E230" s="532" t="str">
        <f>IF($AS230&lt;&gt;0,_xlfn.XLOOKUP($G230,UDs!$E$34:$E$55,UDs!$B$34:$B$55,,-1),0)</f>
        <v/>
      </c>
      <c r="F230" s="532" t="str">
        <f t="shared" ca="1" si="68"/>
        <v/>
      </c>
      <c r="G230" s="569">
        <f>IF(AU230&lt;&gt;0,MAX($AU$13:$AU229)+1,0)</f>
        <v>92</v>
      </c>
      <c r="H230" s="569">
        <f>IF(AS230&lt;&gt;0,COUNT($H$14:H229,1),"")</f>
        <v>92</v>
      </c>
      <c r="I230" s="533">
        <f t="shared" si="75"/>
        <v>46094</v>
      </c>
      <c r="J230" s="534"/>
      <c r="K230" s="535"/>
      <c r="L230" s="126">
        <f t="shared" ca="1" si="69"/>
        <v>1</v>
      </c>
      <c r="M230" s="127">
        <f t="shared" ca="1" si="69"/>
        <v>1</v>
      </c>
      <c r="N230" s="127">
        <f t="shared" ca="1" si="69"/>
        <v>1</v>
      </c>
      <c r="O230" s="127">
        <f t="shared" ca="1" si="69"/>
        <v>1</v>
      </c>
      <c r="P230" s="128">
        <f t="shared" ca="1" si="69"/>
        <v>1</v>
      </c>
      <c r="Q230" s="126">
        <f t="shared" ca="1" si="69"/>
        <v>1</v>
      </c>
      <c r="R230" s="127">
        <f t="shared" ca="1" si="69"/>
        <v>1</v>
      </c>
      <c r="S230" s="127">
        <f t="shared" ca="1" si="69"/>
        <v>1</v>
      </c>
      <c r="T230" s="127">
        <f t="shared" ca="1" si="69"/>
        <v>1</v>
      </c>
      <c r="U230" s="128">
        <f t="shared" ca="1" si="69"/>
        <v>1</v>
      </c>
      <c r="V230" s="126">
        <f t="shared" ca="1" si="69"/>
        <v>1</v>
      </c>
      <c r="W230" s="127">
        <f t="shared" ca="1" si="69"/>
        <v>1</v>
      </c>
      <c r="X230" s="127">
        <f t="shared" ca="1" si="69"/>
        <v>1</v>
      </c>
      <c r="Y230" s="127">
        <f t="shared" ca="1" si="69"/>
        <v>1</v>
      </c>
      <c r="Z230" s="128">
        <f t="shared" ca="1" si="69"/>
        <v>1</v>
      </c>
      <c r="AA230" s="126">
        <f t="shared" ref="AA230:AN245" ca="1" si="76">$AT230</f>
        <v>1</v>
      </c>
      <c r="AB230" s="127">
        <f t="shared" ca="1" si="76"/>
        <v>1</v>
      </c>
      <c r="AC230" s="127">
        <f t="shared" ca="1" si="76"/>
        <v>1</v>
      </c>
      <c r="AD230" s="127">
        <f t="shared" ca="1" si="76"/>
        <v>1</v>
      </c>
      <c r="AE230" s="128">
        <f t="shared" ca="1" si="76"/>
        <v>1</v>
      </c>
      <c r="AF230" s="126">
        <f t="shared" ca="1" si="76"/>
        <v>1</v>
      </c>
      <c r="AG230" s="127">
        <f t="shared" ca="1" si="76"/>
        <v>1</v>
      </c>
      <c r="AH230" s="127">
        <f t="shared" ca="1" si="76"/>
        <v>1</v>
      </c>
      <c r="AI230" s="127">
        <f t="shared" ca="1" si="76"/>
        <v>1</v>
      </c>
      <c r="AJ230" s="128">
        <f t="shared" ca="1" si="76"/>
        <v>1</v>
      </c>
      <c r="AK230" s="126">
        <f t="shared" ca="1" si="76"/>
        <v>1</v>
      </c>
      <c r="AL230" s="127">
        <f t="shared" ca="1" si="76"/>
        <v>1</v>
      </c>
      <c r="AM230" s="127">
        <f t="shared" ca="1" si="76"/>
        <v>1</v>
      </c>
      <c r="AN230" s="127">
        <f t="shared" ca="1" si="76"/>
        <v>1</v>
      </c>
      <c r="AO230" s="129">
        <f t="shared" ca="1" si="70"/>
        <v>1</v>
      </c>
      <c r="AP230" s="536" t="str">
        <f t="shared" si="71"/>
        <v/>
      </c>
      <c r="AQ230" s="536" t="str">
        <f t="shared" si="72"/>
        <v>X</v>
      </c>
      <c r="AR230" s="536" t="str">
        <f t="shared" si="73"/>
        <v/>
      </c>
      <c r="AS230" s="537">
        <f>IF(OR(J230&lt;&gt;"",AP230&amp;AQ230&amp;AR230&lt;&gt;"X",WEEKDAY(I230,2)&gt;5,C230&lt;&gt;0,(FechaInicio1Tri&gt;I230),(FechaFinEEva&lt;I230)),0,_xlfn.XLOOKUP(WEEKDAY(I230,2),Fchs!$J$10:$N$10,Fchs!$J$12:$N$12))</f>
        <v>1</v>
      </c>
      <c r="AT230" s="536">
        <f t="shared" ca="1" si="74"/>
        <v>1</v>
      </c>
      <c r="AU230" s="538">
        <f>IF(AS230&lt;&gt;0,MAXA($AU$14:AU229)+AS230,0)</f>
        <v>92</v>
      </c>
      <c r="AV230" s="538">
        <f ca="1">IF(AT230&lt;&gt;0,MAXA($AU$14:AU229)+AT230,0)</f>
        <v>92</v>
      </c>
      <c r="AW230" s="69"/>
    </row>
    <row r="231" spans="1:49" ht="18.75" customHeight="1" x14ac:dyDescent="0.25">
      <c r="A231" s="69"/>
      <c r="B231" s="56" t="str">
        <f>MID(Info!$AZ$3,(WEEKDAY(I231,2)-1)*3+1,3)</f>
        <v>Sáb</v>
      </c>
      <c r="C231" s="523">
        <f>_xlfn.XLOOKUP(I231,Fchs!$I$108:$I$149,Fchs!$J$108:$J$149,0)</f>
        <v>0</v>
      </c>
      <c r="D231" s="523">
        <f>_xlfn.XLOOKUP(I231,Fchs!$I$108:$I$149,Fchs!$K$108:$K$149)</f>
        <v>0</v>
      </c>
      <c r="E231" s="532">
        <f>IF($AS231&lt;&gt;0,_xlfn.XLOOKUP($G231,UDs!$E$34:$E$55,UDs!$B$34:$B$55,,-1),0)</f>
        <v>0</v>
      </c>
      <c r="F231" s="532">
        <f t="shared" ca="1" si="68"/>
        <v>0</v>
      </c>
      <c r="G231" s="569">
        <f>IF(AU231&lt;&gt;0,MAX($AU$13:$AU230)+1,0)</f>
        <v>0</v>
      </c>
      <c r="H231" s="569" t="str">
        <f>IF(AS231&lt;&gt;0,COUNT($H$14:H230,1),"")</f>
        <v/>
      </c>
      <c r="I231" s="533">
        <f t="shared" si="75"/>
        <v>46095</v>
      </c>
      <c r="J231" s="534"/>
      <c r="K231" s="535"/>
      <c r="L231" s="126">
        <f t="shared" ref="L231:AA246" ca="1" si="77">$AT231</f>
        <v>0</v>
      </c>
      <c r="M231" s="127">
        <f t="shared" ca="1" si="77"/>
        <v>0</v>
      </c>
      <c r="N231" s="127">
        <f t="shared" ca="1" si="77"/>
        <v>0</v>
      </c>
      <c r="O231" s="127">
        <f t="shared" ca="1" si="77"/>
        <v>0</v>
      </c>
      <c r="P231" s="128">
        <f t="shared" ca="1" si="77"/>
        <v>0</v>
      </c>
      <c r="Q231" s="126">
        <f t="shared" ca="1" si="77"/>
        <v>0</v>
      </c>
      <c r="R231" s="127">
        <f t="shared" ca="1" si="77"/>
        <v>0</v>
      </c>
      <c r="S231" s="127">
        <f t="shared" ca="1" si="77"/>
        <v>0</v>
      </c>
      <c r="T231" s="127">
        <f t="shared" ca="1" si="77"/>
        <v>0</v>
      </c>
      <c r="U231" s="128">
        <f t="shared" ca="1" si="77"/>
        <v>0</v>
      </c>
      <c r="V231" s="126">
        <f t="shared" ca="1" si="77"/>
        <v>0</v>
      </c>
      <c r="W231" s="127">
        <f t="shared" ca="1" si="77"/>
        <v>0</v>
      </c>
      <c r="X231" s="127">
        <f t="shared" ca="1" si="77"/>
        <v>0</v>
      </c>
      <c r="Y231" s="127">
        <f t="shared" ca="1" si="77"/>
        <v>0</v>
      </c>
      <c r="Z231" s="128">
        <f t="shared" ca="1" si="77"/>
        <v>0</v>
      </c>
      <c r="AA231" s="126">
        <f t="shared" ca="1" si="77"/>
        <v>0</v>
      </c>
      <c r="AB231" s="127">
        <f t="shared" ca="1" si="76"/>
        <v>0</v>
      </c>
      <c r="AC231" s="127">
        <f t="shared" ca="1" si="76"/>
        <v>0</v>
      </c>
      <c r="AD231" s="127">
        <f t="shared" ca="1" si="76"/>
        <v>0</v>
      </c>
      <c r="AE231" s="128">
        <f t="shared" ca="1" si="76"/>
        <v>0</v>
      </c>
      <c r="AF231" s="126">
        <f t="shared" ca="1" si="76"/>
        <v>0</v>
      </c>
      <c r="AG231" s="127">
        <f t="shared" ca="1" si="76"/>
        <v>0</v>
      </c>
      <c r="AH231" s="127">
        <f t="shared" ca="1" si="76"/>
        <v>0</v>
      </c>
      <c r="AI231" s="127">
        <f t="shared" ca="1" si="76"/>
        <v>0</v>
      </c>
      <c r="AJ231" s="128">
        <f t="shared" ca="1" si="76"/>
        <v>0</v>
      </c>
      <c r="AK231" s="126">
        <f t="shared" ca="1" si="76"/>
        <v>0</v>
      </c>
      <c r="AL231" s="127">
        <f t="shared" ca="1" si="76"/>
        <v>0</v>
      </c>
      <c r="AM231" s="127">
        <f t="shared" ca="1" si="76"/>
        <v>0</v>
      </c>
      <c r="AN231" s="127">
        <f t="shared" ca="1" si="76"/>
        <v>0</v>
      </c>
      <c r="AO231" s="129">
        <f t="shared" ca="1" si="70"/>
        <v>0</v>
      </c>
      <c r="AP231" s="536" t="str">
        <f t="shared" si="71"/>
        <v/>
      </c>
      <c r="AQ231" s="536" t="str">
        <f t="shared" si="72"/>
        <v/>
      </c>
      <c r="AR231" s="536" t="str">
        <f t="shared" si="73"/>
        <v/>
      </c>
      <c r="AS231" s="537">
        <f>IF(OR(J231&lt;&gt;"",AP231&amp;AQ231&amp;AR231&lt;&gt;"X",WEEKDAY(I231,2)&gt;5,C231&lt;&gt;0,(FechaInicio1Tri&gt;I231),(FechaFinEEva&lt;I231)),0,_xlfn.XLOOKUP(WEEKDAY(I231,2),Fchs!$J$10:$N$10,Fchs!$J$12:$N$12))</f>
        <v>0</v>
      </c>
      <c r="AT231" s="536">
        <f t="shared" ca="1" si="74"/>
        <v>0</v>
      </c>
      <c r="AU231" s="538">
        <f>IF(AS231&lt;&gt;0,MAXA($AU$14:AU230)+AS231,0)</f>
        <v>0</v>
      </c>
      <c r="AV231" s="538">
        <f ca="1">IF(AT231&lt;&gt;0,MAXA($AU$14:AU230)+AT231,0)</f>
        <v>0</v>
      </c>
      <c r="AW231" s="69"/>
    </row>
    <row r="232" spans="1:49" ht="18.75" customHeight="1" x14ac:dyDescent="0.25">
      <c r="A232" s="69"/>
      <c r="B232" s="56" t="str">
        <f>MID(Info!$AZ$3,(WEEKDAY(I232,2)-1)*3+1,3)</f>
        <v>Dom</v>
      </c>
      <c r="C232" s="523">
        <f>_xlfn.XLOOKUP(I232,Fchs!$I$108:$I$149,Fchs!$J$108:$J$149,0)</f>
        <v>0</v>
      </c>
      <c r="D232" s="523">
        <f>_xlfn.XLOOKUP(I232,Fchs!$I$108:$I$149,Fchs!$K$108:$K$149)</f>
        <v>0</v>
      </c>
      <c r="E232" s="532">
        <f>IF($AS232&lt;&gt;0,_xlfn.XLOOKUP($G232,UDs!$E$34:$E$55,UDs!$B$34:$B$55,,-1),0)</f>
        <v>0</v>
      </c>
      <c r="F232" s="532">
        <f t="shared" ca="1" si="68"/>
        <v>0</v>
      </c>
      <c r="G232" s="569">
        <f>IF(AU232&lt;&gt;0,MAX($AU$13:$AU231)+1,0)</f>
        <v>0</v>
      </c>
      <c r="H232" s="569" t="str">
        <f>IF(AS232&lt;&gt;0,COUNT($H$14:H231,1),"")</f>
        <v/>
      </c>
      <c r="I232" s="533">
        <f t="shared" si="75"/>
        <v>46096</v>
      </c>
      <c r="J232" s="534"/>
      <c r="K232" s="535"/>
      <c r="L232" s="126">
        <f t="shared" ca="1" si="77"/>
        <v>0</v>
      </c>
      <c r="M232" s="127">
        <f t="shared" ca="1" si="77"/>
        <v>0</v>
      </c>
      <c r="N232" s="127">
        <f t="shared" ca="1" si="77"/>
        <v>0</v>
      </c>
      <c r="O232" s="127">
        <f t="shared" ca="1" si="77"/>
        <v>0</v>
      </c>
      <c r="P232" s="128">
        <f t="shared" ca="1" si="77"/>
        <v>0</v>
      </c>
      <c r="Q232" s="126">
        <f t="shared" ca="1" si="77"/>
        <v>0</v>
      </c>
      <c r="R232" s="127">
        <f t="shared" ca="1" si="77"/>
        <v>0</v>
      </c>
      <c r="S232" s="127">
        <f t="shared" ca="1" si="77"/>
        <v>0</v>
      </c>
      <c r="T232" s="127">
        <f t="shared" ca="1" si="77"/>
        <v>0</v>
      </c>
      <c r="U232" s="128">
        <f t="shared" ca="1" si="77"/>
        <v>0</v>
      </c>
      <c r="V232" s="126">
        <f t="shared" ca="1" si="77"/>
        <v>0</v>
      </c>
      <c r="W232" s="127">
        <f t="shared" ca="1" si="77"/>
        <v>0</v>
      </c>
      <c r="X232" s="127">
        <f t="shared" ca="1" si="77"/>
        <v>0</v>
      </c>
      <c r="Y232" s="127">
        <f t="shared" ca="1" si="77"/>
        <v>0</v>
      </c>
      <c r="Z232" s="128">
        <f t="shared" ca="1" si="77"/>
        <v>0</v>
      </c>
      <c r="AA232" s="126">
        <f t="shared" ca="1" si="77"/>
        <v>0</v>
      </c>
      <c r="AB232" s="127">
        <f t="shared" ca="1" si="76"/>
        <v>0</v>
      </c>
      <c r="AC232" s="127">
        <f t="shared" ca="1" si="76"/>
        <v>0</v>
      </c>
      <c r="AD232" s="127">
        <f t="shared" ca="1" si="76"/>
        <v>0</v>
      </c>
      <c r="AE232" s="128">
        <f t="shared" ca="1" si="76"/>
        <v>0</v>
      </c>
      <c r="AF232" s="126">
        <f t="shared" ca="1" si="76"/>
        <v>0</v>
      </c>
      <c r="AG232" s="127">
        <f t="shared" ca="1" si="76"/>
        <v>0</v>
      </c>
      <c r="AH232" s="127">
        <f t="shared" ca="1" si="76"/>
        <v>0</v>
      </c>
      <c r="AI232" s="127">
        <f t="shared" ca="1" si="76"/>
        <v>0</v>
      </c>
      <c r="AJ232" s="128">
        <f t="shared" ca="1" si="76"/>
        <v>0</v>
      </c>
      <c r="AK232" s="126">
        <f t="shared" ca="1" si="76"/>
        <v>0</v>
      </c>
      <c r="AL232" s="127">
        <f t="shared" ca="1" si="76"/>
        <v>0</v>
      </c>
      <c r="AM232" s="127">
        <f t="shared" ca="1" si="76"/>
        <v>0</v>
      </c>
      <c r="AN232" s="127">
        <f t="shared" ca="1" si="76"/>
        <v>0</v>
      </c>
      <c r="AO232" s="129">
        <f t="shared" ca="1" si="70"/>
        <v>0</v>
      </c>
      <c r="AP232" s="536" t="str">
        <f t="shared" si="71"/>
        <v/>
      </c>
      <c r="AQ232" s="536" t="str">
        <f t="shared" si="72"/>
        <v/>
      </c>
      <c r="AR232" s="536" t="str">
        <f t="shared" si="73"/>
        <v/>
      </c>
      <c r="AS232" s="537">
        <f>IF(OR(J232&lt;&gt;"",AP232&amp;AQ232&amp;AR232&lt;&gt;"X",WEEKDAY(I232,2)&gt;5,C232&lt;&gt;0,(FechaInicio1Tri&gt;I232),(FechaFinEEva&lt;I232)),0,_xlfn.XLOOKUP(WEEKDAY(I232,2),Fchs!$J$10:$N$10,Fchs!$J$12:$N$12))</f>
        <v>0</v>
      </c>
      <c r="AT232" s="536">
        <f t="shared" ca="1" si="74"/>
        <v>0</v>
      </c>
      <c r="AU232" s="538">
        <f>IF(AS232&lt;&gt;0,MAXA($AU$14:AU231)+AS232,0)</f>
        <v>0</v>
      </c>
      <c r="AV232" s="538">
        <f ca="1">IF(AT232&lt;&gt;0,MAXA($AU$14:AU231)+AT232,0)</f>
        <v>0</v>
      </c>
      <c r="AW232" s="69"/>
    </row>
    <row r="233" spans="1:49" ht="18.75" customHeight="1" x14ac:dyDescent="0.25">
      <c r="A233" s="69"/>
      <c r="B233" s="56" t="str">
        <f>MID(Info!$AZ$3,(WEEKDAY(I233,2)-1)*3+1,3)</f>
        <v>Lun</v>
      </c>
      <c r="C233" s="523">
        <f>_xlfn.XLOOKUP(I233,Fchs!$I$108:$I$149,Fchs!$J$108:$J$149,0)</f>
        <v>0</v>
      </c>
      <c r="D233" s="523">
        <f>_xlfn.XLOOKUP(I233,Fchs!$I$108:$I$149,Fchs!$K$108:$K$149)</f>
        <v>0</v>
      </c>
      <c r="E233" s="532" t="str">
        <f>IF($AS233&lt;&gt;0,_xlfn.XLOOKUP($G233,UDs!$E$34:$E$55,UDs!$B$34:$B$55,,-1),0)</f>
        <v/>
      </c>
      <c r="F233" s="532" t="str">
        <f t="shared" ca="1" si="68"/>
        <v/>
      </c>
      <c r="G233" s="569">
        <f>IF(AU233&lt;&gt;0,MAX($AU$13:$AU232)+1,0)</f>
        <v>93</v>
      </c>
      <c r="H233" s="569">
        <f>IF(AS233&lt;&gt;0,COUNT($H$14:H232,1),"")</f>
        <v>93</v>
      </c>
      <c r="I233" s="533">
        <f t="shared" si="75"/>
        <v>46097</v>
      </c>
      <c r="J233" s="534"/>
      <c r="K233" s="535"/>
      <c r="L233" s="126">
        <f t="shared" ca="1" si="77"/>
        <v>1</v>
      </c>
      <c r="M233" s="127">
        <f t="shared" ca="1" si="77"/>
        <v>1</v>
      </c>
      <c r="N233" s="127">
        <f t="shared" ca="1" si="77"/>
        <v>1</v>
      </c>
      <c r="O233" s="127">
        <f t="shared" ca="1" si="77"/>
        <v>1</v>
      </c>
      <c r="P233" s="128">
        <f t="shared" ca="1" si="77"/>
        <v>1</v>
      </c>
      <c r="Q233" s="126">
        <f t="shared" ca="1" si="77"/>
        <v>1</v>
      </c>
      <c r="R233" s="127">
        <f t="shared" ca="1" si="77"/>
        <v>1</v>
      </c>
      <c r="S233" s="127">
        <f t="shared" ca="1" si="77"/>
        <v>1</v>
      </c>
      <c r="T233" s="127">
        <f t="shared" ca="1" si="77"/>
        <v>1</v>
      </c>
      <c r="U233" s="128">
        <f t="shared" ca="1" si="77"/>
        <v>1</v>
      </c>
      <c r="V233" s="126">
        <f t="shared" ca="1" si="77"/>
        <v>1</v>
      </c>
      <c r="W233" s="127">
        <f t="shared" ca="1" si="77"/>
        <v>1</v>
      </c>
      <c r="X233" s="127">
        <f t="shared" ca="1" si="77"/>
        <v>1</v>
      </c>
      <c r="Y233" s="127">
        <f t="shared" ca="1" si="77"/>
        <v>1</v>
      </c>
      <c r="Z233" s="128">
        <f t="shared" ca="1" si="77"/>
        <v>1</v>
      </c>
      <c r="AA233" s="126">
        <f t="shared" ca="1" si="77"/>
        <v>1</v>
      </c>
      <c r="AB233" s="127">
        <f t="shared" ca="1" si="76"/>
        <v>1</v>
      </c>
      <c r="AC233" s="127">
        <f t="shared" ca="1" si="76"/>
        <v>1</v>
      </c>
      <c r="AD233" s="127">
        <f t="shared" ca="1" si="76"/>
        <v>1</v>
      </c>
      <c r="AE233" s="128">
        <f t="shared" ca="1" si="76"/>
        <v>1</v>
      </c>
      <c r="AF233" s="126">
        <f t="shared" ca="1" si="76"/>
        <v>1</v>
      </c>
      <c r="AG233" s="127">
        <f t="shared" ca="1" si="76"/>
        <v>1</v>
      </c>
      <c r="AH233" s="127">
        <f t="shared" ca="1" si="76"/>
        <v>1</v>
      </c>
      <c r="AI233" s="127">
        <f t="shared" ca="1" si="76"/>
        <v>1</v>
      </c>
      <c r="AJ233" s="128">
        <f t="shared" ca="1" si="76"/>
        <v>1</v>
      </c>
      <c r="AK233" s="126">
        <f t="shared" ca="1" si="76"/>
        <v>1</v>
      </c>
      <c r="AL233" s="127">
        <f t="shared" ca="1" si="76"/>
        <v>1</v>
      </c>
      <c r="AM233" s="127">
        <f t="shared" ca="1" si="76"/>
        <v>1</v>
      </c>
      <c r="AN233" s="127">
        <f t="shared" ca="1" si="76"/>
        <v>1</v>
      </c>
      <c r="AO233" s="129">
        <f t="shared" ca="1" si="70"/>
        <v>1</v>
      </c>
      <c r="AP233" s="536" t="str">
        <f t="shared" si="71"/>
        <v/>
      </c>
      <c r="AQ233" s="536" t="str">
        <f t="shared" si="72"/>
        <v/>
      </c>
      <c r="AR233" s="536" t="str">
        <f t="shared" si="73"/>
        <v>X</v>
      </c>
      <c r="AS233" s="537">
        <f>IF(OR(J233&lt;&gt;"",AP233&amp;AQ233&amp;AR233&lt;&gt;"X",WEEKDAY(I233,2)&gt;5,C233&lt;&gt;0,(FechaInicio1Tri&gt;I233),(FechaFinEEva&lt;I233)),0,_xlfn.XLOOKUP(WEEKDAY(I233,2),Fchs!$J$10:$N$10,Fchs!$J$12:$N$12))</f>
        <v>1</v>
      </c>
      <c r="AT233" s="536">
        <f t="shared" ca="1" si="74"/>
        <v>1</v>
      </c>
      <c r="AU233" s="538">
        <f>IF(AS233&lt;&gt;0,MAXA($AU$14:AU232)+AS233,0)</f>
        <v>93</v>
      </c>
      <c r="AV233" s="538">
        <f ca="1">IF(AT233&lt;&gt;0,MAXA($AU$14:AU232)+AT233,0)</f>
        <v>93</v>
      </c>
      <c r="AW233" s="69"/>
    </row>
    <row r="234" spans="1:49" ht="18.75" customHeight="1" x14ac:dyDescent="0.25">
      <c r="A234" s="69"/>
      <c r="B234" s="56" t="str">
        <f>MID(Info!$AZ$3,(WEEKDAY(I234,2)-1)*3+1,3)</f>
        <v>Mar</v>
      </c>
      <c r="C234" s="523">
        <f>_xlfn.XLOOKUP(I234,Fchs!$I$108:$I$149,Fchs!$J$108:$J$149,0)</f>
        <v>0</v>
      </c>
      <c r="D234" s="523">
        <f>_xlfn.XLOOKUP(I234,Fchs!$I$108:$I$149,Fchs!$K$108:$K$149)</f>
        <v>0</v>
      </c>
      <c r="E234" s="532" t="str">
        <f>IF($AS234&lt;&gt;0,_xlfn.XLOOKUP($G234,UDs!$E$34:$E$55,UDs!$B$34:$B$55,,-1),0)</f>
        <v/>
      </c>
      <c r="F234" s="532" t="str">
        <f t="shared" ca="1" si="68"/>
        <v/>
      </c>
      <c r="G234" s="569">
        <f>IF(AU234&lt;&gt;0,MAX($AU$13:$AU233)+1,0)</f>
        <v>94</v>
      </c>
      <c r="H234" s="569">
        <f>IF(AS234&lt;&gt;0,COUNT($H$14:H233,1),"")</f>
        <v>94</v>
      </c>
      <c r="I234" s="533">
        <f t="shared" si="75"/>
        <v>46098</v>
      </c>
      <c r="J234" s="534"/>
      <c r="K234" s="535"/>
      <c r="L234" s="126">
        <f t="shared" ca="1" si="77"/>
        <v>1</v>
      </c>
      <c r="M234" s="127">
        <f t="shared" ca="1" si="77"/>
        <v>1</v>
      </c>
      <c r="N234" s="127">
        <f t="shared" ca="1" si="77"/>
        <v>1</v>
      </c>
      <c r="O234" s="127">
        <f t="shared" ca="1" si="77"/>
        <v>1</v>
      </c>
      <c r="P234" s="128">
        <f t="shared" ca="1" si="77"/>
        <v>1</v>
      </c>
      <c r="Q234" s="126">
        <f t="shared" ca="1" si="77"/>
        <v>1</v>
      </c>
      <c r="R234" s="127">
        <f t="shared" ca="1" si="77"/>
        <v>1</v>
      </c>
      <c r="S234" s="127">
        <f t="shared" ca="1" si="77"/>
        <v>1</v>
      </c>
      <c r="T234" s="127">
        <f t="shared" ca="1" si="77"/>
        <v>1</v>
      </c>
      <c r="U234" s="128">
        <f t="shared" ca="1" si="77"/>
        <v>1</v>
      </c>
      <c r="V234" s="126">
        <f t="shared" ca="1" si="77"/>
        <v>1</v>
      </c>
      <c r="W234" s="127">
        <f t="shared" ca="1" si="77"/>
        <v>1</v>
      </c>
      <c r="X234" s="127">
        <f t="shared" ca="1" si="77"/>
        <v>1</v>
      </c>
      <c r="Y234" s="127">
        <f t="shared" ca="1" si="77"/>
        <v>1</v>
      </c>
      <c r="Z234" s="128">
        <f t="shared" ca="1" si="77"/>
        <v>1</v>
      </c>
      <c r="AA234" s="126">
        <f t="shared" ca="1" si="77"/>
        <v>1</v>
      </c>
      <c r="AB234" s="127">
        <f t="shared" ca="1" si="76"/>
        <v>1</v>
      </c>
      <c r="AC234" s="127">
        <f t="shared" ca="1" si="76"/>
        <v>1</v>
      </c>
      <c r="AD234" s="127">
        <f t="shared" ca="1" si="76"/>
        <v>1</v>
      </c>
      <c r="AE234" s="128">
        <f t="shared" ca="1" si="76"/>
        <v>1</v>
      </c>
      <c r="AF234" s="126">
        <f t="shared" ca="1" si="76"/>
        <v>1</v>
      </c>
      <c r="AG234" s="127">
        <f t="shared" ca="1" si="76"/>
        <v>1</v>
      </c>
      <c r="AH234" s="127">
        <f t="shared" ca="1" si="76"/>
        <v>1</v>
      </c>
      <c r="AI234" s="127">
        <f t="shared" ca="1" si="76"/>
        <v>1</v>
      </c>
      <c r="AJ234" s="128">
        <f t="shared" ca="1" si="76"/>
        <v>1</v>
      </c>
      <c r="AK234" s="126">
        <f t="shared" ca="1" si="76"/>
        <v>1</v>
      </c>
      <c r="AL234" s="127">
        <f t="shared" ca="1" si="76"/>
        <v>1</v>
      </c>
      <c r="AM234" s="127">
        <f t="shared" ca="1" si="76"/>
        <v>1</v>
      </c>
      <c r="AN234" s="127">
        <f t="shared" ca="1" si="76"/>
        <v>1</v>
      </c>
      <c r="AO234" s="129">
        <f t="shared" ca="1" si="70"/>
        <v>1</v>
      </c>
      <c r="AP234" s="536" t="str">
        <f t="shared" si="71"/>
        <v/>
      </c>
      <c r="AQ234" s="536" t="str">
        <f t="shared" si="72"/>
        <v/>
      </c>
      <c r="AR234" s="536" t="str">
        <f t="shared" si="73"/>
        <v>X</v>
      </c>
      <c r="AS234" s="537">
        <f>IF(OR(J234&lt;&gt;"",AP234&amp;AQ234&amp;AR234&lt;&gt;"X",WEEKDAY(I234,2)&gt;5,C234&lt;&gt;0,(FechaInicio1Tri&gt;I234),(FechaFinEEva&lt;I234)),0,_xlfn.XLOOKUP(WEEKDAY(I234,2),Fchs!$J$10:$N$10,Fchs!$J$12:$N$12))</f>
        <v>1</v>
      </c>
      <c r="AT234" s="536">
        <f t="shared" ca="1" si="74"/>
        <v>1</v>
      </c>
      <c r="AU234" s="538">
        <f>IF(AS234&lt;&gt;0,MAXA($AU$14:AU233)+AS234,0)</f>
        <v>94</v>
      </c>
      <c r="AV234" s="538">
        <f ca="1">IF(AT234&lt;&gt;0,MAXA($AU$14:AU233)+AT234,0)</f>
        <v>94</v>
      </c>
      <c r="AW234" s="69"/>
    </row>
    <row r="235" spans="1:49" ht="18.75" customHeight="1" x14ac:dyDescent="0.25">
      <c r="A235" s="69"/>
      <c r="B235" s="56" t="str">
        <f>MID(Info!$AZ$3,(WEEKDAY(I235,2)-1)*3+1,3)</f>
        <v>Mié</v>
      </c>
      <c r="C235" s="523">
        <f>_xlfn.XLOOKUP(I235,Fchs!$I$108:$I$149,Fchs!$J$108:$J$149,0)</f>
        <v>0</v>
      </c>
      <c r="D235" s="523" t="str">
        <f>_xlfn.XLOOKUP(I235,Fchs!$I$108:$I$149,Fchs!$K$108:$K$149)</f>
        <v>2ºGx-Ini.FCT</v>
      </c>
      <c r="E235" s="532" t="str">
        <f>IF($AS235&lt;&gt;0,_xlfn.XLOOKUP($G235,UDs!$E$34:$E$55,UDs!$B$34:$B$55,,-1),0)</f>
        <v/>
      </c>
      <c r="F235" s="532" t="str">
        <f t="shared" ca="1" si="68"/>
        <v/>
      </c>
      <c r="G235" s="569">
        <f>IF(AU235&lt;&gt;0,MAX($AU$13:$AU234)+1,0)</f>
        <v>95</v>
      </c>
      <c r="H235" s="569">
        <f>IF(AS235&lt;&gt;0,COUNT($H$14:H234,1),"")</f>
        <v>95</v>
      </c>
      <c r="I235" s="533">
        <f t="shared" si="75"/>
        <v>46099</v>
      </c>
      <c r="J235" s="534"/>
      <c r="K235" s="535"/>
      <c r="L235" s="126">
        <f t="shared" ca="1" si="77"/>
        <v>1</v>
      </c>
      <c r="M235" s="127">
        <f t="shared" ca="1" si="77"/>
        <v>1</v>
      </c>
      <c r="N235" s="127">
        <f t="shared" ca="1" si="77"/>
        <v>1</v>
      </c>
      <c r="O235" s="127">
        <f t="shared" ca="1" si="77"/>
        <v>1</v>
      </c>
      <c r="P235" s="128">
        <f t="shared" ca="1" si="77"/>
        <v>1</v>
      </c>
      <c r="Q235" s="126">
        <f t="shared" ca="1" si="77"/>
        <v>1</v>
      </c>
      <c r="R235" s="127">
        <f t="shared" ca="1" si="77"/>
        <v>1</v>
      </c>
      <c r="S235" s="127">
        <f t="shared" ca="1" si="77"/>
        <v>1</v>
      </c>
      <c r="T235" s="127">
        <f t="shared" ca="1" si="77"/>
        <v>1</v>
      </c>
      <c r="U235" s="128">
        <f t="shared" ca="1" si="77"/>
        <v>1</v>
      </c>
      <c r="V235" s="126">
        <f t="shared" ca="1" si="77"/>
        <v>1</v>
      </c>
      <c r="W235" s="127">
        <f t="shared" ca="1" si="77"/>
        <v>1</v>
      </c>
      <c r="X235" s="127">
        <f t="shared" ca="1" si="77"/>
        <v>1</v>
      </c>
      <c r="Y235" s="127">
        <f t="shared" ca="1" si="77"/>
        <v>1</v>
      </c>
      <c r="Z235" s="128">
        <f t="shared" ca="1" si="77"/>
        <v>1</v>
      </c>
      <c r="AA235" s="126">
        <f t="shared" ca="1" si="77"/>
        <v>1</v>
      </c>
      <c r="AB235" s="127">
        <f t="shared" ca="1" si="76"/>
        <v>1</v>
      </c>
      <c r="AC235" s="127">
        <f t="shared" ca="1" si="76"/>
        <v>1</v>
      </c>
      <c r="AD235" s="127">
        <f t="shared" ca="1" si="76"/>
        <v>1</v>
      </c>
      <c r="AE235" s="128">
        <f t="shared" ca="1" si="76"/>
        <v>1</v>
      </c>
      <c r="AF235" s="126">
        <f t="shared" ca="1" si="76"/>
        <v>1</v>
      </c>
      <c r="AG235" s="127">
        <f t="shared" ca="1" si="76"/>
        <v>1</v>
      </c>
      <c r="AH235" s="127">
        <f t="shared" ca="1" si="76"/>
        <v>1</v>
      </c>
      <c r="AI235" s="127">
        <f t="shared" ca="1" si="76"/>
        <v>1</v>
      </c>
      <c r="AJ235" s="128">
        <f t="shared" ca="1" si="76"/>
        <v>1</v>
      </c>
      <c r="AK235" s="126">
        <f t="shared" ca="1" si="76"/>
        <v>1</v>
      </c>
      <c r="AL235" s="127">
        <f t="shared" ca="1" si="76"/>
        <v>1</v>
      </c>
      <c r="AM235" s="127">
        <f t="shared" ca="1" si="76"/>
        <v>1</v>
      </c>
      <c r="AN235" s="127">
        <f t="shared" ca="1" si="76"/>
        <v>1</v>
      </c>
      <c r="AO235" s="129">
        <f t="shared" ca="1" si="70"/>
        <v>1</v>
      </c>
      <c r="AP235" s="536" t="str">
        <f t="shared" si="71"/>
        <v/>
      </c>
      <c r="AQ235" s="536" t="str">
        <f t="shared" si="72"/>
        <v/>
      </c>
      <c r="AR235" s="536" t="str">
        <f t="shared" si="73"/>
        <v>X</v>
      </c>
      <c r="AS235" s="537">
        <f>IF(OR(J235&lt;&gt;"",AP235&amp;AQ235&amp;AR235&lt;&gt;"X",WEEKDAY(I235,2)&gt;5,C235&lt;&gt;0,(FechaInicio1Tri&gt;I235),(FechaFinEEva&lt;I235)),0,_xlfn.XLOOKUP(WEEKDAY(I235,2),Fchs!$J$10:$N$10,Fchs!$J$12:$N$12))</f>
        <v>1</v>
      </c>
      <c r="AT235" s="536">
        <f t="shared" ca="1" si="74"/>
        <v>1</v>
      </c>
      <c r="AU235" s="538">
        <f>IF(AS235&lt;&gt;0,MAXA($AU$14:AU234)+AS235,0)</f>
        <v>95</v>
      </c>
      <c r="AV235" s="538">
        <f ca="1">IF(AT235&lt;&gt;0,MAXA($AU$14:AU234)+AT235,0)</f>
        <v>95</v>
      </c>
      <c r="AW235" s="69"/>
    </row>
    <row r="236" spans="1:49" ht="18.75" customHeight="1" x14ac:dyDescent="0.25">
      <c r="A236" s="69"/>
      <c r="B236" s="56" t="str">
        <f>MID(Info!$AZ$3,(WEEKDAY(I236,2)-1)*3+1,3)</f>
        <v>Jue</v>
      </c>
      <c r="C236" s="523">
        <f>_xlfn.XLOOKUP(I236,Fchs!$I$108:$I$149,Fchs!$J$108:$J$149,0)</f>
        <v>0</v>
      </c>
      <c r="D236" s="523">
        <f>_xlfn.XLOOKUP(I236,Fchs!$I$108:$I$149,Fchs!$K$108:$K$149)</f>
        <v>0</v>
      </c>
      <c r="E236" s="532" t="str">
        <f>IF($AS236&lt;&gt;0,_xlfn.XLOOKUP($G236,UDs!$E$34:$E$55,UDs!$B$34:$B$55,,-1),0)</f>
        <v/>
      </c>
      <c r="F236" s="532">
        <f t="shared" ca="1" si="68"/>
        <v>0</v>
      </c>
      <c r="G236" s="569">
        <f>IF(AU236&lt;&gt;0,MAX($AU$13:$AU235)+1,0)</f>
        <v>96</v>
      </c>
      <c r="H236" s="569">
        <f>IF(AS236&lt;&gt;0,COUNT($H$14:H235,1),"")</f>
        <v>96</v>
      </c>
      <c r="I236" s="533">
        <f t="shared" si="75"/>
        <v>46100</v>
      </c>
      <c r="J236" s="534"/>
      <c r="K236" s="535"/>
      <c r="L236" s="126">
        <f t="shared" ca="1" si="77"/>
        <v>0</v>
      </c>
      <c r="M236" s="127">
        <f t="shared" ca="1" si="77"/>
        <v>0</v>
      </c>
      <c r="N236" s="127">
        <f t="shared" ca="1" si="77"/>
        <v>0</v>
      </c>
      <c r="O236" s="127">
        <f t="shared" ca="1" si="77"/>
        <v>0</v>
      </c>
      <c r="P236" s="128">
        <f t="shared" ca="1" si="77"/>
        <v>0</v>
      </c>
      <c r="Q236" s="126">
        <f t="shared" ca="1" si="77"/>
        <v>0</v>
      </c>
      <c r="R236" s="127">
        <f t="shared" ca="1" si="77"/>
        <v>0</v>
      </c>
      <c r="S236" s="127">
        <f t="shared" ca="1" si="77"/>
        <v>0</v>
      </c>
      <c r="T236" s="127">
        <f t="shared" ca="1" si="77"/>
        <v>0</v>
      </c>
      <c r="U236" s="128">
        <f t="shared" ca="1" si="77"/>
        <v>0</v>
      </c>
      <c r="V236" s="126">
        <f t="shared" ca="1" si="77"/>
        <v>0</v>
      </c>
      <c r="W236" s="127">
        <f t="shared" ca="1" si="77"/>
        <v>0</v>
      </c>
      <c r="X236" s="127">
        <f t="shared" ca="1" si="77"/>
        <v>0</v>
      </c>
      <c r="Y236" s="127">
        <f t="shared" ca="1" si="77"/>
        <v>0</v>
      </c>
      <c r="Z236" s="128">
        <f t="shared" ca="1" si="77"/>
        <v>0</v>
      </c>
      <c r="AA236" s="126">
        <f t="shared" ca="1" si="77"/>
        <v>0</v>
      </c>
      <c r="AB236" s="127">
        <f t="shared" ca="1" si="76"/>
        <v>0</v>
      </c>
      <c r="AC236" s="127">
        <f t="shared" ca="1" si="76"/>
        <v>0</v>
      </c>
      <c r="AD236" s="127">
        <f t="shared" ca="1" si="76"/>
        <v>0</v>
      </c>
      <c r="AE236" s="128">
        <f t="shared" ca="1" si="76"/>
        <v>0</v>
      </c>
      <c r="AF236" s="126">
        <f t="shared" ca="1" si="76"/>
        <v>0</v>
      </c>
      <c r="AG236" s="127">
        <f t="shared" ca="1" si="76"/>
        <v>0</v>
      </c>
      <c r="AH236" s="127">
        <f t="shared" ca="1" si="76"/>
        <v>0</v>
      </c>
      <c r="AI236" s="127">
        <f t="shared" ca="1" si="76"/>
        <v>0</v>
      </c>
      <c r="AJ236" s="128">
        <f t="shared" ca="1" si="76"/>
        <v>0</v>
      </c>
      <c r="AK236" s="126">
        <f t="shared" ca="1" si="76"/>
        <v>0</v>
      </c>
      <c r="AL236" s="127">
        <f t="shared" ca="1" si="76"/>
        <v>0</v>
      </c>
      <c r="AM236" s="127">
        <f t="shared" ca="1" si="76"/>
        <v>0</v>
      </c>
      <c r="AN236" s="127">
        <f t="shared" ca="1" si="76"/>
        <v>0</v>
      </c>
      <c r="AO236" s="129">
        <f t="shared" ca="1" si="70"/>
        <v>0</v>
      </c>
      <c r="AP236" s="536" t="str">
        <f t="shared" si="71"/>
        <v/>
      </c>
      <c r="AQ236" s="536" t="str">
        <f t="shared" si="72"/>
        <v/>
      </c>
      <c r="AR236" s="536" t="str">
        <f t="shared" si="73"/>
        <v>X</v>
      </c>
      <c r="AS236" s="537">
        <f>IF(OR(J236&lt;&gt;"",AP236&amp;AQ236&amp;AR236&lt;&gt;"X",WEEKDAY(I236,2)&gt;5,C236&lt;&gt;0,(FechaInicio1Tri&gt;I236),(FechaFinEEva&lt;I236)),0,_xlfn.XLOOKUP(WEEKDAY(I236,2),Fchs!$J$10:$N$10,Fchs!$J$12:$N$12))</f>
        <v>1</v>
      </c>
      <c r="AT236" s="536">
        <f t="shared" ca="1" si="74"/>
        <v>0</v>
      </c>
      <c r="AU236" s="538">
        <f>IF(AS236&lt;&gt;0,MAXA($AU$14:AU235)+AS236,0)</f>
        <v>96</v>
      </c>
      <c r="AV236" s="538">
        <f ca="1">IF(AT236&lt;&gt;0,MAXA($AU$14:AU235)+AT236,0)</f>
        <v>0</v>
      </c>
      <c r="AW236" s="69"/>
    </row>
    <row r="237" spans="1:49" ht="18.75" customHeight="1" x14ac:dyDescent="0.25">
      <c r="A237" s="69"/>
      <c r="B237" s="56" t="str">
        <f>MID(Info!$AZ$3,(WEEKDAY(I237,2)-1)*3+1,3)</f>
        <v>Vie</v>
      </c>
      <c r="C237" s="523">
        <f>_xlfn.XLOOKUP(I237,Fchs!$I$108:$I$149,Fchs!$J$108:$J$149,0)</f>
        <v>0</v>
      </c>
      <c r="D237" s="523">
        <f>_xlfn.XLOOKUP(I237,Fchs!$I$108:$I$149,Fchs!$K$108:$K$149)</f>
        <v>0</v>
      </c>
      <c r="E237" s="532" t="str">
        <f>IF($AS237&lt;&gt;0,_xlfn.XLOOKUP($G237,UDs!$E$34:$E$55,UDs!$B$34:$B$55,,-1),0)</f>
        <v/>
      </c>
      <c r="F237" s="532">
        <f t="shared" ca="1" si="68"/>
        <v>0</v>
      </c>
      <c r="G237" s="569">
        <f>IF(AU237&lt;&gt;0,MAX($AU$13:$AU236)+1,0)</f>
        <v>97</v>
      </c>
      <c r="H237" s="569">
        <f>IF(AS237&lt;&gt;0,COUNT($H$14:H236,1),"")</f>
        <v>97</v>
      </c>
      <c r="I237" s="533">
        <f t="shared" si="75"/>
        <v>46101</v>
      </c>
      <c r="J237" s="534"/>
      <c r="K237" s="535"/>
      <c r="L237" s="126">
        <f t="shared" ca="1" si="77"/>
        <v>0</v>
      </c>
      <c r="M237" s="127">
        <f t="shared" ca="1" si="77"/>
        <v>0</v>
      </c>
      <c r="N237" s="127">
        <f t="shared" ca="1" si="77"/>
        <v>0</v>
      </c>
      <c r="O237" s="127">
        <f t="shared" ca="1" si="77"/>
        <v>0</v>
      </c>
      <c r="P237" s="128">
        <f t="shared" ca="1" si="77"/>
        <v>0</v>
      </c>
      <c r="Q237" s="126">
        <f t="shared" ca="1" si="77"/>
        <v>0</v>
      </c>
      <c r="R237" s="127">
        <f t="shared" ca="1" si="77"/>
        <v>0</v>
      </c>
      <c r="S237" s="127">
        <f t="shared" ca="1" si="77"/>
        <v>0</v>
      </c>
      <c r="T237" s="127">
        <f t="shared" ca="1" si="77"/>
        <v>0</v>
      </c>
      <c r="U237" s="128">
        <f t="shared" ca="1" si="77"/>
        <v>0</v>
      </c>
      <c r="V237" s="126">
        <f t="shared" ca="1" si="77"/>
        <v>0</v>
      </c>
      <c r="W237" s="127">
        <f t="shared" ca="1" si="77"/>
        <v>0</v>
      </c>
      <c r="X237" s="127">
        <f t="shared" ca="1" si="77"/>
        <v>0</v>
      </c>
      <c r="Y237" s="127">
        <f t="shared" ca="1" si="77"/>
        <v>0</v>
      </c>
      <c r="Z237" s="128">
        <f t="shared" ca="1" si="77"/>
        <v>0</v>
      </c>
      <c r="AA237" s="126">
        <f t="shared" ca="1" si="77"/>
        <v>0</v>
      </c>
      <c r="AB237" s="127">
        <f t="shared" ca="1" si="76"/>
        <v>0</v>
      </c>
      <c r="AC237" s="127">
        <f t="shared" ca="1" si="76"/>
        <v>0</v>
      </c>
      <c r="AD237" s="127">
        <f t="shared" ca="1" si="76"/>
        <v>0</v>
      </c>
      <c r="AE237" s="128">
        <f t="shared" ca="1" si="76"/>
        <v>0</v>
      </c>
      <c r="AF237" s="126">
        <f t="shared" ca="1" si="76"/>
        <v>0</v>
      </c>
      <c r="AG237" s="127">
        <f t="shared" ca="1" si="76"/>
        <v>0</v>
      </c>
      <c r="AH237" s="127">
        <f t="shared" ca="1" si="76"/>
        <v>0</v>
      </c>
      <c r="AI237" s="127">
        <f t="shared" ca="1" si="76"/>
        <v>0</v>
      </c>
      <c r="AJ237" s="128">
        <f t="shared" ca="1" si="76"/>
        <v>0</v>
      </c>
      <c r="AK237" s="126">
        <f t="shared" ca="1" si="76"/>
        <v>0</v>
      </c>
      <c r="AL237" s="127">
        <f t="shared" ca="1" si="76"/>
        <v>0</v>
      </c>
      <c r="AM237" s="127">
        <f t="shared" ca="1" si="76"/>
        <v>0</v>
      </c>
      <c r="AN237" s="127">
        <f t="shared" ca="1" si="76"/>
        <v>0</v>
      </c>
      <c r="AO237" s="129">
        <f t="shared" ca="1" si="70"/>
        <v>0</v>
      </c>
      <c r="AP237" s="536" t="str">
        <f t="shared" si="71"/>
        <v/>
      </c>
      <c r="AQ237" s="536" t="str">
        <f t="shared" si="72"/>
        <v/>
      </c>
      <c r="AR237" s="536" t="str">
        <f t="shared" si="73"/>
        <v>X</v>
      </c>
      <c r="AS237" s="537">
        <f>IF(OR(J237&lt;&gt;"",AP237&amp;AQ237&amp;AR237&lt;&gt;"X",WEEKDAY(I237,2)&gt;5,C237&lt;&gt;0,(FechaInicio1Tri&gt;I237),(FechaFinEEva&lt;I237)),0,_xlfn.XLOOKUP(WEEKDAY(I237,2),Fchs!$J$10:$N$10,Fchs!$J$12:$N$12))</f>
        <v>1</v>
      </c>
      <c r="AT237" s="536">
        <f t="shared" ca="1" si="74"/>
        <v>0</v>
      </c>
      <c r="AU237" s="538">
        <f>IF(AS237&lt;&gt;0,MAXA($AU$14:AU236)+AS237,0)</f>
        <v>97</v>
      </c>
      <c r="AV237" s="538">
        <f ca="1">IF(AT237&lt;&gt;0,MAXA($AU$14:AU236)+AT237,0)</f>
        <v>0</v>
      </c>
      <c r="AW237" s="69"/>
    </row>
    <row r="238" spans="1:49" ht="18.75" customHeight="1" x14ac:dyDescent="0.25">
      <c r="A238" s="69"/>
      <c r="B238" s="56" t="str">
        <f>MID(Info!$AZ$3,(WEEKDAY(I238,2)-1)*3+1,3)</f>
        <v>Sáb</v>
      </c>
      <c r="C238" s="523">
        <f>_xlfn.XLOOKUP(I238,Fchs!$I$108:$I$149,Fchs!$J$108:$J$149,0)</f>
        <v>0</v>
      </c>
      <c r="D238" s="523">
        <f>_xlfn.XLOOKUP(I238,Fchs!$I$108:$I$149,Fchs!$K$108:$K$149)</f>
        <v>0</v>
      </c>
      <c r="E238" s="532">
        <f>IF($AS238&lt;&gt;0,_xlfn.XLOOKUP($G238,UDs!$E$34:$E$55,UDs!$B$34:$B$55,,-1),0)</f>
        <v>0</v>
      </c>
      <c r="F238" s="532">
        <f t="shared" ca="1" si="68"/>
        <v>0</v>
      </c>
      <c r="G238" s="569">
        <f>IF(AU238&lt;&gt;0,MAX($AU$13:$AU237)+1,0)</f>
        <v>0</v>
      </c>
      <c r="H238" s="569" t="str">
        <f>IF(AS238&lt;&gt;0,COUNT($H$14:H237,1),"")</f>
        <v/>
      </c>
      <c r="I238" s="533">
        <f t="shared" si="75"/>
        <v>46102</v>
      </c>
      <c r="J238" s="534"/>
      <c r="K238" s="535"/>
      <c r="L238" s="126">
        <f t="shared" ca="1" si="77"/>
        <v>0</v>
      </c>
      <c r="M238" s="127">
        <f t="shared" ca="1" si="77"/>
        <v>0</v>
      </c>
      <c r="N238" s="127">
        <f t="shared" ca="1" si="77"/>
        <v>0</v>
      </c>
      <c r="O238" s="127">
        <f t="shared" ca="1" si="77"/>
        <v>0</v>
      </c>
      <c r="P238" s="128">
        <f t="shared" ca="1" si="77"/>
        <v>0</v>
      </c>
      <c r="Q238" s="126">
        <f t="shared" ca="1" si="77"/>
        <v>0</v>
      </c>
      <c r="R238" s="127">
        <f t="shared" ca="1" si="77"/>
        <v>0</v>
      </c>
      <c r="S238" s="127">
        <f t="shared" ca="1" si="77"/>
        <v>0</v>
      </c>
      <c r="T238" s="127">
        <f t="shared" ca="1" si="77"/>
        <v>0</v>
      </c>
      <c r="U238" s="128">
        <f t="shared" ca="1" si="77"/>
        <v>0</v>
      </c>
      <c r="V238" s="126">
        <f t="shared" ca="1" si="77"/>
        <v>0</v>
      </c>
      <c r="W238" s="127">
        <f t="shared" ca="1" si="77"/>
        <v>0</v>
      </c>
      <c r="X238" s="127">
        <f t="shared" ca="1" si="77"/>
        <v>0</v>
      </c>
      <c r="Y238" s="127">
        <f t="shared" ca="1" si="77"/>
        <v>0</v>
      </c>
      <c r="Z238" s="128">
        <f t="shared" ca="1" si="77"/>
        <v>0</v>
      </c>
      <c r="AA238" s="126">
        <f t="shared" ca="1" si="77"/>
        <v>0</v>
      </c>
      <c r="AB238" s="127">
        <f t="shared" ca="1" si="76"/>
        <v>0</v>
      </c>
      <c r="AC238" s="127">
        <f t="shared" ca="1" si="76"/>
        <v>0</v>
      </c>
      <c r="AD238" s="127">
        <f t="shared" ca="1" si="76"/>
        <v>0</v>
      </c>
      <c r="AE238" s="128">
        <f t="shared" ca="1" si="76"/>
        <v>0</v>
      </c>
      <c r="AF238" s="126">
        <f t="shared" ca="1" si="76"/>
        <v>0</v>
      </c>
      <c r="AG238" s="127">
        <f t="shared" ca="1" si="76"/>
        <v>0</v>
      </c>
      <c r="AH238" s="127">
        <f t="shared" ca="1" si="76"/>
        <v>0</v>
      </c>
      <c r="AI238" s="127">
        <f t="shared" ca="1" si="76"/>
        <v>0</v>
      </c>
      <c r="AJ238" s="128">
        <f t="shared" ca="1" si="76"/>
        <v>0</v>
      </c>
      <c r="AK238" s="126">
        <f t="shared" ca="1" si="76"/>
        <v>0</v>
      </c>
      <c r="AL238" s="127">
        <f t="shared" ca="1" si="76"/>
        <v>0</v>
      </c>
      <c r="AM238" s="127">
        <f t="shared" ca="1" si="76"/>
        <v>0</v>
      </c>
      <c r="AN238" s="127">
        <f t="shared" ca="1" si="76"/>
        <v>0</v>
      </c>
      <c r="AO238" s="129">
        <f t="shared" ca="1" si="70"/>
        <v>0</v>
      </c>
      <c r="AP238" s="536" t="str">
        <f t="shared" si="71"/>
        <v/>
      </c>
      <c r="AQ238" s="536" t="str">
        <f t="shared" si="72"/>
        <v/>
      </c>
      <c r="AR238" s="536" t="str">
        <f t="shared" si="73"/>
        <v/>
      </c>
      <c r="AS238" s="537">
        <f>IF(OR(J238&lt;&gt;"",AP238&amp;AQ238&amp;AR238&lt;&gt;"X",WEEKDAY(I238,2)&gt;5,C238&lt;&gt;0,(FechaInicio1Tri&gt;I238),(FechaFinEEva&lt;I238)),0,_xlfn.XLOOKUP(WEEKDAY(I238,2),Fchs!$J$10:$N$10,Fchs!$J$12:$N$12))</f>
        <v>0</v>
      </c>
      <c r="AT238" s="536">
        <f t="shared" ca="1" si="74"/>
        <v>0</v>
      </c>
      <c r="AU238" s="538">
        <f>IF(AS238&lt;&gt;0,MAXA($AU$14:AU237)+AS238,0)</f>
        <v>0</v>
      </c>
      <c r="AV238" s="538">
        <f ca="1">IF(AT238&lt;&gt;0,MAXA($AU$14:AU237)+AT238,0)</f>
        <v>0</v>
      </c>
      <c r="AW238" s="69"/>
    </row>
    <row r="239" spans="1:49" ht="18.75" customHeight="1" x14ac:dyDescent="0.25">
      <c r="A239" s="69"/>
      <c r="B239" s="56" t="str">
        <f>MID(Info!$AZ$3,(WEEKDAY(I239,2)-1)*3+1,3)</f>
        <v>Dom</v>
      </c>
      <c r="C239" s="523">
        <f>_xlfn.XLOOKUP(I239,Fchs!$I$108:$I$149,Fchs!$J$108:$J$149,0)</f>
        <v>0</v>
      </c>
      <c r="D239" s="523">
        <f>_xlfn.XLOOKUP(I239,Fchs!$I$108:$I$149,Fchs!$K$108:$K$149)</f>
        <v>0</v>
      </c>
      <c r="E239" s="532">
        <f>IF($AS239&lt;&gt;0,_xlfn.XLOOKUP($G239,UDs!$E$34:$E$55,UDs!$B$34:$B$55,,-1),0)</f>
        <v>0</v>
      </c>
      <c r="F239" s="532">
        <f t="shared" ca="1" si="68"/>
        <v>0</v>
      </c>
      <c r="G239" s="569">
        <f>IF(AU239&lt;&gt;0,MAX($AU$13:$AU238)+1,0)</f>
        <v>0</v>
      </c>
      <c r="H239" s="569" t="str">
        <f>IF(AS239&lt;&gt;0,COUNT($H$14:H238,1),"")</f>
        <v/>
      </c>
      <c r="I239" s="533">
        <f t="shared" si="75"/>
        <v>46103</v>
      </c>
      <c r="J239" s="534"/>
      <c r="K239" s="535"/>
      <c r="L239" s="126">
        <f t="shared" ca="1" si="77"/>
        <v>0</v>
      </c>
      <c r="M239" s="127">
        <f t="shared" ca="1" si="77"/>
        <v>0</v>
      </c>
      <c r="N239" s="127">
        <f t="shared" ca="1" si="77"/>
        <v>0</v>
      </c>
      <c r="O239" s="127">
        <f t="shared" ca="1" si="77"/>
        <v>0</v>
      </c>
      <c r="P239" s="128">
        <f t="shared" ca="1" si="77"/>
        <v>0</v>
      </c>
      <c r="Q239" s="126">
        <f t="shared" ca="1" si="77"/>
        <v>0</v>
      </c>
      <c r="R239" s="127">
        <f t="shared" ca="1" si="77"/>
        <v>0</v>
      </c>
      <c r="S239" s="127">
        <f t="shared" ca="1" si="77"/>
        <v>0</v>
      </c>
      <c r="T239" s="127">
        <f t="shared" ca="1" si="77"/>
        <v>0</v>
      </c>
      <c r="U239" s="128">
        <f t="shared" ca="1" si="77"/>
        <v>0</v>
      </c>
      <c r="V239" s="126">
        <f t="shared" ca="1" si="77"/>
        <v>0</v>
      </c>
      <c r="W239" s="127">
        <f t="shared" ca="1" si="77"/>
        <v>0</v>
      </c>
      <c r="X239" s="127">
        <f t="shared" ca="1" si="77"/>
        <v>0</v>
      </c>
      <c r="Y239" s="127">
        <f t="shared" ca="1" si="77"/>
        <v>0</v>
      </c>
      <c r="Z239" s="128">
        <f t="shared" ca="1" si="77"/>
        <v>0</v>
      </c>
      <c r="AA239" s="126">
        <f t="shared" ca="1" si="77"/>
        <v>0</v>
      </c>
      <c r="AB239" s="127">
        <f t="shared" ca="1" si="76"/>
        <v>0</v>
      </c>
      <c r="AC239" s="127">
        <f t="shared" ca="1" si="76"/>
        <v>0</v>
      </c>
      <c r="AD239" s="127">
        <f t="shared" ca="1" si="76"/>
        <v>0</v>
      </c>
      <c r="AE239" s="128">
        <f t="shared" ca="1" si="76"/>
        <v>0</v>
      </c>
      <c r="AF239" s="126">
        <f t="shared" ca="1" si="76"/>
        <v>0</v>
      </c>
      <c r="AG239" s="127">
        <f t="shared" ca="1" si="76"/>
        <v>0</v>
      </c>
      <c r="AH239" s="127">
        <f t="shared" ca="1" si="76"/>
        <v>0</v>
      </c>
      <c r="AI239" s="127">
        <f t="shared" ca="1" si="76"/>
        <v>0</v>
      </c>
      <c r="AJ239" s="128">
        <f t="shared" ca="1" si="76"/>
        <v>0</v>
      </c>
      <c r="AK239" s="126">
        <f t="shared" ca="1" si="76"/>
        <v>0</v>
      </c>
      <c r="AL239" s="127">
        <f t="shared" ca="1" si="76"/>
        <v>0</v>
      </c>
      <c r="AM239" s="127">
        <f t="shared" ca="1" si="76"/>
        <v>0</v>
      </c>
      <c r="AN239" s="127">
        <f t="shared" ca="1" si="76"/>
        <v>0</v>
      </c>
      <c r="AO239" s="129">
        <f t="shared" ca="1" si="70"/>
        <v>0</v>
      </c>
      <c r="AP239" s="536" t="str">
        <f t="shared" si="71"/>
        <v/>
      </c>
      <c r="AQ239" s="536" t="str">
        <f t="shared" si="72"/>
        <v/>
      </c>
      <c r="AR239" s="536" t="str">
        <f t="shared" si="73"/>
        <v/>
      </c>
      <c r="AS239" s="537">
        <f>IF(OR(J239&lt;&gt;"",AP239&amp;AQ239&amp;AR239&lt;&gt;"X",WEEKDAY(I239,2)&gt;5,C239&lt;&gt;0,(FechaInicio1Tri&gt;I239),(FechaFinEEva&lt;I239)),0,_xlfn.XLOOKUP(WEEKDAY(I239,2),Fchs!$J$10:$N$10,Fchs!$J$12:$N$12))</f>
        <v>0</v>
      </c>
      <c r="AT239" s="536">
        <f t="shared" ca="1" si="74"/>
        <v>0</v>
      </c>
      <c r="AU239" s="538">
        <f>IF(AS239&lt;&gt;0,MAXA($AU$14:AU238)+AS239,0)</f>
        <v>0</v>
      </c>
      <c r="AV239" s="538">
        <f ca="1">IF(AT239&lt;&gt;0,MAXA($AU$14:AU238)+AT239,0)</f>
        <v>0</v>
      </c>
      <c r="AW239" s="69"/>
    </row>
    <row r="240" spans="1:49" ht="18.75" customHeight="1" x14ac:dyDescent="0.25">
      <c r="A240" s="69"/>
      <c r="B240" s="56" t="str">
        <f>MID(Info!$AZ$3,(WEEKDAY(I240,2)-1)*3+1,3)</f>
        <v>Lun</v>
      </c>
      <c r="C240" s="523">
        <f>_xlfn.XLOOKUP(I240,Fchs!$I$108:$I$149,Fchs!$J$108:$J$149,0)</f>
        <v>0</v>
      </c>
      <c r="D240" s="523">
        <f>_xlfn.XLOOKUP(I240,Fchs!$I$108:$I$149,Fchs!$K$108:$K$149)</f>
        <v>0</v>
      </c>
      <c r="E240" s="532" t="str">
        <f>IF($AS240&lt;&gt;0,_xlfn.XLOOKUP($G240,UDs!$E$34:$E$55,UDs!$B$34:$B$55,,-1),0)</f>
        <v/>
      </c>
      <c r="F240" s="532">
        <f t="shared" ca="1" si="68"/>
        <v>0</v>
      </c>
      <c r="G240" s="569">
        <f>IF(AU240&lt;&gt;0,MAX($AU$13:$AU239)+1,0)</f>
        <v>98</v>
      </c>
      <c r="H240" s="569">
        <f>IF(AS240&lt;&gt;0,COUNT($H$14:H239,1),"")</f>
        <v>98</v>
      </c>
      <c r="I240" s="533">
        <f t="shared" si="75"/>
        <v>46104</v>
      </c>
      <c r="J240" s="534"/>
      <c r="K240" s="535"/>
      <c r="L240" s="126">
        <f t="shared" ca="1" si="77"/>
        <v>0</v>
      </c>
      <c r="M240" s="127">
        <f t="shared" ca="1" si="77"/>
        <v>0</v>
      </c>
      <c r="N240" s="127">
        <f t="shared" ca="1" si="77"/>
        <v>0</v>
      </c>
      <c r="O240" s="127">
        <f t="shared" ca="1" si="77"/>
        <v>0</v>
      </c>
      <c r="P240" s="128">
        <f t="shared" ca="1" si="77"/>
        <v>0</v>
      </c>
      <c r="Q240" s="126">
        <f t="shared" ca="1" si="77"/>
        <v>0</v>
      </c>
      <c r="R240" s="127">
        <f t="shared" ca="1" si="77"/>
        <v>0</v>
      </c>
      <c r="S240" s="127">
        <f t="shared" ca="1" si="77"/>
        <v>0</v>
      </c>
      <c r="T240" s="127">
        <f t="shared" ca="1" si="77"/>
        <v>0</v>
      </c>
      <c r="U240" s="128">
        <f t="shared" ca="1" si="77"/>
        <v>0</v>
      </c>
      <c r="V240" s="126">
        <f t="shared" ca="1" si="77"/>
        <v>0</v>
      </c>
      <c r="W240" s="127">
        <f t="shared" ca="1" si="77"/>
        <v>0</v>
      </c>
      <c r="X240" s="127">
        <f t="shared" ca="1" si="77"/>
        <v>0</v>
      </c>
      <c r="Y240" s="127">
        <f t="shared" ca="1" si="77"/>
        <v>0</v>
      </c>
      <c r="Z240" s="128">
        <f t="shared" ca="1" si="77"/>
        <v>0</v>
      </c>
      <c r="AA240" s="126">
        <f t="shared" ca="1" si="77"/>
        <v>0</v>
      </c>
      <c r="AB240" s="127">
        <f t="shared" ca="1" si="76"/>
        <v>0</v>
      </c>
      <c r="AC240" s="127">
        <f t="shared" ca="1" si="76"/>
        <v>0</v>
      </c>
      <c r="AD240" s="127">
        <f t="shared" ca="1" si="76"/>
        <v>0</v>
      </c>
      <c r="AE240" s="128">
        <f t="shared" ca="1" si="76"/>
        <v>0</v>
      </c>
      <c r="AF240" s="126">
        <f t="shared" ca="1" si="76"/>
        <v>0</v>
      </c>
      <c r="AG240" s="127">
        <f t="shared" ca="1" si="76"/>
        <v>0</v>
      </c>
      <c r="AH240" s="127">
        <f t="shared" ca="1" si="76"/>
        <v>0</v>
      </c>
      <c r="AI240" s="127">
        <f t="shared" ca="1" si="76"/>
        <v>0</v>
      </c>
      <c r="AJ240" s="128">
        <f t="shared" ca="1" si="76"/>
        <v>0</v>
      </c>
      <c r="AK240" s="126">
        <f t="shared" ca="1" si="76"/>
        <v>0</v>
      </c>
      <c r="AL240" s="127">
        <f t="shared" ca="1" si="76"/>
        <v>0</v>
      </c>
      <c r="AM240" s="127">
        <f t="shared" ca="1" si="76"/>
        <v>0</v>
      </c>
      <c r="AN240" s="127">
        <f t="shared" ca="1" si="76"/>
        <v>0</v>
      </c>
      <c r="AO240" s="129">
        <f t="shared" ca="1" si="70"/>
        <v>0</v>
      </c>
      <c r="AP240" s="536" t="str">
        <f t="shared" si="71"/>
        <v/>
      </c>
      <c r="AQ240" s="536" t="str">
        <f t="shared" si="72"/>
        <v/>
      </c>
      <c r="AR240" s="536" t="str">
        <f t="shared" si="73"/>
        <v>X</v>
      </c>
      <c r="AS240" s="537">
        <f>IF(OR(J240&lt;&gt;"",AP240&amp;AQ240&amp;AR240&lt;&gt;"X",WEEKDAY(I240,2)&gt;5,C240&lt;&gt;0,(FechaInicio1Tri&gt;I240),(FechaFinEEva&lt;I240)),0,_xlfn.XLOOKUP(WEEKDAY(I240,2),Fchs!$J$10:$N$10,Fchs!$J$12:$N$12))</f>
        <v>1</v>
      </c>
      <c r="AT240" s="536">
        <f t="shared" ca="1" si="74"/>
        <v>0</v>
      </c>
      <c r="AU240" s="538">
        <f>IF(AS240&lt;&gt;0,MAXA($AU$14:AU239)+AS240,0)</f>
        <v>98</v>
      </c>
      <c r="AV240" s="538">
        <f ca="1">IF(AT240&lt;&gt;0,MAXA($AU$14:AU239)+AT240,0)</f>
        <v>0</v>
      </c>
      <c r="AW240" s="69"/>
    </row>
    <row r="241" spans="1:49" ht="18.75" customHeight="1" x14ac:dyDescent="0.25">
      <c r="A241" s="69"/>
      <c r="B241" s="56" t="str">
        <f>MID(Info!$AZ$3,(WEEKDAY(I241,2)-1)*3+1,3)</f>
        <v>Mar</v>
      </c>
      <c r="C241" s="523">
        <f>_xlfn.XLOOKUP(I241,Fchs!$I$108:$I$149,Fchs!$J$108:$J$149,0)</f>
        <v>0</v>
      </c>
      <c r="D241" s="523">
        <f>_xlfn.XLOOKUP(I241,Fchs!$I$108:$I$149,Fchs!$K$108:$K$149)</f>
        <v>0</v>
      </c>
      <c r="E241" s="532" t="str">
        <f>IF($AS241&lt;&gt;0,_xlfn.XLOOKUP($G241,UDs!$E$34:$E$55,UDs!$B$34:$B$55,,-1),0)</f>
        <v/>
      </c>
      <c r="F241" s="532">
        <f t="shared" ca="1" si="68"/>
        <v>0</v>
      </c>
      <c r="G241" s="569">
        <f>IF(AU241&lt;&gt;0,MAX($AU$13:$AU240)+1,0)</f>
        <v>99</v>
      </c>
      <c r="H241" s="569">
        <f>IF(AS241&lt;&gt;0,COUNT($H$14:H240,1),"")</f>
        <v>99</v>
      </c>
      <c r="I241" s="533">
        <f t="shared" si="75"/>
        <v>46105</v>
      </c>
      <c r="J241" s="534"/>
      <c r="K241" s="535"/>
      <c r="L241" s="126">
        <f t="shared" ca="1" si="77"/>
        <v>0</v>
      </c>
      <c r="M241" s="127">
        <f t="shared" ca="1" si="77"/>
        <v>0</v>
      </c>
      <c r="N241" s="127">
        <f t="shared" ca="1" si="77"/>
        <v>0</v>
      </c>
      <c r="O241" s="127">
        <f t="shared" ca="1" si="77"/>
        <v>0</v>
      </c>
      <c r="P241" s="128">
        <f t="shared" ca="1" si="77"/>
        <v>0</v>
      </c>
      <c r="Q241" s="126">
        <f t="shared" ca="1" si="77"/>
        <v>0</v>
      </c>
      <c r="R241" s="127">
        <f t="shared" ca="1" si="77"/>
        <v>0</v>
      </c>
      <c r="S241" s="127">
        <f t="shared" ca="1" si="77"/>
        <v>0</v>
      </c>
      <c r="T241" s="127">
        <f t="shared" ca="1" si="77"/>
        <v>0</v>
      </c>
      <c r="U241" s="128">
        <f t="shared" ca="1" si="77"/>
        <v>0</v>
      </c>
      <c r="V241" s="126">
        <f t="shared" ca="1" si="77"/>
        <v>0</v>
      </c>
      <c r="W241" s="127">
        <f t="shared" ca="1" si="77"/>
        <v>0</v>
      </c>
      <c r="X241" s="127">
        <f t="shared" ca="1" si="77"/>
        <v>0</v>
      </c>
      <c r="Y241" s="127">
        <f t="shared" ca="1" si="77"/>
        <v>0</v>
      </c>
      <c r="Z241" s="128">
        <f t="shared" ca="1" si="77"/>
        <v>0</v>
      </c>
      <c r="AA241" s="126">
        <f t="shared" ca="1" si="77"/>
        <v>0</v>
      </c>
      <c r="AB241" s="127">
        <f t="shared" ca="1" si="76"/>
        <v>0</v>
      </c>
      <c r="AC241" s="127">
        <f t="shared" ca="1" si="76"/>
        <v>0</v>
      </c>
      <c r="AD241" s="127">
        <f t="shared" ca="1" si="76"/>
        <v>0</v>
      </c>
      <c r="AE241" s="128">
        <f t="shared" ca="1" si="76"/>
        <v>0</v>
      </c>
      <c r="AF241" s="126">
        <f t="shared" ca="1" si="76"/>
        <v>0</v>
      </c>
      <c r="AG241" s="127">
        <f t="shared" ca="1" si="76"/>
        <v>0</v>
      </c>
      <c r="AH241" s="127">
        <f t="shared" ca="1" si="76"/>
        <v>0</v>
      </c>
      <c r="AI241" s="127">
        <f t="shared" ca="1" si="76"/>
        <v>0</v>
      </c>
      <c r="AJ241" s="128">
        <f t="shared" ca="1" si="76"/>
        <v>0</v>
      </c>
      <c r="AK241" s="126">
        <f t="shared" ca="1" si="76"/>
        <v>0</v>
      </c>
      <c r="AL241" s="127">
        <f t="shared" ca="1" si="76"/>
        <v>0</v>
      </c>
      <c r="AM241" s="127">
        <f t="shared" ca="1" si="76"/>
        <v>0</v>
      </c>
      <c r="AN241" s="127">
        <f t="shared" ca="1" si="76"/>
        <v>0</v>
      </c>
      <c r="AO241" s="129">
        <f t="shared" ca="1" si="70"/>
        <v>0</v>
      </c>
      <c r="AP241" s="536" t="str">
        <f t="shared" si="71"/>
        <v/>
      </c>
      <c r="AQ241" s="536" t="str">
        <f t="shared" si="72"/>
        <v/>
      </c>
      <c r="AR241" s="536" t="str">
        <f t="shared" si="73"/>
        <v>X</v>
      </c>
      <c r="AS241" s="537">
        <f>IF(OR(J241&lt;&gt;"",AP241&amp;AQ241&amp;AR241&lt;&gt;"X",WEEKDAY(I241,2)&gt;5,C241&lt;&gt;0,(FechaInicio1Tri&gt;I241),(FechaFinEEva&lt;I241)),0,_xlfn.XLOOKUP(WEEKDAY(I241,2),Fchs!$J$10:$N$10,Fchs!$J$12:$N$12))</f>
        <v>1</v>
      </c>
      <c r="AT241" s="536">
        <f t="shared" ca="1" si="74"/>
        <v>0</v>
      </c>
      <c r="AU241" s="538">
        <f>IF(AS241&lt;&gt;0,MAXA($AU$14:AU240)+AS241,0)</f>
        <v>99</v>
      </c>
      <c r="AV241" s="538">
        <f ca="1">IF(AT241&lt;&gt;0,MAXA($AU$14:AU240)+AT241,0)</f>
        <v>0</v>
      </c>
      <c r="AW241" s="69"/>
    </row>
    <row r="242" spans="1:49" ht="18.75" customHeight="1" x14ac:dyDescent="0.25">
      <c r="A242" s="69"/>
      <c r="B242" s="56" t="str">
        <f>MID(Info!$AZ$3,(WEEKDAY(I242,2)-1)*3+1,3)</f>
        <v>Mié</v>
      </c>
      <c r="C242" s="523">
        <f>_xlfn.XLOOKUP(I242,Fchs!$I$108:$I$149,Fchs!$J$108:$J$149,0)</f>
        <v>0</v>
      </c>
      <c r="D242" s="523" t="str">
        <f>_xlfn.XLOOKUP(I242,Fchs!$I$108:$I$149,Fchs!$K$108:$K$149)</f>
        <v>2ºGx-Ini.FCT</v>
      </c>
      <c r="E242" s="532" t="str">
        <f>IF($AS242&lt;&gt;0,_xlfn.XLOOKUP($G242,UDs!$E$34:$E$55,UDs!$B$34:$B$55,,-1),0)</f>
        <v/>
      </c>
      <c r="F242" s="532">
        <f t="shared" ca="1" si="68"/>
        <v>0</v>
      </c>
      <c r="G242" s="569">
        <f>IF(AU242&lt;&gt;0,MAX($AU$13:$AU241)+1,0)</f>
        <v>100</v>
      </c>
      <c r="H242" s="569">
        <f>IF(AS242&lt;&gt;0,COUNT($H$14:H241,1),"")</f>
        <v>100</v>
      </c>
      <c r="I242" s="533">
        <f t="shared" si="75"/>
        <v>46106</v>
      </c>
      <c r="J242" s="534"/>
      <c r="K242" s="535"/>
      <c r="L242" s="126">
        <f t="shared" ca="1" si="77"/>
        <v>0</v>
      </c>
      <c r="M242" s="127">
        <f t="shared" ca="1" si="77"/>
        <v>0</v>
      </c>
      <c r="N242" s="127">
        <f t="shared" ca="1" si="77"/>
        <v>0</v>
      </c>
      <c r="O242" s="127">
        <f t="shared" ca="1" si="77"/>
        <v>0</v>
      </c>
      <c r="P242" s="128">
        <f t="shared" ca="1" si="77"/>
        <v>0</v>
      </c>
      <c r="Q242" s="126">
        <f t="shared" ca="1" si="77"/>
        <v>0</v>
      </c>
      <c r="R242" s="127">
        <f t="shared" ca="1" si="77"/>
        <v>0</v>
      </c>
      <c r="S242" s="127">
        <f t="shared" ca="1" si="77"/>
        <v>0</v>
      </c>
      <c r="T242" s="127">
        <f t="shared" ca="1" si="77"/>
        <v>0</v>
      </c>
      <c r="U242" s="128">
        <f t="shared" ca="1" si="77"/>
        <v>0</v>
      </c>
      <c r="V242" s="126">
        <f t="shared" ca="1" si="77"/>
        <v>0</v>
      </c>
      <c r="W242" s="127">
        <f t="shared" ca="1" si="77"/>
        <v>0</v>
      </c>
      <c r="X242" s="127">
        <f t="shared" ca="1" si="77"/>
        <v>0</v>
      </c>
      <c r="Y242" s="127">
        <f t="shared" ca="1" si="77"/>
        <v>0</v>
      </c>
      <c r="Z242" s="128">
        <f t="shared" ca="1" si="77"/>
        <v>0</v>
      </c>
      <c r="AA242" s="126">
        <f t="shared" ca="1" si="77"/>
        <v>0</v>
      </c>
      <c r="AB242" s="127">
        <f t="shared" ca="1" si="76"/>
        <v>0</v>
      </c>
      <c r="AC242" s="127">
        <f t="shared" ca="1" si="76"/>
        <v>0</v>
      </c>
      <c r="AD242" s="127">
        <f t="shared" ca="1" si="76"/>
        <v>0</v>
      </c>
      <c r="AE242" s="128">
        <f t="shared" ca="1" si="76"/>
        <v>0</v>
      </c>
      <c r="AF242" s="126">
        <f t="shared" ca="1" si="76"/>
        <v>0</v>
      </c>
      <c r="AG242" s="127">
        <f t="shared" ca="1" si="76"/>
        <v>0</v>
      </c>
      <c r="AH242" s="127">
        <f t="shared" ca="1" si="76"/>
        <v>0</v>
      </c>
      <c r="AI242" s="127">
        <f t="shared" ca="1" si="76"/>
        <v>0</v>
      </c>
      <c r="AJ242" s="128">
        <f t="shared" ca="1" si="76"/>
        <v>0</v>
      </c>
      <c r="AK242" s="126">
        <f t="shared" ca="1" si="76"/>
        <v>0</v>
      </c>
      <c r="AL242" s="127">
        <f t="shared" ca="1" si="76"/>
        <v>0</v>
      </c>
      <c r="AM242" s="127">
        <f t="shared" ca="1" si="76"/>
        <v>0</v>
      </c>
      <c r="AN242" s="127">
        <f t="shared" ca="1" si="76"/>
        <v>0</v>
      </c>
      <c r="AO242" s="129">
        <f t="shared" ca="1" si="70"/>
        <v>0</v>
      </c>
      <c r="AP242" s="536" t="str">
        <f t="shared" si="71"/>
        <v/>
      </c>
      <c r="AQ242" s="536" t="str">
        <f t="shared" si="72"/>
        <v/>
      </c>
      <c r="AR242" s="536" t="str">
        <f t="shared" si="73"/>
        <v>X</v>
      </c>
      <c r="AS242" s="537">
        <f>IF(OR(J242&lt;&gt;"",AP242&amp;AQ242&amp;AR242&lt;&gt;"X",WEEKDAY(I242,2)&gt;5,C242&lt;&gt;0,(FechaInicio1Tri&gt;I242),(FechaFinEEva&lt;I242)),0,_xlfn.XLOOKUP(WEEKDAY(I242,2),Fchs!$J$10:$N$10,Fchs!$J$12:$N$12))</f>
        <v>1</v>
      </c>
      <c r="AT242" s="536">
        <f t="shared" ca="1" si="74"/>
        <v>0</v>
      </c>
      <c r="AU242" s="538">
        <f>IF(AS242&lt;&gt;0,MAXA($AU$14:AU241)+AS242,0)</f>
        <v>100</v>
      </c>
      <c r="AV242" s="538">
        <f ca="1">IF(AT242&lt;&gt;0,MAXA($AU$14:AU241)+AT242,0)</f>
        <v>0</v>
      </c>
      <c r="AW242" s="69"/>
    </row>
    <row r="243" spans="1:49" ht="18.75" customHeight="1" x14ac:dyDescent="0.25">
      <c r="A243" s="69"/>
      <c r="B243" s="56" t="str">
        <f>MID(Info!$AZ$3,(WEEKDAY(I243,2)-1)*3+1,3)</f>
        <v>Jue</v>
      </c>
      <c r="C243" s="523">
        <f>_xlfn.XLOOKUP(I243,Fchs!$I$108:$I$149,Fchs!$J$108:$J$149,0)</f>
        <v>0</v>
      </c>
      <c r="D243" s="523">
        <f>_xlfn.XLOOKUP(I243,Fchs!$I$108:$I$149,Fchs!$K$108:$K$149)</f>
        <v>0</v>
      </c>
      <c r="E243" s="532" t="str">
        <f>IF($AS243&lt;&gt;0,_xlfn.XLOOKUP($G243,UDs!$E$34:$E$55,UDs!$B$34:$B$55,,-1),0)</f>
        <v/>
      </c>
      <c r="F243" s="532">
        <f t="shared" ca="1" si="68"/>
        <v>0</v>
      </c>
      <c r="G243" s="569">
        <f>IF(AU243&lt;&gt;0,MAX($AU$13:$AU242)+1,0)</f>
        <v>101</v>
      </c>
      <c r="H243" s="569">
        <f>IF(AS243&lt;&gt;0,COUNT($H$14:H242,1),"")</f>
        <v>101</v>
      </c>
      <c r="I243" s="533">
        <f t="shared" si="75"/>
        <v>46107</v>
      </c>
      <c r="J243" s="534"/>
      <c r="K243" s="535"/>
      <c r="L243" s="126">
        <f t="shared" ca="1" si="77"/>
        <v>0</v>
      </c>
      <c r="M243" s="127">
        <f t="shared" ca="1" si="77"/>
        <v>0</v>
      </c>
      <c r="N243" s="127">
        <f t="shared" ca="1" si="77"/>
        <v>0</v>
      </c>
      <c r="O243" s="127">
        <f t="shared" ca="1" si="77"/>
        <v>0</v>
      </c>
      <c r="P243" s="128">
        <f t="shared" ca="1" si="77"/>
        <v>0</v>
      </c>
      <c r="Q243" s="126">
        <f t="shared" ca="1" si="77"/>
        <v>0</v>
      </c>
      <c r="R243" s="127">
        <f t="shared" ca="1" si="77"/>
        <v>0</v>
      </c>
      <c r="S243" s="127">
        <f t="shared" ca="1" si="77"/>
        <v>0</v>
      </c>
      <c r="T243" s="127">
        <f t="shared" ca="1" si="77"/>
        <v>0</v>
      </c>
      <c r="U243" s="128">
        <f t="shared" ca="1" si="77"/>
        <v>0</v>
      </c>
      <c r="V243" s="126">
        <f t="shared" ca="1" si="77"/>
        <v>0</v>
      </c>
      <c r="W243" s="127">
        <f t="shared" ca="1" si="77"/>
        <v>0</v>
      </c>
      <c r="X243" s="127">
        <f t="shared" ca="1" si="77"/>
        <v>0</v>
      </c>
      <c r="Y243" s="127">
        <f t="shared" ca="1" si="77"/>
        <v>0</v>
      </c>
      <c r="Z243" s="128">
        <f t="shared" ca="1" si="77"/>
        <v>0</v>
      </c>
      <c r="AA243" s="126">
        <f t="shared" ca="1" si="77"/>
        <v>0</v>
      </c>
      <c r="AB243" s="127">
        <f t="shared" ca="1" si="76"/>
        <v>0</v>
      </c>
      <c r="AC243" s="127">
        <f t="shared" ca="1" si="76"/>
        <v>0</v>
      </c>
      <c r="AD243" s="127">
        <f t="shared" ca="1" si="76"/>
        <v>0</v>
      </c>
      <c r="AE243" s="128">
        <f t="shared" ca="1" si="76"/>
        <v>0</v>
      </c>
      <c r="AF243" s="126">
        <f t="shared" ca="1" si="76"/>
        <v>0</v>
      </c>
      <c r="AG243" s="127">
        <f t="shared" ca="1" si="76"/>
        <v>0</v>
      </c>
      <c r="AH243" s="127">
        <f t="shared" ca="1" si="76"/>
        <v>0</v>
      </c>
      <c r="AI243" s="127">
        <f t="shared" ca="1" si="76"/>
        <v>0</v>
      </c>
      <c r="AJ243" s="128">
        <f t="shared" ca="1" si="76"/>
        <v>0</v>
      </c>
      <c r="AK243" s="126">
        <f t="shared" ca="1" si="76"/>
        <v>0</v>
      </c>
      <c r="AL243" s="127">
        <f t="shared" ca="1" si="76"/>
        <v>0</v>
      </c>
      <c r="AM243" s="127">
        <f t="shared" ca="1" si="76"/>
        <v>0</v>
      </c>
      <c r="AN243" s="127">
        <f t="shared" ca="1" si="76"/>
        <v>0</v>
      </c>
      <c r="AO243" s="129">
        <f t="shared" ca="1" si="70"/>
        <v>0</v>
      </c>
      <c r="AP243" s="536" t="str">
        <f t="shared" si="71"/>
        <v/>
      </c>
      <c r="AQ243" s="536" t="str">
        <f t="shared" si="72"/>
        <v/>
      </c>
      <c r="AR243" s="536" t="str">
        <f t="shared" si="73"/>
        <v>X</v>
      </c>
      <c r="AS243" s="537">
        <f>IF(OR(J243&lt;&gt;"",AP243&amp;AQ243&amp;AR243&lt;&gt;"X",WEEKDAY(I243,2)&gt;5,C243&lt;&gt;0,(FechaInicio1Tri&gt;I243),(FechaFinEEva&lt;I243)),0,_xlfn.XLOOKUP(WEEKDAY(I243,2),Fchs!$J$10:$N$10,Fchs!$J$12:$N$12))</f>
        <v>1</v>
      </c>
      <c r="AT243" s="536">
        <f t="shared" ca="1" si="74"/>
        <v>0</v>
      </c>
      <c r="AU243" s="538">
        <f>IF(AS243&lt;&gt;0,MAXA($AU$14:AU242)+AS243,0)</f>
        <v>101</v>
      </c>
      <c r="AV243" s="538">
        <f ca="1">IF(AT243&lt;&gt;0,MAXA($AU$14:AU242)+AT243,0)</f>
        <v>0</v>
      </c>
      <c r="AW243" s="69"/>
    </row>
    <row r="244" spans="1:49" ht="18.75" customHeight="1" x14ac:dyDescent="0.25">
      <c r="A244" s="69"/>
      <c r="B244" s="56" t="str">
        <f>MID(Info!$AZ$3,(WEEKDAY(I244,2)-1)*3+1,3)</f>
        <v>Vie</v>
      </c>
      <c r="C244" s="523">
        <f>_xlfn.XLOOKUP(I244,Fchs!$I$108:$I$149,Fchs!$J$108:$J$149,0)</f>
        <v>0</v>
      </c>
      <c r="D244" s="523">
        <f>_xlfn.XLOOKUP(I244,Fchs!$I$108:$I$149,Fchs!$K$108:$K$149)</f>
        <v>0</v>
      </c>
      <c r="E244" s="532" t="str">
        <f>IF($AS244&lt;&gt;0,_xlfn.XLOOKUP($G244,UDs!$E$34:$E$55,UDs!$B$34:$B$55,,-1),0)</f>
        <v/>
      </c>
      <c r="F244" s="532">
        <f t="shared" ca="1" si="68"/>
        <v>0</v>
      </c>
      <c r="G244" s="569">
        <f>IF(AU244&lt;&gt;0,MAX($AU$13:$AU243)+1,0)</f>
        <v>102</v>
      </c>
      <c r="H244" s="569">
        <f>IF(AS244&lt;&gt;0,COUNT($H$14:H243,1),"")</f>
        <v>102</v>
      </c>
      <c r="I244" s="533">
        <f t="shared" si="75"/>
        <v>46108</v>
      </c>
      <c r="J244" s="534"/>
      <c r="K244" s="535"/>
      <c r="L244" s="126">
        <f t="shared" ca="1" si="77"/>
        <v>0</v>
      </c>
      <c r="M244" s="127">
        <f t="shared" ca="1" si="77"/>
        <v>0</v>
      </c>
      <c r="N244" s="127">
        <f t="shared" ca="1" si="77"/>
        <v>0</v>
      </c>
      <c r="O244" s="127">
        <f t="shared" ca="1" si="77"/>
        <v>0</v>
      </c>
      <c r="P244" s="128">
        <f t="shared" ca="1" si="77"/>
        <v>0</v>
      </c>
      <c r="Q244" s="126">
        <f t="shared" ca="1" si="77"/>
        <v>0</v>
      </c>
      <c r="R244" s="127">
        <f t="shared" ca="1" si="77"/>
        <v>0</v>
      </c>
      <c r="S244" s="127">
        <f t="shared" ca="1" si="77"/>
        <v>0</v>
      </c>
      <c r="T244" s="127">
        <f t="shared" ca="1" si="77"/>
        <v>0</v>
      </c>
      <c r="U244" s="128">
        <f t="shared" ca="1" si="77"/>
        <v>0</v>
      </c>
      <c r="V244" s="126">
        <f t="shared" ca="1" si="77"/>
        <v>0</v>
      </c>
      <c r="W244" s="127">
        <f t="shared" ca="1" si="77"/>
        <v>0</v>
      </c>
      <c r="X244" s="127">
        <f t="shared" ca="1" si="77"/>
        <v>0</v>
      </c>
      <c r="Y244" s="127">
        <f t="shared" ca="1" si="77"/>
        <v>0</v>
      </c>
      <c r="Z244" s="128">
        <f t="shared" ca="1" si="77"/>
        <v>0</v>
      </c>
      <c r="AA244" s="126">
        <f t="shared" ca="1" si="77"/>
        <v>0</v>
      </c>
      <c r="AB244" s="127">
        <f t="shared" ca="1" si="76"/>
        <v>0</v>
      </c>
      <c r="AC244" s="127">
        <f t="shared" ca="1" si="76"/>
        <v>0</v>
      </c>
      <c r="AD244" s="127">
        <f t="shared" ca="1" si="76"/>
        <v>0</v>
      </c>
      <c r="AE244" s="128">
        <f t="shared" ca="1" si="76"/>
        <v>0</v>
      </c>
      <c r="AF244" s="126">
        <f t="shared" ca="1" si="76"/>
        <v>0</v>
      </c>
      <c r="AG244" s="127">
        <f t="shared" ca="1" si="76"/>
        <v>0</v>
      </c>
      <c r="AH244" s="127">
        <f t="shared" ca="1" si="76"/>
        <v>0</v>
      </c>
      <c r="AI244" s="127">
        <f t="shared" ca="1" si="76"/>
        <v>0</v>
      </c>
      <c r="AJ244" s="128">
        <f t="shared" ca="1" si="76"/>
        <v>0</v>
      </c>
      <c r="AK244" s="126">
        <f t="shared" ca="1" si="76"/>
        <v>0</v>
      </c>
      <c r="AL244" s="127">
        <f t="shared" ca="1" si="76"/>
        <v>0</v>
      </c>
      <c r="AM244" s="127">
        <f t="shared" ca="1" si="76"/>
        <v>0</v>
      </c>
      <c r="AN244" s="127">
        <f t="shared" ca="1" si="76"/>
        <v>0</v>
      </c>
      <c r="AO244" s="129">
        <f t="shared" ca="1" si="70"/>
        <v>0</v>
      </c>
      <c r="AP244" s="536" t="str">
        <f t="shared" si="71"/>
        <v/>
      </c>
      <c r="AQ244" s="536" t="str">
        <f t="shared" si="72"/>
        <v/>
      </c>
      <c r="AR244" s="536" t="str">
        <f t="shared" si="73"/>
        <v>X</v>
      </c>
      <c r="AS244" s="537">
        <f>IF(OR(J244&lt;&gt;"",AP244&amp;AQ244&amp;AR244&lt;&gt;"X",WEEKDAY(I244,2)&gt;5,C244&lt;&gt;0,(FechaInicio1Tri&gt;I244),(FechaFinEEva&lt;I244)),0,_xlfn.XLOOKUP(WEEKDAY(I244,2),Fchs!$J$10:$N$10,Fchs!$J$12:$N$12))</f>
        <v>1</v>
      </c>
      <c r="AT244" s="536">
        <f t="shared" ca="1" si="74"/>
        <v>0</v>
      </c>
      <c r="AU244" s="538">
        <f>IF(AS244&lt;&gt;0,MAXA($AU$14:AU243)+AS244,0)</f>
        <v>102</v>
      </c>
      <c r="AV244" s="538">
        <f ca="1">IF(AT244&lt;&gt;0,MAXA($AU$14:AU243)+AT244,0)</f>
        <v>0</v>
      </c>
      <c r="AW244" s="69"/>
    </row>
    <row r="245" spans="1:49" ht="18.75" customHeight="1" x14ac:dyDescent="0.25">
      <c r="A245" s="69"/>
      <c r="B245" s="56" t="str">
        <f>MID(Info!$AZ$3,(WEEKDAY(I245,2)-1)*3+1,3)</f>
        <v>Sáb</v>
      </c>
      <c r="C245" s="523">
        <f>_xlfn.XLOOKUP(I245,Fchs!$I$108:$I$149,Fchs!$J$108:$J$149,0)</f>
        <v>0</v>
      </c>
      <c r="D245" s="523">
        <f>_xlfn.XLOOKUP(I245,Fchs!$I$108:$I$149,Fchs!$K$108:$K$149)</f>
        <v>0</v>
      </c>
      <c r="E245" s="532">
        <f>IF($AS245&lt;&gt;0,_xlfn.XLOOKUP($G245,UDs!$E$34:$E$55,UDs!$B$34:$B$55,,-1),0)</f>
        <v>0</v>
      </c>
      <c r="F245" s="532">
        <f t="shared" ca="1" si="68"/>
        <v>0</v>
      </c>
      <c r="G245" s="569">
        <f>IF(AU245&lt;&gt;0,MAX($AU$13:$AU244)+1,0)</f>
        <v>0</v>
      </c>
      <c r="H245" s="569" t="str">
        <f>IF(AS245&lt;&gt;0,COUNT($H$14:H244,1),"")</f>
        <v/>
      </c>
      <c r="I245" s="533">
        <f t="shared" si="75"/>
        <v>46109</v>
      </c>
      <c r="J245" s="534"/>
      <c r="K245" s="535"/>
      <c r="L245" s="126">
        <f t="shared" ca="1" si="77"/>
        <v>0</v>
      </c>
      <c r="M245" s="127">
        <f t="shared" ca="1" si="77"/>
        <v>0</v>
      </c>
      <c r="N245" s="127">
        <f t="shared" ca="1" si="77"/>
        <v>0</v>
      </c>
      <c r="O245" s="127">
        <f t="shared" ca="1" si="77"/>
        <v>0</v>
      </c>
      <c r="P245" s="128">
        <f t="shared" ca="1" si="77"/>
        <v>0</v>
      </c>
      <c r="Q245" s="126">
        <f t="shared" ca="1" si="77"/>
        <v>0</v>
      </c>
      <c r="R245" s="127">
        <f t="shared" ca="1" si="77"/>
        <v>0</v>
      </c>
      <c r="S245" s="127">
        <f t="shared" ca="1" si="77"/>
        <v>0</v>
      </c>
      <c r="T245" s="127">
        <f t="shared" ca="1" si="77"/>
        <v>0</v>
      </c>
      <c r="U245" s="128">
        <f t="shared" ca="1" si="77"/>
        <v>0</v>
      </c>
      <c r="V245" s="126">
        <f t="shared" ca="1" si="77"/>
        <v>0</v>
      </c>
      <c r="W245" s="127">
        <f t="shared" ca="1" si="77"/>
        <v>0</v>
      </c>
      <c r="X245" s="127">
        <f t="shared" ca="1" si="77"/>
        <v>0</v>
      </c>
      <c r="Y245" s="127">
        <f t="shared" ca="1" si="77"/>
        <v>0</v>
      </c>
      <c r="Z245" s="128">
        <f t="shared" ca="1" si="77"/>
        <v>0</v>
      </c>
      <c r="AA245" s="126">
        <f t="shared" ca="1" si="77"/>
        <v>0</v>
      </c>
      <c r="AB245" s="127">
        <f t="shared" ca="1" si="76"/>
        <v>0</v>
      </c>
      <c r="AC245" s="127">
        <f t="shared" ca="1" si="76"/>
        <v>0</v>
      </c>
      <c r="AD245" s="127">
        <f t="shared" ca="1" si="76"/>
        <v>0</v>
      </c>
      <c r="AE245" s="128">
        <f t="shared" ca="1" si="76"/>
        <v>0</v>
      </c>
      <c r="AF245" s="126">
        <f t="shared" ca="1" si="76"/>
        <v>0</v>
      </c>
      <c r="AG245" s="127">
        <f t="shared" ca="1" si="76"/>
        <v>0</v>
      </c>
      <c r="AH245" s="127">
        <f t="shared" ca="1" si="76"/>
        <v>0</v>
      </c>
      <c r="AI245" s="127">
        <f t="shared" ca="1" si="76"/>
        <v>0</v>
      </c>
      <c r="AJ245" s="128">
        <f t="shared" ca="1" si="76"/>
        <v>0</v>
      </c>
      <c r="AK245" s="126">
        <f t="shared" ca="1" si="76"/>
        <v>0</v>
      </c>
      <c r="AL245" s="127">
        <f t="shared" ca="1" si="76"/>
        <v>0</v>
      </c>
      <c r="AM245" s="127">
        <f t="shared" ca="1" si="76"/>
        <v>0</v>
      </c>
      <c r="AN245" s="127">
        <f t="shared" ca="1" si="76"/>
        <v>0</v>
      </c>
      <c r="AO245" s="129">
        <f t="shared" ca="1" si="70"/>
        <v>0</v>
      </c>
      <c r="AP245" s="536" t="str">
        <f t="shared" si="71"/>
        <v/>
      </c>
      <c r="AQ245" s="536" t="str">
        <f t="shared" si="72"/>
        <v/>
      </c>
      <c r="AR245" s="536" t="str">
        <f t="shared" si="73"/>
        <v/>
      </c>
      <c r="AS245" s="537">
        <f>IF(OR(J245&lt;&gt;"",AP245&amp;AQ245&amp;AR245&lt;&gt;"X",WEEKDAY(I245,2)&gt;5,C245&lt;&gt;0,(FechaInicio1Tri&gt;I245),(FechaFinEEva&lt;I245)),0,_xlfn.XLOOKUP(WEEKDAY(I245,2),Fchs!$J$10:$N$10,Fchs!$J$12:$N$12))</f>
        <v>0</v>
      </c>
      <c r="AT245" s="536">
        <f t="shared" ca="1" si="74"/>
        <v>0</v>
      </c>
      <c r="AU245" s="538">
        <f>IF(AS245&lt;&gt;0,MAXA($AU$14:AU244)+AS245,0)</f>
        <v>0</v>
      </c>
      <c r="AV245" s="538">
        <f ca="1">IF(AT245&lt;&gt;0,MAXA($AU$14:AU244)+AT245,0)</f>
        <v>0</v>
      </c>
      <c r="AW245" s="69"/>
    </row>
    <row r="246" spans="1:49" ht="18.75" customHeight="1" x14ac:dyDescent="0.25">
      <c r="A246" s="69"/>
      <c r="B246" s="56" t="str">
        <f>MID(Info!$AZ$3,(WEEKDAY(I246,2)-1)*3+1,3)</f>
        <v>Dom</v>
      </c>
      <c r="C246" s="523">
        <f>_xlfn.XLOOKUP(I246,Fchs!$I$108:$I$149,Fchs!$J$108:$J$149,0)</f>
        <v>0</v>
      </c>
      <c r="D246" s="523">
        <f>_xlfn.XLOOKUP(I246,Fchs!$I$108:$I$149,Fchs!$K$108:$K$149)</f>
        <v>0</v>
      </c>
      <c r="E246" s="532">
        <f>IF($AS246&lt;&gt;0,_xlfn.XLOOKUP($G246,UDs!$E$34:$E$55,UDs!$B$34:$B$55,,-1),0)</f>
        <v>0</v>
      </c>
      <c r="F246" s="532">
        <f t="shared" ca="1" si="68"/>
        <v>0</v>
      </c>
      <c r="G246" s="569">
        <f>IF(AU246&lt;&gt;0,MAX($AU$13:$AU245)+1,0)</f>
        <v>0</v>
      </c>
      <c r="H246" s="569" t="str">
        <f>IF(AS246&lt;&gt;0,COUNT($H$14:H245,1),"")</f>
        <v/>
      </c>
      <c r="I246" s="533">
        <f t="shared" si="75"/>
        <v>46110</v>
      </c>
      <c r="J246" s="534"/>
      <c r="K246" s="535"/>
      <c r="L246" s="126">
        <f t="shared" ca="1" si="77"/>
        <v>0</v>
      </c>
      <c r="M246" s="127">
        <f t="shared" ca="1" si="77"/>
        <v>0</v>
      </c>
      <c r="N246" s="127">
        <f t="shared" ca="1" si="77"/>
        <v>0</v>
      </c>
      <c r="O246" s="127">
        <f t="shared" ca="1" si="77"/>
        <v>0</v>
      </c>
      <c r="P246" s="128">
        <f t="shared" ca="1" si="77"/>
        <v>0</v>
      </c>
      <c r="Q246" s="126">
        <f t="shared" ca="1" si="77"/>
        <v>0</v>
      </c>
      <c r="R246" s="127">
        <f t="shared" ca="1" si="77"/>
        <v>0</v>
      </c>
      <c r="S246" s="127">
        <f t="shared" ca="1" si="77"/>
        <v>0</v>
      </c>
      <c r="T246" s="127">
        <f t="shared" ca="1" si="77"/>
        <v>0</v>
      </c>
      <c r="U246" s="128">
        <f t="shared" ca="1" si="77"/>
        <v>0</v>
      </c>
      <c r="V246" s="126">
        <f t="shared" ca="1" si="77"/>
        <v>0</v>
      </c>
      <c r="W246" s="127">
        <f t="shared" ca="1" si="77"/>
        <v>0</v>
      </c>
      <c r="X246" s="127">
        <f t="shared" ca="1" si="77"/>
        <v>0</v>
      </c>
      <c r="Y246" s="127">
        <f t="shared" ca="1" si="77"/>
        <v>0</v>
      </c>
      <c r="Z246" s="128">
        <f t="shared" ca="1" si="77"/>
        <v>0</v>
      </c>
      <c r="AA246" s="126">
        <f t="shared" ref="AA246:AN261" ca="1" si="78">$AT246</f>
        <v>0</v>
      </c>
      <c r="AB246" s="127">
        <f t="shared" ca="1" si="78"/>
        <v>0</v>
      </c>
      <c r="AC246" s="127">
        <f t="shared" ca="1" si="78"/>
        <v>0</v>
      </c>
      <c r="AD246" s="127">
        <f t="shared" ca="1" si="78"/>
        <v>0</v>
      </c>
      <c r="AE246" s="128">
        <f t="shared" ca="1" si="78"/>
        <v>0</v>
      </c>
      <c r="AF246" s="126">
        <f t="shared" ca="1" si="78"/>
        <v>0</v>
      </c>
      <c r="AG246" s="127">
        <f t="shared" ca="1" si="78"/>
        <v>0</v>
      </c>
      <c r="AH246" s="127">
        <f t="shared" ca="1" si="78"/>
        <v>0</v>
      </c>
      <c r="AI246" s="127">
        <f t="shared" ca="1" si="78"/>
        <v>0</v>
      </c>
      <c r="AJ246" s="128">
        <f t="shared" ca="1" si="78"/>
        <v>0</v>
      </c>
      <c r="AK246" s="126">
        <f t="shared" ca="1" si="78"/>
        <v>0</v>
      </c>
      <c r="AL246" s="127">
        <f t="shared" ca="1" si="78"/>
        <v>0</v>
      </c>
      <c r="AM246" s="127">
        <f t="shared" ca="1" si="78"/>
        <v>0</v>
      </c>
      <c r="AN246" s="127">
        <f t="shared" ca="1" si="78"/>
        <v>0</v>
      </c>
      <c r="AO246" s="129">
        <f t="shared" ca="1" si="70"/>
        <v>0</v>
      </c>
      <c r="AP246" s="536" t="str">
        <f t="shared" si="71"/>
        <v/>
      </c>
      <c r="AQ246" s="536" t="str">
        <f t="shared" si="72"/>
        <v/>
      </c>
      <c r="AR246" s="536" t="str">
        <f t="shared" si="73"/>
        <v/>
      </c>
      <c r="AS246" s="537">
        <f>IF(OR(J246&lt;&gt;"",AP246&amp;AQ246&amp;AR246&lt;&gt;"X",WEEKDAY(I246,2)&gt;5,C246&lt;&gt;0,(FechaInicio1Tri&gt;I246),(FechaFinEEva&lt;I246)),0,_xlfn.XLOOKUP(WEEKDAY(I246,2),Fchs!$J$10:$N$10,Fchs!$J$12:$N$12))</f>
        <v>0</v>
      </c>
      <c r="AT246" s="536">
        <f t="shared" ca="1" si="74"/>
        <v>0</v>
      </c>
      <c r="AU246" s="538">
        <f>IF(AS246&lt;&gt;0,MAXA($AU$14:AU245)+AS246,0)</f>
        <v>0</v>
      </c>
      <c r="AV246" s="538">
        <f ca="1">IF(AT246&lt;&gt;0,MAXA($AU$14:AU245)+AT246,0)</f>
        <v>0</v>
      </c>
      <c r="AW246" s="69"/>
    </row>
    <row r="247" spans="1:49" ht="18.75" customHeight="1" x14ac:dyDescent="0.25">
      <c r="A247" s="69"/>
      <c r="B247" s="56" t="str">
        <f>MID(Info!$AZ$3,(WEEKDAY(I247,2)-1)*3+1,3)</f>
        <v>Lun</v>
      </c>
      <c r="C247" s="523" t="str">
        <f>_xlfn.XLOOKUP(I247,Fchs!$I$108:$I$149,Fchs!$J$108:$J$149,0)</f>
        <v>S.Santa</v>
      </c>
      <c r="D247" s="523">
        <f>_xlfn.XLOOKUP(I247,Fchs!$I$108:$I$149,Fchs!$K$108:$K$149)</f>
        <v>0</v>
      </c>
      <c r="E247" s="532">
        <f>IF($AS247&lt;&gt;0,_xlfn.XLOOKUP($G247,UDs!$E$34:$E$55,UDs!$B$34:$B$55,,-1),0)</f>
        <v>0</v>
      </c>
      <c r="F247" s="532">
        <f t="shared" ca="1" si="68"/>
        <v>0</v>
      </c>
      <c r="G247" s="569">
        <f>IF(AU247&lt;&gt;0,MAX($AU$13:$AU246)+1,0)</f>
        <v>0</v>
      </c>
      <c r="H247" s="569" t="str">
        <f>IF(AS247&lt;&gt;0,COUNT($H$14:H246,1),"")</f>
        <v/>
      </c>
      <c r="I247" s="533">
        <f t="shared" si="75"/>
        <v>46111</v>
      </c>
      <c r="J247" s="534"/>
      <c r="K247" s="535"/>
      <c r="L247" s="126">
        <f t="shared" ref="L247:AA262" ca="1" si="79">$AT247</f>
        <v>0</v>
      </c>
      <c r="M247" s="127">
        <f t="shared" ca="1" si="79"/>
        <v>0</v>
      </c>
      <c r="N247" s="127">
        <f t="shared" ca="1" si="79"/>
        <v>0</v>
      </c>
      <c r="O247" s="127">
        <f t="shared" ca="1" si="79"/>
        <v>0</v>
      </c>
      <c r="P247" s="128">
        <f t="shared" ca="1" si="79"/>
        <v>0</v>
      </c>
      <c r="Q247" s="126">
        <f t="shared" ca="1" si="79"/>
        <v>0</v>
      </c>
      <c r="R247" s="127">
        <f t="shared" ca="1" si="79"/>
        <v>0</v>
      </c>
      <c r="S247" s="127">
        <f t="shared" ca="1" si="79"/>
        <v>0</v>
      </c>
      <c r="T247" s="127">
        <f t="shared" ca="1" si="79"/>
        <v>0</v>
      </c>
      <c r="U247" s="128">
        <f t="shared" ca="1" si="79"/>
        <v>0</v>
      </c>
      <c r="V247" s="126">
        <f t="shared" ca="1" si="79"/>
        <v>0</v>
      </c>
      <c r="W247" s="127">
        <f t="shared" ca="1" si="79"/>
        <v>0</v>
      </c>
      <c r="X247" s="127">
        <f t="shared" ca="1" si="79"/>
        <v>0</v>
      </c>
      <c r="Y247" s="127">
        <f t="shared" ca="1" si="79"/>
        <v>0</v>
      </c>
      <c r="Z247" s="128">
        <f t="shared" ca="1" si="79"/>
        <v>0</v>
      </c>
      <c r="AA247" s="126">
        <f t="shared" ca="1" si="79"/>
        <v>0</v>
      </c>
      <c r="AB247" s="127">
        <f t="shared" ca="1" si="78"/>
        <v>0</v>
      </c>
      <c r="AC247" s="127">
        <f t="shared" ca="1" si="78"/>
        <v>0</v>
      </c>
      <c r="AD247" s="127">
        <f t="shared" ca="1" si="78"/>
        <v>0</v>
      </c>
      <c r="AE247" s="128">
        <f t="shared" ca="1" si="78"/>
        <v>0</v>
      </c>
      <c r="AF247" s="126">
        <f t="shared" ca="1" si="78"/>
        <v>0</v>
      </c>
      <c r="AG247" s="127">
        <f t="shared" ca="1" si="78"/>
        <v>0</v>
      </c>
      <c r="AH247" s="127">
        <f t="shared" ca="1" si="78"/>
        <v>0</v>
      </c>
      <c r="AI247" s="127">
        <f t="shared" ca="1" si="78"/>
        <v>0</v>
      </c>
      <c r="AJ247" s="128">
        <f t="shared" ca="1" si="78"/>
        <v>0</v>
      </c>
      <c r="AK247" s="126">
        <f t="shared" ca="1" si="78"/>
        <v>0</v>
      </c>
      <c r="AL247" s="127">
        <f t="shared" ca="1" si="78"/>
        <v>0</v>
      </c>
      <c r="AM247" s="127">
        <f t="shared" ca="1" si="78"/>
        <v>0</v>
      </c>
      <c r="AN247" s="127">
        <f t="shared" ca="1" si="78"/>
        <v>0</v>
      </c>
      <c r="AO247" s="129">
        <f t="shared" ca="1" si="70"/>
        <v>0</v>
      </c>
      <c r="AP247" s="536" t="str">
        <f t="shared" si="71"/>
        <v/>
      </c>
      <c r="AQ247" s="536" t="str">
        <f t="shared" si="72"/>
        <v/>
      </c>
      <c r="AR247" s="536" t="str">
        <f t="shared" si="73"/>
        <v>X</v>
      </c>
      <c r="AS247" s="537">
        <f>IF(OR(J247&lt;&gt;"",AP247&amp;AQ247&amp;AR247&lt;&gt;"X",WEEKDAY(I247,2)&gt;5,C247&lt;&gt;0,(FechaInicio1Tri&gt;I247),(FechaFinEEva&lt;I247)),0,_xlfn.XLOOKUP(WEEKDAY(I247,2),Fchs!$J$10:$N$10,Fchs!$J$12:$N$12))</f>
        <v>0</v>
      </c>
      <c r="AT247" s="536">
        <f t="shared" ca="1" si="74"/>
        <v>0</v>
      </c>
      <c r="AU247" s="538">
        <f>IF(AS247&lt;&gt;0,MAXA($AU$14:AU246)+AS247,0)</f>
        <v>0</v>
      </c>
      <c r="AV247" s="538">
        <f ca="1">IF(AT247&lt;&gt;0,MAXA($AU$14:AU246)+AT247,0)</f>
        <v>0</v>
      </c>
      <c r="AW247" s="69"/>
    </row>
    <row r="248" spans="1:49" ht="18.75" customHeight="1" x14ac:dyDescent="0.25">
      <c r="A248" s="69"/>
      <c r="B248" s="530" t="str">
        <f>MID(Info!$AZ$3,(WEEKDAY(I248,2)-1)*3+1,3)</f>
        <v>Mar</v>
      </c>
      <c r="C248" s="611" t="str">
        <f>_xlfn.XLOOKUP(I248,Fchs!$I$108:$I$149,Fchs!$J$108:$J$149,0)</f>
        <v>S.Santa</v>
      </c>
      <c r="D248" s="611">
        <f>_xlfn.XLOOKUP(I248,Fchs!$I$108:$I$149,Fchs!$K$108:$K$149)</f>
        <v>0</v>
      </c>
      <c r="E248" s="539">
        <f>IF($AS248&lt;&gt;0,_xlfn.XLOOKUP($G248,UDs!$E$34:$E$55,UDs!$B$34:$B$55,,-1),0)</f>
        <v>0</v>
      </c>
      <c r="F248" s="539">
        <f t="shared" ca="1" si="68"/>
        <v>0</v>
      </c>
      <c r="G248" s="570">
        <f>IF(AU248&lt;&gt;0,MAX($AU$13:$AU247)+1,0)</f>
        <v>0</v>
      </c>
      <c r="H248" s="570" t="str">
        <f>IF(AS248&lt;&gt;0,COUNT($H$14:H247,1),"")</f>
        <v/>
      </c>
      <c r="I248" s="540">
        <f t="shared" si="75"/>
        <v>46112</v>
      </c>
      <c r="J248" s="541"/>
      <c r="K248" s="542"/>
      <c r="L248" s="121">
        <f t="shared" ca="1" si="79"/>
        <v>0</v>
      </c>
      <c r="M248" s="122">
        <f t="shared" ca="1" si="79"/>
        <v>0</v>
      </c>
      <c r="N248" s="122">
        <f t="shared" ca="1" si="79"/>
        <v>0</v>
      </c>
      <c r="O248" s="122">
        <f t="shared" ca="1" si="79"/>
        <v>0</v>
      </c>
      <c r="P248" s="123">
        <f t="shared" ca="1" si="79"/>
        <v>0</v>
      </c>
      <c r="Q248" s="121">
        <f t="shared" ca="1" si="79"/>
        <v>0</v>
      </c>
      <c r="R248" s="122">
        <f t="shared" ca="1" si="79"/>
        <v>0</v>
      </c>
      <c r="S248" s="122">
        <f t="shared" ca="1" si="79"/>
        <v>0</v>
      </c>
      <c r="T248" s="122">
        <f t="shared" ca="1" si="79"/>
        <v>0</v>
      </c>
      <c r="U248" s="123">
        <f t="shared" ca="1" si="79"/>
        <v>0</v>
      </c>
      <c r="V248" s="121">
        <f t="shared" ca="1" si="79"/>
        <v>0</v>
      </c>
      <c r="W248" s="122">
        <f t="shared" ca="1" si="79"/>
        <v>0</v>
      </c>
      <c r="X248" s="122">
        <f t="shared" ca="1" si="79"/>
        <v>0</v>
      </c>
      <c r="Y248" s="122">
        <f t="shared" ca="1" si="79"/>
        <v>0</v>
      </c>
      <c r="Z248" s="123">
        <f t="shared" ca="1" si="79"/>
        <v>0</v>
      </c>
      <c r="AA248" s="121">
        <f t="shared" ca="1" si="79"/>
        <v>0</v>
      </c>
      <c r="AB248" s="122">
        <f t="shared" ca="1" si="78"/>
        <v>0</v>
      </c>
      <c r="AC248" s="122">
        <f t="shared" ca="1" si="78"/>
        <v>0</v>
      </c>
      <c r="AD248" s="122">
        <f t="shared" ca="1" si="78"/>
        <v>0</v>
      </c>
      <c r="AE248" s="123">
        <f t="shared" ca="1" si="78"/>
        <v>0</v>
      </c>
      <c r="AF248" s="121">
        <f t="shared" ca="1" si="78"/>
        <v>0</v>
      </c>
      <c r="AG248" s="122">
        <f t="shared" ca="1" si="78"/>
        <v>0</v>
      </c>
      <c r="AH248" s="122">
        <f t="shared" ca="1" si="78"/>
        <v>0</v>
      </c>
      <c r="AI248" s="122">
        <f t="shared" ca="1" si="78"/>
        <v>0</v>
      </c>
      <c r="AJ248" s="123">
        <f t="shared" ca="1" si="78"/>
        <v>0</v>
      </c>
      <c r="AK248" s="121">
        <f t="shared" ca="1" si="78"/>
        <v>0</v>
      </c>
      <c r="AL248" s="122">
        <f t="shared" ca="1" si="78"/>
        <v>0</v>
      </c>
      <c r="AM248" s="122">
        <f t="shared" ca="1" si="78"/>
        <v>0</v>
      </c>
      <c r="AN248" s="122">
        <f t="shared" ca="1" si="78"/>
        <v>0</v>
      </c>
      <c r="AO248" s="123">
        <f t="shared" ca="1" si="70"/>
        <v>0</v>
      </c>
      <c r="AP248" s="536" t="str">
        <f t="shared" si="71"/>
        <v/>
      </c>
      <c r="AQ248" s="536" t="str">
        <f t="shared" si="72"/>
        <v/>
      </c>
      <c r="AR248" s="536" t="str">
        <f t="shared" si="73"/>
        <v>X</v>
      </c>
      <c r="AS248" s="537">
        <f>IF(OR(J248&lt;&gt;"",AP248&amp;AQ248&amp;AR248&lt;&gt;"X",WEEKDAY(I248,2)&gt;5,C248&lt;&gt;0,(FechaInicio1Tri&gt;I248),(FechaFinEEva&lt;I248)),0,_xlfn.XLOOKUP(WEEKDAY(I248,2),Fchs!$J$10:$N$10,Fchs!$J$12:$N$12))</f>
        <v>0</v>
      </c>
      <c r="AT248" s="536">
        <f t="shared" ca="1" si="74"/>
        <v>0</v>
      </c>
      <c r="AU248" s="538">
        <f>IF(AS248&lt;&gt;0,MAXA($AU$14:AU247)+AS248,0)</f>
        <v>0</v>
      </c>
      <c r="AV248" s="538">
        <f ca="1">IF(AT248&lt;&gt;0,MAXA($AU$14:AU247)+AT248,0)</f>
        <v>0</v>
      </c>
      <c r="AW248" s="69"/>
    </row>
    <row r="249" spans="1:49" ht="18.75" customHeight="1" thickBot="1" x14ac:dyDescent="0.3">
      <c r="A249" s="106"/>
      <c r="B249" s="79"/>
      <c r="C249" s="543"/>
      <c r="D249" s="543"/>
      <c r="E249" s="543"/>
      <c r="F249" s="543"/>
      <c r="G249" s="124"/>
      <c r="H249" s="124"/>
      <c r="I249" s="544"/>
      <c r="J249" s="106"/>
      <c r="K249" s="106"/>
      <c r="L249" s="543"/>
      <c r="M249" s="543"/>
      <c r="N249" s="543"/>
      <c r="O249" s="543"/>
      <c r="P249" s="543"/>
      <c r="Q249" s="543"/>
      <c r="R249" s="543"/>
      <c r="S249" s="543"/>
      <c r="T249" s="543"/>
      <c r="U249" s="543"/>
      <c r="V249" s="543"/>
      <c r="W249" s="543"/>
      <c r="X249" s="543"/>
      <c r="Y249" s="543"/>
      <c r="Z249" s="543"/>
      <c r="AA249" s="543"/>
      <c r="AB249" s="543"/>
      <c r="AC249" s="543"/>
      <c r="AD249" s="543"/>
      <c r="AE249" s="543"/>
      <c r="AF249" s="543"/>
      <c r="AG249" s="543"/>
      <c r="AH249" s="543"/>
      <c r="AI249" s="543"/>
      <c r="AJ249" s="543"/>
      <c r="AK249" s="543"/>
      <c r="AL249" s="543"/>
      <c r="AM249" s="543"/>
      <c r="AN249" s="543"/>
      <c r="AO249" s="543"/>
      <c r="AP249" s="124" t="str">
        <f>IF(AND(FechaInicio1Tri&lt;=$I249, FechaFin1Tri&gt;=$I249),"X","")</f>
        <v/>
      </c>
      <c r="AQ249" s="124" t="str">
        <f>IF(AND(FechaInicio2Tri&lt;=$I249, FechaFin2Tri&gt;=$I249),"X","")</f>
        <v/>
      </c>
      <c r="AR249" s="124" t="str">
        <f>IF(AND(FechaInicio3Tri&lt;=$I249, FechaFin3Tri&gt;=$I249, NTri&gt;=3),"X","")</f>
        <v/>
      </c>
      <c r="AS249" s="543"/>
      <c r="AT249" s="543"/>
      <c r="AU249" s="545"/>
      <c r="AV249" s="545"/>
      <c r="AW249" s="106"/>
    </row>
    <row r="250" spans="1:49" ht="18.75" customHeight="1" x14ac:dyDescent="0.25">
      <c r="A250" s="70"/>
      <c r="B250" s="546" t="str">
        <f>MID(Info!$AZ$5,(MONTH(I252)-1)*3+1,3)&amp;" "&amp;YEAR(I252)</f>
        <v xml:space="preserve"> 2026</v>
      </c>
      <c r="C250" s="543"/>
      <c r="D250" s="543"/>
      <c r="E250" s="543"/>
      <c r="F250" s="543"/>
      <c r="G250" s="124"/>
      <c r="H250" s="124"/>
      <c r="I250" s="544"/>
      <c r="J250" s="106"/>
      <c r="K250" s="106"/>
      <c r="L250" s="543"/>
      <c r="M250" s="543"/>
      <c r="N250" s="543"/>
      <c r="O250" s="543"/>
      <c r="P250" s="543"/>
      <c r="Q250" s="543"/>
      <c r="R250" s="543"/>
      <c r="S250" s="543"/>
      <c r="T250" s="543"/>
      <c r="U250" s="543"/>
      <c r="V250" s="543"/>
      <c r="W250" s="543"/>
      <c r="X250" s="543"/>
      <c r="Y250" s="543"/>
      <c r="Z250" s="543"/>
      <c r="AA250" s="543"/>
      <c r="AB250" s="543"/>
      <c r="AC250" s="543"/>
      <c r="AD250" s="543"/>
      <c r="AE250" s="543"/>
      <c r="AF250" s="543"/>
      <c r="AG250" s="543"/>
      <c r="AH250" s="543"/>
      <c r="AI250" s="543"/>
      <c r="AJ250" s="543"/>
      <c r="AK250" s="543"/>
      <c r="AL250" s="543"/>
      <c r="AM250" s="543"/>
      <c r="AN250" s="543"/>
      <c r="AO250" s="543"/>
      <c r="AP250" s="547">
        <f>SUMIF(AP252:AP282,"X",$AS252:$AS282)</f>
        <v>0</v>
      </c>
      <c r="AQ250" s="547">
        <f>SUMIF(AQ252:AQ282,"X",$AS252:$AS282)</f>
        <v>0</v>
      </c>
      <c r="AR250" s="547">
        <f>SUMIF(AR252:AR282,"X",$AS252:$AS282)</f>
        <v>16</v>
      </c>
      <c r="AS250" s="543"/>
      <c r="AT250" s="543"/>
      <c r="AU250" s="545"/>
      <c r="AV250" s="545"/>
      <c r="AW250" s="70"/>
    </row>
    <row r="251" spans="1:49" ht="18.75" customHeight="1" thickBot="1" x14ac:dyDescent="0.3">
      <c r="A251" s="70"/>
      <c r="B251" s="527">
        <f ca="1">IFERROR(SUM(AP251:AR251)/SUM(AP250:AR250),"--")</f>
        <v>0</v>
      </c>
      <c r="C251" s="549"/>
      <c r="D251" s="549"/>
      <c r="E251" s="549"/>
      <c r="F251" s="549"/>
      <c r="G251" s="125"/>
      <c r="H251" s="125"/>
      <c r="I251" s="550"/>
      <c r="J251" s="548"/>
      <c r="K251" s="548"/>
      <c r="L251" s="549"/>
      <c r="M251" s="549"/>
      <c r="N251" s="549"/>
      <c r="O251" s="549"/>
      <c r="P251" s="549"/>
      <c r="Q251" s="549"/>
      <c r="R251" s="549"/>
      <c r="S251" s="549"/>
      <c r="T251" s="549"/>
      <c r="U251" s="549"/>
      <c r="V251" s="549"/>
      <c r="W251" s="549"/>
      <c r="X251" s="549"/>
      <c r="Y251" s="549"/>
      <c r="Z251" s="549"/>
      <c r="AA251" s="549"/>
      <c r="AB251" s="549"/>
      <c r="AC251" s="549"/>
      <c r="AD251" s="549"/>
      <c r="AE251" s="549"/>
      <c r="AF251" s="549"/>
      <c r="AG251" s="549"/>
      <c r="AH251" s="549"/>
      <c r="AI251" s="549"/>
      <c r="AJ251" s="549"/>
      <c r="AK251" s="549"/>
      <c r="AL251" s="549"/>
      <c r="AM251" s="549"/>
      <c r="AN251" s="549"/>
      <c r="AO251" s="549"/>
      <c r="AP251" s="531">
        <f>SUMIF(AP252:AP282,"X",$AT252:$AT282)</f>
        <v>0</v>
      </c>
      <c r="AQ251" s="531">
        <f>SUMIF(AQ252:AQ282,"X",$AT252:$AT282)</f>
        <v>0</v>
      </c>
      <c r="AR251" s="531">
        <f ca="1">SUMIF(AR252:AR282,"X",$AT252:$AT282)</f>
        <v>0</v>
      </c>
      <c r="AS251" s="543"/>
      <c r="AT251" s="543"/>
      <c r="AU251" s="545"/>
      <c r="AV251" s="545"/>
      <c r="AW251" s="70"/>
    </row>
    <row r="252" spans="1:49" ht="18.75" customHeight="1" x14ac:dyDescent="0.25">
      <c r="A252" s="70"/>
      <c r="B252" s="56" t="str">
        <f>MID(Info!$AZ$3,(WEEKDAY(I252,2)-1)*3+1,3)</f>
        <v>Mié</v>
      </c>
      <c r="C252" s="523" t="str">
        <f>_xlfn.XLOOKUP(I252,Fchs!$C$156:$C$197,Fchs!$D$156:$D$197,0)</f>
        <v>S.Santa</v>
      </c>
      <c r="D252" s="523">
        <f>_xlfn.XLOOKUP(I252,Fchs!$C$156:$C$197,Fchs!$E$156:$E$197)</f>
        <v>0</v>
      </c>
      <c r="E252" s="532">
        <f>IF($AS252&lt;&gt;0,_xlfn.XLOOKUP($G252,UDs!$E$34:$E$55,UDs!$B$34:$B$55,,-1),0)</f>
        <v>0</v>
      </c>
      <c r="F252" s="552">
        <f t="shared" ref="F252:F281" ca="1" si="80">IF(AT252&lt;&gt;0,E252,0)</f>
        <v>0</v>
      </c>
      <c r="G252" s="127">
        <f>IF(AU252&lt;&gt;0,MAX($AU$13:$AU251)+1,0)</f>
        <v>0</v>
      </c>
      <c r="H252" s="127" t="str">
        <f>IF(AS252&lt;&gt;0,COUNT($H$14:H251,1),"")</f>
        <v/>
      </c>
      <c r="I252" s="533">
        <f>DATE(YEAR(FechaInicio1Tri),MONTH(FechaInicio1Tri)+7,1)</f>
        <v>46113</v>
      </c>
      <c r="J252" s="553"/>
      <c r="K252" s="535"/>
      <c r="L252" s="126">
        <f t="shared" ca="1" si="79"/>
        <v>0</v>
      </c>
      <c r="M252" s="127">
        <f t="shared" ca="1" si="79"/>
        <v>0</v>
      </c>
      <c r="N252" s="127">
        <f t="shared" ca="1" si="79"/>
        <v>0</v>
      </c>
      <c r="O252" s="127">
        <f t="shared" ca="1" si="79"/>
        <v>0</v>
      </c>
      <c r="P252" s="128">
        <f t="shared" ca="1" si="79"/>
        <v>0</v>
      </c>
      <c r="Q252" s="126">
        <f t="shared" ca="1" si="79"/>
        <v>0</v>
      </c>
      <c r="R252" s="127">
        <f t="shared" ca="1" si="79"/>
        <v>0</v>
      </c>
      <c r="S252" s="127">
        <f t="shared" ca="1" si="79"/>
        <v>0</v>
      </c>
      <c r="T252" s="127">
        <f t="shared" ca="1" si="79"/>
        <v>0</v>
      </c>
      <c r="U252" s="128">
        <f t="shared" ca="1" si="79"/>
        <v>0</v>
      </c>
      <c r="V252" s="126">
        <f t="shared" ca="1" si="79"/>
        <v>0</v>
      </c>
      <c r="W252" s="127">
        <f t="shared" ca="1" si="79"/>
        <v>0</v>
      </c>
      <c r="X252" s="127">
        <f t="shared" ca="1" si="79"/>
        <v>0</v>
      </c>
      <c r="Y252" s="127">
        <f t="shared" ca="1" si="79"/>
        <v>0</v>
      </c>
      <c r="Z252" s="128">
        <f t="shared" ca="1" si="79"/>
        <v>0</v>
      </c>
      <c r="AA252" s="126">
        <f t="shared" ca="1" si="79"/>
        <v>0</v>
      </c>
      <c r="AB252" s="127">
        <f t="shared" ca="1" si="78"/>
        <v>0</v>
      </c>
      <c r="AC252" s="127">
        <f t="shared" ca="1" si="78"/>
        <v>0</v>
      </c>
      <c r="AD252" s="127">
        <f t="shared" ca="1" si="78"/>
        <v>0</v>
      </c>
      <c r="AE252" s="128">
        <f t="shared" ca="1" si="78"/>
        <v>0</v>
      </c>
      <c r="AF252" s="126">
        <f t="shared" ca="1" si="78"/>
        <v>0</v>
      </c>
      <c r="AG252" s="127">
        <f t="shared" ca="1" si="78"/>
        <v>0</v>
      </c>
      <c r="AH252" s="127">
        <f t="shared" ca="1" si="78"/>
        <v>0</v>
      </c>
      <c r="AI252" s="127">
        <f t="shared" ca="1" si="78"/>
        <v>0</v>
      </c>
      <c r="AJ252" s="128">
        <f t="shared" ca="1" si="78"/>
        <v>0</v>
      </c>
      <c r="AK252" s="126">
        <f t="shared" ca="1" si="78"/>
        <v>0</v>
      </c>
      <c r="AL252" s="127">
        <f t="shared" ca="1" si="78"/>
        <v>0</v>
      </c>
      <c r="AM252" s="127">
        <f t="shared" ca="1" si="78"/>
        <v>0</v>
      </c>
      <c r="AN252" s="127">
        <f t="shared" ca="1" si="78"/>
        <v>0</v>
      </c>
      <c r="AO252" s="129">
        <f t="shared" ca="1" si="70"/>
        <v>0</v>
      </c>
      <c r="AP252" s="536" t="str">
        <f t="shared" ref="AP252:AP281" si="81">IF(AND(FechaInicio1Tri&lt;=$I252, FechaFin1Tri&gt;=$I252,WEEKDAY($I252,2)&lt;=5),"X","")</f>
        <v/>
      </c>
      <c r="AQ252" s="536" t="str">
        <f t="shared" ref="AQ252:AQ281" si="82">IF(AND(FechaInicio2Tri&lt;=$I252, FechaFin2Tri&gt;=$I252,WEEKDAY($I252,2)&lt;=5),"X","")</f>
        <v/>
      </c>
      <c r="AR252" s="536" t="str">
        <f t="shared" ref="AR252:AR281" si="83">IF(AND(FechaInicio3Tri&lt;=$I252, FechaFin3Tri&gt;=$I252, NTri&gt;=3,WEEKDAY($I252,2)&lt;=5),"X","")</f>
        <v>X</v>
      </c>
      <c r="AS252" s="537">
        <f>IF(OR(J252&lt;&gt;"",AP252&amp;AQ252&amp;AR252&lt;&gt;"X",WEEKDAY(I252,2)&gt;5,C252&lt;&gt;0,(FechaInicio1Tri&gt;I252),(FechaFinEEva&lt;I252)),0,_xlfn.XLOOKUP(WEEKDAY(I252,2),Fchs!$J$10:$N$10,Fchs!$J$12:$N$12))</f>
        <v>0</v>
      </c>
      <c r="AT252" s="536">
        <f t="shared" ref="AT252:AT281" ca="1" si="84">IF(OR(AS252=0,FechaHoy&lt;I252,(FechaInicio1Tri&gt;I252),(FechaFinEEva&lt;I252)),0,AS252)</f>
        <v>0</v>
      </c>
      <c r="AU252" s="538">
        <f>IF(AS252&lt;&gt;0,MAXA($AU$14:AU251)+AS252,0)</f>
        <v>0</v>
      </c>
      <c r="AV252" s="538">
        <f ca="1">IF(AT252&lt;&gt;0,MAXA($AU$14:AU251)+AT252,0)</f>
        <v>0</v>
      </c>
      <c r="AW252" s="70"/>
    </row>
    <row r="253" spans="1:49" ht="18.75" customHeight="1" x14ac:dyDescent="0.25">
      <c r="A253" s="70"/>
      <c r="B253" s="56" t="str">
        <f>MID(Info!$AZ$3,(WEEKDAY(I253,2)-1)*3+1,3)</f>
        <v>Jue</v>
      </c>
      <c r="C253" s="523" t="str">
        <f>_xlfn.XLOOKUP(I253,Fchs!$C$156:$C$197,Fchs!$D$156:$D$197,0)</f>
        <v>S.Santa</v>
      </c>
      <c r="D253" s="523">
        <f>_xlfn.XLOOKUP(I253,Fchs!$C$156:$C$197,Fchs!$E$156:$E$197)</f>
        <v>0</v>
      </c>
      <c r="E253" s="532">
        <f>IF($AS253&lt;&gt;0,_xlfn.XLOOKUP($G253,UDs!$E$34:$E$55,UDs!$B$34:$B$55,,-1),0)</f>
        <v>0</v>
      </c>
      <c r="F253" s="532">
        <f t="shared" ca="1" si="80"/>
        <v>0</v>
      </c>
      <c r="G253" s="569">
        <f>IF(AU253&lt;&gt;0,MAX($AU$13:$AU252)+1,0)</f>
        <v>0</v>
      </c>
      <c r="H253" s="569" t="str">
        <f>IF(AS253&lt;&gt;0,COUNT($H$14:H252,1),"")</f>
        <v/>
      </c>
      <c r="I253" s="533">
        <f t="shared" ref="I253:I281" si="85">I252+1</f>
        <v>46114</v>
      </c>
      <c r="J253" s="534"/>
      <c r="K253" s="535"/>
      <c r="L253" s="126">
        <f t="shared" ca="1" si="79"/>
        <v>0</v>
      </c>
      <c r="M253" s="127">
        <f t="shared" ca="1" si="79"/>
        <v>0</v>
      </c>
      <c r="N253" s="127">
        <f t="shared" ca="1" si="79"/>
        <v>0</v>
      </c>
      <c r="O253" s="127">
        <f t="shared" ca="1" si="79"/>
        <v>0</v>
      </c>
      <c r="P253" s="128">
        <f t="shared" ca="1" si="79"/>
        <v>0</v>
      </c>
      <c r="Q253" s="126">
        <f t="shared" ca="1" si="79"/>
        <v>0</v>
      </c>
      <c r="R253" s="127">
        <f t="shared" ca="1" si="79"/>
        <v>0</v>
      </c>
      <c r="S253" s="127">
        <f t="shared" ca="1" si="79"/>
        <v>0</v>
      </c>
      <c r="T253" s="127">
        <f t="shared" ca="1" si="79"/>
        <v>0</v>
      </c>
      <c r="U253" s="128">
        <f t="shared" ca="1" si="79"/>
        <v>0</v>
      </c>
      <c r="V253" s="126">
        <f t="shared" ca="1" si="79"/>
        <v>0</v>
      </c>
      <c r="W253" s="127">
        <f t="shared" ca="1" si="79"/>
        <v>0</v>
      </c>
      <c r="X253" s="127">
        <f t="shared" ca="1" si="79"/>
        <v>0</v>
      </c>
      <c r="Y253" s="127">
        <f t="shared" ca="1" si="79"/>
        <v>0</v>
      </c>
      <c r="Z253" s="128">
        <f t="shared" ca="1" si="79"/>
        <v>0</v>
      </c>
      <c r="AA253" s="126">
        <f t="shared" ca="1" si="79"/>
        <v>0</v>
      </c>
      <c r="AB253" s="127">
        <f t="shared" ca="1" si="78"/>
        <v>0</v>
      </c>
      <c r="AC253" s="127">
        <f t="shared" ca="1" si="78"/>
        <v>0</v>
      </c>
      <c r="AD253" s="127">
        <f t="shared" ca="1" si="78"/>
        <v>0</v>
      </c>
      <c r="AE253" s="128">
        <f t="shared" ca="1" si="78"/>
        <v>0</v>
      </c>
      <c r="AF253" s="126">
        <f t="shared" ca="1" si="78"/>
        <v>0</v>
      </c>
      <c r="AG253" s="127">
        <f t="shared" ca="1" si="78"/>
        <v>0</v>
      </c>
      <c r="AH253" s="127">
        <f t="shared" ca="1" si="78"/>
        <v>0</v>
      </c>
      <c r="AI253" s="127">
        <f t="shared" ca="1" si="78"/>
        <v>0</v>
      </c>
      <c r="AJ253" s="128">
        <f t="shared" ca="1" si="78"/>
        <v>0</v>
      </c>
      <c r="AK253" s="126">
        <f t="shared" ca="1" si="78"/>
        <v>0</v>
      </c>
      <c r="AL253" s="127">
        <f t="shared" ca="1" si="78"/>
        <v>0</v>
      </c>
      <c r="AM253" s="127">
        <f t="shared" ca="1" si="78"/>
        <v>0</v>
      </c>
      <c r="AN253" s="127">
        <f t="shared" ca="1" si="78"/>
        <v>0</v>
      </c>
      <c r="AO253" s="129">
        <f t="shared" ca="1" si="70"/>
        <v>0</v>
      </c>
      <c r="AP253" s="536" t="str">
        <f t="shared" si="81"/>
        <v/>
      </c>
      <c r="AQ253" s="536" t="str">
        <f t="shared" si="82"/>
        <v/>
      </c>
      <c r="AR253" s="536" t="str">
        <f t="shared" si="83"/>
        <v>X</v>
      </c>
      <c r="AS253" s="537">
        <f>IF(OR(J253&lt;&gt;"",AP253&amp;AQ253&amp;AR253&lt;&gt;"X",WEEKDAY(I253,2)&gt;5,C253&lt;&gt;0,(FechaInicio1Tri&gt;I253),(FechaFinEEva&lt;I253)),0,_xlfn.XLOOKUP(WEEKDAY(I253,2),Fchs!$J$10:$N$10,Fchs!$J$12:$N$12))</f>
        <v>0</v>
      </c>
      <c r="AT253" s="536">
        <f t="shared" ca="1" si="84"/>
        <v>0</v>
      </c>
      <c r="AU253" s="538">
        <f>IF(AS253&lt;&gt;0,MAXA($AU$14:AU252)+AS253,0)</f>
        <v>0</v>
      </c>
      <c r="AV253" s="538">
        <f ca="1">IF(AT253&lt;&gt;0,MAXA($AU$14:AU252)+AT253,0)</f>
        <v>0</v>
      </c>
      <c r="AW253" s="70"/>
    </row>
    <row r="254" spans="1:49" ht="18.75" customHeight="1" x14ac:dyDescent="0.25">
      <c r="A254" s="70"/>
      <c r="B254" s="56" t="str">
        <f>MID(Info!$AZ$3,(WEEKDAY(I254,2)-1)*3+1,3)</f>
        <v>Vie</v>
      </c>
      <c r="C254" s="523" t="str">
        <f>_xlfn.XLOOKUP(I254,Fchs!$C$156:$C$197,Fchs!$D$156:$D$197,0)</f>
        <v>S.Santa</v>
      </c>
      <c r="D254" s="523">
        <f>_xlfn.XLOOKUP(I254,Fchs!$C$156:$C$197,Fchs!$E$156:$E$197)</f>
        <v>0</v>
      </c>
      <c r="E254" s="532">
        <f>IF($AS254&lt;&gt;0,_xlfn.XLOOKUP($G254,UDs!$E$34:$E$55,UDs!$B$34:$B$55,,-1),0)</f>
        <v>0</v>
      </c>
      <c r="F254" s="532">
        <f t="shared" ca="1" si="80"/>
        <v>0</v>
      </c>
      <c r="G254" s="569">
        <f>IF(AU254&lt;&gt;0,MAX($AU$13:$AU253)+1,0)</f>
        <v>0</v>
      </c>
      <c r="H254" s="569" t="str">
        <f>IF(AS254&lt;&gt;0,COUNT($H$14:H253,1),"")</f>
        <v/>
      </c>
      <c r="I254" s="533">
        <f t="shared" si="85"/>
        <v>46115</v>
      </c>
      <c r="J254" s="534"/>
      <c r="K254" s="535"/>
      <c r="L254" s="126">
        <f t="shared" ca="1" si="79"/>
        <v>0</v>
      </c>
      <c r="M254" s="127">
        <f t="shared" ca="1" si="79"/>
        <v>0</v>
      </c>
      <c r="N254" s="127">
        <f t="shared" ca="1" si="79"/>
        <v>0</v>
      </c>
      <c r="O254" s="127">
        <f t="shared" ca="1" si="79"/>
        <v>0</v>
      </c>
      <c r="P254" s="128">
        <f t="shared" ca="1" si="79"/>
        <v>0</v>
      </c>
      <c r="Q254" s="126">
        <f t="shared" ca="1" si="79"/>
        <v>0</v>
      </c>
      <c r="R254" s="127">
        <f t="shared" ca="1" si="79"/>
        <v>0</v>
      </c>
      <c r="S254" s="127">
        <f t="shared" ca="1" si="79"/>
        <v>0</v>
      </c>
      <c r="T254" s="127">
        <f t="shared" ca="1" si="79"/>
        <v>0</v>
      </c>
      <c r="U254" s="128">
        <f t="shared" ca="1" si="79"/>
        <v>0</v>
      </c>
      <c r="V254" s="126">
        <f t="shared" ca="1" si="79"/>
        <v>0</v>
      </c>
      <c r="W254" s="127">
        <f t="shared" ca="1" si="79"/>
        <v>0</v>
      </c>
      <c r="X254" s="127">
        <f t="shared" ca="1" si="79"/>
        <v>0</v>
      </c>
      <c r="Y254" s="127">
        <f t="shared" ca="1" si="79"/>
        <v>0</v>
      </c>
      <c r="Z254" s="128">
        <f t="shared" ca="1" si="79"/>
        <v>0</v>
      </c>
      <c r="AA254" s="126">
        <f t="shared" ca="1" si="79"/>
        <v>0</v>
      </c>
      <c r="AB254" s="127">
        <f t="shared" ca="1" si="78"/>
        <v>0</v>
      </c>
      <c r="AC254" s="127">
        <f t="shared" ca="1" si="78"/>
        <v>0</v>
      </c>
      <c r="AD254" s="127">
        <f t="shared" ca="1" si="78"/>
        <v>0</v>
      </c>
      <c r="AE254" s="128">
        <f t="shared" ca="1" si="78"/>
        <v>0</v>
      </c>
      <c r="AF254" s="126">
        <f t="shared" ca="1" si="78"/>
        <v>0</v>
      </c>
      <c r="AG254" s="127">
        <f t="shared" ca="1" si="78"/>
        <v>0</v>
      </c>
      <c r="AH254" s="127">
        <f t="shared" ca="1" si="78"/>
        <v>0</v>
      </c>
      <c r="AI254" s="127">
        <f t="shared" ca="1" si="78"/>
        <v>0</v>
      </c>
      <c r="AJ254" s="128">
        <f t="shared" ca="1" si="78"/>
        <v>0</v>
      </c>
      <c r="AK254" s="126">
        <f t="shared" ca="1" si="78"/>
        <v>0</v>
      </c>
      <c r="AL254" s="127">
        <f t="shared" ca="1" si="78"/>
        <v>0</v>
      </c>
      <c r="AM254" s="127">
        <f t="shared" ca="1" si="78"/>
        <v>0</v>
      </c>
      <c r="AN254" s="127">
        <f t="shared" ca="1" si="78"/>
        <v>0</v>
      </c>
      <c r="AO254" s="129">
        <f t="shared" ca="1" si="70"/>
        <v>0</v>
      </c>
      <c r="AP254" s="536" t="str">
        <f t="shared" si="81"/>
        <v/>
      </c>
      <c r="AQ254" s="536" t="str">
        <f t="shared" si="82"/>
        <v/>
      </c>
      <c r="AR254" s="536" t="str">
        <f t="shared" si="83"/>
        <v>X</v>
      </c>
      <c r="AS254" s="537">
        <f>IF(OR(J254&lt;&gt;"",AP254&amp;AQ254&amp;AR254&lt;&gt;"X",WEEKDAY(I254,2)&gt;5,C254&lt;&gt;0,(FechaInicio1Tri&gt;I254),(FechaFinEEva&lt;I254)),0,_xlfn.XLOOKUP(WEEKDAY(I254,2),Fchs!$J$10:$N$10,Fchs!$J$12:$N$12))</f>
        <v>0</v>
      </c>
      <c r="AT254" s="536">
        <f t="shared" ca="1" si="84"/>
        <v>0</v>
      </c>
      <c r="AU254" s="538">
        <f>IF(AS254&lt;&gt;0,MAXA($AU$14:AU253)+AS254,0)</f>
        <v>0</v>
      </c>
      <c r="AV254" s="538">
        <f ca="1">IF(AT254&lt;&gt;0,MAXA($AU$14:AU253)+AT254,0)</f>
        <v>0</v>
      </c>
      <c r="AW254" s="70"/>
    </row>
    <row r="255" spans="1:49" ht="18.75" customHeight="1" x14ac:dyDescent="0.25">
      <c r="A255" s="70"/>
      <c r="B255" s="56" t="str">
        <f>MID(Info!$AZ$3,(WEEKDAY(I255,2)-1)*3+1,3)</f>
        <v>Sáb</v>
      </c>
      <c r="C255" s="523">
        <f>_xlfn.XLOOKUP(I255,Fchs!$C$156:$C$197,Fchs!$D$156:$D$197,0)</f>
        <v>0</v>
      </c>
      <c r="D255" s="523">
        <f>_xlfn.XLOOKUP(I255,Fchs!$C$156:$C$197,Fchs!$E$156:$E$197)</f>
        <v>0</v>
      </c>
      <c r="E255" s="532">
        <f>IF($AS255&lt;&gt;0,_xlfn.XLOOKUP($G255,UDs!$E$34:$E$55,UDs!$B$34:$B$55,,-1),0)</f>
        <v>0</v>
      </c>
      <c r="F255" s="532">
        <f t="shared" ca="1" si="80"/>
        <v>0</v>
      </c>
      <c r="G255" s="569">
        <f>IF(AU255&lt;&gt;0,MAX($AU$13:$AU254)+1,0)</f>
        <v>0</v>
      </c>
      <c r="H255" s="569" t="str">
        <f>IF(AS255&lt;&gt;0,COUNT($H$14:H254,1),"")</f>
        <v/>
      </c>
      <c r="I255" s="533">
        <f t="shared" si="85"/>
        <v>46116</v>
      </c>
      <c r="J255" s="534"/>
      <c r="K255" s="535"/>
      <c r="L255" s="126">
        <f t="shared" ca="1" si="79"/>
        <v>0</v>
      </c>
      <c r="M255" s="127">
        <f t="shared" ca="1" si="79"/>
        <v>0</v>
      </c>
      <c r="N255" s="127">
        <f t="shared" ca="1" si="79"/>
        <v>0</v>
      </c>
      <c r="O255" s="127">
        <f t="shared" ca="1" si="79"/>
        <v>0</v>
      </c>
      <c r="P255" s="128">
        <f t="shared" ca="1" si="79"/>
        <v>0</v>
      </c>
      <c r="Q255" s="126">
        <f t="shared" ca="1" si="79"/>
        <v>0</v>
      </c>
      <c r="R255" s="127">
        <f t="shared" ca="1" si="79"/>
        <v>0</v>
      </c>
      <c r="S255" s="127">
        <f t="shared" ca="1" si="79"/>
        <v>0</v>
      </c>
      <c r="T255" s="127">
        <f t="shared" ca="1" si="79"/>
        <v>0</v>
      </c>
      <c r="U255" s="128">
        <f t="shared" ca="1" si="79"/>
        <v>0</v>
      </c>
      <c r="V255" s="126">
        <f t="shared" ca="1" si="79"/>
        <v>0</v>
      </c>
      <c r="W255" s="127">
        <f t="shared" ca="1" si="79"/>
        <v>0</v>
      </c>
      <c r="X255" s="127">
        <f t="shared" ca="1" si="79"/>
        <v>0</v>
      </c>
      <c r="Y255" s="127">
        <f t="shared" ca="1" si="79"/>
        <v>0</v>
      </c>
      <c r="Z255" s="128">
        <f t="shared" ca="1" si="79"/>
        <v>0</v>
      </c>
      <c r="AA255" s="126">
        <f t="shared" ca="1" si="79"/>
        <v>0</v>
      </c>
      <c r="AB255" s="127">
        <f t="shared" ca="1" si="78"/>
        <v>0</v>
      </c>
      <c r="AC255" s="127">
        <f t="shared" ca="1" si="78"/>
        <v>0</v>
      </c>
      <c r="AD255" s="127">
        <f t="shared" ca="1" si="78"/>
        <v>0</v>
      </c>
      <c r="AE255" s="128">
        <f t="shared" ca="1" si="78"/>
        <v>0</v>
      </c>
      <c r="AF255" s="126">
        <f t="shared" ca="1" si="78"/>
        <v>0</v>
      </c>
      <c r="AG255" s="127">
        <f t="shared" ca="1" si="78"/>
        <v>0</v>
      </c>
      <c r="AH255" s="127">
        <f t="shared" ca="1" si="78"/>
        <v>0</v>
      </c>
      <c r="AI255" s="127">
        <f t="shared" ca="1" si="78"/>
        <v>0</v>
      </c>
      <c r="AJ255" s="128">
        <f t="shared" ca="1" si="78"/>
        <v>0</v>
      </c>
      <c r="AK255" s="126">
        <f t="shared" ca="1" si="78"/>
        <v>0</v>
      </c>
      <c r="AL255" s="127">
        <f t="shared" ca="1" si="78"/>
        <v>0</v>
      </c>
      <c r="AM255" s="127">
        <f t="shared" ca="1" si="78"/>
        <v>0</v>
      </c>
      <c r="AN255" s="127">
        <f t="shared" ca="1" si="78"/>
        <v>0</v>
      </c>
      <c r="AO255" s="129">
        <f t="shared" ca="1" si="70"/>
        <v>0</v>
      </c>
      <c r="AP255" s="536" t="str">
        <f t="shared" si="81"/>
        <v/>
      </c>
      <c r="AQ255" s="536" t="str">
        <f t="shared" si="82"/>
        <v/>
      </c>
      <c r="AR255" s="536" t="str">
        <f t="shared" si="83"/>
        <v/>
      </c>
      <c r="AS255" s="537">
        <f>IF(OR(J255&lt;&gt;"",AP255&amp;AQ255&amp;AR255&lt;&gt;"X",WEEKDAY(I255,2)&gt;5,C255&lt;&gt;0,(FechaInicio1Tri&gt;I255),(FechaFinEEva&lt;I255)),0,_xlfn.XLOOKUP(WEEKDAY(I255,2),Fchs!$J$10:$N$10,Fchs!$J$12:$N$12))</f>
        <v>0</v>
      </c>
      <c r="AT255" s="536">
        <f t="shared" ca="1" si="84"/>
        <v>0</v>
      </c>
      <c r="AU255" s="538">
        <f>IF(AS255&lt;&gt;0,MAXA($AU$14:AU254)+AS255,0)</f>
        <v>0</v>
      </c>
      <c r="AV255" s="538">
        <f ca="1">IF(AT255&lt;&gt;0,MAXA($AU$14:AU254)+AT255,0)</f>
        <v>0</v>
      </c>
      <c r="AW255" s="70"/>
    </row>
    <row r="256" spans="1:49" ht="18.75" customHeight="1" x14ac:dyDescent="0.25">
      <c r="A256" s="70"/>
      <c r="B256" s="56" t="str">
        <f>MID(Info!$AZ$3,(WEEKDAY(I256,2)-1)*3+1,3)</f>
        <v>Dom</v>
      </c>
      <c r="C256" s="523">
        <f>_xlfn.XLOOKUP(I256,Fchs!$C$156:$C$197,Fchs!$D$156:$D$197,0)</f>
        <v>0</v>
      </c>
      <c r="D256" s="523">
        <f>_xlfn.XLOOKUP(I256,Fchs!$C$156:$C$197,Fchs!$E$156:$E$197)</f>
        <v>0</v>
      </c>
      <c r="E256" s="532">
        <f>IF($AS256&lt;&gt;0,_xlfn.XLOOKUP($G256,UDs!$E$34:$E$55,UDs!$B$34:$B$55,,-1),0)</f>
        <v>0</v>
      </c>
      <c r="F256" s="532">
        <f t="shared" ca="1" si="80"/>
        <v>0</v>
      </c>
      <c r="G256" s="569">
        <f>IF(AU256&lt;&gt;0,MAX($AU$13:$AU255)+1,0)</f>
        <v>0</v>
      </c>
      <c r="H256" s="569" t="str">
        <f>IF(AS256&lt;&gt;0,COUNT($H$14:H255,1),"")</f>
        <v/>
      </c>
      <c r="I256" s="533">
        <f t="shared" si="85"/>
        <v>46117</v>
      </c>
      <c r="J256" s="534"/>
      <c r="K256" s="535"/>
      <c r="L256" s="126">
        <f t="shared" ca="1" si="79"/>
        <v>0</v>
      </c>
      <c r="M256" s="127">
        <f t="shared" ca="1" si="79"/>
        <v>0</v>
      </c>
      <c r="N256" s="127">
        <f t="shared" ca="1" si="79"/>
        <v>0</v>
      </c>
      <c r="O256" s="127">
        <f t="shared" ca="1" si="79"/>
        <v>0</v>
      </c>
      <c r="P256" s="128">
        <f t="shared" ca="1" si="79"/>
        <v>0</v>
      </c>
      <c r="Q256" s="126">
        <f t="shared" ca="1" si="79"/>
        <v>0</v>
      </c>
      <c r="R256" s="127">
        <f t="shared" ca="1" si="79"/>
        <v>0</v>
      </c>
      <c r="S256" s="127">
        <f t="shared" ca="1" si="79"/>
        <v>0</v>
      </c>
      <c r="T256" s="127">
        <f t="shared" ca="1" si="79"/>
        <v>0</v>
      </c>
      <c r="U256" s="128">
        <f t="shared" ca="1" si="79"/>
        <v>0</v>
      </c>
      <c r="V256" s="126">
        <f t="shared" ca="1" si="79"/>
        <v>0</v>
      </c>
      <c r="W256" s="127">
        <f t="shared" ca="1" si="79"/>
        <v>0</v>
      </c>
      <c r="X256" s="127">
        <f t="shared" ca="1" si="79"/>
        <v>0</v>
      </c>
      <c r="Y256" s="127">
        <f t="shared" ca="1" si="79"/>
        <v>0</v>
      </c>
      <c r="Z256" s="128">
        <f t="shared" ca="1" si="79"/>
        <v>0</v>
      </c>
      <c r="AA256" s="126">
        <f t="shared" ca="1" si="79"/>
        <v>0</v>
      </c>
      <c r="AB256" s="127">
        <f t="shared" ca="1" si="78"/>
        <v>0</v>
      </c>
      <c r="AC256" s="127">
        <f t="shared" ca="1" si="78"/>
        <v>0</v>
      </c>
      <c r="AD256" s="127">
        <f t="shared" ca="1" si="78"/>
        <v>0</v>
      </c>
      <c r="AE256" s="128">
        <f t="shared" ca="1" si="78"/>
        <v>0</v>
      </c>
      <c r="AF256" s="126">
        <f t="shared" ca="1" si="78"/>
        <v>0</v>
      </c>
      <c r="AG256" s="127">
        <f t="shared" ca="1" si="78"/>
        <v>0</v>
      </c>
      <c r="AH256" s="127">
        <f t="shared" ca="1" si="78"/>
        <v>0</v>
      </c>
      <c r="AI256" s="127">
        <f t="shared" ca="1" si="78"/>
        <v>0</v>
      </c>
      <c r="AJ256" s="128">
        <f t="shared" ca="1" si="78"/>
        <v>0</v>
      </c>
      <c r="AK256" s="126">
        <f t="shared" ca="1" si="78"/>
        <v>0</v>
      </c>
      <c r="AL256" s="127">
        <f t="shared" ca="1" si="78"/>
        <v>0</v>
      </c>
      <c r="AM256" s="127">
        <f t="shared" ca="1" si="78"/>
        <v>0</v>
      </c>
      <c r="AN256" s="127">
        <f t="shared" ca="1" si="78"/>
        <v>0</v>
      </c>
      <c r="AO256" s="129">
        <f t="shared" ca="1" si="70"/>
        <v>0</v>
      </c>
      <c r="AP256" s="536" t="str">
        <f t="shared" si="81"/>
        <v/>
      </c>
      <c r="AQ256" s="536" t="str">
        <f t="shared" si="82"/>
        <v/>
      </c>
      <c r="AR256" s="536" t="str">
        <f t="shared" si="83"/>
        <v/>
      </c>
      <c r="AS256" s="537">
        <f>IF(OR(J256&lt;&gt;"",AP256&amp;AQ256&amp;AR256&lt;&gt;"X",WEEKDAY(I256,2)&gt;5,C256&lt;&gt;0,(FechaInicio1Tri&gt;I256),(FechaFinEEva&lt;I256)),0,_xlfn.XLOOKUP(WEEKDAY(I256,2),Fchs!$J$10:$N$10,Fchs!$J$12:$N$12))</f>
        <v>0</v>
      </c>
      <c r="AT256" s="536">
        <f t="shared" ca="1" si="84"/>
        <v>0</v>
      </c>
      <c r="AU256" s="538">
        <f>IF(AS256&lt;&gt;0,MAXA($AU$14:AU255)+AS256,0)</f>
        <v>0</v>
      </c>
      <c r="AV256" s="538">
        <f ca="1">IF(AT256&lt;&gt;0,MAXA($AU$14:AU255)+AT256,0)</f>
        <v>0</v>
      </c>
      <c r="AW256" s="70"/>
    </row>
    <row r="257" spans="1:49" ht="18.75" customHeight="1" x14ac:dyDescent="0.25">
      <c r="A257" s="70"/>
      <c r="B257" s="56" t="str">
        <f>MID(Info!$AZ$3,(WEEKDAY(I257,2)-1)*3+1,3)</f>
        <v>Lun</v>
      </c>
      <c r="C257" s="523" t="str">
        <f>_xlfn.XLOOKUP(I257,Fchs!$C$156:$C$197,Fchs!$D$156:$D$197,0)</f>
        <v>S.Santa</v>
      </c>
      <c r="D257" s="523">
        <f>_xlfn.XLOOKUP(I257,Fchs!$C$156:$C$197,Fchs!$E$156:$E$197)</f>
        <v>0</v>
      </c>
      <c r="E257" s="532">
        <f>IF($AS257&lt;&gt;0,_xlfn.XLOOKUP($G257,UDs!$E$34:$E$55,UDs!$B$34:$B$55,,-1),0)</f>
        <v>0</v>
      </c>
      <c r="F257" s="532">
        <f t="shared" ca="1" si="80"/>
        <v>0</v>
      </c>
      <c r="G257" s="569">
        <f>IF(AU257&lt;&gt;0,MAX($AU$13:$AU256)+1,0)</f>
        <v>0</v>
      </c>
      <c r="H257" s="569" t="str">
        <f>IF(AS257&lt;&gt;0,COUNT($H$14:H256,1),"")</f>
        <v/>
      </c>
      <c r="I257" s="533">
        <f t="shared" si="85"/>
        <v>46118</v>
      </c>
      <c r="J257" s="534"/>
      <c r="K257" s="535"/>
      <c r="L257" s="126">
        <f t="shared" ca="1" si="79"/>
        <v>0</v>
      </c>
      <c r="M257" s="127">
        <f t="shared" ca="1" si="79"/>
        <v>0</v>
      </c>
      <c r="N257" s="127">
        <f t="shared" ca="1" si="79"/>
        <v>0</v>
      </c>
      <c r="O257" s="127">
        <f t="shared" ca="1" si="79"/>
        <v>0</v>
      </c>
      <c r="P257" s="128">
        <f t="shared" ca="1" si="79"/>
        <v>0</v>
      </c>
      <c r="Q257" s="126">
        <f t="shared" ca="1" si="79"/>
        <v>0</v>
      </c>
      <c r="R257" s="127">
        <f t="shared" ca="1" si="79"/>
        <v>0</v>
      </c>
      <c r="S257" s="127">
        <f t="shared" ca="1" si="79"/>
        <v>0</v>
      </c>
      <c r="T257" s="127">
        <f t="shared" ca="1" si="79"/>
        <v>0</v>
      </c>
      <c r="U257" s="128">
        <f t="shared" ca="1" si="79"/>
        <v>0</v>
      </c>
      <c r="V257" s="126">
        <f t="shared" ca="1" si="79"/>
        <v>0</v>
      </c>
      <c r="W257" s="127">
        <f t="shared" ca="1" si="79"/>
        <v>0</v>
      </c>
      <c r="X257" s="127">
        <f t="shared" ca="1" si="79"/>
        <v>0</v>
      </c>
      <c r="Y257" s="127">
        <f t="shared" ca="1" si="79"/>
        <v>0</v>
      </c>
      <c r="Z257" s="128">
        <f t="shared" ca="1" si="79"/>
        <v>0</v>
      </c>
      <c r="AA257" s="126">
        <f t="shared" ca="1" si="79"/>
        <v>0</v>
      </c>
      <c r="AB257" s="127">
        <f t="shared" ca="1" si="78"/>
        <v>0</v>
      </c>
      <c r="AC257" s="127">
        <f t="shared" ca="1" si="78"/>
        <v>0</v>
      </c>
      <c r="AD257" s="127">
        <f t="shared" ca="1" si="78"/>
        <v>0</v>
      </c>
      <c r="AE257" s="128">
        <f t="shared" ca="1" si="78"/>
        <v>0</v>
      </c>
      <c r="AF257" s="126">
        <f t="shared" ca="1" si="78"/>
        <v>0</v>
      </c>
      <c r="AG257" s="127">
        <f t="shared" ca="1" si="78"/>
        <v>0</v>
      </c>
      <c r="AH257" s="127">
        <f t="shared" ca="1" si="78"/>
        <v>0</v>
      </c>
      <c r="AI257" s="127">
        <f t="shared" ca="1" si="78"/>
        <v>0</v>
      </c>
      <c r="AJ257" s="128">
        <f t="shared" ca="1" si="78"/>
        <v>0</v>
      </c>
      <c r="AK257" s="126">
        <f t="shared" ca="1" si="78"/>
        <v>0</v>
      </c>
      <c r="AL257" s="127">
        <f t="shared" ca="1" si="78"/>
        <v>0</v>
      </c>
      <c r="AM257" s="127">
        <f t="shared" ca="1" si="78"/>
        <v>0</v>
      </c>
      <c r="AN257" s="127">
        <f t="shared" ca="1" si="78"/>
        <v>0</v>
      </c>
      <c r="AO257" s="129">
        <f t="shared" ca="1" si="70"/>
        <v>0</v>
      </c>
      <c r="AP257" s="536" t="str">
        <f t="shared" si="81"/>
        <v/>
      </c>
      <c r="AQ257" s="536" t="str">
        <f t="shared" si="82"/>
        <v/>
      </c>
      <c r="AR257" s="536" t="str">
        <f t="shared" si="83"/>
        <v>X</v>
      </c>
      <c r="AS257" s="537">
        <f>IF(OR(J257&lt;&gt;"",AP257&amp;AQ257&amp;AR257&lt;&gt;"X",WEEKDAY(I257,2)&gt;5,C257&lt;&gt;0,(FechaInicio1Tri&gt;I257),(FechaFinEEva&lt;I257)),0,_xlfn.XLOOKUP(WEEKDAY(I257,2),Fchs!$J$10:$N$10,Fchs!$J$12:$N$12))</f>
        <v>0</v>
      </c>
      <c r="AT257" s="536">
        <f t="shared" ca="1" si="84"/>
        <v>0</v>
      </c>
      <c r="AU257" s="538">
        <f>IF(AS257&lt;&gt;0,MAXA($AU$14:AU256)+AS257,0)</f>
        <v>0</v>
      </c>
      <c r="AV257" s="538">
        <f ca="1">IF(AT257&lt;&gt;0,MAXA($AU$14:AU256)+AT257,0)</f>
        <v>0</v>
      </c>
      <c r="AW257" s="70"/>
    </row>
    <row r="258" spans="1:49" ht="18.75" customHeight="1" x14ac:dyDescent="0.25">
      <c r="A258" s="70"/>
      <c r="B258" s="56" t="str">
        <f>MID(Info!$AZ$3,(WEEKDAY(I258,2)-1)*3+1,3)</f>
        <v>Mar</v>
      </c>
      <c r="C258" s="523">
        <f>_xlfn.XLOOKUP(I258,Fchs!$C$156:$C$197,Fchs!$D$156:$D$197,0)</f>
        <v>0</v>
      </c>
      <c r="D258" s="523">
        <f>_xlfn.XLOOKUP(I258,Fchs!$C$156:$C$197,Fchs!$E$156:$E$197)</f>
        <v>0</v>
      </c>
      <c r="E258" s="532" t="str">
        <f>IF($AS258&lt;&gt;0,_xlfn.XLOOKUP($G258,UDs!$E$34:$E$55,UDs!$B$34:$B$55,,-1),0)</f>
        <v/>
      </c>
      <c r="F258" s="532">
        <f t="shared" ca="1" si="80"/>
        <v>0</v>
      </c>
      <c r="G258" s="569">
        <f>IF(AU258&lt;&gt;0,MAX($AU$13:$AU257)+1,0)</f>
        <v>103</v>
      </c>
      <c r="H258" s="569">
        <f>IF(AS258&lt;&gt;0,COUNT($H$14:H257,1),"")</f>
        <v>103</v>
      </c>
      <c r="I258" s="533">
        <f t="shared" si="85"/>
        <v>46119</v>
      </c>
      <c r="J258" s="534"/>
      <c r="K258" s="535"/>
      <c r="L258" s="126">
        <f t="shared" ca="1" si="79"/>
        <v>0</v>
      </c>
      <c r="M258" s="127">
        <f t="shared" ca="1" si="79"/>
        <v>0</v>
      </c>
      <c r="N258" s="127">
        <f t="shared" ca="1" si="79"/>
        <v>0</v>
      </c>
      <c r="O258" s="127">
        <f t="shared" ca="1" si="79"/>
        <v>0</v>
      </c>
      <c r="P258" s="128">
        <f t="shared" ca="1" si="79"/>
        <v>0</v>
      </c>
      <c r="Q258" s="126">
        <f t="shared" ca="1" si="79"/>
        <v>0</v>
      </c>
      <c r="R258" s="127">
        <f t="shared" ca="1" si="79"/>
        <v>0</v>
      </c>
      <c r="S258" s="127">
        <f t="shared" ca="1" si="79"/>
        <v>0</v>
      </c>
      <c r="T258" s="127">
        <f t="shared" ca="1" si="79"/>
        <v>0</v>
      </c>
      <c r="U258" s="128">
        <f t="shared" ca="1" si="79"/>
        <v>0</v>
      </c>
      <c r="V258" s="126">
        <f t="shared" ca="1" si="79"/>
        <v>0</v>
      </c>
      <c r="W258" s="127">
        <f t="shared" ca="1" si="79"/>
        <v>0</v>
      </c>
      <c r="X258" s="127">
        <f t="shared" ca="1" si="79"/>
        <v>0</v>
      </c>
      <c r="Y258" s="127">
        <f t="shared" ca="1" si="79"/>
        <v>0</v>
      </c>
      <c r="Z258" s="128">
        <f t="shared" ca="1" si="79"/>
        <v>0</v>
      </c>
      <c r="AA258" s="126">
        <f t="shared" ca="1" si="79"/>
        <v>0</v>
      </c>
      <c r="AB258" s="127">
        <f t="shared" ca="1" si="78"/>
        <v>0</v>
      </c>
      <c r="AC258" s="127">
        <f t="shared" ca="1" si="78"/>
        <v>0</v>
      </c>
      <c r="AD258" s="127">
        <f t="shared" ca="1" si="78"/>
        <v>0</v>
      </c>
      <c r="AE258" s="128">
        <f t="shared" ca="1" si="78"/>
        <v>0</v>
      </c>
      <c r="AF258" s="126">
        <f t="shared" ca="1" si="78"/>
        <v>0</v>
      </c>
      <c r="AG258" s="127">
        <f t="shared" ca="1" si="78"/>
        <v>0</v>
      </c>
      <c r="AH258" s="127">
        <f t="shared" ca="1" si="78"/>
        <v>0</v>
      </c>
      <c r="AI258" s="127">
        <f t="shared" ca="1" si="78"/>
        <v>0</v>
      </c>
      <c r="AJ258" s="128">
        <f t="shared" ca="1" si="78"/>
        <v>0</v>
      </c>
      <c r="AK258" s="126">
        <f t="shared" ca="1" si="78"/>
        <v>0</v>
      </c>
      <c r="AL258" s="127">
        <f t="shared" ca="1" si="78"/>
        <v>0</v>
      </c>
      <c r="AM258" s="127">
        <f t="shared" ca="1" si="78"/>
        <v>0</v>
      </c>
      <c r="AN258" s="127">
        <f t="shared" ca="1" si="78"/>
        <v>0</v>
      </c>
      <c r="AO258" s="129">
        <f t="shared" ca="1" si="70"/>
        <v>0</v>
      </c>
      <c r="AP258" s="536" t="str">
        <f t="shared" si="81"/>
        <v/>
      </c>
      <c r="AQ258" s="536" t="str">
        <f t="shared" si="82"/>
        <v/>
      </c>
      <c r="AR258" s="536" t="str">
        <f t="shared" si="83"/>
        <v>X</v>
      </c>
      <c r="AS258" s="537">
        <f>IF(OR(J258&lt;&gt;"",AP258&amp;AQ258&amp;AR258&lt;&gt;"X",WEEKDAY(I258,2)&gt;5,C258&lt;&gt;0,(FechaInicio1Tri&gt;I258),(FechaFinEEva&lt;I258)),0,_xlfn.XLOOKUP(WEEKDAY(I258,2),Fchs!$J$10:$N$10,Fchs!$J$12:$N$12))</f>
        <v>1</v>
      </c>
      <c r="AT258" s="536">
        <f t="shared" ca="1" si="84"/>
        <v>0</v>
      </c>
      <c r="AU258" s="538">
        <f>IF(AS258&lt;&gt;0,MAXA($AU$14:AU257)+AS258,0)</f>
        <v>103</v>
      </c>
      <c r="AV258" s="538">
        <f ca="1">IF(AT258&lt;&gt;0,MAXA($AU$14:AU257)+AT258,0)</f>
        <v>0</v>
      </c>
      <c r="AW258" s="70"/>
    </row>
    <row r="259" spans="1:49" ht="18.75" customHeight="1" x14ac:dyDescent="0.25">
      <c r="A259" s="70"/>
      <c r="B259" s="56" t="str">
        <f>MID(Info!$AZ$3,(WEEKDAY(I259,2)-1)*3+1,3)</f>
        <v>Mié</v>
      </c>
      <c r="C259" s="523">
        <f>_xlfn.XLOOKUP(I259,Fchs!$C$156:$C$197,Fchs!$D$156:$D$197,0)</f>
        <v>0</v>
      </c>
      <c r="D259" s="523">
        <f>_xlfn.XLOOKUP(I259,Fchs!$C$156:$C$197,Fchs!$E$156:$E$197)</f>
        <v>0</v>
      </c>
      <c r="E259" s="532" t="str">
        <f>IF($AS259&lt;&gt;0,_xlfn.XLOOKUP($G259,UDs!$E$34:$E$55,UDs!$B$34:$B$55,,-1),0)</f>
        <v/>
      </c>
      <c r="F259" s="532">
        <f t="shared" ca="1" si="80"/>
        <v>0</v>
      </c>
      <c r="G259" s="569">
        <f>IF(AU259&lt;&gt;0,MAX($AU$13:$AU258)+1,0)</f>
        <v>104</v>
      </c>
      <c r="H259" s="569">
        <f>IF(AS259&lt;&gt;0,COUNT($H$14:H258,1),"")</f>
        <v>104</v>
      </c>
      <c r="I259" s="533">
        <f t="shared" si="85"/>
        <v>46120</v>
      </c>
      <c r="J259" s="534"/>
      <c r="K259" s="535"/>
      <c r="L259" s="126">
        <f t="shared" ca="1" si="79"/>
        <v>0</v>
      </c>
      <c r="M259" s="127">
        <f t="shared" ca="1" si="79"/>
        <v>0</v>
      </c>
      <c r="N259" s="127">
        <f t="shared" ca="1" si="79"/>
        <v>0</v>
      </c>
      <c r="O259" s="127">
        <f t="shared" ca="1" si="79"/>
        <v>0</v>
      </c>
      <c r="P259" s="128">
        <f t="shared" ca="1" si="79"/>
        <v>0</v>
      </c>
      <c r="Q259" s="126">
        <f t="shared" ca="1" si="79"/>
        <v>0</v>
      </c>
      <c r="R259" s="127">
        <f t="shared" ca="1" si="79"/>
        <v>0</v>
      </c>
      <c r="S259" s="127">
        <f t="shared" ca="1" si="79"/>
        <v>0</v>
      </c>
      <c r="T259" s="127">
        <f t="shared" ca="1" si="79"/>
        <v>0</v>
      </c>
      <c r="U259" s="128">
        <f t="shared" ca="1" si="79"/>
        <v>0</v>
      </c>
      <c r="V259" s="126">
        <f t="shared" ca="1" si="79"/>
        <v>0</v>
      </c>
      <c r="W259" s="127">
        <f t="shared" ca="1" si="79"/>
        <v>0</v>
      </c>
      <c r="X259" s="127">
        <f t="shared" ca="1" si="79"/>
        <v>0</v>
      </c>
      <c r="Y259" s="127">
        <f t="shared" ca="1" si="79"/>
        <v>0</v>
      </c>
      <c r="Z259" s="128">
        <f t="shared" ca="1" si="79"/>
        <v>0</v>
      </c>
      <c r="AA259" s="126">
        <f t="shared" ca="1" si="79"/>
        <v>0</v>
      </c>
      <c r="AB259" s="127">
        <f t="shared" ca="1" si="78"/>
        <v>0</v>
      </c>
      <c r="AC259" s="127">
        <f t="shared" ca="1" si="78"/>
        <v>0</v>
      </c>
      <c r="AD259" s="127">
        <f t="shared" ca="1" si="78"/>
        <v>0</v>
      </c>
      <c r="AE259" s="128">
        <f t="shared" ca="1" si="78"/>
        <v>0</v>
      </c>
      <c r="AF259" s="126">
        <f t="shared" ca="1" si="78"/>
        <v>0</v>
      </c>
      <c r="AG259" s="127">
        <f t="shared" ca="1" si="78"/>
        <v>0</v>
      </c>
      <c r="AH259" s="127">
        <f t="shared" ca="1" si="78"/>
        <v>0</v>
      </c>
      <c r="AI259" s="127">
        <f t="shared" ca="1" si="78"/>
        <v>0</v>
      </c>
      <c r="AJ259" s="128">
        <f t="shared" ca="1" si="78"/>
        <v>0</v>
      </c>
      <c r="AK259" s="126">
        <f t="shared" ca="1" si="78"/>
        <v>0</v>
      </c>
      <c r="AL259" s="127">
        <f t="shared" ca="1" si="78"/>
        <v>0</v>
      </c>
      <c r="AM259" s="127">
        <f t="shared" ca="1" si="78"/>
        <v>0</v>
      </c>
      <c r="AN259" s="127">
        <f t="shared" ca="1" si="78"/>
        <v>0</v>
      </c>
      <c r="AO259" s="129">
        <f t="shared" ca="1" si="70"/>
        <v>0</v>
      </c>
      <c r="AP259" s="536" t="str">
        <f t="shared" si="81"/>
        <v/>
      </c>
      <c r="AQ259" s="536" t="str">
        <f t="shared" si="82"/>
        <v/>
      </c>
      <c r="AR259" s="536" t="str">
        <f t="shared" si="83"/>
        <v>X</v>
      </c>
      <c r="AS259" s="537">
        <f>IF(OR(J259&lt;&gt;"",AP259&amp;AQ259&amp;AR259&lt;&gt;"X",WEEKDAY(I259,2)&gt;5,C259&lt;&gt;0,(FechaInicio1Tri&gt;I259),(FechaFinEEva&lt;I259)),0,_xlfn.XLOOKUP(WEEKDAY(I259,2),Fchs!$J$10:$N$10,Fchs!$J$12:$N$12))</f>
        <v>1</v>
      </c>
      <c r="AT259" s="536">
        <f t="shared" ca="1" si="84"/>
        <v>0</v>
      </c>
      <c r="AU259" s="538">
        <f>IF(AS259&lt;&gt;0,MAXA($AU$14:AU258)+AS259,0)</f>
        <v>104</v>
      </c>
      <c r="AV259" s="538">
        <f ca="1">IF(AT259&lt;&gt;0,MAXA($AU$14:AU258)+AT259,0)</f>
        <v>0</v>
      </c>
      <c r="AW259" s="70"/>
    </row>
    <row r="260" spans="1:49" ht="18.75" customHeight="1" x14ac:dyDescent="0.25">
      <c r="A260" s="70"/>
      <c r="B260" s="56" t="str">
        <f>MID(Info!$AZ$3,(WEEKDAY(I260,2)-1)*3+1,3)</f>
        <v>Jue</v>
      </c>
      <c r="C260" s="523">
        <f>_xlfn.XLOOKUP(I260,Fchs!$C$156:$C$197,Fchs!$D$156:$D$197,0)</f>
        <v>0</v>
      </c>
      <c r="D260" s="523">
        <f>_xlfn.XLOOKUP(I260,Fchs!$C$156:$C$197,Fchs!$E$156:$E$197)</f>
        <v>0</v>
      </c>
      <c r="E260" s="532" t="str">
        <f>IF($AS260&lt;&gt;0,_xlfn.XLOOKUP($G260,UDs!$E$34:$E$55,UDs!$B$34:$B$55,,-1),0)</f>
        <v/>
      </c>
      <c r="F260" s="532">
        <f t="shared" ca="1" si="80"/>
        <v>0</v>
      </c>
      <c r="G260" s="569">
        <f>IF(AU260&lt;&gt;0,MAX($AU$13:$AU259)+1,0)</f>
        <v>105</v>
      </c>
      <c r="H260" s="569">
        <f>IF(AS260&lt;&gt;0,COUNT($H$14:H259,1),"")</f>
        <v>105</v>
      </c>
      <c r="I260" s="533">
        <f t="shared" si="85"/>
        <v>46121</v>
      </c>
      <c r="J260" s="534"/>
      <c r="K260" s="535"/>
      <c r="L260" s="126">
        <f t="shared" ca="1" si="79"/>
        <v>0</v>
      </c>
      <c r="M260" s="127">
        <f t="shared" ca="1" si="79"/>
        <v>0</v>
      </c>
      <c r="N260" s="127">
        <f t="shared" ca="1" si="79"/>
        <v>0</v>
      </c>
      <c r="O260" s="127">
        <f t="shared" ca="1" si="79"/>
        <v>0</v>
      </c>
      <c r="P260" s="128">
        <f t="shared" ca="1" si="79"/>
        <v>0</v>
      </c>
      <c r="Q260" s="126">
        <f t="shared" ca="1" si="79"/>
        <v>0</v>
      </c>
      <c r="R260" s="127">
        <f t="shared" ca="1" si="79"/>
        <v>0</v>
      </c>
      <c r="S260" s="127">
        <f t="shared" ca="1" si="79"/>
        <v>0</v>
      </c>
      <c r="T260" s="127">
        <f t="shared" ca="1" si="79"/>
        <v>0</v>
      </c>
      <c r="U260" s="128">
        <f t="shared" ca="1" si="79"/>
        <v>0</v>
      </c>
      <c r="V260" s="126">
        <f t="shared" ca="1" si="79"/>
        <v>0</v>
      </c>
      <c r="W260" s="127">
        <f t="shared" ca="1" si="79"/>
        <v>0</v>
      </c>
      <c r="X260" s="127">
        <f t="shared" ca="1" si="79"/>
        <v>0</v>
      </c>
      <c r="Y260" s="127">
        <f t="shared" ca="1" si="79"/>
        <v>0</v>
      </c>
      <c r="Z260" s="128">
        <f t="shared" ca="1" si="79"/>
        <v>0</v>
      </c>
      <c r="AA260" s="126">
        <f t="shared" ca="1" si="79"/>
        <v>0</v>
      </c>
      <c r="AB260" s="127">
        <f t="shared" ca="1" si="78"/>
        <v>0</v>
      </c>
      <c r="AC260" s="127">
        <f t="shared" ca="1" si="78"/>
        <v>0</v>
      </c>
      <c r="AD260" s="127">
        <f t="shared" ca="1" si="78"/>
        <v>0</v>
      </c>
      <c r="AE260" s="128">
        <f t="shared" ca="1" si="78"/>
        <v>0</v>
      </c>
      <c r="AF260" s="126">
        <f t="shared" ca="1" si="78"/>
        <v>0</v>
      </c>
      <c r="AG260" s="127">
        <f t="shared" ca="1" si="78"/>
        <v>0</v>
      </c>
      <c r="AH260" s="127">
        <f t="shared" ca="1" si="78"/>
        <v>0</v>
      </c>
      <c r="AI260" s="127">
        <f t="shared" ca="1" si="78"/>
        <v>0</v>
      </c>
      <c r="AJ260" s="128">
        <f t="shared" ca="1" si="78"/>
        <v>0</v>
      </c>
      <c r="AK260" s="126">
        <f t="shared" ca="1" si="78"/>
        <v>0</v>
      </c>
      <c r="AL260" s="127">
        <f t="shared" ca="1" si="78"/>
        <v>0</v>
      </c>
      <c r="AM260" s="127">
        <f t="shared" ca="1" si="78"/>
        <v>0</v>
      </c>
      <c r="AN260" s="127">
        <f t="shared" ca="1" si="78"/>
        <v>0</v>
      </c>
      <c r="AO260" s="129">
        <f t="shared" ca="1" si="70"/>
        <v>0</v>
      </c>
      <c r="AP260" s="536" t="str">
        <f t="shared" si="81"/>
        <v/>
      </c>
      <c r="AQ260" s="536" t="str">
        <f t="shared" si="82"/>
        <v/>
      </c>
      <c r="AR260" s="536" t="str">
        <f t="shared" si="83"/>
        <v>X</v>
      </c>
      <c r="AS260" s="537">
        <f>IF(OR(J260&lt;&gt;"",AP260&amp;AQ260&amp;AR260&lt;&gt;"X",WEEKDAY(I260,2)&gt;5,C260&lt;&gt;0,(FechaInicio1Tri&gt;I260),(FechaFinEEva&lt;I260)),0,_xlfn.XLOOKUP(WEEKDAY(I260,2),Fchs!$J$10:$N$10,Fchs!$J$12:$N$12))</f>
        <v>1</v>
      </c>
      <c r="AT260" s="536">
        <f t="shared" ca="1" si="84"/>
        <v>0</v>
      </c>
      <c r="AU260" s="538">
        <f>IF(AS260&lt;&gt;0,MAXA($AU$14:AU259)+AS260,0)</f>
        <v>105</v>
      </c>
      <c r="AV260" s="538">
        <f ca="1">IF(AT260&lt;&gt;0,MAXA($AU$14:AU259)+AT260,0)</f>
        <v>0</v>
      </c>
      <c r="AW260" s="70"/>
    </row>
    <row r="261" spans="1:49" ht="18.75" customHeight="1" x14ac:dyDescent="0.25">
      <c r="A261" s="70"/>
      <c r="B261" s="56" t="str">
        <f>MID(Info!$AZ$3,(WEEKDAY(I261,2)-1)*3+1,3)</f>
        <v>Vie</v>
      </c>
      <c r="C261" s="523">
        <f>_xlfn.XLOOKUP(I261,Fchs!$C$156:$C$197,Fchs!$D$156:$D$197,0)</f>
        <v>0</v>
      </c>
      <c r="D261" s="523">
        <f>_xlfn.XLOOKUP(I261,Fchs!$C$156:$C$197,Fchs!$E$156:$E$197)</f>
        <v>0</v>
      </c>
      <c r="E261" s="532" t="str">
        <f>IF($AS261&lt;&gt;0,_xlfn.XLOOKUP($G261,UDs!$E$34:$E$55,UDs!$B$34:$B$55,,-1),0)</f>
        <v/>
      </c>
      <c r="F261" s="532">
        <f t="shared" ca="1" si="80"/>
        <v>0</v>
      </c>
      <c r="G261" s="569">
        <f>IF(AU261&lt;&gt;0,MAX($AU$13:$AU260)+1,0)</f>
        <v>106</v>
      </c>
      <c r="H261" s="569">
        <f>IF(AS261&lt;&gt;0,COUNT($H$14:H260,1),"")</f>
        <v>106</v>
      </c>
      <c r="I261" s="533">
        <f t="shared" si="85"/>
        <v>46122</v>
      </c>
      <c r="J261" s="534"/>
      <c r="K261" s="535"/>
      <c r="L261" s="126">
        <f t="shared" ca="1" si="79"/>
        <v>0</v>
      </c>
      <c r="M261" s="127">
        <f t="shared" ca="1" si="79"/>
        <v>0</v>
      </c>
      <c r="N261" s="127">
        <f t="shared" ca="1" si="79"/>
        <v>0</v>
      </c>
      <c r="O261" s="127">
        <f t="shared" ca="1" si="79"/>
        <v>0</v>
      </c>
      <c r="P261" s="128">
        <f t="shared" ca="1" si="79"/>
        <v>0</v>
      </c>
      <c r="Q261" s="126">
        <f t="shared" ca="1" si="79"/>
        <v>0</v>
      </c>
      <c r="R261" s="127">
        <f t="shared" ca="1" si="79"/>
        <v>0</v>
      </c>
      <c r="S261" s="127">
        <f t="shared" ca="1" si="79"/>
        <v>0</v>
      </c>
      <c r="T261" s="127">
        <f t="shared" ca="1" si="79"/>
        <v>0</v>
      </c>
      <c r="U261" s="128">
        <f t="shared" ca="1" si="79"/>
        <v>0</v>
      </c>
      <c r="V261" s="126">
        <f t="shared" ca="1" si="79"/>
        <v>0</v>
      </c>
      <c r="W261" s="127">
        <f t="shared" ca="1" si="79"/>
        <v>0</v>
      </c>
      <c r="X261" s="127">
        <f t="shared" ca="1" si="79"/>
        <v>0</v>
      </c>
      <c r="Y261" s="127">
        <f t="shared" ca="1" si="79"/>
        <v>0</v>
      </c>
      <c r="Z261" s="128">
        <f t="shared" ca="1" si="79"/>
        <v>0</v>
      </c>
      <c r="AA261" s="126">
        <f t="shared" ca="1" si="79"/>
        <v>0</v>
      </c>
      <c r="AB261" s="127">
        <f t="shared" ca="1" si="78"/>
        <v>0</v>
      </c>
      <c r="AC261" s="127">
        <f t="shared" ca="1" si="78"/>
        <v>0</v>
      </c>
      <c r="AD261" s="127">
        <f t="shared" ca="1" si="78"/>
        <v>0</v>
      </c>
      <c r="AE261" s="128">
        <f t="shared" ca="1" si="78"/>
        <v>0</v>
      </c>
      <c r="AF261" s="126">
        <f t="shared" ca="1" si="78"/>
        <v>0</v>
      </c>
      <c r="AG261" s="127">
        <f t="shared" ca="1" si="78"/>
        <v>0</v>
      </c>
      <c r="AH261" s="127">
        <f t="shared" ca="1" si="78"/>
        <v>0</v>
      </c>
      <c r="AI261" s="127">
        <f t="shared" ca="1" si="78"/>
        <v>0</v>
      </c>
      <c r="AJ261" s="128">
        <f t="shared" ca="1" si="78"/>
        <v>0</v>
      </c>
      <c r="AK261" s="126">
        <f t="shared" ca="1" si="78"/>
        <v>0</v>
      </c>
      <c r="AL261" s="127">
        <f t="shared" ca="1" si="78"/>
        <v>0</v>
      </c>
      <c r="AM261" s="127">
        <f t="shared" ca="1" si="78"/>
        <v>0</v>
      </c>
      <c r="AN261" s="127">
        <f t="shared" ca="1" si="78"/>
        <v>0</v>
      </c>
      <c r="AO261" s="129">
        <f t="shared" ca="1" si="70"/>
        <v>0</v>
      </c>
      <c r="AP261" s="536" t="str">
        <f t="shared" si="81"/>
        <v/>
      </c>
      <c r="AQ261" s="536" t="str">
        <f t="shared" si="82"/>
        <v/>
      </c>
      <c r="AR261" s="536" t="str">
        <f t="shared" si="83"/>
        <v>X</v>
      </c>
      <c r="AS261" s="537">
        <f>IF(OR(J261&lt;&gt;"",AP261&amp;AQ261&amp;AR261&lt;&gt;"X",WEEKDAY(I261,2)&gt;5,C261&lt;&gt;0,(FechaInicio1Tri&gt;I261),(FechaFinEEva&lt;I261)),0,_xlfn.XLOOKUP(WEEKDAY(I261,2),Fchs!$J$10:$N$10,Fchs!$J$12:$N$12))</f>
        <v>1</v>
      </c>
      <c r="AT261" s="536">
        <f t="shared" ca="1" si="84"/>
        <v>0</v>
      </c>
      <c r="AU261" s="538">
        <f>IF(AS261&lt;&gt;0,MAXA($AU$14:AU260)+AS261,0)</f>
        <v>106</v>
      </c>
      <c r="AV261" s="538">
        <f ca="1">IF(AT261&lt;&gt;0,MAXA($AU$14:AU260)+AT261,0)</f>
        <v>0</v>
      </c>
      <c r="AW261" s="70"/>
    </row>
    <row r="262" spans="1:49" ht="18.75" customHeight="1" x14ac:dyDescent="0.25">
      <c r="A262" s="70"/>
      <c r="B262" s="56" t="str">
        <f>MID(Info!$AZ$3,(WEEKDAY(I262,2)-1)*3+1,3)</f>
        <v>Sáb</v>
      </c>
      <c r="C262" s="523">
        <f>_xlfn.XLOOKUP(I262,Fchs!$C$156:$C$197,Fchs!$D$156:$D$197,0)</f>
        <v>0</v>
      </c>
      <c r="D262" s="523">
        <f>_xlfn.XLOOKUP(I262,Fchs!$C$156:$C$197,Fchs!$E$156:$E$197)</f>
        <v>0</v>
      </c>
      <c r="E262" s="532">
        <f>IF($AS262&lt;&gt;0,_xlfn.XLOOKUP($G262,UDs!$E$34:$E$55,UDs!$B$34:$B$55,,-1),0)</f>
        <v>0</v>
      </c>
      <c r="F262" s="532">
        <f t="shared" ca="1" si="80"/>
        <v>0</v>
      </c>
      <c r="G262" s="569">
        <f>IF(AU262&lt;&gt;0,MAX($AU$13:$AU261)+1,0)</f>
        <v>0</v>
      </c>
      <c r="H262" s="569" t="str">
        <f>IF(AS262&lt;&gt;0,COUNT($H$14:H261,1),"")</f>
        <v/>
      </c>
      <c r="I262" s="533">
        <f t="shared" si="85"/>
        <v>46123</v>
      </c>
      <c r="J262" s="534"/>
      <c r="K262" s="535"/>
      <c r="L262" s="126">
        <f t="shared" ca="1" si="79"/>
        <v>0</v>
      </c>
      <c r="M262" s="127">
        <f t="shared" ca="1" si="79"/>
        <v>0</v>
      </c>
      <c r="N262" s="127">
        <f t="shared" ca="1" si="79"/>
        <v>0</v>
      </c>
      <c r="O262" s="127">
        <f t="shared" ca="1" si="79"/>
        <v>0</v>
      </c>
      <c r="P262" s="128">
        <f t="shared" ca="1" si="79"/>
        <v>0</v>
      </c>
      <c r="Q262" s="126">
        <f t="shared" ca="1" si="79"/>
        <v>0</v>
      </c>
      <c r="R262" s="127">
        <f t="shared" ca="1" si="79"/>
        <v>0</v>
      </c>
      <c r="S262" s="127">
        <f t="shared" ca="1" si="79"/>
        <v>0</v>
      </c>
      <c r="T262" s="127">
        <f t="shared" ca="1" si="79"/>
        <v>0</v>
      </c>
      <c r="U262" s="128">
        <f t="shared" ca="1" si="79"/>
        <v>0</v>
      </c>
      <c r="V262" s="126">
        <f t="shared" ca="1" si="79"/>
        <v>0</v>
      </c>
      <c r="W262" s="127">
        <f t="shared" ca="1" si="79"/>
        <v>0</v>
      </c>
      <c r="X262" s="127">
        <f t="shared" ca="1" si="79"/>
        <v>0</v>
      </c>
      <c r="Y262" s="127">
        <f t="shared" ca="1" si="79"/>
        <v>0</v>
      </c>
      <c r="Z262" s="128">
        <f t="shared" ca="1" si="79"/>
        <v>0</v>
      </c>
      <c r="AA262" s="126">
        <f t="shared" ref="AA262:AO315" ca="1" si="86">$AT262</f>
        <v>0</v>
      </c>
      <c r="AB262" s="127">
        <f t="shared" ca="1" si="86"/>
        <v>0</v>
      </c>
      <c r="AC262" s="127">
        <f t="shared" ca="1" si="86"/>
        <v>0</v>
      </c>
      <c r="AD262" s="127">
        <f t="shared" ca="1" si="86"/>
        <v>0</v>
      </c>
      <c r="AE262" s="128">
        <f t="shared" ca="1" si="86"/>
        <v>0</v>
      </c>
      <c r="AF262" s="126">
        <f t="shared" ca="1" si="86"/>
        <v>0</v>
      </c>
      <c r="AG262" s="127">
        <f t="shared" ca="1" si="86"/>
        <v>0</v>
      </c>
      <c r="AH262" s="127">
        <f t="shared" ca="1" si="86"/>
        <v>0</v>
      </c>
      <c r="AI262" s="127">
        <f t="shared" ca="1" si="86"/>
        <v>0</v>
      </c>
      <c r="AJ262" s="128">
        <f t="shared" ca="1" si="86"/>
        <v>0</v>
      </c>
      <c r="AK262" s="126">
        <f t="shared" ca="1" si="86"/>
        <v>0</v>
      </c>
      <c r="AL262" s="127">
        <f t="shared" ca="1" si="86"/>
        <v>0</v>
      </c>
      <c r="AM262" s="127">
        <f t="shared" ca="1" si="86"/>
        <v>0</v>
      </c>
      <c r="AN262" s="127">
        <f t="shared" ca="1" si="86"/>
        <v>0</v>
      </c>
      <c r="AO262" s="129">
        <f t="shared" ca="1" si="70"/>
        <v>0</v>
      </c>
      <c r="AP262" s="536" t="str">
        <f t="shared" si="81"/>
        <v/>
      </c>
      <c r="AQ262" s="536" t="str">
        <f t="shared" si="82"/>
        <v/>
      </c>
      <c r="AR262" s="536" t="str">
        <f t="shared" si="83"/>
        <v/>
      </c>
      <c r="AS262" s="537">
        <f>IF(OR(J262&lt;&gt;"",AP262&amp;AQ262&amp;AR262&lt;&gt;"X",WEEKDAY(I262,2)&gt;5,C262&lt;&gt;0,(FechaInicio1Tri&gt;I262),(FechaFinEEva&lt;I262)),0,_xlfn.XLOOKUP(WEEKDAY(I262,2),Fchs!$J$10:$N$10,Fchs!$J$12:$N$12))</f>
        <v>0</v>
      </c>
      <c r="AT262" s="536">
        <f t="shared" ca="1" si="84"/>
        <v>0</v>
      </c>
      <c r="AU262" s="538">
        <f>IF(AS262&lt;&gt;0,MAXA($AU$14:AU261)+AS262,0)</f>
        <v>0</v>
      </c>
      <c r="AV262" s="538">
        <f ca="1">IF(AT262&lt;&gt;0,MAXA($AU$14:AU261)+AT262,0)</f>
        <v>0</v>
      </c>
      <c r="AW262" s="70"/>
    </row>
    <row r="263" spans="1:49" ht="18.75" customHeight="1" x14ac:dyDescent="0.25">
      <c r="A263" s="70"/>
      <c r="B263" s="56" t="str">
        <f>MID(Info!$AZ$3,(WEEKDAY(I263,2)-1)*3+1,3)</f>
        <v>Dom</v>
      </c>
      <c r="C263" s="523">
        <f>_xlfn.XLOOKUP(I263,Fchs!$C$156:$C$197,Fchs!$D$156:$D$197,0)</f>
        <v>0</v>
      </c>
      <c r="D263" s="523">
        <f>_xlfn.XLOOKUP(I263,Fchs!$C$156:$C$197,Fchs!$E$156:$E$197)</f>
        <v>0</v>
      </c>
      <c r="E263" s="532">
        <f>IF($AS263&lt;&gt;0,_xlfn.XLOOKUP($G263,UDs!$E$34:$E$55,UDs!$B$34:$B$55,,-1),0)</f>
        <v>0</v>
      </c>
      <c r="F263" s="532">
        <f t="shared" ca="1" si="80"/>
        <v>0</v>
      </c>
      <c r="G263" s="569">
        <f>IF(AU263&lt;&gt;0,MAX($AU$13:$AU262)+1,0)</f>
        <v>0</v>
      </c>
      <c r="H263" s="569" t="str">
        <f>IF(AS263&lt;&gt;0,COUNT($H$14:H262,1),"")</f>
        <v/>
      </c>
      <c r="I263" s="533">
        <f t="shared" si="85"/>
        <v>46124</v>
      </c>
      <c r="J263" s="534"/>
      <c r="K263" s="535"/>
      <c r="L263" s="126">
        <f t="shared" ref="L263:AA278" ca="1" si="87">$AT263</f>
        <v>0</v>
      </c>
      <c r="M263" s="127">
        <f t="shared" ca="1" si="87"/>
        <v>0</v>
      </c>
      <c r="N263" s="127">
        <f t="shared" ca="1" si="87"/>
        <v>0</v>
      </c>
      <c r="O263" s="127">
        <f t="shared" ca="1" si="87"/>
        <v>0</v>
      </c>
      <c r="P263" s="128">
        <f t="shared" ca="1" si="87"/>
        <v>0</v>
      </c>
      <c r="Q263" s="126">
        <f t="shared" ca="1" si="87"/>
        <v>0</v>
      </c>
      <c r="R263" s="127">
        <f t="shared" ca="1" si="87"/>
        <v>0</v>
      </c>
      <c r="S263" s="127">
        <f t="shared" ca="1" si="87"/>
        <v>0</v>
      </c>
      <c r="T263" s="127">
        <f t="shared" ca="1" si="87"/>
        <v>0</v>
      </c>
      <c r="U263" s="128">
        <f t="shared" ca="1" si="87"/>
        <v>0</v>
      </c>
      <c r="V263" s="126">
        <f t="shared" ca="1" si="87"/>
        <v>0</v>
      </c>
      <c r="W263" s="127">
        <f t="shared" ca="1" si="87"/>
        <v>0</v>
      </c>
      <c r="X263" s="127">
        <f t="shared" ca="1" si="87"/>
        <v>0</v>
      </c>
      <c r="Y263" s="127">
        <f t="shared" ca="1" si="87"/>
        <v>0</v>
      </c>
      <c r="Z263" s="128">
        <f t="shared" ca="1" si="87"/>
        <v>0</v>
      </c>
      <c r="AA263" s="126">
        <f t="shared" ca="1" si="87"/>
        <v>0</v>
      </c>
      <c r="AB263" s="127">
        <f t="shared" ca="1" si="86"/>
        <v>0</v>
      </c>
      <c r="AC263" s="127">
        <f t="shared" ca="1" si="86"/>
        <v>0</v>
      </c>
      <c r="AD263" s="127">
        <f t="shared" ca="1" si="86"/>
        <v>0</v>
      </c>
      <c r="AE263" s="128">
        <f t="shared" ca="1" si="86"/>
        <v>0</v>
      </c>
      <c r="AF263" s="126">
        <f t="shared" ca="1" si="86"/>
        <v>0</v>
      </c>
      <c r="AG263" s="127">
        <f t="shared" ca="1" si="86"/>
        <v>0</v>
      </c>
      <c r="AH263" s="127">
        <f t="shared" ca="1" si="86"/>
        <v>0</v>
      </c>
      <c r="AI263" s="127">
        <f t="shared" ca="1" si="86"/>
        <v>0</v>
      </c>
      <c r="AJ263" s="128">
        <f t="shared" ca="1" si="86"/>
        <v>0</v>
      </c>
      <c r="AK263" s="126">
        <f t="shared" ca="1" si="86"/>
        <v>0</v>
      </c>
      <c r="AL263" s="127">
        <f t="shared" ca="1" si="86"/>
        <v>0</v>
      </c>
      <c r="AM263" s="127">
        <f t="shared" ca="1" si="86"/>
        <v>0</v>
      </c>
      <c r="AN263" s="127">
        <f t="shared" ca="1" si="86"/>
        <v>0</v>
      </c>
      <c r="AO263" s="129">
        <f t="shared" ca="1" si="70"/>
        <v>0</v>
      </c>
      <c r="AP263" s="536" t="str">
        <f t="shared" si="81"/>
        <v/>
      </c>
      <c r="AQ263" s="536" t="str">
        <f t="shared" si="82"/>
        <v/>
      </c>
      <c r="AR263" s="536" t="str">
        <f t="shared" si="83"/>
        <v/>
      </c>
      <c r="AS263" s="537">
        <f>IF(OR(J263&lt;&gt;"",AP263&amp;AQ263&amp;AR263&lt;&gt;"X",WEEKDAY(I263,2)&gt;5,C263&lt;&gt;0,(FechaInicio1Tri&gt;I263),(FechaFinEEva&lt;I263)),0,_xlfn.XLOOKUP(WEEKDAY(I263,2),Fchs!$J$10:$N$10,Fchs!$J$12:$N$12))</f>
        <v>0</v>
      </c>
      <c r="AT263" s="536">
        <f t="shared" ca="1" si="84"/>
        <v>0</v>
      </c>
      <c r="AU263" s="538">
        <f>IF(AS263&lt;&gt;0,MAXA($AU$14:AU262)+AS263,0)</f>
        <v>0</v>
      </c>
      <c r="AV263" s="538">
        <f ca="1">IF(AT263&lt;&gt;0,MAXA($AU$14:AU262)+AT263,0)</f>
        <v>0</v>
      </c>
      <c r="AW263" s="70"/>
    </row>
    <row r="264" spans="1:49" ht="18.75" customHeight="1" x14ac:dyDescent="0.25">
      <c r="A264" s="70"/>
      <c r="B264" s="56" t="str">
        <f>MID(Info!$AZ$3,(WEEKDAY(I264,2)-1)*3+1,3)</f>
        <v>Lun</v>
      </c>
      <c r="C264" s="523">
        <f>_xlfn.XLOOKUP(I264,Fchs!$C$156:$C$197,Fchs!$D$156:$D$197,0)</f>
        <v>0</v>
      </c>
      <c r="D264" s="523">
        <f>_xlfn.XLOOKUP(I264,Fchs!$C$156:$C$197,Fchs!$E$156:$E$197)</f>
        <v>0</v>
      </c>
      <c r="E264" s="532" t="str">
        <f>IF($AS264&lt;&gt;0,_xlfn.XLOOKUP($G264,UDs!$E$34:$E$55,UDs!$B$34:$B$55,,-1),0)</f>
        <v/>
      </c>
      <c r="F264" s="532">
        <f t="shared" ca="1" si="80"/>
        <v>0</v>
      </c>
      <c r="G264" s="569">
        <f>IF(AU264&lt;&gt;0,MAX($AU$13:$AU263)+1,0)</f>
        <v>107</v>
      </c>
      <c r="H264" s="569">
        <f>IF(AS264&lt;&gt;0,COUNT($H$14:H263,1),"")</f>
        <v>107</v>
      </c>
      <c r="I264" s="533">
        <f t="shared" si="85"/>
        <v>46125</v>
      </c>
      <c r="J264" s="534"/>
      <c r="K264" s="535"/>
      <c r="L264" s="126">
        <f t="shared" ca="1" si="87"/>
        <v>0</v>
      </c>
      <c r="M264" s="127">
        <f t="shared" ca="1" si="87"/>
        <v>0</v>
      </c>
      <c r="N264" s="127">
        <f t="shared" ca="1" si="87"/>
        <v>0</v>
      </c>
      <c r="O264" s="127">
        <f t="shared" ca="1" si="87"/>
        <v>0</v>
      </c>
      <c r="P264" s="128">
        <f t="shared" ca="1" si="87"/>
        <v>0</v>
      </c>
      <c r="Q264" s="126">
        <f t="shared" ca="1" si="87"/>
        <v>0</v>
      </c>
      <c r="R264" s="127">
        <f t="shared" ca="1" si="87"/>
        <v>0</v>
      </c>
      <c r="S264" s="127">
        <f t="shared" ca="1" si="87"/>
        <v>0</v>
      </c>
      <c r="T264" s="127">
        <f t="shared" ca="1" si="87"/>
        <v>0</v>
      </c>
      <c r="U264" s="128">
        <f t="shared" ca="1" si="87"/>
        <v>0</v>
      </c>
      <c r="V264" s="126">
        <f t="shared" ca="1" si="87"/>
        <v>0</v>
      </c>
      <c r="W264" s="127">
        <f t="shared" ca="1" si="87"/>
        <v>0</v>
      </c>
      <c r="X264" s="127">
        <f t="shared" ca="1" si="87"/>
        <v>0</v>
      </c>
      <c r="Y264" s="127">
        <f t="shared" ca="1" si="87"/>
        <v>0</v>
      </c>
      <c r="Z264" s="128">
        <f t="shared" ca="1" si="87"/>
        <v>0</v>
      </c>
      <c r="AA264" s="126">
        <f t="shared" ca="1" si="87"/>
        <v>0</v>
      </c>
      <c r="AB264" s="127">
        <f t="shared" ca="1" si="86"/>
        <v>0</v>
      </c>
      <c r="AC264" s="127">
        <f t="shared" ca="1" si="86"/>
        <v>0</v>
      </c>
      <c r="AD264" s="127">
        <f t="shared" ca="1" si="86"/>
        <v>0</v>
      </c>
      <c r="AE264" s="128">
        <f t="shared" ca="1" si="86"/>
        <v>0</v>
      </c>
      <c r="AF264" s="126">
        <f t="shared" ca="1" si="86"/>
        <v>0</v>
      </c>
      <c r="AG264" s="127">
        <f t="shared" ca="1" si="86"/>
        <v>0</v>
      </c>
      <c r="AH264" s="127">
        <f t="shared" ca="1" si="86"/>
        <v>0</v>
      </c>
      <c r="AI264" s="127">
        <f t="shared" ca="1" si="86"/>
        <v>0</v>
      </c>
      <c r="AJ264" s="128">
        <f t="shared" ca="1" si="86"/>
        <v>0</v>
      </c>
      <c r="AK264" s="126">
        <f t="shared" ca="1" si="86"/>
        <v>0</v>
      </c>
      <c r="AL264" s="127">
        <f t="shared" ca="1" si="86"/>
        <v>0</v>
      </c>
      <c r="AM264" s="127">
        <f t="shared" ca="1" si="86"/>
        <v>0</v>
      </c>
      <c r="AN264" s="127">
        <f t="shared" ca="1" si="86"/>
        <v>0</v>
      </c>
      <c r="AO264" s="129">
        <f t="shared" ca="1" si="70"/>
        <v>0</v>
      </c>
      <c r="AP264" s="536" t="str">
        <f t="shared" si="81"/>
        <v/>
      </c>
      <c r="AQ264" s="536" t="str">
        <f t="shared" si="82"/>
        <v/>
      </c>
      <c r="AR264" s="536" t="str">
        <f t="shared" si="83"/>
        <v>X</v>
      </c>
      <c r="AS264" s="537">
        <f>IF(OR(J264&lt;&gt;"",AP264&amp;AQ264&amp;AR264&lt;&gt;"X",WEEKDAY(I264,2)&gt;5,C264&lt;&gt;0,(FechaInicio1Tri&gt;I264),(FechaFinEEva&lt;I264)),0,_xlfn.XLOOKUP(WEEKDAY(I264,2),Fchs!$J$10:$N$10,Fchs!$J$12:$N$12))</f>
        <v>1</v>
      </c>
      <c r="AT264" s="536">
        <f t="shared" ca="1" si="84"/>
        <v>0</v>
      </c>
      <c r="AU264" s="538">
        <f>IF(AS264&lt;&gt;0,MAXA($AU$14:AU263)+AS264,0)</f>
        <v>107</v>
      </c>
      <c r="AV264" s="538">
        <f ca="1">IF(AT264&lt;&gt;0,MAXA($AU$14:AU263)+AT264,0)</f>
        <v>0</v>
      </c>
      <c r="AW264" s="70"/>
    </row>
    <row r="265" spans="1:49" ht="18.75" customHeight="1" x14ac:dyDescent="0.25">
      <c r="A265" s="70"/>
      <c r="B265" s="56" t="str">
        <f>MID(Info!$AZ$3,(WEEKDAY(I265,2)-1)*3+1,3)</f>
        <v>Mar</v>
      </c>
      <c r="C265" s="523">
        <f>_xlfn.XLOOKUP(I265,Fchs!$C$156:$C$197,Fchs!$D$156:$D$197,0)</f>
        <v>0</v>
      </c>
      <c r="D265" s="523">
        <f>_xlfn.XLOOKUP(I265,Fchs!$C$156:$C$197,Fchs!$E$156:$E$197)</f>
        <v>0</v>
      </c>
      <c r="E265" s="532" t="str">
        <f>IF($AS265&lt;&gt;0,_xlfn.XLOOKUP($G265,UDs!$E$34:$E$55,UDs!$B$34:$B$55,,-1),0)</f>
        <v/>
      </c>
      <c r="F265" s="532">
        <f t="shared" ca="1" si="80"/>
        <v>0</v>
      </c>
      <c r="G265" s="569">
        <f>IF(AU265&lt;&gt;0,MAX($AU$13:$AU264)+1,0)</f>
        <v>108</v>
      </c>
      <c r="H265" s="569">
        <f>IF(AS265&lt;&gt;0,COUNT($H$14:H264,1),"")</f>
        <v>108</v>
      </c>
      <c r="I265" s="533">
        <f t="shared" si="85"/>
        <v>46126</v>
      </c>
      <c r="J265" s="534"/>
      <c r="K265" s="535"/>
      <c r="L265" s="126">
        <f t="shared" ca="1" si="87"/>
        <v>0</v>
      </c>
      <c r="M265" s="127">
        <f t="shared" ca="1" si="87"/>
        <v>0</v>
      </c>
      <c r="N265" s="127">
        <f t="shared" ca="1" si="87"/>
        <v>0</v>
      </c>
      <c r="O265" s="127">
        <f t="shared" ca="1" si="87"/>
        <v>0</v>
      </c>
      <c r="P265" s="128">
        <f t="shared" ca="1" si="87"/>
        <v>0</v>
      </c>
      <c r="Q265" s="126">
        <f t="shared" ca="1" si="87"/>
        <v>0</v>
      </c>
      <c r="R265" s="127">
        <f t="shared" ca="1" si="87"/>
        <v>0</v>
      </c>
      <c r="S265" s="127">
        <f t="shared" ca="1" si="87"/>
        <v>0</v>
      </c>
      <c r="T265" s="127">
        <f t="shared" ca="1" si="87"/>
        <v>0</v>
      </c>
      <c r="U265" s="128">
        <f t="shared" ca="1" si="87"/>
        <v>0</v>
      </c>
      <c r="V265" s="126">
        <f t="shared" ca="1" si="87"/>
        <v>0</v>
      </c>
      <c r="W265" s="127">
        <f t="shared" ca="1" si="87"/>
        <v>0</v>
      </c>
      <c r="X265" s="127">
        <f t="shared" ca="1" si="87"/>
        <v>0</v>
      </c>
      <c r="Y265" s="127">
        <f t="shared" ca="1" si="87"/>
        <v>0</v>
      </c>
      <c r="Z265" s="128">
        <f t="shared" ca="1" si="87"/>
        <v>0</v>
      </c>
      <c r="AA265" s="126">
        <f t="shared" ca="1" si="87"/>
        <v>0</v>
      </c>
      <c r="AB265" s="127">
        <f t="shared" ca="1" si="86"/>
        <v>0</v>
      </c>
      <c r="AC265" s="127">
        <f t="shared" ca="1" si="86"/>
        <v>0</v>
      </c>
      <c r="AD265" s="127">
        <f t="shared" ca="1" si="86"/>
        <v>0</v>
      </c>
      <c r="AE265" s="128">
        <f t="shared" ca="1" si="86"/>
        <v>0</v>
      </c>
      <c r="AF265" s="126">
        <f t="shared" ca="1" si="86"/>
        <v>0</v>
      </c>
      <c r="AG265" s="127">
        <f t="shared" ca="1" si="86"/>
        <v>0</v>
      </c>
      <c r="AH265" s="127">
        <f t="shared" ca="1" si="86"/>
        <v>0</v>
      </c>
      <c r="AI265" s="127">
        <f t="shared" ca="1" si="86"/>
        <v>0</v>
      </c>
      <c r="AJ265" s="128">
        <f t="shared" ca="1" si="86"/>
        <v>0</v>
      </c>
      <c r="AK265" s="126">
        <f t="shared" ca="1" si="86"/>
        <v>0</v>
      </c>
      <c r="AL265" s="127">
        <f t="shared" ca="1" si="86"/>
        <v>0</v>
      </c>
      <c r="AM265" s="127">
        <f t="shared" ca="1" si="86"/>
        <v>0</v>
      </c>
      <c r="AN265" s="127">
        <f t="shared" ca="1" si="86"/>
        <v>0</v>
      </c>
      <c r="AO265" s="129">
        <f t="shared" ca="1" si="70"/>
        <v>0</v>
      </c>
      <c r="AP265" s="536" t="str">
        <f t="shared" si="81"/>
        <v/>
      </c>
      <c r="AQ265" s="536" t="str">
        <f t="shared" si="82"/>
        <v/>
      </c>
      <c r="AR265" s="536" t="str">
        <f t="shared" si="83"/>
        <v>X</v>
      </c>
      <c r="AS265" s="537">
        <f>IF(OR(J265&lt;&gt;"",AP265&amp;AQ265&amp;AR265&lt;&gt;"X",WEEKDAY(I265,2)&gt;5,C265&lt;&gt;0,(FechaInicio1Tri&gt;I265),(FechaFinEEva&lt;I265)),0,_xlfn.XLOOKUP(WEEKDAY(I265,2),Fchs!$J$10:$N$10,Fchs!$J$12:$N$12))</f>
        <v>1</v>
      </c>
      <c r="AT265" s="536">
        <f t="shared" ca="1" si="84"/>
        <v>0</v>
      </c>
      <c r="AU265" s="538">
        <f>IF(AS265&lt;&gt;0,MAXA($AU$14:AU264)+AS265,0)</f>
        <v>108</v>
      </c>
      <c r="AV265" s="538">
        <f ca="1">IF(AT265&lt;&gt;0,MAXA($AU$14:AU264)+AT265,0)</f>
        <v>0</v>
      </c>
      <c r="AW265" s="70"/>
    </row>
    <row r="266" spans="1:49" ht="18.75" customHeight="1" x14ac:dyDescent="0.25">
      <c r="A266" s="70"/>
      <c r="B266" s="56" t="str">
        <f>MID(Info!$AZ$3,(WEEKDAY(I266,2)-1)*3+1,3)</f>
        <v>Mié</v>
      </c>
      <c r="C266" s="523">
        <f>_xlfn.XLOOKUP(I266,Fchs!$C$156:$C$197,Fchs!$D$156:$D$197,0)</f>
        <v>0</v>
      </c>
      <c r="D266" s="523">
        <f>_xlfn.XLOOKUP(I266,Fchs!$C$156:$C$197,Fchs!$E$156:$E$197)</f>
        <v>0</v>
      </c>
      <c r="E266" s="532" t="str">
        <f>IF($AS266&lt;&gt;0,_xlfn.XLOOKUP($G266,UDs!$E$34:$E$55,UDs!$B$34:$B$55,,-1),0)</f>
        <v/>
      </c>
      <c r="F266" s="532">
        <f t="shared" ca="1" si="80"/>
        <v>0</v>
      </c>
      <c r="G266" s="569">
        <f>IF(AU266&lt;&gt;0,MAX($AU$13:$AU265)+1,0)</f>
        <v>109</v>
      </c>
      <c r="H266" s="569">
        <f>IF(AS266&lt;&gt;0,COUNT($H$14:H265,1),"")</f>
        <v>109</v>
      </c>
      <c r="I266" s="533">
        <f t="shared" si="85"/>
        <v>46127</v>
      </c>
      <c r="J266" s="534"/>
      <c r="K266" s="535"/>
      <c r="L266" s="126">
        <f t="shared" ca="1" si="87"/>
        <v>0</v>
      </c>
      <c r="M266" s="127">
        <f t="shared" ca="1" si="87"/>
        <v>0</v>
      </c>
      <c r="N266" s="127">
        <f t="shared" ca="1" si="87"/>
        <v>0</v>
      </c>
      <c r="O266" s="127">
        <f t="shared" ca="1" si="87"/>
        <v>0</v>
      </c>
      <c r="P266" s="128">
        <f t="shared" ca="1" si="87"/>
        <v>0</v>
      </c>
      <c r="Q266" s="126">
        <f t="shared" ca="1" si="87"/>
        <v>0</v>
      </c>
      <c r="R266" s="127">
        <f t="shared" ca="1" si="87"/>
        <v>0</v>
      </c>
      <c r="S266" s="127">
        <f t="shared" ca="1" si="87"/>
        <v>0</v>
      </c>
      <c r="T266" s="127">
        <f t="shared" ca="1" si="87"/>
        <v>0</v>
      </c>
      <c r="U266" s="128">
        <f t="shared" ca="1" si="87"/>
        <v>0</v>
      </c>
      <c r="V266" s="126">
        <f t="shared" ca="1" si="87"/>
        <v>0</v>
      </c>
      <c r="W266" s="127">
        <f t="shared" ca="1" si="87"/>
        <v>0</v>
      </c>
      <c r="X266" s="127">
        <f t="shared" ca="1" si="87"/>
        <v>0</v>
      </c>
      <c r="Y266" s="127">
        <f t="shared" ca="1" si="87"/>
        <v>0</v>
      </c>
      <c r="Z266" s="128">
        <f t="shared" ca="1" si="87"/>
        <v>0</v>
      </c>
      <c r="AA266" s="126">
        <f t="shared" ca="1" si="87"/>
        <v>0</v>
      </c>
      <c r="AB266" s="127">
        <f t="shared" ca="1" si="86"/>
        <v>0</v>
      </c>
      <c r="AC266" s="127">
        <f t="shared" ca="1" si="86"/>
        <v>0</v>
      </c>
      <c r="AD266" s="127">
        <f t="shared" ca="1" si="86"/>
        <v>0</v>
      </c>
      <c r="AE266" s="128">
        <f t="shared" ca="1" si="86"/>
        <v>0</v>
      </c>
      <c r="AF266" s="126">
        <f t="shared" ca="1" si="86"/>
        <v>0</v>
      </c>
      <c r="AG266" s="127">
        <f t="shared" ca="1" si="86"/>
        <v>0</v>
      </c>
      <c r="AH266" s="127">
        <f t="shared" ca="1" si="86"/>
        <v>0</v>
      </c>
      <c r="AI266" s="127">
        <f t="shared" ca="1" si="86"/>
        <v>0</v>
      </c>
      <c r="AJ266" s="128">
        <f t="shared" ca="1" si="86"/>
        <v>0</v>
      </c>
      <c r="AK266" s="126">
        <f t="shared" ca="1" si="86"/>
        <v>0</v>
      </c>
      <c r="AL266" s="127">
        <f t="shared" ca="1" si="86"/>
        <v>0</v>
      </c>
      <c r="AM266" s="127">
        <f t="shared" ca="1" si="86"/>
        <v>0</v>
      </c>
      <c r="AN266" s="127">
        <f t="shared" ca="1" si="86"/>
        <v>0</v>
      </c>
      <c r="AO266" s="129">
        <f t="shared" ca="1" si="70"/>
        <v>0</v>
      </c>
      <c r="AP266" s="536" t="str">
        <f t="shared" si="81"/>
        <v/>
      </c>
      <c r="AQ266" s="536" t="str">
        <f t="shared" si="82"/>
        <v/>
      </c>
      <c r="AR266" s="536" t="str">
        <f t="shared" si="83"/>
        <v>X</v>
      </c>
      <c r="AS266" s="537">
        <f>IF(OR(J266&lt;&gt;"",AP266&amp;AQ266&amp;AR266&lt;&gt;"X",WEEKDAY(I266,2)&gt;5,C266&lt;&gt;0,(FechaInicio1Tri&gt;I266),(FechaFinEEva&lt;I266)),0,_xlfn.XLOOKUP(WEEKDAY(I266,2),Fchs!$J$10:$N$10,Fchs!$J$12:$N$12))</f>
        <v>1</v>
      </c>
      <c r="AT266" s="536">
        <f t="shared" ca="1" si="84"/>
        <v>0</v>
      </c>
      <c r="AU266" s="538">
        <f>IF(AS266&lt;&gt;0,MAXA($AU$14:AU265)+AS266,0)</f>
        <v>109</v>
      </c>
      <c r="AV266" s="538">
        <f ca="1">IF(AT266&lt;&gt;0,MAXA($AU$14:AU265)+AT266,0)</f>
        <v>0</v>
      </c>
      <c r="AW266" s="70"/>
    </row>
    <row r="267" spans="1:49" ht="18.75" customHeight="1" x14ac:dyDescent="0.25">
      <c r="A267" s="70"/>
      <c r="B267" s="56" t="str">
        <f>MID(Info!$AZ$3,(WEEKDAY(I267,2)-1)*3+1,3)</f>
        <v>Jue</v>
      </c>
      <c r="C267" s="523">
        <f>_xlfn.XLOOKUP(I267,Fchs!$C$156:$C$197,Fchs!$D$156:$D$197,0)</f>
        <v>0</v>
      </c>
      <c r="D267" s="523">
        <f>_xlfn.XLOOKUP(I267,Fchs!$C$156:$C$197,Fchs!$E$156:$E$197)</f>
        <v>0</v>
      </c>
      <c r="E267" s="532" t="str">
        <f>IF($AS267&lt;&gt;0,_xlfn.XLOOKUP($G267,UDs!$E$34:$E$55,UDs!$B$34:$B$55,,-1),0)</f>
        <v/>
      </c>
      <c r="F267" s="532">
        <f t="shared" ca="1" si="80"/>
        <v>0</v>
      </c>
      <c r="G267" s="569">
        <f>IF(AU267&lt;&gt;0,MAX($AU$13:$AU266)+1,0)</f>
        <v>110</v>
      </c>
      <c r="H267" s="569">
        <f>IF(AS267&lt;&gt;0,COUNT($H$14:H266,1),"")</f>
        <v>110</v>
      </c>
      <c r="I267" s="533">
        <f t="shared" si="85"/>
        <v>46128</v>
      </c>
      <c r="J267" s="534"/>
      <c r="K267" s="535"/>
      <c r="L267" s="126">
        <f t="shared" ca="1" si="87"/>
        <v>0</v>
      </c>
      <c r="M267" s="127">
        <f t="shared" ca="1" si="87"/>
        <v>0</v>
      </c>
      <c r="N267" s="127">
        <f t="shared" ca="1" si="87"/>
        <v>0</v>
      </c>
      <c r="O267" s="127">
        <f t="shared" ca="1" si="87"/>
        <v>0</v>
      </c>
      <c r="P267" s="128">
        <f t="shared" ca="1" si="87"/>
        <v>0</v>
      </c>
      <c r="Q267" s="126">
        <f t="shared" ca="1" si="87"/>
        <v>0</v>
      </c>
      <c r="R267" s="127">
        <f t="shared" ca="1" si="87"/>
        <v>0</v>
      </c>
      <c r="S267" s="127">
        <f t="shared" ca="1" si="87"/>
        <v>0</v>
      </c>
      <c r="T267" s="127">
        <f t="shared" ca="1" si="87"/>
        <v>0</v>
      </c>
      <c r="U267" s="128">
        <f t="shared" ca="1" si="87"/>
        <v>0</v>
      </c>
      <c r="V267" s="126">
        <f t="shared" ca="1" si="87"/>
        <v>0</v>
      </c>
      <c r="W267" s="127">
        <f t="shared" ca="1" si="87"/>
        <v>0</v>
      </c>
      <c r="X267" s="127">
        <f t="shared" ca="1" si="87"/>
        <v>0</v>
      </c>
      <c r="Y267" s="127">
        <f t="shared" ca="1" si="87"/>
        <v>0</v>
      </c>
      <c r="Z267" s="128">
        <f t="shared" ca="1" si="87"/>
        <v>0</v>
      </c>
      <c r="AA267" s="126">
        <f t="shared" ca="1" si="87"/>
        <v>0</v>
      </c>
      <c r="AB267" s="127">
        <f t="shared" ca="1" si="86"/>
        <v>0</v>
      </c>
      <c r="AC267" s="127">
        <f t="shared" ca="1" si="86"/>
        <v>0</v>
      </c>
      <c r="AD267" s="127">
        <f t="shared" ca="1" si="86"/>
        <v>0</v>
      </c>
      <c r="AE267" s="128">
        <f t="shared" ca="1" si="86"/>
        <v>0</v>
      </c>
      <c r="AF267" s="126">
        <f t="shared" ca="1" si="86"/>
        <v>0</v>
      </c>
      <c r="AG267" s="127">
        <f t="shared" ca="1" si="86"/>
        <v>0</v>
      </c>
      <c r="AH267" s="127">
        <f t="shared" ca="1" si="86"/>
        <v>0</v>
      </c>
      <c r="AI267" s="127">
        <f t="shared" ca="1" si="86"/>
        <v>0</v>
      </c>
      <c r="AJ267" s="128">
        <f t="shared" ca="1" si="86"/>
        <v>0</v>
      </c>
      <c r="AK267" s="126">
        <f t="shared" ca="1" si="86"/>
        <v>0</v>
      </c>
      <c r="AL267" s="127">
        <f t="shared" ca="1" si="86"/>
        <v>0</v>
      </c>
      <c r="AM267" s="127">
        <f t="shared" ca="1" si="86"/>
        <v>0</v>
      </c>
      <c r="AN267" s="127">
        <f t="shared" ca="1" si="86"/>
        <v>0</v>
      </c>
      <c r="AO267" s="129">
        <f t="shared" ca="1" si="70"/>
        <v>0</v>
      </c>
      <c r="AP267" s="536" t="str">
        <f t="shared" si="81"/>
        <v/>
      </c>
      <c r="AQ267" s="536" t="str">
        <f t="shared" si="82"/>
        <v/>
      </c>
      <c r="AR267" s="536" t="str">
        <f t="shared" si="83"/>
        <v>X</v>
      </c>
      <c r="AS267" s="537">
        <f>IF(OR(J267&lt;&gt;"",AP267&amp;AQ267&amp;AR267&lt;&gt;"X",WEEKDAY(I267,2)&gt;5,C267&lt;&gt;0,(FechaInicio1Tri&gt;I267),(FechaFinEEva&lt;I267)),0,_xlfn.XLOOKUP(WEEKDAY(I267,2),Fchs!$J$10:$N$10,Fchs!$J$12:$N$12))</f>
        <v>1</v>
      </c>
      <c r="AT267" s="536">
        <f t="shared" ca="1" si="84"/>
        <v>0</v>
      </c>
      <c r="AU267" s="538">
        <f>IF(AS267&lt;&gt;0,MAXA($AU$14:AU266)+AS267,0)</f>
        <v>110</v>
      </c>
      <c r="AV267" s="538">
        <f ca="1">IF(AT267&lt;&gt;0,MAXA($AU$14:AU266)+AT267,0)</f>
        <v>0</v>
      </c>
      <c r="AW267" s="70"/>
    </row>
    <row r="268" spans="1:49" ht="18.75" customHeight="1" x14ac:dyDescent="0.25">
      <c r="A268" s="70"/>
      <c r="B268" s="56" t="str">
        <f>MID(Info!$AZ$3,(WEEKDAY(I268,2)-1)*3+1,3)</f>
        <v>Vie</v>
      </c>
      <c r="C268" s="523">
        <f>_xlfn.XLOOKUP(I268,Fchs!$C$156:$C$197,Fchs!$D$156:$D$197,0)</f>
        <v>0</v>
      </c>
      <c r="D268" s="523">
        <f>_xlfn.XLOOKUP(I268,Fchs!$C$156:$C$197,Fchs!$E$156:$E$197)</f>
        <v>0</v>
      </c>
      <c r="E268" s="532" t="str">
        <f>IF($AS268&lt;&gt;0,_xlfn.XLOOKUP($G268,UDs!$E$34:$E$55,UDs!$B$34:$B$55,,-1),0)</f>
        <v/>
      </c>
      <c r="F268" s="532">
        <f t="shared" ca="1" si="80"/>
        <v>0</v>
      </c>
      <c r="G268" s="569">
        <f>IF(AU268&lt;&gt;0,MAX($AU$13:$AU267)+1,0)</f>
        <v>111</v>
      </c>
      <c r="H268" s="569">
        <f>IF(AS268&lt;&gt;0,COUNT($H$14:H267,1),"")</f>
        <v>111</v>
      </c>
      <c r="I268" s="533">
        <f t="shared" si="85"/>
        <v>46129</v>
      </c>
      <c r="J268" s="534"/>
      <c r="K268" s="535"/>
      <c r="L268" s="126">
        <f t="shared" ca="1" si="87"/>
        <v>0</v>
      </c>
      <c r="M268" s="127">
        <f t="shared" ca="1" si="87"/>
        <v>0</v>
      </c>
      <c r="N268" s="127">
        <f t="shared" ca="1" si="87"/>
        <v>0</v>
      </c>
      <c r="O268" s="127">
        <f t="shared" ca="1" si="87"/>
        <v>0</v>
      </c>
      <c r="P268" s="128">
        <f t="shared" ca="1" si="87"/>
        <v>0</v>
      </c>
      <c r="Q268" s="126">
        <f t="shared" ca="1" si="87"/>
        <v>0</v>
      </c>
      <c r="R268" s="127">
        <f t="shared" ca="1" si="87"/>
        <v>0</v>
      </c>
      <c r="S268" s="127">
        <f t="shared" ca="1" si="87"/>
        <v>0</v>
      </c>
      <c r="T268" s="127">
        <f t="shared" ca="1" si="87"/>
        <v>0</v>
      </c>
      <c r="U268" s="128">
        <f t="shared" ca="1" si="87"/>
        <v>0</v>
      </c>
      <c r="V268" s="126">
        <f t="shared" ca="1" si="87"/>
        <v>0</v>
      </c>
      <c r="W268" s="127">
        <f t="shared" ca="1" si="87"/>
        <v>0</v>
      </c>
      <c r="X268" s="127">
        <f t="shared" ca="1" si="87"/>
        <v>0</v>
      </c>
      <c r="Y268" s="127">
        <f t="shared" ca="1" si="87"/>
        <v>0</v>
      </c>
      <c r="Z268" s="128">
        <f t="shared" ca="1" si="87"/>
        <v>0</v>
      </c>
      <c r="AA268" s="126">
        <f t="shared" ca="1" si="87"/>
        <v>0</v>
      </c>
      <c r="AB268" s="127">
        <f t="shared" ca="1" si="86"/>
        <v>0</v>
      </c>
      <c r="AC268" s="127">
        <f t="shared" ca="1" si="86"/>
        <v>0</v>
      </c>
      <c r="AD268" s="127">
        <f t="shared" ca="1" si="86"/>
        <v>0</v>
      </c>
      <c r="AE268" s="128">
        <f t="shared" ca="1" si="86"/>
        <v>0</v>
      </c>
      <c r="AF268" s="126">
        <f t="shared" ca="1" si="86"/>
        <v>0</v>
      </c>
      <c r="AG268" s="127">
        <f t="shared" ca="1" si="86"/>
        <v>0</v>
      </c>
      <c r="AH268" s="127">
        <f t="shared" ca="1" si="86"/>
        <v>0</v>
      </c>
      <c r="AI268" s="127">
        <f t="shared" ca="1" si="86"/>
        <v>0</v>
      </c>
      <c r="AJ268" s="128">
        <f t="shared" ca="1" si="86"/>
        <v>0</v>
      </c>
      <c r="AK268" s="126">
        <f t="shared" ca="1" si="86"/>
        <v>0</v>
      </c>
      <c r="AL268" s="127">
        <f t="shared" ca="1" si="86"/>
        <v>0</v>
      </c>
      <c r="AM268" s="127">
        <f t="shared" ca="1" si="86"/>
        <v>0</v>
      </c>
      <c r="AN268" s="127">
        <f t="shared" ca="1" si="86"/>
        <v>0</v>
      </c>
      <c r="AO268" s="129">
        <f t="shared" ca="1" si="70"/>
        <v>0</v>
      </c>
      <c r="AP268" s="536" t="str">
        <f t="shared" si="81"/>
        <v/>
      </c>
      <c r="AQ268" s="536" t="str">
        <f t="shared" si="82"/>
        <v/>
      </c>
      <c r="AR268" s="536" t="str">
        <f t="shared" si="83"/>
        <v>X</v>
      </c>
      <c r="AS268" s="537">
        <f>IF(OR(J268&lt;&gt;"",AP268&amp;AQ268&amp;AR268&lt;&gt;"X",WEEKDAY(I268,2)&gt;5,C268&lt;&gt;0,(FechaInicio1Tri&gt;I268),(FechaFinEEva&lt;I268)),0,_xlfn.XLOOKUP(WEEKDAY(I268,2),Fchs!$J$10:$N$10,Fchs!$J$12:$N$12))</f>
        <v>1</v>
      </c>
      <c r="AT268" s="536">
        <f t="shared" ca="1" si="84"/>
        <v>0</v>
      </c>
      <c r="AU268" s="538">
        <f>IF(AS268&lt;&gt;0,MAXA($AU$14:AU267)+AS268,0)</f>
        <v>111</v>
      </c>
      <c r="AV268" s="538">
        <f ca="1">IF(AT268&lt;&gt;0,MAXA($AU$14:AU267)+AT268,0)</f>
        <v>0</v>
      </c>
      <c r="AW268" s="70"/>
    </row>
    <row r="269" spans="1:49" ht="18.75" customHeight="1" x14ac:dyDescent="0.25">
      <c r="A269" s="70"/>
      <c r="B269" s="56" t="str">
        <f>MID(Info!$AZ$3,(WEEKDAY(I269,2)-1)*3+1,3)</f>
        <v>Sáb</v>
      </c>
      <c r="C269" s="523">
        <f>_xlfn.XLOOKUP(I269,Fchs!$C$156:$C$197,Fchs!$D$156:$D$197,0)</f>
        <v>0</v>
      </c>
      <c r="D269" s="523">
        <f>_xlfn.XLOOKUP(I269,Fchs!$C$156:$C$197,Fchs!$E$156:$E$197)</f>
        <v>0</v>
      </c>
      <c r="E269" s="532">
        <f>IF($AS269&lt;&gt;0,_xlfn.XLOOKUP($G269,UDs!$E$34:$E$55,UDs!$B$34:$B$55,,-1),0)</f>
        <v>0</v>
      </c>
      <c r="F269" s="532">
        <f t="shared" ca="1" si="80"/>
        <v>0</v>
      </c>
      <c r="G269" s="569">
        <f>IF(AU269&lt;&gt;0,MAX($AU$13:$AU268)+1,0)</f>
        <v>0</v>
      </c>
      <c r="H269" s="569" t="str">
        <f>IF(AS269&lt;&gt;0,COUNT($H$14:H268,1),"")</f>
        <v/>
      </c>
      <c r="I269" s="533">
        <f t="shared" si="85"/>
        <v>46130</v>
      </c>
      <c r="J269" s="534"/>
      <c r="K269" s="535"/>
      <c r="L269" s="126">
        <f t="shared" ca="1" si="87"/>
        <v>0</v>
      </c>
      <c r="M269" s="127">
        <f t="shared" ca="1" si="87"/>
        <v>0</v>
      </c>
      <c r="N269" s="127">
        <f t="shared" ca="1" si="87"/>
        <v>0</v>
      </c>
      <c r="O269" s="127">
        <f t="shared" ca="1" si="87"/>
        <v>0</v>
      </c>
      <c r="P269" s="128">
        <f t="shared" ca="1" si="87"/>
        <v>0</v>
      </c>
      <c r="Q269" s="126">
        <f t="shared" ca="1" si="87"/>
        <v>0</v>
      </c>
      <c r="R269" s="127">
        <f t="shared" ca="1" si="87"/>
        <v>0</v>
      </c>
      <c r="S269" s="127">
        <f t="shared" ca="1" si="87"/>
        <v>0</v>
      </c>
      <c r="T269" s="127">
        <f t="shared" ca="1" si="87"/>
        <v>0</v>
      </c>
      <c r="U269" s="128">
        <f t="shared" ca="1" si="87"/>
        <v>0</v>
      </c>
      <c r="V269" s="126">
        <f t="shared" ca="1" si="87"/>
        <v>0</v>
      </c>
      <c r="W269" s="127">
        <f t="shared" ca="1" si="87"/>
        <v>0</v>
      </c>
      <c r="X269" s="127">
        <f t="shared" ca="1" si="87"/>
        <v>0</v>
      </c>
      <c r="Y269" s="127">
        <f t="shared" ca="1" si="87"/>
        <v>0</v>
      </c>
      <c r="Z269" s="128">
        <f t="shared" ca="1" si="87"/>
        <v>0</v>
      </c>
      <c r="AA269" s="126">
        <f t="shared" ca="1" si="87"/>
        <v>0</v>
      </c>
      <c r="AB269" s="127">
        <f t="shared" ca="1" si="86"/>
        <v>0</v>
      </c>
      <c r="AC269" s="127">
        <f t="shared" ca="1" si="86"/>
        <v>0</v>
      </c>
      <c r="AD269" s="127">
        <f t="shared" ca="1" si="86"/>
        <v>0</v>
      </c>
      <c r="AE269" s="128">
        <f t="shared" ca="1" si="86"/>
        <v>0</v>
      </c>
      <c r="AF269" s="126">
        <f t="shared" ca="1" si="86"/>
        <v>0</v>
      </c>
      <c r="AG269" s="127">
        <f t="shared" ca="1" si="86"/>
        <v>0</v>
      </c>
      <c r="AH269" s="127">
        <f t="shared" ca="1" si="86"/>
        <v>0</v>
      </c>
      <c r="AI269" s="127">
        <f t="shared" ca="1" si="86"/>
        <v>0</v>
      </c>
      <c r="AJ269" s="128">
        <f t="shared" ca="1" si="86"/>
        <v>0</v>
      </c>
      <c r="AK269" s="126">
        <f t="shared" ca="1" si="86"/>
        <v>0</v>
      </c>
      <c r="AL269" s="127">
        <f t="shared" ca="1" si="86"/>
        <v>0</v>
      </c>
      <c r="AM269" s="127">
        <f t="shared" ca="1" si="86"/>
        <v>0</v>
      </c>
      <c r="AN269" s="127">
        <f t="shared" ca="1" si="86"/>
        <v>0</v>
      </c>
      <c r="AO269" s="129">
        <f t="shared" ca="1" si="70"/>
        <v>0</v>
      </c>
      <c r="AP269" s="536" t="str">
        <f t="shared" si="81"/>
        <v/>
      </c>
      <c r="AQ269" s="536" t="str">
        <f t="shared" si="82"/>
        <v/>
      </c>
      <c r="AR269" s="536" t="str">
        <f t="shared" si="83"/>
        <v/>
      </c>
      <c r="AS269" s="537">
        <f>IF(OR(J269&lt;&gt;"",AP269&amp;AQ269&amp;AR269&lt;&gt;"X",WEEKDAY(I269,2)&gt;5,C269&lt;&gt;0,(FechaInicio1Tri&gt;I269),(FechaFinEEva&lt;I269)),0,_xlfn.XLOOKUP(WEEKDAY(I269,2),Fchs!$J$10:$N$10,Fchs!$J$12:$N$12))</f>
        <v>0</v>
      </c>
      <c r="AT269" s="536">
        <f t="shared" ca="1" si="84"/>
        <v>0</v>
      </c>
      <c r="AU269" s="538">
        <f>IF(AS269&lt;&gt;0,MAXA($AU$14:AU268)+AS269,0)</f>
        <v>0</v>
      </c>
      <c r="AV269" s="538">
        <f ca="1">IF(AT269&lt;&gt;0,MAXA($AU$14:AU268)+AT269,0)</f>
        <v>0</v>
      </c>
      <c r="AW269" s="70"/>
    </row>
    <row r="270" spans="1:49" ht="18.75" customHeight="1" x14ac:dyDescent="0.25">
      <c r="A270" s="70"/>
      <c r="B270" s="56" t="str">
        <f>MID(Info!$AZ$3,(WEEKDAY(I270,2)-1)*3+1,3)</f>
        <v>Dom</v>
      </c>
      <c r="C270" s="523">
        <f>_xlfn.XLOOKUP(I270,Fchs!$C$156:$C$197,Fchs!$D$156:$D$197,0)</f>
        <v>0</v>
      </c>
      <c r="D270" s="523">
        <f>_xlfn.XLOOKUP(I270,Fchs!$C$156:$C$197,Fchs!$E$156:$E$197)</f>
        <v>0</v>
      </c>
      <c r="E270" s="532">
        <f>IF($AS270&lt;&gt;0,_xlfn.XLOOKUP($G270,UDs!$E$34:$E$55,UDs!$B$34:$B$55,,-1),0)</f>
        <v>0</v>
      </c>
      <c r="F270" s="532">
        <f t="shared" ca="1" si="80"/>
        <v>0</v>
      </c>
      <c r="G270" s="569">
        <f>IF(AU270&lt;&gt;0,MAX($AU$13:$AU269)+1,0)</f>
        <v>0</v>
      </c>
      <c r="H270" s="569" t="str">
        <f>IF(AS270&lt;&gt;0,COUNT($H$14:H269,1),"")</f>
        <v/>
      </c>
      <c r="I270" s="533">
        <f t="shared" si="85"/>
        <v>46131</v>
      </c>
      <c r="J270" s="534"/>
      <c r="K270" s="535"/>
      <c r="L270" s="126">
        <f t="shared" ca="1" si="87"/>
        <v>0</v>
      </c>
      <c r="M270" s="127">
        <f t="shared" ca="1" si="87"/>
        <v>0</v>
      </c>
      <c r="N270" s="127">
        <f t="shared" ca="1" si="87"/>
        <v>0</v>
      </c>
      <c r="O270" s="127">
        <f t="shared" ca="1" si="87"/>
        <v>0</v>
      </c>
      <c r="P270" s="128">
        <f t="shared" ca="1" si="87"/>
        <v>0</v>
      </c>
      <c r="Q270" s="126">
        <f t="shared" ca="1" si="87"/>
        <v>0</v>
      </c>
      <c r="R270" s="127">
        <f t="shared" ca="1" si="87"/>
        <v>0</v>
      </c>
      <c r="S270" s="127">
        <f t="shared" ca="1" si="87"/>
        <v>0</v>
      </c>
      <c r="T270" s="127">
        <f t="shared" ca="1" si="87"/>
        <v>0</v>
      </c>
      <c r="U270" s="128">
        <f t="shared" ca="1" si="87"/>
        <v>0</v>
      </c>
      <c r="V270" s="126">
        <f t="shared" ca="1" si="87"/>
        <v>0</v>
      </c>
      <c r="W270" s="127">
        <f t="shared" ca="1" si="87"/>
        <v>0</v>
      </c>
      <c r="X270" s="127">
        <f t="shared" ca="1" si="87"/>
        <v>0</v>
      </c>
      <c r="Y270" s="127">
        <f t="shared" ca="1" si="87"/>
        <v>0</v>
      </c>
      <c r="Z270" s="128">
        <f t="shared" ca="1" si="87"/>
        <v>0</v>
      </c>
      <c r="AA270" s="126">
        <f t="shared" ca="1" si="87"/>
        <v>0</v>
      </c>
      <c r="AB270" s="127">
        <f t="shared" ca="1" si="86"/>
        <v>0</v>
      </c>
      <c r="AC270" s="127">
        <f t="shared" ca="1" si="86"/>
        <v>0</v>
      </c>
      <c r="AD270" s="127">
        <f t="shared" ca="1" si="86"/>
        <v>0</v>
      </c>
      <c r="AE270" s="128">
        <f t="shared" ca="1" si="86"/>
        <v>0</v>
      </c>
      <c r="AF270" s="126">
        <f t="shared" ca="1" si="86"/>
        <v>0</v>
      </c>
      <c r="AG270" s="127">
        <f t="shared" ca="1" si="86"/>
        <v>0</v>
      </c>
      <c r="AH270" s="127">
        <f t="shared" ca="1" si="86"/>
        <v>0</v>
      </c>
      <c r="AI270" s="127">
        <f t="shared" ca="1" si="86"/>
        <v>0</v>
      </c>
      <c r="AJ270" s="128">
        <f t="shared" ca="1" si="86"/>
        <v>0</v>
      </c>
      <c r="AK270" s="126">
        <f t="shared" ca="1" si="86"/>
        <v>0</v>
      </c>
      <c r="AL270" s="127">
        <f t="shared" ca="1" si="86"/>
        <v>0</v>
      </c>
      <c r="AM270" s="127">
        <f t="shared" ca="1" si="86"/>
        <v>0</v>
      </c>
      <c r="AN270" s="127">
        <f t="shared" ca="1" si="86"/>
        <v>0</v>
      </c>
      <c r="AO270" s="129">
        <f t="shared" ca="1" si="86"/>
        <v>0</v>
      </c>
      <c r="AP270" s="536" t="str">
        <f t="shared" si="81"/>
        <v/>
      </c>
      <c r="AQ270" s="536" t="str">
        <f t="shared" si="82"/>
        <v/>
      </c>
      <c r="AR270" s="536" t="str">
        <f t="shared" si="83"/>
        <v/>
      </c>
      <c r="AS270" s="537">
        <f>IF(OR(J270&lt;&gt;"",AP270&amp;AQ270&amp;AR270&lt;&gt;"X",WEEKDAY(I270,2)&gt;5,C270&lt;&gt;0,(FechaInicio1Tri&gt;I270),(FechaFinEEva&lt;I270)),0,_xlfn.XLOOKUP(WEEKDAY(I270,2),Fchs!$J$10:$N$10,Fchs!$J$12:$N$12))</f>
        <v>0</v>
      </c>
      <c r="AT270" s="536">
        <f t="shared" ca="1" si="84"/>
        <v>0</v>
      </c>
      <c r="AU270" s="538">
        <f>IF(AS270&lt;&gt;0,MAXA($AU$14:AU269)+AS270,0)</f>
        <v>0</v>
      </c>
      <c r="AV270" s="538">
        <f ca="1">IF(AT270&lt;&gt;0,MAXA($AU$14:AU269)+AT270,0)</f>
        <v>0</v>
      </c>
      <c r="AW270" s="70"/>
    </row>
    <row r="271" spans="1:49" ht="18.75" customHeight="1" x14ac:dyDescent="0.25">
      <c r="A271" s="70"/>
      <c r="B271" s="56" t="str">
        <f>MID(Info!$AZ$3,(WEEKDAY(I271,2)-1)*3+1,3)</f>
        <v>Lun</v>
      </c>
      <c r="C271" s="523">
        <f>_xlfn.XLOOKUP(I271,Fchs!$C$156:$C$197,Fchs!$D$156:$D$197,0)</f>
        <v>0</v>
      </c>
      <c r="D271" s="523">
        <f>_xlfn.XLOOKUP(I271,Fchs!$C$156:$C$197,Fchs!$E$156:$E$197)</f>
        <v>0</v>
      </c>
      <c r="E271" s="532" t="str">
        <f>IF($AS271&lt;&gt;0,_xlfn.XLOOKUP($G271,UDs!$E$34:$E$55,UDs!$B$34:$B$55,,-1),0)</f>
        <v/>
      </c>
      <c r="F271" s="532">
        <f t="shared" ca="1" si="80"/>
        <v>0</v>
      </c>
      <c r="G271" s="569">
        <f>IF(AU271&lt;&gt;0,MAX($AU$13:$AU270)+1,0)</f>
        <v>112</v>
      </c>
      <c r="H271" s="569">
        <f>IF(AS271&lt;&gt;0,COUNT($H$14:H270,1),"")</f>
        <v>112</v>
      </c>
      <c r="I271" s="533">
        <f t="shared" si="85"/>
        <v>46132</v>
      </c>
      <c r="J271" s="534"/>
      <c r="K271" s="535"/>
      <c r="L271" s="126">
        <f t="shared" ca="1" si="87"/>
        <v>0</v>
      </c>
      <c r="M271" s="127">
        <f t="shared" ca="1" si="87"/>
        <v>0</v>
      </c>
      <c r="N271" s="127">
        <f t="shared" ca="1" si="87"/>
        <v>0</v>
      </c>
      <c r="O271" s="127">
        <f t="shared" ca="1" si="87"/>
        <v>0</v>
      </c>
      <c r="P271" s="128">
        <f t="shared" ca="1" si="87"/>
        <v>0</v>
      </c>
      <c r="Q271" s="126">
        <f t="shared" ca="1" si="87"/>
        <v>0</v>
      </c>
      <c r="R271" s="127">
        <f t="shared" ca="1" si="87"/>
        <v>0</v>
      </c>
      <c r="S271" s="127">
        <f t="shared" ca="1" si="87"/>
        <v>0</v>
      </c>
      <c r="T271" s="127">
        <f t="shared" ca="1" si="87"/>
        <v>0</v>
      </c>
      <c r="U271" s="128">
        <f t="shared" ca="1" si="87"/>
        <v>0</v>
      </c>
      <c r="V271" s="126">
        <f t="shared" ca="1" si="87"/>
        <v>0</v>
      </c>
      <c r="W271" s="127">
        <f t="shared" ca="1" si="87"/>
        <v>0</v>
      </c>
      <c r="X271" s="127">
        <f t="shared" ca="1" si="87"/>
        <v>0</v>
      </c>
      <c r="Y271" s="127">
        <f t="shared" ca="1" si="87"/>
        <v>0</v>
      </c>
      <c r="Z271" s="128">
        <f t="shared" ca="1" si="87"/>
        <v>0</v>
      </c>
      <c r="AA271" s="126">
        <f t="shared" ca="1" si="87"/>
        <v>0</v>
      </c>
      <c r="AB271" s="127">
        <f t="shared" ca="1" si="86"/>
        <v>0</v>
      </c>
      <c r="AC271" s="127">
        <f t="shared" ca="1" si="86"/>
        <v>0</v>
      </c>
      <c r="AD271" s="127">
        <f t="shared" ca="1" si="86"/>
        <v>0</v>
      </c>
      <c r="AE271" s="128">
        <f t="shared" ca="1" si="86"/>
        <v>0</v>
      </c>
      <c r="AF271" s="126">
        <f t="shared" ca="1" si="86"/>
        <v>0</v>
      </c>
      <c r="AG271" s="127">
        <f t="shared" ca="1" si="86"/>
        <v>0</v>
      </c>
      <c r="AH271" s="127">
        <f t="shared" ca="1" si="86"/>
        <v>0</v>
      </c>
      <c r="AI271" s="127">
        <f t="shared" ca="1" si="86"/>
        <v>0</v>
      </c>
      <c r="AJ271" s="128">
        <f t="shared" ca="1" si="86"/>
        <v>0</v>
      </c>
      <c r="AK271" s="126">
        <f t="shared" ca="1" si="86"/>
        <v>0</v>
      </c>
      <c r="AL271" s="127">
        <f t="shared" ca="1" si="86"/>
        <v>0</v>
      </c>
      <c r="AM271" s="127">
        <f t="shared" ca="1" si="86"/>
        <v>0</v>
      </c>
      <c r="AN271" s="127">
        <f t="shared" ca="1" si="86"/>
        <v>0</v>
      </c>
      <c r="AO271" s="129">
        <f t="shared" ca="1" si="86"/>
        <v>0</v>
      </c>
      <c r="AP271" s="536" t="str">
        <f t="shared" si="81"/>
        <v/>
      </c>
      <c r="AQ271" s="536" t="str">
        <f t="shared" si="82"/>
        <v/>
      </c>
      <c r="AR271" s="536" t="str">
        <f t="shared" si="83"/>
        <v>X</v>
      </c>
      <c r="AS271" s="537">
        <f>IF(OR(J271&lt;&gt;"",AP271&amp;AQ271&amp;AR271&lt;&gt;"X",WEEKDAY(I271,2)&gt;5,C271&lt;&gt;0,(FechaInicio1Tri&gt;I271),(FechaFinEEva&lt;I271)),0,_xlfn.XLOOKUP(WEEKDAY(I271,2),Fchs!$J$10:$N$10,Fchs!$J$12:$N$12))</f>
        <v>1</v>
      </c>
      <c r="AT271" s="536">
        <f t="shared" ca="1" si="84"/>
        <v>0</v>
      </c>
      <c r="AU271" s="538">
        <f>IF(AS271&lt;&gt;0,MAXA($AU$14:AU270)+AS271,0)</f>
        <v>112</v>
      </c>
      <c r="AV271" s="538">
        <f ca="1">IF(AT271&lt;&gt;0,MAXA($AU$14:AU270)+AT271,0)</f>
        <v>0</v>
      </c>
      <c r="AW271" s="70"/>
    </row>
    <row r="272" spans="1:49" ht="18.75" customHeight="1" x14ac:dyDescent="0.25">
      <c r="A272" s="70"/>
      <c r="B272" s="56" t="str">
        <f>MID(Info!$AZ$3,(WEEKDAY(I272,2)-1)*3+1,3)</f>
        <v>Mar</v>
      </c>
      <c r="C272" s="523">
        <f>_xlfn.XLOOKUP(I272,Fchs!$C$156:$C$197,Fchs!$D$156:$D$197,0)</f>
        <v>0</v>
      </c>
      <c r="D272" s="523">
        <f>_xlfn.XLOOKUP(I272,Fchs!$C$156:$C$197,Fchs!$E$156:$E$197)</f>
        <v>0</v>
      </c>
      <c r="E272" s="532" t="str">
        <f>IF($AS272&lt;&gt;0,_xlfn.XLOOKUP($G272,UDs!$E$34:$E$55,UDs!$B$34:$B$55,,-1),0)</f>
        <v/>
      </c>
      <c r="F272" s="532">
        <f t="shared" ca="1" si="80"/>
        <v>0</v>
      </c>
      <c r="G272" s="569">
        <f>IF(AU272&lt;&gt;0,MAX($AU$13:$AU271)+1,0)</f>
        <v>113</v>
      </c>
      <c r="H272" s="569">
        <f>IF(AS272&lt;&gt;0,COUNT($H$14:H271,1),"")</f>
        <v>113</v>
      </c>
      <c r="I272" s="533">
        <f t="shared" si="85"/>
        <v>46133</v>
      </c>
      <c r="J272" s="534"/>
      <c r="K272" s="535"/>
      <c r="L272" s="126">
        <f t="shared" ca="1" si="87"/>
        <v>0</v>
      </c>
      <c r="M272" s="127">
        <f t="shared" ca="1" si="87"/>
        <v>0</v>
      </c>
      <c r="N272" s="127">
        <f t="shared" ca="1" si="87"/>
        <v>0</v>
      </c>
      <c r="O272" s="127">
        <f t="shared" ca="1" si="87"/>
        <v>0</v>
      </c>
      <c r="P272" s="128">
        <f t="shared" ca="1" si="87"/>
        <v>0</v>
      </c>
      <c r="Q272" s="126">
        <f t="shared" ca="1" si="87"/>
        <v>0</v>
      </c>
      <c r="R272" s="127">
        <f t="shared" ca="1" si="87"/>
        <v>0</v>
      </c>
      <c r="S272" s="127">
        <f t="shared" ca="1" si="87"/>
        <v>0</v>
      </c>
      <c r="T272" s="127">
        <f t="shared" ca="1" si="87"/>
        <v>0</v>
      </c>
      <c r="U272" s="128">
        <f t="shared" ca="1" si="87"/>
        <v>0</v>
      </c>
      <c r="V272" s="126">
        <f t="shared" ca="1" si="87"/>
        <v>0</v>
      </c>
      <c r="W272" s="127">
        <f t="shared" ca="1" si="87"/>
        <v>0</v>
      </c>
      <c r="X272" s="127">
        <f t="shared" ca="1" si="87"/>
        <v>0</v>
      </c>
      <c r="Y272" s="127">
        <f t="shared" ca="1" si="87"/>
        <v>0</v>
      </c>
      <c r="Z272" s="128">
        <f t="shared" ca="1" si="87"/>
        <v>0</v>
      </c>
      <c r="AA272" s="126">
        <f t="shared" ca="1" si="87"/>
        <v>0</v>
      </c>
      <c r="AB272" s="127">
        <f t="shared" ca="1" si="86"/>
        <v>0</v>
      </c>
      <c r="AC272" s="127">
        <f t="shared" ca="1" si="86"/>
        <v>0</v>
      </c>
      <c r="AD272" s="127">
        <f t="shared" ca="1" si="86"/>
        <v>0</v>
      </c>
      <c r="AE272" s="128">
        <f t="shared" ca="1" si="86"/>
        <v>0</v>
      </c>
      <c r="AF272" s="126">
        <f t="shared" ca="1" si="86"/>
        <v>0</v>
      </c>
      <c r="AG272" s="127">
        <f t="shared" ca="1" si="86"/>
        <v>0</v>
      </c>
      <c r="AH272" s="127">
        <f t="shared" ca="1" si="86"/>
        <v>0</v>
      </c>
      <c r="AI272" s="127">
        <f t="shared" ca="1" si="86"/>
        <v>0</v>
      </c>
      <c r="AJ272" s="128">
        <f t="shared" ca="1" si="86"/>
        <v>0</v>
      </c>
      <c r="AK272" s="126">
        <f t="shared" ca="1" si="86"/>
        <v>0</v>
      </c>
      <c r="AL272" s="127">
        <f t="shared" ca="1" si="86"/>
        <v>0</v>
      </c>
      <c r="AM272" s="127">
        <f t="shared" ca="1" si="86"/>
        <v>0</v>
      </c>
      <c r="AN272" s="127">
        <f t="shared" ca="1" si="86"/>
        <v>0</v>
      </c>
      <c r="AO272" s="129">
        <f t="shared" ca="1" si="86"/>
        <v>0</v>
      </c>
      <c r="AP272" s="536" t="str">
        <f t="shared" si="81"/>
        <v/>
      </c>
      <c r="AQ272" s="536" t="str">
        <f t="shared" si="82"/>
        <v/>
      </c>
      <c r="AR272" s="536" t="str">
        <f t="shared" si="83"/>
        <v>X</v>
      </c>
      <c r="AS272" s="537">
        <f>IF(OR(J272&lt;&gt;"",AP272&amp;AQ272&amp;AR272&lt;&gt;"X",WEEKDAY(I272,2)&gt;5,C272&lt;&gt;0,(FechaInicio1Tri&gt;I272),(FechaFinEEva&lt;I272)),0,_xlfn.XLOOKUP(WEEKDAY(I272,2),Fchs!$J$10:$N$10,Fchs!$J$12:$N$12))</f>
        <v>1</v>
      </c>
      <c r="AT272" s="536">
        <f t="shared" ca="1" si="84"/>
        <v>0</v>
      </c>
      <c r="AU272" s="538">
        <f>IF(AS272&lt;&gt;0,MAXA($AU$14:AU271)+AS272,0)</f>
        <v>113</v>
      </c>
      <c r="AV272" s="538">
        <f ca="1">IF(AT272&lt;&gt;0,MAXA($AU$14:AU271)+AT272,0)</f>
        <v>0</v>
      </c>
      <c r="AW272" s="70"/>
    </row>
    <row r="273" spans="1:49" ht="18.75" customHeight="1" x14ac:dyDescent="0.25">
      <c r="A273" s="70"/>
      <c r="B273" s="56" t="str">
        <f>MID(Info!$AZ$3,(WEEKDAY(I273,2)-1)*3+1,3)</f>
        <v>Mié</v>
      </c>
      <c r="C273" s="523">
        <f>_xlfn.XLOOKUP(I273,Fchs!$C$156:$C$197,Fchs!$D$156:$D$197,0)</f>
        <v>0</v>
      </c>
      <c r="D273" s="523">
        <f>_xlfn.XLOOKUP(I273,Fchs!$C$156:$C$197,Fchs!$E$156:$E$197)</f>
        <v>0</v>
      </c>
      <c r="E273" s="532" t="str">
        <f>IF($AS273&lt;&gt;0,_xlfn.XLOOKUP($G273,UDs!$E$34:$E$55,UDs!$B$34:$B$55,,-1),0)</f>
        <v/>
      </c>
      <c r="F273" s="532">
        <f t="shared" ca="1" si="80"/>
        <v>0</v>
      </c>
      <c r="G273" s="569">
        <f>IF(AU273&lt;&gt;0,MAX($AU$13:$AU272)+1,0)</f>
        <v>114</v>
      </c>
      <c r="H273" s="569">
        <f>IF(AS273&lt;&gt;0,COUNT($H$14:H272,1),"")</f>
        <v>114</v>
      </c>
      <c r="I273" s="533">
        <f t="shared" si="85"/>
        <v>46134</v>
      </c>
      <c r="J273" s="534"/>
      <c r="K273" s="535"/>
      <c r="L273" s="126">
        <f t="shared" ca="1" si="87"/>
        <v>0</v>
      </c>
      <c r="M273" s="127">
        <f t="shared" ca="1" si="87"/>
        <v>0</v>
      </c>
      <c r="N273" s="127">
        <f t="shared" ca="1" si="87"/>
        <v>0</v>
      </c>
      <c r="O273" s="127">
        <f t="shared" ca="1" si="87"/>
        <v>0</v>
      </c>
      <c r="P273" s="128">
        <f t="shared" ca="1" si="87"/>
        <v>0</v>
      </c>
      <c r="Q273" s="126">
        <f t="shared" ca="1" si="87"/>
        <v>0</v>
      </c>
      <c r="R273" s="127">
        <f t="shared" ca="1" si="87"/>
        <v>0</v>
      </c>
      <c r="S273" s="127">
        <f t="shared" ca="1" si="87"/>
        <v>0</v>
      </c>
      <c r="T273" s="127">
        <f t="shared" ca="1" si="87"/>
        <v>0</v>
      </c>
      <c r="U273" s="128">
        <f t="shared" ca="1" si="87"/>
        <v>0</v>
      </c>
      <c r="V273" s="126">
        <f t="shared" ca="1" si="87"/>
        <v>0</v>
      </c>
      <c r="W273" s="127">
        <f t="shared" ca="1" si="87"/>
        <v>0</v>
      </c>
      <c r="X273" s="127">
        <f t="shared" ca="1" si="87"/>
        <v>0</v>
      </c>
      <c r="Y273" s="127">
        <f t="shared" ca="1" si="87"/>
        <v>0</v>
      </c>
      <c r="Z273" s="128">
        <f t="shared" ca="1" si="87"/>
        <v>0</v>
      </c>
      <c r="AA273" s="126">
        <f t="shared" ca="1" si="87"/>
        <v>0</v>
      </c>
      <c r="AB273" s="127">
        <f t="shared" ca="1" si="86"/>
        <v>0</v>
      </c>
      <c r="AC273" s="127">
        <f t="shared" ca="1" si="86"/>
        <v>0</v>
      </c>
      <c r="AD273" s="127">
        <f t="shared" ca="1" si="86"/>
        <v>0</v>
      </c>
      <c r="AE273" s="128">
        <f t="shared" ca="1" si="86"/>
        <v>0</v>
      </c>
      <c r="AF273" s="126">
        <f t="shared" ca="1" si="86"/>
        <v>0</v>
      </c>
      <c r="AG273" s="127">
        <f t="shared" ca="1" si="86"/>
        <v>0</v>
      </c>
      <c r="AH273" s="127">
        <f t="shared" ca="1" si="86"/>
        <v>0</v>
      </c>
      <c r="AI273" s="127">
        <f t="shared" ca="1" si="86"/>
        <v>0</v>
      </c>
      <c r="AJ273" s="128">
        <f t="shared" ca="1" si="86"/>
        <v>0</v>
      </c>
      <c r="AK273" s="126">
        <f t="shared" ca="1" si="86"/>
        <v>0</v>
      </c>
      <c r="AL273" s="127">
        <f t="shared" ca="1" si="86"/>
        <v>0</v>
      </c>
      <c r="AM273" s="127">
        <f t="shared" ca="1" si="86"/>
        <v>0</v>
      </c>
      <c r="AN273" s="127">
        <f t="shared" ca="1" si="86"/>
        <v>0</v>
      </c>
      <c r="AO273" s="129">
        <f t="shared" ca="1" si="86"/>
        <v>0</v>
      </c>
      <c r="AP273" s="536" t="str">
        <f t="shared" si="81"/>
        <v/>
      </c>
      <c r="AQ273" s="536" t="str">
        <f t="shared" si="82"/>
        <v/>
      </c>
      <c r="AR273" s="536" t="str">
        <f t="shared" si="83"/>
        <v>X</v>
      </c>
      <c r="AS273" s="537">
        <f>IF(OR(J273&lt;&gt;"",AP273&amp;AQ273&amp;AR273&lt;&gt;"X",WEEKDAY(I273,2)&gt;5,C273&lt;&gt;0,(FechaInicio1Tri&gt;I273),(FechaFinEEva&lt;I273)),0,_xlfn.XLOOKUP(WEEKDAY(I273,2),Fchs!$J$10:$N$10,Fchs!$J$12:$N$12))</f>
        <v>1</v>
      </c>
      <c r="AT273" s="536">
        <f t="shared" ca="1" si="84"/>
        <v>0</v>
      </c>
      <c r="AU273" s="538">
        <f>IF(AS273&lt;&gt;0,MAXA($AU$14:AU272)+AS273,0)</f>
        <v>114</v>
      </c>
      <c r="AV273" s="538">
        <f ca="1">IF(AT273&lt;&gt;0,MAXA($AU$14:AU272)+AT273,0)</f>
        <v>0</v>
      </c>
      <c r="AW273" s="70"/>
    </row>
    <row r="274" spans="1:49" ht="18.75" customHeight="1" x14ac:dyDescent="0.25">
      <c r="A274" s="70"/>
      <c r="B274" s="56" t="str">
        <f>MID(Info!$AZ$3,(WEEKDAY(I274,2)-1)*3+1,3)</f>
        <v>Jue</v>
      </c>
      <c r="C274" s="523" t="str">
        <f>_xlfn.XLOOKUP(I274,Fchs!$C$156:$C$197,Fchs!$D$156:$D$197,0)</f>
        <v>S.Jorge</v>
      </c>
      <c r="D274" s="523">
        <f>_xlfn.XLOOKUP(I274,Fchs!$C$156:$C$197,Fchs!$E$156:$E$197)</f>
        <v>0</v>
      </c>
      <c r="E274" s="532">
        <f>IF($AS274&lt;&gt;0,_xlfn.XLOOKUP($G274,UDs!$E$34:$E$55,UDs!$B$34:$B$55,,-1),0)</f>
        <v>0</v>
      </c>
      <c r="F274" s="532">
        <f t="shared" ca="1" si="80"/>
        <v>0</v>
      </c>
      <c r="G274" s="569">
        <f>IF(AU274&lt;&gt;0,MAX($AU$13:$AU273)+1,0)</f>
        <v>0</v>
      </c>
      <c r="H274" s="569" t="str">
        <f>IF(AS274&lt;&gt;0,COUNT($H$14:H273,1),"")</f>
        <v/>
      </c>
      <c r="I274" s="533">
        <f t="shared" si="85"/>
        <v>46135</v>
      </c>
      <c r="J274" s="534"/>
      <c r="K274" s="535"/>
      <c r="L274" s="126">
        <f t="shared" ca="1" si="87"/>
        <v>0</v>
      </c>
      <c r="M274" s="127">
        <f t="shared" ca="1" si="87"/>
        <v>0</v>
      </c>
      <c r="N274" s="127">
        <f t="shared" ca="1" si="87"/>
        <v>0</v>
      </c>
      <c r="O274" s="127">
        <f t="shared" ca="1" si="87"/>
        <v>0</v>
      </c>
      <c r="P274" s="128">
        <f t="shared" ca="1" si="87"/>
        <v>0</v>
      </c>
      <c r="Q274" s="126">
        <f t="shared" ca="1" si="87"/>
        <v>0</v>
      </c>
      <c r="R274" s="127">
        <f t="shared" ca="1" si="87"/>
        <v>0</v>
      </c>
      <c r="S274" s="127">
        <f t="shared" ca="1" si="87"/>
        <v>0</v>
      </c>
      <c r="T274" s="127">
        <f t="shared" ca="1" si="87"/>
        <v>0</v>
      </c>
      <c r="U274" s="128">
        <f t="shared" ca="1" si="87"/>
        <v>0</v>
      </c>
      <c r="V274" s="126">
        <f t="shared" ca="1" si="87"/>
        <v>0</v>
      </c>
      <c r="W274" s="127">
        <f t="shared" ca="1" si="87"/>
        <v>0</v>
      </c>
      <c r="X274" s="127">
        <f t="shared" ca="1" si="87"/>
        <v>0</v>
      </c>
      <c r="Y274" s="127">
        <f t="shared" ca="1" si="87"/>
        <v>0</v>
      </c>
      <c r="Z274" s="128">
        <f t="shared" ca="1" si="87"/>
        <v>0</v>
      </c>
      <c r="AA274" s="126">
        <f t="shared" ca="1" si="87"/>
        <v>0</v>
      </c>
      <c r="AB274" s="127">
        <f t="shared" ca="1" si="86"/>
        <v>0</v>
      </c>
      <c r="AC274" s="127">
        <f t="shared" ca="1" si="86"/>
        <v>0</v>
      </c>
      <c r="AD274" s="127">
        <f t="shared" ca="1" si="86"/>
        <v>0</v>
      </c>
      <c r="AE274" s="128">
        <f t="shared" ca="1" si="86"/>
        <v>0</v>
      </c>
      <c r="AF274" s="126">
        <f t="shared" ca="1" si="86"/>
        <v>0</v>
      </c>
      <c r="AG274" s="127">
        <f t="shared" ca="1" si="86"/>
        <v>0</v>
      </c>
      <c r="AH274" s="127">
        <f t="shared" ca="1" si="86"/>
        <v>0</v>
      </c>
      <c r="AI274" s="127">
        <f t="shared" ca="1" si="86"/>
        <v>0</v>
      </c>
      <c r="AJ274" s="128">
        <f t="shared" ca="1" si="86"/>
        <v>0</v>
      </c>
      <c r="AK274" s="126">
        <f t="shared" ca="1" si="86"/>
        <v>0</v>
      </c>
      <c r="AL274" s="127">
        <f t="shared" ca="1" si="86"/>
        <v>0</v>
      </c>
      <c r="AM274" s="127">
        <f t="shared" ca="1" si="86"/>
        <v>0</v>
      </c>
      <c r="AN274" s="127">
        <f t="shared" ca="1" si="86"/>
        <v>0</v>
      </c>
      <c r="AO274" s="129">
        <f t="shared" ca="1" si="86"/>
        <v>0</v>
      </c>
      <c r="AP274" s="536" t="str">
        <f t="shared" si="81"/>
        <v/>
      </c>
      <c r="AQ274" s="536" t="str">
        <f t="shared" si="82"/>
        <v/>
      </c>
      <c r="AR274" s="536" t="str">
        <f t="shared" si="83"/>
        <v>X</v>
      </c>
      <c r="AS274" s="537">
        <f>IF(OR(J274&lt;&gt;"",AP274&amp;AQ274&amp;AR274&lt;&gt;"X",WEEKDAY(I274,2)&gt;5,C274&lt;&gt;0,(FechaInicio1Tri&gt;I274),(FechaFinEEva&lt;I274)),0,_xlfn.XLOOKUP(WEEKDAY(I274,2),Fchs!$J$10:$N$10,Fchs!$J$12:$N$12))</f>
        <v>0</v>
      </c>
      <c r="AT274" s="536">
        <f t="shared" ca="1" si="84"/>
        <v>0</v>
      </c>
      <c r="AU274" s="538">
        <f>IF(AS274&lt;&gt;0,MAXA($AU$14:AU273)+AS274,0)</f>
        <v>0</v>
      </c>
      <c r="AV274" s="538">
        <f ca="1">IF(AT274&lt;&gt;0,MAXA($AU$14:AU273)+AT274,0)</f>
        <v>0</v>
      </c>
      <c r="AW274" s="70"/>
    </row>
    <row r="275" spans="1:49" ht="18.75" customHeight="1" x14ac:dyDescent="0.25">
      <c r="A275" s="70"/>
      <c r="B275" s="56" t="str">
        <f>MID(Info!$AZ$3,(WEEKDAY(I275,2)-1)*3+1,3)</f>
        <v>Vie</v>
      </c>
      <c r="C275" s="523" t="str">
        <f>_xlfn.XLOOKUP(I275,Fchs!$C$156:$C$197,Fchs!$D$156:$D$197,0)</f>
        <v>S.Jorge</v>
      </c>
      <c r="D275" s="523">
        <f>_xlfn.XLOOKUP(I275,Fchs!$C$156:$C$197,Fchs!$E$156:$E$197)</f>
        <v>0</v>
      </c>
      <c r="E275" s="532">
        <f>IF($AS275&lt;&gt;0,_xlfn.XLOOKUP($G275,UDs!$E$34:$E$55,UDs!$B$34:$B$55,,-1),0)</f>
        <v>0</v>
      </c>
      <c r="F275" s="532">
        <f t="shared" ca="1" si="80"/>
        <v>0</v>
      </c>
      <c r="G275" s="569">
        <f>IF(AU275&lt;&gt;0,MAX($AU$13:$AU274)+1,0)</f>
        <v>0</v>
      </c>
      <c r="H275" s="569" t="str">
        <f>IF(AS275&lt;&gt;0,COUNT($H$14:H274,1),"")</f>
        <v/>
      </c>
      <c r="I275" s="533">
        <f t="shared" si="85"/>
        <v>46136</v>
      </c>
      <c r="J275" s="534"/>
      <c r="K275" s="535"/>
      <c r="L275" s="126">
        <f t="shared" ca="1" si="87"/>
        <v>0</v>
      </c>
      <c r="M275" s="127">
        <f t="shared" ca="1" si="87"/>
        <v>0</v>
      </c>
      <c r="N275" s="127">
        <f t="shared" ca="1" si="87"/>
        <v>0</v>
      </c>
      <c r="O275" s="127">
        <f t="shared" ca="1" si="87"/>
        <v>0</v>
      </c>
      <c r="P275" s="128">
        <f t="shared" ca="1" si="87"/>
        <v>0</v>
      </c>
      <c r="Q275" s="126">
        <f t="shared" ca="1" si="87"/>
        <v>0</v>
      </c>
      <c r="R275" s="127">
        <f t="shared" ca="1" si="87"/>
        <v>0</v>
      </c>
      <c r="S275" s="127">
        <f t="shared" ca="1" si="87"/>
        <v>0</v>
      </c>
      <c r="T275" s="127">
        <f t="shared" ca="1" si="87"/>
        <v>0</v>
      </c>
      <c r="U275" s="128">
        <f t="shared" ca="1" si="87"/>
        <v>0</v>
      </c>
      <c r="V275" s="126">
        <f t="shared" ca="1" si="87"/>
        <v>0</v>
      </c>
      <c r="W275" s="127">
        <f t="shared" ca="1" si="87"/>
        <v>0</v>
      </c>
      <c r="X275" s="127">
        <f t="shared" ca="1" si="87"/>
        <v>0</v>
      </c>
      <c r="Y275" s="127">
        <f t="shared" ca="1" si="87"/>
        <v>0</v>
      </c>
      <c r="Z275" s="128">
        <f t="shared" ca="1" si="87"/>
        <v>0</v>
      </c>
      <c r="AA275" s="126">
        <f t="shared" ca="1" si="87"/>
        <v>0</v>
      </c>
      <c r="AB275" s="127">
        <f t="shared" ca="1" si="86"/>
        <v>0</v>
      </c>
      <c r="AC275" s="127">
        <f t="shared" ca="1" si="86"/>
        <v>0</v>
      </c>
      <c r="AD275" s="127">
        <f t="shared" ca="1" si="86"/>
        <v>0</v>
      </c>
      <c r="AE275" s="128">
        <f t="shared" ca="1" si="86"/>
        <v>0</v>
      </c>
      <c r="AF275" s="126">
        <f t="shared" ca="1" si="86"/>
        <v>0</v>
      </c>
      <c r="AG275" s="127">
        <f t="shared" ca="1" si="86"/>
        <v>0</v>
      </c>
      <c r="AH275" s="127">
        <f t="shared" ca="1" si="86"/>
        <v>0</v>
      </c>
      <c r="AI275" s="127">
        <f t="shared" ca="1" si="86"/>
        <v>0</v>
      </c>
      <c r="AJ275" s="128">
        <f t="shared" ca="1" si="86"/>
        <v>0</v>
      </c>
      <c r="AK275" s="126">
        <f t="shared" ca="1" si="86"/>
        <v>0</v>
      </c>
      <c r="AL275" s="127">
        <f t="shared" ca="1" si="86"/>
        <v>0</v>
      </c>
      <c r="AM275" s="127">
        <f t="shared" ca="1" si="86"/>
        <v>0</v>
      </c>
      <c r="AN275" s="127">
        <f t="shared" ca="1" si="86"/>
        <v>0</v>
      </c>
      <c r="AO275" s="129">
        <f t="shared" ca="1" si="86"/>
        <v>0</v>
      </c>
      <c r="AP275" s="536" t="str">
        <f t="shared" si="81"/>
        <v/>
      </c>
      <c r="AQ275" s="536" t="str">
        <f t="shared" si="82"/>
        <v/>
      </c>
      <c r="AR275" s="536" t="str">
        <f t="shared" si="83"/>
        <v>X</v>
      </c>
      <c r="AS275" s="537">
        <f>IF(OR(J275&lt;&gt;"",AP275&amp;AQ275&amp;AR275&lt;&gt;"X",WEEKDAY(I275,2)&gt;5,C275&lt;&gt;0,(FechaInicio1Tri&gt;I275),(FechaFinEEva&lt;I275)),0,_xlfn.XLOOKUP(WEEKDAY(I275,2),Fchs!$J$10:$N$10,Fchs!$J$12:$N$12))</f>
        <v>0</v>
      </c>
      <c r="AT275" s="536">
        <f t="shared" ca="1" si="84"/>
        <v>0</v>
      </c>
      <c r="AU275" s="538">
        <f>IF(AS275&lt;&gt;0,MAXA($AU$14:AU274)+AS275,0)</f>
        <v>0</v>
      </c>
      <c r="AV275" s="538">
        <f ca="1">IF(AT275&lt;&gt;0,MAXA($AU$14:AU274)+AT275,0)</f>
        <v>0</v>
      </c>
      <c r="AW275" s="70"/>
    </row>
    <row r="276" spans="1:49" ht="18.75" customHeight="1" x14ac:dyDescent="0.25">
      <c r="A276" s="70"/>
      <c r="B276" s="56" t="str">
        <f>MID(Info!$AZ$3,(WEEKDAY(I276,2)-1)*3+1,3)</f>
        <v>Sáb</v>
      </c>
      <c r="C276" s="523">
        <f>_xlfn.XLOOKUP(I276,Fchs!$C$156:$C$197,Fchs!$D$156:$D$197,0)</f>
        <v>0</v>
      </c>
      <c r="D276" s="523">
        <f>_xlfn.XLOOKUP(I276,Fchs!$C$156:$C$197,Fchs!$E$156:$E$197)</f>
        <v>0</v>
      </c>
      <c r="E276" s="532">
        <f>IF($AS276&lt;&gt;0,_xlfn.XLOOKUP($G276,UDs!$E$34:$E$55,UDs!$B$34:$B$55,,-1),0)</f>
        <v>0</v>
      </c>
      <c r="F276" s="532">
        <f t="shared" ca="1" si="80"/>
        <v>0</v>
      </c>
      <c r="G276" s="569">
        <f>IF(AU276&lt;&gt;0,MAX($AU$13:$AU275)+1,0)</f>
        <v>0</v>
      </c>
      <c r="H276" s="569" t="str">
        <f>IF(AS276&lt;&gt;0,COUNT($H$14:H275,1),"")</f>
        <v/>
      </c>
      <c r="I276" s="533">
        <f t="shared" si="85"/>
        <v>46137</v>
      </c>
      <c r="J276" s="534"/>
      <c r="K276" s="535"/>
      <c r="L276" s="126">
        <f t="shared" ca="1" si="87"/>
        <v>0</v>
      </c>
      <c r="M276" s="127">
        <f t="shared" ca="1" si="87"/>
        <v>0</v>
      </c>
      <c r="N276" s="127">
        <f t="shared" ca="1" si="87"/>
        <v>0</v>
      </c>
      <c r="O276" s="127">
        <f t="shared" ca="1" si="87"/>
        <v>0</v>
      </c>
      <c r="P276" s="128">
        <f t="shared" ca="1" si="87"/>
        <v>0</v>
      </c>
      <c r="Q276" s="126">
        <f t="shared" ca="1" si="87"/>
        <v>0</v>
      </c>
      <c r="R276" s="127">
        <f t="shared" ca="1" si="87"/>
        <v>0</v>
      </c>
      <c r="S276" s="127">
        <f t="shared" ca="1" si="87"/>
        <v>0</v>
      </c>
      <c r="T276" s="127">
        <f t="shared" ca="1" si="87"/>
        <v>0</v>
      </c>
      <c r="U276" s="128">
        <f t="shared" ca="1" si="87"/>
        <v>0</v>
      </c>
      <c r="V276" s="126">
        <f t="shared" ca="1" si="87"/>
        <v>0</v>
      </c>
      <c r="W276" s="127">
        <f t="shared" ca="1" si="87"/>
        <v>0</v>
      </c>
      <c r="X276" s="127">
        <f t="shared" ca="1" si="87"/>
        <v>0</v>
      </c>
      <c r="Y276" s="127">
        <f t="shared" ca="1" si="87"/>
        <v>0</v>
      </c>
      <c r="Z276" s="128">
        <f t="shared" ca="1" si="87"/>
        <v>0</v>
      </c>
      <c r="AA276" s="126">
        <f t="shared" ca="1" si="87"/>
        <v>0</v>
      </c>
      <c r="AB276" s="127">
        <f t="shared" ca="1" si="86"/>
        <v>0</v>
      </c>
      <c r="AC276" s="127">
        <f t="shared" ca="1" si="86"/>
        <v>0</v>
      </c>
      <c r="AD276" s="127">
        <f t="shared" ca="1" si="86"/>
        <v>0</v>
      </c>
      <c r="AE276" s="128">
        <f t="shared" ca="1" si="86"/>
        <v>0</v>
      </c>
      <c r="AF276" s="126">
        <f t="shared" ca="1" si="86"/>
        <v>0</v>
      </c>
      <c r="AG276" s="127">
        <f t="shared" ca="1" si="86"/>
        <v>0</v>
      </c>
      <c r="AH276" s="127">
        <f t="shared" ca="1" si="86"/>
        <v>0</v>
      </c>
      <c r="AI276" s="127">
        <f t="shared" ca="1" si="86"/>
        <v>0</v>
      </c>
      <c r="AJ276" s="128">
        <f t="shared" ca="1" si="86"/>
        <v>0</v>
      </c>
      <c r="AK276" s="126">
        <f t="shared" ca="1" si="86"/>
        <v>0</v>
      </c>
      <c r="AL276" s="127">
        <f t="shared" ca="1" si="86"/>
        <v>0</v>
      </c>
      <c r="AM276" s="127">
        <f t="shared" ca="1" si="86"/>
        <v>0</v>
      </c>
      <c r="AN276" s="127">
        <f t="shared" ca="1" si="86"/>
        <v>0</v>
      </c>
      <c r="AO276" s="129">
        <f t="shared" ca="1" si="86"/>
        <v>0</v>
      </c>
      <c r="AP276" s="536" t="str">
        <f t="shared" si="81"/>
        <v/>
      </c>
      <c r="AQ276" s="536" t="str">
        <f t="shared" si="82"/>
        <v/>
      </c>
      <c r="AR276" s="536" t="str">
        <f t="shared" si="83"/>
        <v/>
      </c>
      <c r="AS276" s="537">
        <f>IF(OR(J276&lt;&gt;"",AP276&amp;AQ276&amp;AR276&lt;&gt;"X",WEEKDAY(I276,2)&gt;5,C276&lt;&gt;0,(FechaInicio1Tri&gt;I276),(FechaFinEEva&lt;I276)),0,_xlfn.XLOOKUP(WEEKDAY(I276,2),Fchs!$J$10:$N$10,Fchs!$J$12:$N$12))</f>
        <v>0</v>
      </c>
      <c r="AT276" s="536">
        <f t="shared" ca="1" si="84"/>
        <v>0</v>
      </c>
      <c r="AU276" s="538">
        <f>IF(AS276&lt;&gt;0,MAXA($AU$14:AU275)+AS276,0)</f>
        <v>0</v>
      </c>
      <c r="AV276" s="538">
        <f ca="1">IF(AT276&lt;&gt;0,MAXA($AU$14:AU275)+AT276,0)</f>
        <v>0</v>
      </c>
      <c r="AW276" s="70"/>
    </row>
    <row r="277" spans="1:49" ht="18.75" customHeight="1" x14ac:dyDescent="0.25">
      <c r="A277" s="70"/>
      <c r="B277" s="56" t="str">
        <f>MID(Info!$AZ$3,(WEEKDAY(I277,2)-1)*3+1,3)</f>
        <v>Dom</v>
      </c>
      <c r="C277" s="523">
        <f>_xlfn.XLOOKUP(I277,Fchs!$C$156:$C$197,Fchs!$D$156:$D$197,0)</f>
        <v>0</v>
      </c>
      <c r="D277" s="523">
        <f>_xlfn.XLOOKUP(I277,Fchs!$C$156:$C$197,Fchs!$E$156:$E$197)</f>
        <v>0</v>
      </c>
      <c r="E277" s="532">
        <f>IF($AS277&lt;&gt;0,_xlfn.XLOOKUP($G277,UDs!$E$34:$E$55,UDs!$B$34:$B$55,,-1),0)</f>
        <v>0</v>
      </c>
      <c r="F277" s="532">
        <f t="shared" ca="1" si="80"/>
        <v>0</v>
      </c>
      <c r="G277" s="569">
        <f>IF(AU277&lt;&gt;0,MAX($AU$13:$AU276)+1,0)</f>
        <v>0</v>
      </c>
      <c r="H277" s="569" t="str">
        <f>IF(AS277&lt;&gt;0,COUNT($H$14:H276,1),"")</f>
        <v/>
      </c>
      <c r="I277" s="533">
        <f t="shared" si="85"/>
        <v>46138</v>
      </c>
      <c r="J277" s="534"/>
      <c r="K277" s="535"/>
      <c r="L277" s="126">
        <f t="shared" ca="1" si="87"/>
        <v>0</v>
      </c>
      <c r="M277" s="127">
        <f t="shared" ca="1" si="87"/>
        <v>0</v>
      </c>
      <c r="N277" s="127">
        <f t="shared" ca="1" si="87"/>
        <v>0</v>
      </c>
      <c r="O277" s="127">
        <f t="shared" ca="1" si="87"/>
        <v>0</v>
      </c>
      <c r="P277" s="128">
        <f t="shared" ca="1" si="87"/>
        <v>0</v>
      </c>
      <c r="Q277" s="126">
        <f t="shared" ca="1" si="87"/>
        <v>0</v>
      </c>
      <c r="R277" s="127">
        <f t="shared" ca="1" si="87"/>
        <v>0</v>
      </c>
      <c r="S277" s="127">
        <f t="shared" ca="1" si="87"/>
        <v>0</v>
      </c>
      <c r="T277" s="127">
        <f t="shared" ca="1" si="87"/>
        <v>0</v>
      </c>
      <c r="U277" s="128">
        <f t="shared" ca="1" si="87"/>
        <v>0</v>
      </c>
      <c r="V277" s="126">
        <f t="shared" ca="1" si="87"/>
        <v>0</v>
      </c>
      <c r="W277" s="127">
        <f t="shared" ca="1" si="87"/>
        <v>0</v>
      </c>
      <c r="X277" s="127">
        <f t="shared" ca="1" si="87"/>
        <v>0</v>
      </c>
      <c r="Y277" s="127">
        <f t="shared" ca="1" si="87"/>
        <v>0</v>
      </c>
      <c r="Z277" s="128">
        <f t="shared" ca="1" si="87"/>
        <v>0</v>
      </c>
      <c r="AA277" s="126">
        <f t="shared" ca="1" si="87"/>
        <v>0</v>
      </c>
      <c r="AB277" s="127">
        <f t="shared" ca="1" si="86"/>
        <v>0</v>
      </c>
      <c r="AC277" s="127">
        <f t="shared" ca="1" si="86"/>
        <v>0</v>
      </c>
      <c r="AD277" s="127">
        <f t="shared" ca="1" si="86"/>
        <v>0</v>
      </c>
      <c r="AE277" s="128">
        <f t="shared" ca="1" si="86"/>
        <v>0</v>
      </c>
      <c r="AF277" s="126">
        <f t="shared" ca="1" si="86"/>
        <v>0</v>
      </c>
      <c r="AG277" s="127">
        <f t="shared" ca="1" si="86"/>
        <v>0</v>
      </c>
      <c r="AH277" s="127">
        <f t="shared" ca="1" si="86"/>
        <v>0</v>
      </c>
      <c r="AI277" s="127">
        <f t="shared" ca="1" si="86"/>
        <v>0</v>
      </c>
      <c r="AJ277" s="128">
        <f t="shared" ca="1" si="86"/>
        <v>0</v>
      </c>
      <c r="AK277" s="126">
        <f t="shared" ca="1" si="86"/>
        <v>0</v>
      </c>
      <c r="AL277" s="127">
        <f t="shared" ca="1" si="86"/>
        <v>0</v>
      </c>
      <c r="AM277" s="127">
        <f t="shared" ca="1" si="86"/>
        <v>0</v>
      </c>
      <c r="AN277" s="127">
        <f t="shared" ca="1" si="86"/>
        <v>0</v>
      </c>
      <c r="AO277" s="129">
        <f t="shared" ca="1" si="86"/>
        <v>0</v>
      </c>
      <c r="AP277" s="536" t="str">
        <f t="shared" si="81"/>
        <v/>
      </c>
      <c r="AQ277" s="536" t="str">
        <f t="shared" si="82"/>
        <v/>
      </c>
      <c r="AR277" s="536" t="str">
        <f t="shared" si="83"/>
        <v/>
      </c>
      <c r="AS277" s="537">
        <f>IF(OR(J277&lt;&gt;"",AP277&amp;AQ277&amp;AR277&lt;&gt;"X",WEEKDAY(I277,2)&gt;5,C277&lt;&gt;0,(FechaInicio1Tri&gt;I277),(FechaFinEEva&lt;I277)),0,_xlfn.XLOOKUP(WEEKDAY(I277,2),Fchs!$J$10:$N$10,Fchs!$J$12:$N$12))</f>
        <v>0</v>
      </c>
      <c r="AT277" s="536">
        <f t="shared" ca="1" si="84"/>
        <v>0</v>
      </c>
      <c r="AU277" s="538">
        <f>IF(AS277&lt;&gt;0,MAXA($AU$14:AU276)+AS277,0)</f>
        <v>0</v>
      </c>
      <c r="AV277" s="538">
        <f ca="1">IF(AT277&lt;&gt;0,MAXA($AU$14:AU276)+AT277,0)</f>
        <v>0</v>
      </c>
      <c r="AW277" s="70"/>
    </row>
    <row r="278" spans="1:49" ht="18.75" customHeight="1" x14ac:dyDescent="0.25">
      <c r="A278" s="70"/>
      <c r="B278" s="56" t="str">
        <f>MID(Info!$AZ$3,(WEEKDAY(I278,2)-1)*3+1,3)</f>
        <v>Lun</v>
      </c>
      <c r="C278" s="523">
        <f>_xlfn.XLOOKUP(I278,Fchs!$C$156:$C$197,Fchs!$D$156:$D$197,0)</f>
        <v>0</v>
      </c>
      <c r="D278" s="523">
        <f>_xlfn.XLOOKUP(I278,Fchs!$C$156:$C$197,Fchs!$E$156:$E$197)</f>
        <v>0</v>
      </c>
      <c r="E278" s="532" t="str">
        <f>IF($AS278&lt;&gt;0,_xlfn.XLOOKUP($G278,UDs!$E$34:$E$55,UDs!$B$34:$B$55,,-1),0)</f>
        <v/>
      </c>
      <c r="F278" s="532">
        <f t="shared" ca="1" si="80"/>
        <v>0</v>
      </c>
      <c r="G278" s="569">
        <f>IF(AU278&lt;&gt;0,MAX($AU$13:$AU277)+1,0)</f>
        <v>115</v>
      </c>
      <c r="H278" s="569">
        <f>IF(AS278&lt;&gt;0,COUNT($H$14:H277,1),"")</f>
        <v>115</v>
      </c>
      <c r="I278" s="533">
        <f t="shared" si="85"/>
        <v>46139</v>
      </c>
      <c r="J278" s="534"/>
      <c r="K278" s="535"/>
      <c r="L278" s="126">
        <f t="shared" ca="1" si="87"/>
        <v>0</v>
      </c>
      <c r="M278" s="127">
        <f t="shared" ca="1" si="87"/>
        <v>0</v>
      </c>
      <c r="N278" s="127">
        <f t="shared" ca="1" si="87"/>
        <v>0</v>
      </c>
      <c r="O278" s="127">
        <f t="shared" ca="1" si="87"/>
        <v>0</v>
      </c>
      <c r="P278" s="128">
        <f t="shared" ca="1" si="87"/>
        <v>0</v>
      </c>
      <c r="Q278" s="126">
        <f t="shared" ca="1" si="87"/>
        <v>0</v>
      </c>
      <c r="R278" s="127">
        <f t="shared" ca="1" si="87"/>
        <v>0</v>
      </c>
      <c r="S278" s="127">
        <f t="shared" ca="1" si="87"/>
        <v>0</v>
      </c>
      <c r="T278" s="127">
        <f t="shared" ca="1" si="87"/>
        <v>0</v>
      </c>
      <c r="U278" s="128">
        <f t="shared" ca="1" si="87"/>
        <v>0</v>
      </c>
      <c r="V278" s="126">
        <f t="shared" ca="1" si="87"/>
        <v>0</v>
      </c>
      <c r="W278" s="127">
        <f t="shared" ca="1" si="87"/>
        <v>0</v>
      </c>
      <c r="X278" s="127">
        <f t="shared" ca="1" si="87"/>
        <v>0</v>
      </c>
      <c r="Y278" s="127">
        <f t="shared" ca="1" si="87"/>
        <v>0</v>
      </c>
      <c r="Z278" s="128">
        <f t="shared" ca="1" si="87"/>
        <v>0</v>
      </c>
      <c r="AA278" s="126">
        <f t="shared" ref="AA278:AN293" ca="1" si="88">$AT278</f>
        <v>0</v>
      </c>
      <c r="AB278" s="127">
        <f t="shared" ca="1" si="88"/>
        <v>0</v>
      </c>
      <c r="AC278" s="127">
        <f t="shared" ca="1" si="88"/>
        <v>0</v>
      </c>
      <c r="AD278" s="127">
        <f t="shared" ca="1" si="88"/>
        <v>0</v>
      </c>
      <c r="AE278" s="128">
        <f t="shared" ca="1" si="88"/>
        <v>0</v>
      </c>
      <c r="AF278" s="126">
        <f t="shared" ca="1" si="88"/>
        <v>0</v>
      </c>
      <c r="AG278" s="127">
        <f t="shared" ca="1" si="88"/>
        <v>0</v>
      </c>
      <c r="AH278" s="127">
        <f t="shared" ca="1" si="88"/>
        <v>0</v>
      </c>
      <c r="AI278" s="127">
        <f t="shared" ca="1" si="88"/>
        <v>0</v>
      </c>
      <c r="AJ278" s="128">
        <f t="shared" ca="1" si="88"/>
        <v>0</v>
      </c>
      <c r="AK278" s="126">
        <f t="shared" ca="1" si="88"/>
        <v>0</v>
      </c>
      <c r="AL278" s="127">
        <f t="shared" ca="1" si="88"/>
        <v>0</v>
      </c>
      <c r="AM278" s="127">
        <f t="shared" ca="1" si="88"/>
        <v>0</v>
      </c>
      <c r="AN278" s="127">
        <f t="shared" ca="1" si="88"/>
        <v>0</v>
      </c>
      <c r="AO278" s="129">
        <f t="shared" ca="1" si="86"/>
        <v>0</v>
      </c>
      <c r="AP278" s="536" t="str">
        <f t="shared" si="81"/>
        <v/>
      </c>
      <c r="AQ278" s="536" t="str">
        <f t="shared" si="82"/>
        <v/>
      </c>
      <c r="AR278" s="536" t="str">
        <f t="shared" si="83"/>
        <v>X</v>
      </c>
      <c r="AS278" s="537">
        <f>IF(OR(J278&lt;&gt;"",AP278&amp;AQ278&amp;AR278&lt;&gt;"X",WEEKDAY(I278,2)&gt;5,C278&lt;&gt;0,(FechaInicio1Tri&gt;I278),(FechaFinEEva&lt;I278)),0,_xlfn.XLOOKUP(WEEKDAY(I278,2),Fchs!$J$10:$N$10,Fchs!$J$12:$N$12))</f>
        <v>1</v>
      </c>
      <c r="AT278" s="536">
        <f t="shared" ca="1" si="84"/>
        <v>0</v>
      </c>
      <c r="AU278" s="538">
        <f>IF(AS278&lt;&gt;0,MAXA($AU$14:AU277)+AS278,0)</f>
        <v>115</v>
      </c>
      <c r="AV278" s="538">
        <f ca="1">IF(AT278&lt;&gt;0,MAXA($AU$14:AU277)+AT278,0)</f>
        <v>0</v>
      </c>
      <c r="AW278" s="70"/>
    </row>
    <row r="279" spans="1:49" ht="18.75" customHeight="1" x14ac:dyDescent="0.25">
      <c r="A279" s="70"/>
      <c r="B279" s="56" t="str">
        <f>MID(Info!$AZ$3,(WEEKDAY(I279,2)-1)*3+1,3)</f>
        <v>Mar</v>
      </c>
      <c r="C279" s="523">
        <f>_xlfn.XLOOKUP(I279,Fchs!$C$156:$C$197,Fchs!$D$156:$D$197,0)</f>
        <v>0</v>
      </c>
      <c r="D279" s="523">
        <f>_xlfn.XLOOKUP(I279,Fchs!$C$156:$C$197,Fchs!$E$156:$E$197)</f>
        <v>0</v>
      </c>
      <c r="E279" s="532" t="str">
        <f>IF($AS279&lt;&gt;0,_xlfn.XLOOKUP($G279,UDs!$E$34:$E$55,UDs!$B$34:$B$55,,-1),0)</f>
        <v/>
      </c>
      <c r="F279" s="532">
        <f t="shared" ca="1" si="80"/>
        <v>0</v>
      </c>
      <c r="G279" s="569">
        <f>IF(AU279&lt;&gt;0,MAX($AU$13:$AU278)+1,0)</f>
        <v>116</v>
      </c>
      <c r="H279" s="569">
        <f>IF(AS279&lt;&gt;0,COUNT($H$14:H278,1),"")</f>
        <v>116</v>
      </c>
      <c r="I279" s="533">
        <f t="shared" si="85"/>
        <v>46140</v>
      </c>
      <c r="J279" s="534"/>
      <c r="K279" s="535"/>
      <c r="L279" s="126">
        <f t="shared" ref="L279:AA294" ca="1" si="89">$AT279</f>
        <v>0</v>
      </c>
      <c r="M279" s="127">
        <f t="shared" ca="1" si="89"/>
        <v>0</v>
      </c>
      <c r="N279" s="127">
        <f t="shared" ca="1" si="89"/>
        <v>0</v>
      </c>
      <c r="O279" s="127">
        <f t="shared" ca="1" si="89"/>
        <v>0</v>
      </c>
      <c r="P279" s="128">
        <f t="shared" ca="1" si="89"/>
        <v>0</v>
      </c>
      <c r="Q279" s="126">
        <f t="shared" ca="1" si="89"/>
        <v>0</v>
      </c>
      <c r="R279" s="127">
        <f t="shared" ca="1" si="89"/>
        <v>0</v>
      </c>
      <c r="S279" s="127">
        <f t="shared" ca="1" si="89"/>
        <v>0</v>
      </c>
      <c r="T279" s="127">
        <f t="shared" ca="1" si="89"/>
        <v>0</v>
      </c>
      <c r="U279" s="128">
        <f t="shared" ca="1" si="89"/>
        <v>0</v>
      </c>
      <c r="V279" s="126">
        <f t="shared" ca="1" si="89"/>
        <v>0</v>
      </c>
      <c r="W279" s="127">
        <f t="shared" ca="1" si="89"/>
        <v>0</v>
      </c>
      <c r="X279" s="127">
        <f t="shared" ca="1" si="89"/>
        <v>0</v>
      </c>
      <c r="Y279" s="127">
        <f t="shared" ca="1" si="89"/>
        <v>0</v>
      </c>
      <c r="Z279" s="128">
        <f t="shared" ca="1" si="89"/>
        <v>0</v>
      </c>
      <c r="AA279" s="126">
        <f t="shared" ca="1" si="89"/>
        <v>0</v>
      </c>
      <c r="AB279" s="127">
        <f t="shared" ca="1" si="88"/>
        <v>0</v>
      </c>
      <c r="AC279" s="127">
        <f t="shared" ca="1" si="88"/>
        <v>0</v>
      </c>
      <c r="AD279" s="127">
        <f t="shared" ca="1" si="88"/>
        <v>0</v>
      </c>
      <c r="AE279" s="128">
        <f t="shared" ca="1" si="88"/>
        <v>0</v>
      </c>
      <c r="AF279" s="126">
        <f t="shared" ca="1" si="88"/>
        <v>0</v>
      </c>
      <c r="AG279" s="127">
        <f t="shared" ca="1" si="88"/>
        <v>0</v>
      </c>
      <c r="AH279" s="127">
        <f t="shared" ca="1" si="88"/>
        <v>0</v>
      </c>
      <c r="AI279" s="127">
        <f t="shared" ca="1" si="88"/>
        <v>0</v>
      </c>
      <c r="AJ279" s="128">
        <f t="shared" ca="1" si="88"/>
        <v>0</v>
      </c>
      <c r="AK279" s="126">
        <f t="shared" ca="1" si="88"/>
        <v>0</v>
      </c>
      <c r="AL279" s="127">
        <f t="shared" ca="1" si="88"/>
        <v>0</v>
      </c>
      <c r="AM279" s="127">
        <f t="shared" ca="1" si="88"/>
        <v>0</v>
      </c>
      <c r="AN279" s="127">
        <f t="shared" ca="1" si="88"/>
        <v>0</v>
      </c>
      <c r="AO279" s="129">
        <f t="shared" ca="1" si="86"/>
        <v>0</v>
      </c>
      <c r="AP279" s="536" t="str">
        <f t="shared" si="81"/>
        <v/>
      </c>
      <c r="AQ279" s="536" t="str">
        <f t="shared" si="82"/>
        <v/>
      </c>
      <c r="AR279" s="536" t="str">
        <f t="shared" si="83"/>
        <v>X</v>
      </c>
      <c r="AS279" s="537">
        <f>IF(OR(J279&lt;&gt;"",AP279&amp;AQ279&amp;AR279&lt;&gt;"X",WEEKDAY(I279,2)&gt;5,C279&lt;&gt;0,(FechaInicio1Tri&gt;I279),(FechaFinEEva&lt;I279)),0,_xlfn.XLOOKUP(WEEKDAY(I279,2),Fchs!$J$10:$N$10,Fchs!$J$12:$N$12))</f>
        <v>1</v>
      </c>
      <c r="AT279" s="536">
        <f t="shared" ca="1" si="84"/>
        <v>0</v>
      </c>
      <c r="AU279" s="538">
        <f>IF(AS279&lt;&gt;0,MAXA($AU$14:AU278)+AS279,0)</f>
        <v>116</v>
      </c>
      <c r="AV279" s="538">
        <f ca="1">IF(AT279&lt;&gt;0,MAXA($AU$14:AU278)+AT279,0)</f>
        <v>0</v>
      </c>
      <c r="AW279" s="70"/>
    </row>
    <row r="280" spans="1:49" ht="18.75" customHeight="1" x14ac:dyDescent="0.25">
      <c r="A280" s="70"/>
      <c r="B280" s="56" t="str">
        <f>MID(Info!$AZ$3,(WEEKDAY(I280,2)-1)*3+1,3)</f>
        <v>Mié</v>
      </c>
      <c r="C280" s="523">
        <f>_xlfn.XLOOKUP(I280,Fchs!$C$156:$C$197,Fchs!$D$156:$D$197,0)</f>
        <v>0</v>
      </c>
      <c r="D280" s="523">
        <f>_xlfn.XLOOKUP(I280,Fchs!$C$156:$C$197,Fchs!$E$156:$E$197)</f>
        <v>0</v>
      </c>
      <c r="E280" s="532" t="str">
        <f>IF($AS280&lt;&gt;0,_xlfn.XLOOKUP($G280,UDs!$E$34:$E$55,UDs!$B$34:$B$55,,-1),0)</f>
        <v/>
      </c>
      <c r="F280" s="532">
        <f t="shared" ca="1" si="80"/>
        <v>0</v>
      </c>
      <c r="G280" s="569">
        <f>IF(AU280&lt;&gt;0,MAX($AU$13:$AU279)+1,0)</f>
        <v>117</v>
      </c>
      <c r="H280" s="569">
        <f>IF(AS280&lt;&gt;0,COUNT($H$14:H279,1),"")</f>
        <v>117</v>
      </c>
      <c r="I280" s="533">
        <f t="shared" si="85"/>
        <v>46141</v>
      </c>
      <c r="J280" s="534"/>
      <c r="K280" s="535"/>
      <c r="L280" s="126">
        <f t="shared" ca="1" si="89"/>
        <v>0</v>
      </c>
      <c r="M280" s="127">
        <f t="shared" ca="1" si="89"/>
        <v>0</v>
      </c>
      <c r="N280" s="127">
        <f t="shared" ca="1" si="89"/>
        <v>0</v>
      </c>
      <c r="O280" s="127">
        <f t="shared" ca="1" si="89"/>
        <v>0</v>
      </c>
      <c r="P280" s="128">
        <f t="shared" ca="1" si="89"/>
        <v>0</v>
      </c>
      <c r="Q280" s="126">
        <f t="shared" ca="1" si="89"/>
        <v>0</v>
      </c>
      <c r="R280" s="127">
        <f t="shared" ca="1" si="89"/>
        <v>0</v>
      </c>
      <c r="S280" s="127">
        <f t="shared" ca="1" si="89"/>
        <v>0</v>
      </c>
      <c r="T280" s="127">
        <f t="shared" ca="1" si="89"/>
        <v>0</v>
      </c>
      <c r="U280" s="128">
        <f t="shared" ca="1" si="89"/>
        <v>0</v>
      </c>
      <c r="V280" s="126">
        <f t="shared" ca="1" si="89"/>
        <v>0</v>
      </c>
      <c r="W280" s="127">
        <f t="shared" ca="1" si="89"/>
        <v>0</v>
      </c>
      <c r="X280" s="127">
        <f t="shared" ca="1" si="89"/>
        <v>0</v>
      </c>
      <c r="Y280" s="127">
        <f t="shared" ca="1" si="89"/>
        <v>0</v>
      </c>
      <c r="Z280" s="128">
        <f t="shared" ca="1" si="89"/>
        <v>0</v>
      </c>
      <c r="AA280" s="126">
        <f t="shared" ca="1" si="89"/>
        <v>0</v>
      </c>
      <c r="AB280" s="127">
        <f t="shared" ca="1" si="88"/>
        <v>0</v>
      </c>
      <c r="AC280" s="127">
        <f t="shared" ca="1" si="88"/>
        <v>0</v>
      </c>
      <c r="AD280" s="127">
        <f t="shared" ca="1" si="88"/>
        <v>0</v>
      </c>
      <c r="AE280" s="128">
        <f t="shared" ca="1" si="88"/>
        <v>0</v>
      </c>
      <c r="AF280" s="126">
        <f t="shared" ca="1" si="88"/>
        <v>0</v>
      </c>
      <c r="AG280" s="127">
        <f t="shared" ca="1" si="88"/>
        <v>0</v>
      </c>
      <c r="AH280" s="127">
        <f t="shared" ca="1" si="88"/>
        <v>0</v>
      </c>
      <c r="AI280" s="127">
        <f t="shared" ca="1" si="88"/>
        <v>0</v>
      </c>
      <c r="AJ280" s="128">
        <f t="shared" ca="1" si="88"/>
        <v>0</v>
      </c>
      <c r="AK280" s="126">
        <f t="shared" ca="1" si="88"/>
        <v>0</v>
      </c>
      <c r="AL280" s="127">
        <f t="shared" ca="1" si="88"/>
        <v>0</v>
      </c>
      <c r="AM280" s="127">
        <f t="shared" ca="1" si="88"/>
        <v>0</v>
      </c>
      <c r="AN280" s="127">
        <f t="shared" ca="1" si="88"/>
        <v>0</v>
      </c>
      <c r="AO280" s="129">
        <f t="shared" ca="1" si="86"/>
        <v>0</v>
      </c>
      <c r="AP280" s="536" t="str">
        <f t="shared" si="81"/>
        <v/>
      </c>
      <c r="AQ280" s="536" t="str">
        <f t="shared" si="82"/>
        <v/>
      </c>
      <c r="AR280" s="536" t="str">
        <f t="shared" si="83"/>
        <v>X</v>
      </c>
      <c r="AS280" s="537">
        <f>IF(OR(J280&lt;&gt;"",AP280&amp;AQ280&amp;AR280&lt;&gt;"X",WEEKDAY(I280,2)&gt;5,C280&lt;&gt;0,(FechaInicio1Tri&gt;I280),(FechaFinEEva&lt;I280)),0,_xlfn.XLOOKUP(WEEKDAY(I280,2),Fchs!$J$10:$N$10,Fchs!$J$12:$N$12))</f>
        <v>1</v>
      </c>
      <c r="AT280" s="536">
        <f t="shared" ca="1" si="84"/>
        <v>0</v>
      </c>
      <c r="AU280" s="538">
        <f>IF(AS280&lt;&gt;0,MAXA($AU$14:AU279)+AS280,0)</f>
        <v>117</v>
      </c>
      <c r="AV280" s="538">
        <f ca="1">IF(AT280&lt;&gt;0,MAXA($AU$14:AU279)+AT280,0)</f>
        <v>0</v>
      </c>
      <c r="AW280" s="70"/>
    </row>
    <row r="281" spans="1:49" ht="18.75" customHeight="1" x14ac:dyDescent="0.25">
      <c r="A281" s="70"/>
      <c r="B281" s="530" t="str">
        <f>MID(Info!$AZ$3,(WEEKDAY(I281,2)-1)*3+1,3)</f>
        <v>Jue</v>
      </c>
      <c r="C281" s="611">
        <f>_xlfn.XLOOKUP(I281,Fchs!$C$156:$C$197,Fchs!$D$156:$D$197,0)</f>
        <v>0</v>
      </c>
      <c r="D281" s="611">
        <f>_xlfn.XLOOKUP(I281,Fchs!$C$156:$C$197,Fchs!$E$156:$E$197)</f>
        <v>0</v>
      </c>
      <c r="E281" s="539" t="str">
        <f>IF($AS281&lt;&gt;0,_xlfn.XLOOKUP($G281,UDs!$E$34:$E$55,UDs!$B$34:$B$55,,-1),0)</f>
        <v/>
      </c>
      <c r="F281" s="539">
        <f t="shared" ca="1" si="80"/>
        <v>0</v>
      </c>
      <c r="G281" s="570">
        <f>IF(AU281&lt;&gt;0,MAX($AU$13:$AU280)+1,0)</f>
        <v>118</v>
      </c>
      <c r="H281" s="570">
        <f>IF(AS281&lt;&gt;0,COUNT($H$14:H280,1),"")</f>
        <v>118</v>
      </c>
      <c r="I281" s="540">
        <f t="shared" si="85"/>
        <v>46142</v>
      </c>
      <c r="J281" s="541"/>
      <c r="K281" s="542"/>
      <c r="L281" s="121">
        <f t="shared" ca="1" si="89"/>
        <v>0</v>
      </c>
      <c r="M281" s="122">
        <f t="shared" ca="1" si="89"/>
        <v>0</v>
      </c>
      <c r="N281" s="122">
        <f t="shared" ca="1" si="89"/>
        <v>0</v>
      </c>
      <c r="O281" s="122">
        <f t="shared" ca="1" si="89"/>
        <v>0</v>
      </c>
      <c r="P281" s="123">
        <f t="shared" ca="1" si="89"/>
        <v>0</v>
      </c>
      <c r="Q281" s="121">
        <f t="shared" ca="1" si="89"/>
        <v>0</v>
      </c>
      <c r="R281" s="122">
        <f t="shared" ca="1" si="89"/>
        <v>0</v>
      </c>
      <c r="S281" s="122">
        <f t="shared" ca="1" si="89"/>
        <v>0</v>
      </c>
      <c r="T281" s="122">
        <f t="shared" ca="1" si="89"/>
        <v>0</v>
      </c>
      <c r="U281" s="123">
        <f t="shared" ca="1" si="89"/>
        <v>0</v>
      </c>
      <c r="V281" s="121">
        <f t="shared" ca="1" si="89"/>
        <v>0</v>
      </c>
      <c r="W281" s="122">
        <f t="shared" ca="1" si="89"/>
        <v>0</v>
      </c>
      <c r="X281" s="122">
        <f t="shared" ca="1" si="89"/>
        <v>0</v>
      </c>
      <c r="Y281" s="122">
        <f t="shared" ca="1" si="89"/>
        <v>0</v>
      </c>
      <c r="Z281" s="123">
        <f t="shared" ca="1" si="89"/>
        <v>0</v>
      </c>
      <c r="AA281" s="121">
        <f t="shared" ca="1" si="89"/>
        <v>0</v>
      </c>
      <c r="AB281" s="122">
        <f t="shared" ca="1" si="88"/>
        <v>0</v>
      </c>
      <c r="AC281" s="122">
        <f t="shared" ca="1" si="88"/>
        <v>0</v>
      </c>
      <c r="AD281" s="122">
        <f t="shared" ca="1" si="88"/>
        <v>0</v>
      </c>
      <c r="AE281" s="123">
        <f t="shared" ca="1" si="88"/>
        <v>0</v>
      </c>
      <c r="AF281" s="121">
        <f t="shared" ca="1" si="88"/>
        <v>0</v>
      </c>
      <c r="AG281" s="122">
        <f t="shared" ca="1" si="88"/>
        <v>0</v>
      </c>
      <c r="AH281" s="122">
        <f t="shared" ca="1" si="88"/>
        <v>0</v>
      </c>
      <c r="AI281" s="122">
        <f t="shared" ca="1" si="88"/>
        <v>0</v>
      </c>
      <c r="AJ281" s="123">
        <f t="shared" ca="1" si="88"/>
        <v>0</v>
      </c>
      <c r="AK281" s="121">
        <f t="shared" ca="1" si="88"/>
        <v>0</v>
      </c>
      <c r="AL281" s="122">
        <f t="shared" ca="1" si="88"/>
        <v>0</v>
      </c>
      <c r="AM281" s="122">
        <f t="shared" ca="1" si="88"/>
        <v>0</v>
      </c>
      <c r="AN281" s="122">
        <f t="shared" ca="1" si="88"/>
        <v>0</v>
      </c>
      <c r="AO281" s="123">
        <f t="shared" ca="1" si="86"/>
        <v>0</v>
      </c>
      <c r="AP281" s="536" t="str">
        <f t="shared" si="81"/>
        <v/>
      </c>
      <c r="AQ281" s="536" t="str">
        <f t="shared" si="82"/>
        <v/>
      </c>
      <c r="AR281" s="536" t="str">
        <f t="shared" si="83"/>
        <v>X</v>
      </c>
      <c r="AS281" s="537">
        <f>IF(OR(J281&lt;&gt;"",AP281&amp;AQ281&amp;AR281&lt;&gt;"X",WEEKDAY(I281,2)&gt;5,C281&lt;&gt;0,(FechaInicio1Tri&gt;I281),(FechaFinEEva&lt;I281)),0,_xlfn.XLOOKUP(WEEKDAY(I281,2),Fchs!$J$10:$N$10,Fchs!$J$12:$N$12))</f>
        <v>1</v>
      </c>
      <c r="AT281" s="536">
        <f t="shared" ca="1" si="84"/>
        <v>0</v>
      </c>
      <c r="AU281" s="538">
        <f>IF(AS281&lt;&gt;0,MAXA($AU$14:AU280)+AS281,0)</f>
        <v>118</v>
      </c>
      <c r="AV281" s="538">
        <f ca="1">IF(AT281&lt;&gt;0,MAXA($AU$14:AU280)+AT281,0)</f>
        <v>0</v>
      </c>
      <c r="AW281" s="70"/>
    </row>
    <row r="282" spans="1:49" ht="18.75" customHeight="1" x14ac:dyDescent="0.25">
      <c r="A282" s="70"/>
      <c r="B282" s="79"/>
      <c r="C282" s="543"/>
      <c r="D282" s="543"/>
      <c r="E282" s="543"/>
      <c r="F282" s="543"/>
      <c r="G282" s="124"/>
      <c r="H282" s="124"/>
      <c r="I282" s="544"/>
      <c r="J282" s="106"/>
      <c r="K282" s="106"/>
      <c r="L282" s="543"/>
      <c r="M282" s="543"/>
      <c r="N282" s="543"/>
      <c r="O282" s="543"/>
      <c r="P282" s="543"/>
      <c r="Q282" s="543"/>
      <c r="R282" s="543"/>
      <c r="S282" s="543"/>
      <c r="T282" s="543"/>
      <c r="U282" s="543"/>
      <c r="V282" s="543"/>
      <c r="W282" s="543"/>
      <c r="X282" s="543"/>
      <c r="Y282" s="543"/>
      <c r="Z282" s="543"/>
      <c r="AA282" s="543"/>
      <c r="AB282" s="543"/>
      <c r="AC282" s="543"/>
      <c r="AD282" s="543"/>
      <c r="AE282" s="543"/>
      <c r="AF282" s="543"/>
      <c r="AG282" s="543"/>
      <c r="AH282" s="543"/>
      <c r="AI282" s="543"/>
      <c r="AJ282" s="543"/>
      <c r="AK282" s="543"/>
      <c r="AL282" s="543"/>
      <c r="AM282" s="543"/>
      <c r="AN282" s="543"/>
      <c r="AO282" s="543"/>
      <c r="AP282" s="124" t="str">
        <f>IF(AND(FechaInicio1Tri&lt;=$I282, FechaFin1Tri&gt;=$I282),"X","")</f>
        <v/>
      </c>
      <c r="AQ282" s="124" t="str">
        <f>IF(AND(FechaInicio2Tri&lt;=$I282, FechaFin2Tri&gt;=$I282),"X","")</f>
        <v/>
      </c>
      <c r="AR282" s="124" t="str">
        <f>IF(AND(FechaInicio3Tri&lt;=$I282, FechaFin3Tri&gt;=$I282, NTri&gt;=3),"X","")</f>
        <v/>
      </c>
      <c r="AS282" s="543"/>
      <c r="AT282" s="543"/>
      <c r="AU282" s="545"/>
      <c r="AV282" s="545"/>
      <c r="AW282" s="70"/>
    </row>
    <row r="283" spans="1:49" ht="18.75" customHeight="1" thickBot="1" x14ac:dyDescent="0.3">
      <c r="A283" s="70"/>
      <c r="B283" s="79"/>
      <c r="C283" s="543"/>
      <c r="D283" s="543"/>
      <c r="E283" s="543"/>
      <c r="F283" s="543"/>
      <c r="G283" s="124"/>
      <c r="H283" s="124"/>
      <c r="I283" s="544"/>
      <c r="J283" s="106"/>
      <c r="K283" s="106"/>
      <c r="L283" s="543"/>
      <c r="M283" s="543"/>
      <c r="N283" s="543"/>
      <c r="O283" s="543"/>
      <c r="P283" s="543"/>
      <c r="Q283" s="543"/>
      <c r="R283" s="543"/>
      <c r="S283" s="543"/>
      <c r="T283" s="543"/>
      <c r="U283" s="543"/>
      <c r="V283" s="543"/>
      <c r="W283" s="543"/>
      <c r="X283" s="543"/>
      <c r="Y283" s="543"/>
      <c r="Z283" s="543"/>
      <c r="AA283" s="543"/>
      <c r="AB283" s="543"/>
      <c r="AC283" s="543"/>
      <c r="AD283" s="543"/>
      <c r="AE283" s="543"/>
      <c r="AF283" s="543"/>
      <c r="AG283" s="543"/>
      <c r="AH283" s="543"/>
      <c r="AI283" s="543"/>
      <c r="AJ283" s="543"/>
      <c r="AK283" s="543"/>
      <c r="AL283" s="543"/>
      <c r="AM283" s="543"/>
      <c r="AN283" s="543"/>
      <c r="AO283" s="543"/>
      <c r="AP283" s="124"/>
      <c r="AQ283" s="124"/>
      <c r="AR283" s="124"/>
      <c r="AS283" s="543"/>
      <c r="AT283" s="543"/>
      <c r="AU283" s="545"/>
      <c r="AV283" s="545"/>
      <c r="AW283" s="70"/>
    </row>
    <row r="284" spans="1:49" ht="18.75" customHeight="1" x14ac:dyDescent="0.25">
      <c r="A284" s="70"/>
      <c r="B284" s="546" t="str">
        <f>MID(Info!$AZ$5,(MONTH(I286)-1)*3+1,3)&amp;" "&amp;YEAR(I286)</f>
        <v xml:space="preserve"> 2026</v>
      </c>
      <c r="C284" s="543"/>
      <c r="D284" s="543"/>
      <c r="E284" s="543"/>
      <c r="F284" s="543"/>
      <c r="G284" s="124"/>
      <c r="H284" s="124"/>
      <c r="I284" s="544"/>
      <c r="J284" s="106"/>
      <c r="K284" s="106"/>
      <c r="L284" s="543"/>
      <c r="M284" s="543"/>
      <c r="N284" s="543"/>
      <c r="O284" s="543"/>
      <c r="P284" s="543"/>
      <c r="Q284" s="543"/>
      <c r="R284" s="543"/>
      <c r="S284" s="543"/>
      <c r="T284" s="543"/>
      <c r="U284" s="543"/>
      <c r="V284" s="543"/>
      <c r="W284" s="543"/>
      <c r="X284" s="543"/>
      <c r="Y284" s="543"/>
      <c r="Z284" s="543"/>
      <c r="AA284" s="543"/>
      <c r="AB284" s="543"/>
      <c r="AC284" s="543"/>
      <c r="AD284" s="543"/>
      <c r="AE284" s="543"/>
      <c r="AF284" s="543"/>
      <c r="AG284" s="543"/>
      <c r="AH284" s="543"/>
      <c r="AI284" s="543"/>
      <c r="AJ284" s="543"/>
      <c r="AK284" s="543"/>
      <c r="AL284" s="543"/>
      <c r="AM284" s="543"/>
      <c r="AN284" s="543"/>
      <c r="AO284" s="543"/>
      <c r="AP284" s="547">
        <f>SUMIF(AP286:AP316,"X",$AS286:$AS316)</f>
        <v>0</v>
      </c>
      <c r="AQ284" s="547">
        <f>SUMIF(AQ286:AQ316,"X",$AS286:$AS316)</f>
        <v>0</v>
      </c>
      <c r="AR284" s="547">
        <f>SUMIF(AR286:AR316,"X",$AS286:$AS316)</f>
        <v>20</v>
      </c>
      <c r="AS284" s="543"/>
      <c r="AT284" s="543"/>
      <c r="AU284" s="545"/>
      <c r="AV284" s="545"/>
      <c r="AW284" s="70"/>
    </row>
    <row r="285" spans="1:49" ht="18.75" customHeight="1" thickBot="1" x14ac:dyDescent="0.3">
      <c r="A285" s="70"/>
      <c r="B285" s="527">
        <f ca="1">IFERROR(SUM(AP285:AR285)/SUM(AP284:AR284),"--")</f>
        <v>0</v>
      </c>
      <c r="C285" s="549"/>
      <c r="D285" s="549"/>
      <c r="E285" s="549"/>
      <c r="F285" s="549"/>
      <c r="G285" s="125"/>
      <c r="H285" s="125"/>
      <c r="I285" s="550"/>
      <c r="J285" s="548"/>
      <c r="K285" s="548"/>
      <c r="L285" s="549"/>
      <c r="M285" s="549"/>
      <c r="N285" s="549"/>
      <c r="O285" s="549"/>
      <c r="P285" s="549"/>
      <c r="Q285" s="549"/>
      <c r="R285" s="549"/>
      <c r="S285" s="549"/>
      <c r="T285" s="549"/>
      <c r="U285" s="549"/>
      <c r="V285" s="549"/>
      <c r="W285" s="549"/>
      <c r="X285" s="549"/>
      <c r="Y285" s="549"/>
      <c r="Z285" s="549"/>
      <c r="AA285" s="549"/>
      <c r="AB285" s="549"/>
      <c r="AC285" s="549"/>
      <c r="AD285" s="549"/>
      <c r="AE285" s="549"/>
      <c r="AF285" s="549"/>
      <c r="AG285" s="549"/>
      <c r="AH285" s="549"/>
      <c r="AI285" s="549"/>
      <c r="AJ285" s="549"/>
      <c r="AK285" s="549"/>
      <c r="AL285" s="549"/>
      <c r="AM285" s="549"/>
      <c r="AN285" s="549"/>
      <c r="AO285" s="549"/>
      <c r="AP285" s="531">
        <f>SUMIF(AP286:AP316,"X",$AT286:$AT316)</f>
        <v>0</v>
      </c>
      <c r="AQ285" s="531">
        <f>SUMIF(AQ286:AQ316,"X",$AT286:$AT316)</f>
        <v>0</v>
      </c>
      <c r="AR285" s="531">
        <f ca="1">SUMIF(AR286:AR316,"X",$AT286:$AT316)</f>
        <v>0</v>
      </c>
      <c r="AS285" s="543"/>
      <c r="AT285" s="543"/>
      <c r="AU285" s="545"/>
      <c r="AV285" s="545"/>
      <c r="AW285" s="70"/>
    </row>
    <row r="286" spans="1:49" ht="18.75" customHeight="1" x14ac:dyDescent="0.25">
      <c r="A286" s="70"/>
      <c r="B286" s="56" t="str">
        <f>MID(Info!$AZ$3,(WEEKDAY(I286,2)-1)*3+1,3)</f>
        <v>Vie</v>
      </c>
      <c r="C286" s="523" t="str">
        <f>_xlfn.XLOOKUP(I286,Fchs!$F$156:$F$197,Fchs!$G$156:$G$197,0)</f>
        <v>D. Trabajo</v>
      </c>
      <c r="D286" s="523">
        <f>_xlfn.XLOOKUP(I286,Fchs!$F$156:$F$197,Fchs!$H$156:$H$197)</f>
        <v>0</v>
      </c>
      <c r="E286" s="532">
        <f>IF($AS286&lt;&gt;0,_xlfn.XLOOKUP($G286,UDs!$E$34:$E$55,UDs!$B$34:$B$55,,-1),0)</f>
        <v>0</v>
      </c>
      <c r="F286" s="552">
        <f t="shared" ref="F286:F316" ca="1" si="90">IF(AT286&lt;&gt;0,E286,0)</f>
        <v>0</v>
      </c>
      <c r="G286" s="127">
        <f>IF(AU286&lt;&gt;0,MAX($AU$13:$AU285)+1,0)</f>
        <v>0</v>
      </c>
      <c r="H286" s="127" t="str">
        <f>IF(AS286&lt;&gt;0,COUNT($H$14:H285,1),"")</f>
        <v/>
      </c>
      <c r="I286" s="533">
        <f>DATE(YEAR(FechaInicio1Tri),MONTH(FechaInicio1Tri)+8,1)</f>
        <v>46143</v>
      </c>
      <c r="J286" s="553"/>
      <c r="K286" s="535"/>
      <c r="L286" s="126">
        <f t="shared" ca="1" si="89"/>
        <v>0</v>
      </c>
      <c r="M286" s="127">
        <f t="shared" ca="1" si="89"/>
        <v>0</v>
      </c>
      <c r="N286" s="127">
        <f t="shared" ca="1" si="89"/>
        <v>0</v>
      </c>
      <c r="O286" s="127">
        <f t="shared" ca="1" si="89"/>
        <v>0</v>
      </c>
      <c r="P286" s="128">
        <f t="shared" ca="1" si="89"/>
        <v>0</v>
      </c>
      <c r="Q286" s="126">
        <f t="shared" ca="1" si="89"/>
        <v>0</v>
      </c>
      <c r="R286" s="127">
        <f t="shared" ca="1" si="89"/>
        <v>0</v>
      </c>
      <c r="S286" s="127">
        <f t="shared" ca="1" si="89"/>
        <v>0</v>
      </c>
      <c r="T286" s="127">
        <f t="shared" ca="1" si="89"/>
        <v>0</v>
      </c>
      <c r="U286" s="128">
        <f t="shared" ca="1" si="89"/>
        <v>0</v>
      </c>
      <c r="V286" s="126">
        <f t="shared" ca="1" si="89"/>
        <v>0</v>
      </c>
      <c r="W286" s="127">
        <f t="shared" ca="1" si="89"/>
        <v>0</v>
      </c>
      <c r="X286" s="127">
        <f t="shared" ca="1" si="89"/>
        <v>0</v>
      </c>
      <c r="Y286" s="127">
        <f t="shared" ca="1" si="89"/>
        <v>0</v>
      </c>
      <c r="Z286" s="128">
        <f t="shared" ca="1" si="89"/>
        <v>0</v>
      </c>
      <c r="AA286" s="126">
        <f t="shared" ca="1" si="89"/>
        <v>0</v>
      </c>
      <c r="AB286" s="127">
        <f t="shared" ca="1" si="88"/>
        <v>0</v>
      </c>
      <c r="AC286" s="127">
        <f t="shared" ca="1" si="88"/>
        <v>0</v>
      </c>
      <c r="AD286" s="127">
        <f t="shared" ca="1" si="88"/>
        <v>0</v>
      </c>
      <c r="AE286" s="128">
        <f t="shared" ca="1" si="88"/>
        <v>0</v>
      </c>
      <c r="AF286" s="126">
        <f t="shared" ca="1" si="88"/>
        <v>0</v>
      </c>
      <c r="AG286" s="127">
        <f t="shared" ca="1" si="88"/>
        <v>0</v>
      </c>
      <c r="AH286" s="127">
        <f t="shared" ca="1" si="88"/>
        <v>0</v>
      </c>
      <c r="AI286" s="127">
        <f t="shared" ca="1" si="88"/>
        <v>0</v>
      </c>
      <c r="AJ286" s="128">
        <f t="shared" ca="1" si="88"/>
        <v>0</v>
      </c>
      <c r="AK286" s="126">
        <f t="shared" ca="1" si="88"/>
        <v>0</v>
      </c>
      <c r="AL286" s="127">
        <f t="shared" ca="1" si="88"/>
        <v>0</v>
      </c>
      <c r="AM286" s="127">
        <f t="shared" ca="1" si="88"/>
        <v>0</v>
      </c>
      <c r="AN286" s="127">
        <f t="shared" ca="1" si="88"/>
        <v>0</v>
      </c>
      <c r="AO286" s="129">
        <f t="shared" ca="1" si="86"/>
        <v>0</v>
      </c>
      <c r="AP286" s="536" t="str">
        <f t="shared" ref="AP286:AP316" si="91">IF(AND(FechaInicio1Tri&lt;=$I286, FechaFin1Tri&gt;=$I286,WEEKDAY($I286,2)&lt;=5),"X","")</f>
        <v/>
      </c>
      <c r="AQ286" s="536" t="str">
        <f t="shared" ref="AQ286:AQ316" si="92">IF(AND(FechaInicio2Tri&lt;=$I286, FechaFin2Tri&gt;=$I286,WEEKDAY($I286,2)&lt;=5),"X","")</f>
        <v/>
      </c>
      <c r="AR286" s="536" t="str">
        <f t="shared" ref="AR286:AR316" si="93">IF(AND(FechaInicio3Tri&lt;=$I286, FechaFin3Tri&gt;=$I286, NTri&gt;=3,WEEKDAY($I286,2)&lt;=5),"X","")</f>
        <v>X</v>
      </c>
      <c r="AS286" s="537">
        <f>IF(OR(J286&lt;&gt;"",AP286&amp;AQ286&amp;AR286&lt;&gt;"X",WEEKDAY(I286,2)&gt;5,C286&lt;&gt;0,(FechaInicio1Tri&gt;I286),(FechaFinEEva&lt;I286)),0,_xlfn.XLOOKUP(WEEKDAY(I286,2),Fchs!$J$10:$N$10,Fchs!$J$12:$N$12))</f>
        <v>0</v>
      </c>
      <c r="AT286" s="536">
        <f t="shared" ref="AT286:AT316" ca="1" si="94">IF(OR(AS286=0,FechaHoy&lt;I286,(FechaInicio1Tri&gt;I286),(FechaFinEEva&lt;I286)),0,AS286)</f>
        <v>0</v>
      </c>
      <c r="AU286" s="538">
        <f>IF(AS286&lt;&gt;0,MAXA($AU$14:AU285)+AS286,0)</f>
        <v>0</v>
      </c>
      <c r="AV286" s="538">
        <f ca="1">IF(AT286&lt;&gt;0,MAXA($AU$14:AU285)+AT286,0)</f>
        <v>0</v>
      </c>
      <c r="AW286" s="70"/>
    </row>
    <row r="287" spans="1:49" ht="18.75" customHeight="1" x14ac:dyDescent="0.25">
      <c r="A287" s="70"/>
      <c r="B287" s="56" t="str">
        <f>MID(Info!$AZ$3,(WEEKDAY(I287,2)-1)*3+1,3)</f>
        <v>Sáb</v>
      </c>
      <c r="C287" s="523">
        <f>_xlfn.XLOOKUP(I287,Fchs!$F$156:$F$197,Fchs!$G$156:$G$197,0)</f>
        <v>0</v>
      </c>
      <c r="D287" s="523">
        <f>_xlfn.XLOOKUP(I287,Fchs!$F$156:$F$197,Fchs!$H$156:$H$197)</f>
        <v>0</v>
      </c>
      <c r="E287" s="532">
        <f>IF($AS287&lt;&gt;0,_xlfn.XLOOKUP($G287,UDs!$E$34:$E$55,UDs!$B$34:$B$55,,-1),0)</f>
        <v>0</v>
      </c>
      <c r="F287" s="532">
        <f t="shared" ca="1" si="90"/>
        <v>0</v>
      </c>
      <c r="G287" s="569">
        <f>IF(AU287&lt;&gt;0,MAX($AU$13:$AU286)+1,0)</f>
        <v>0</v>
      </c>
      <c r="H287" s="569" t="str">
        <f>IF(AS287&lt;&gt;0,COUNT($H$14:H286,1),"")</f>
        <v/>
      </c>
      <c r="I287" s="533">
        <f t="shared" ref="I287:I316" si="95">I286+1</f>
        <v>46144</v>
      </c>
      <c r="J287" s="534"/>
      <c r="K287" s="535"/>
      <c r="L287" s="126">
        <f t="shared" ca="1" si="89"/>
        <v>0</v>
      </c>
      <c r="M287" s="127">
        <f t="shared" ca="1" si="89"/>
        <v>0</v>
      </c>
      <c r="N287" s="127">
        <f t="shared" ca="1" si="89"/>
        <v>0</v>
      </c>
      <c r="O287" s="127">
        <f t="shared" ca="1" si="89"/>
        <v>0</v>
      </c>
      <c r="P287" s="128">
        <f t="shared" ca="1" si="89"/>
        <v>0</v>
      </c>
      <c r="Q287" s="126">
        <f t="shared" ca="1" si="89"/>
        <v>0</v>
      </c>
      <c r="R287" s="127">
        <f t="shared" ca="1" si="89"/>
        <v>0</v>
      </c>
      <c r="S287" s="127">
        <f t="shared" ca="1" si="89"/>
        <v>0</v>
      </c>
      <c r="T287" s="127">
        <f t="shared" ca="1" si="89"/>
        <v>0</v>
      </c>
      <c r="U287" s="128">
        <f t="shared" ca="1" si="89"/>
        <v>0</v>
      </c>
      <c r="V287" s="126">
        <f t="shared" ca="1" si="89"/>
        <v>0</v>
      </c>
      <c r="W287" s="127">
        <f t="shared" ca="1" si="89"/>
        <v>0</v>
      </c>
      <c r="X287" s="127">
        <f t="shared" ca="1" si="89"/>
        <v>0</v>
      </c>
      <c r="Y287" s="127">
        <f t="shared" ca="1" si="89"/>
        <v>0</v>
      </c>
      <c r="Z287" s="128">
        <f t="shared" ca="1" si="89"/>
        <v>0</v>
      </c>
      <c r="AA287" s="126">
        <f t="shared" ca="1" si="89"/>
        <v>0</v>
      </c>
      <c r="AB287" s="127">
        <f t="shared" ca="1" si="88"/>
        <v>0</v>
      </c>
      <c r="AC287" s="127">
        <f t="shared" ca="1" si="88"/>
        <v>0</v>
      </c>
      <c r="AD287" s="127">
        <f t="shared" ca="1" si="88"/>
        <v>0</v>
      </c>
      <c r="AE287" s="128">
        <f t="shared" ca="1" si="88"/>
        <v>0</v>
      </c>
      <c r="AF287" s="126">
        <f t="shared" ca="1" si="88"/>
        <v>0</v>
      </c>
      <c r="AG287" s="127">
        <f t="shared" ca="1" si="88"/>
        <v>0</v>
      </c>
      <c r="AH287" s="127">
        <f t="shared" ca="1" si="88"/>
        <v>0</v>
      </c>
      <c r="AI287" s="127">
        <f t="shared" ca="1" si="88"/>
        <v>0</v>
      </c>
      <c r="AJ287" s="128">
        <f t="shared" ca="1" si="88"/>
        <v>0</v>
      </c>
      <c r="AK287" s="126">
        <f t="shared" ca="1" si="88"/>
        <v>0</v>
      </c>
      <c r="AL287" s="127">
        <f t="shared" ca="1" si="88"/>
        <v>0</v>
      </c>
      <c r="AM287" s="127">
        <f t="shared" ca="1" si="88"/>
        <v>0</v>
      </c>
      <c r="AN287" s="127">
        <f t="shared" ca="1" si="88"/>
        <v>0</v>
      </c>
      <c r="AO287" s="129">
        <f t="shared" ca="1" si="86"/>
        <v>0</v>
      </c>
      <c r="AP287" s="536" t="str">
        <f t="shared" si="91"/>
        <v/>
      </c>
      <c r="AQ287" s="536" t="str">
        <f t="shared" si="92"/>
        <v/>
      </c>
      <c r="AR287" s="536" t="str">
        <f t="shared" si="93"/>
        <v/>
      </c>
      <c r="AS287" s="537">
        <f>IF(OR(J287&lt;&gt;"",AP287&amp;AQ287&amp;AR287&lt;&gt;"X",WEEKDAY(I287,2)&gt;5,C287&lt;&gt;0,(FechaInicio1Tri&gt;I287),(FechaFinEEva&lt;I287)),0,_xlfn.XLOOKUP(WEEKDAY(I287,2),Fchs!$J$10:$N$10,Fchs!$J$12:$N$12))</f>
        <v>0</v>
      </c>
      <c r="AT287" s="536">
        <f t="shared" ca="1" si="94"/>
        <v>0</v>
      </c>
      <c r="AU287" s="538">
        <f>IF(AS287&lt;&gt;0,MAXA($AU$14:AU286)+AS287,0)</f>
        <v>0</v>
      </c>
      <c r="AV287" s="538">
        <f ca="1">IF(AT287&lt;&gt;0,MAXA($AU$14:AU286)+AT287,0)</f>
        <v>0</v>
      </c>
      <c r="AW287" s="70"/>
    </row>
    <row r="288" spans="1:49" ht="18.75" customHeight="1" x14ac:dyDescent="0.25">
      <c r="A288" s="70"/>
      <c r="B288" s="56" t="str">
        <f>MID(Info!$AZ$3,(WEEKDAY(I288,2)-1)*3+1,3)</f>
        <v>Dom</v>
      </c>
      <c r="C288" s="523">
        <f>_xlfn.XLOOKUP(I288,Fchs!$F$156:$F$197,Fchs!$G$156:$G$197,0)</f>
        <v>0</v>
      </c>
      <c r="D288" s="523">
        <f>_xlfn.XLOOKUP(I288,Fchs!$F$156:$F$197,Fchs!$H$156:$H$197)</f>
        <v>0</v>
      </c>
      <c r="E288" s="532">
        <f>IF($AS288&lt;&gt;0,_xlfn.XLOOKUP($G288,UDs!$E$34:$E$55,UDs!$B$34:$B$55,,-1),0)</f>
        <v>0</v>
      </c>
      <c r="F288" s="532">
        <f t="shared" ca="1" si="90"/>
        <v>0</v>
      </c>
      <c r="G288" s="569">
        <f>IF(AU288&lt;&gt;0,MAX($AU$13:$AU287)+1,0)</f>
        <v>0</v>
      </c>
      <c r="H288" s="569" t="str">
        <f>IF(AS288&lt;&gt;0,COUNT($H$14:H287,1),"")</f>
        <v/>
      </c>
      <c r="I288" s="533">
        <f t="shared" si="95"/>
        <v>46145</v>
      </c>
      <c r="J288" s="534"/>
      <c r="K288" s="535"/>
      <c r="L288" s="126">
        <f t="shared" ca="1" si="89"/>
        <v>0</v>
      </c>
      <c r="M288" s="127">
        <f t="shared" ca="1" si="89"/>
        <v>0</v>
      </c>
      <c r="N288" s="127">
        <f t="shared" ca="1" si="89"/>
        <v>0</v>
      </c>
      <c r="O288" s="127">
        <f t="shared" ca="1" si="89"/>
        <v>0</v>
      </c>
      <c r="P288" s="128">
        <f t="shared" ca="1" si="89"/>
        <v>0</v>
      </c>
      <c r="Q288" s="126">
        <f t="shared" ca="1" si="89"/>
        <v>0</v>
      </c>
      <c r="R288" s="127">
        <f t="shared" ca="1" si="89"/>
        <v>0</v>
      </c>
      <c r="S288" s="127">
        <f t="shared" ca="1" si="89"/>
        <v>0</v>
      </c>
      <c r="T288" s="127">
        <f t="shared" ca="1" si="89"/>
        <v>0</v>
      </c>
      <c r="U288" s="128">
        <f t="shared" ca="1" si="89"/>
        <v>0</v>
      </c>
      <c r="V288" s="126">
        <f t="shared" ca="1" si="89"/>
        <v>0</v>
      </c>
      <c r="W288" s="127">
        <f t="shared" ca="1" si="89"/>
        <v>0</v>
      </c>
      <c r="X288" s="127">
        <f t="shared" ca="1" si="89"/>
        <v>0</v>
      </c>
      <c r="Y288" s="127">
        <f t="shared" ca="1" si="89"/>
        <v>0</v>
      </c>
      <c r="Z288" s="128">
        <f t="shared" ca="1" si="89"/>
        <v>0</v>
      </c>
      <c r="AA288" s="126">
        <f t="shared" ca="1" si="89"/>
        <v>0</v>
      </c>
      <c r="AB288" s="127">
        <f t="shared" ca="1" si="88"/>
        <v>0</v>
      </c>
      <c r="AC288" s="127">
        <f t="shared" ca="1" si="88"/>
        <v>0</v>
      </c>
      <c r="AD288" s="127">
        <f t="shared" ca="1" si="88"/>
        <v>0</v>
      </c>
      <c r="AE288" s="128">
        <f t="shared" ca="1" si="88"/>
        <v>0</v>
      </c>
      <c r="AF288" s="126">
        <f t="shared" ca="1" si="88"/>
        <v>0</v>
      </c>
      <c r="AG288" s="127">
        <f t="shared" ca="1" si="88"/>
        <v>0</v>
      </c>
      <c r="AH288" s="127">
        <f t="shared" ca="1" si="88"/>
        <v>0</v>
      </c>
      <c r="AI288" s="127">
        <f t="shared" ca="1" si="88"/>
        <v>0</v>
      </c>
      <c r="AJ288" s="128">
        <f t="shared" ca="1" si="88"/>
        <v>0</v>
      </c>
      <c r="AK288" s="126">
        <f t="shared" ca="1" si="88"/>
        <v>0</v>
      </c>
      <c r="AL288" s="127">
        <f t="shared" ca="1" si="88"/>
        <v>0</v>
      </c>
      <c r="AM288" s="127">
        <f t="shared" ca="1" si="88"/>
        <v>0</v>
      </c>
      <c r="AN288" s="127">
        <f t="shared" ca="1" si="88"/>
        <v>0</v>
      </c>
      <c r="AO288" s="129">
        <f t="shared" ca="1" si="86"/>
        <v>0</v>
      </c>
      <c r="AP288" s="536" t="str">
        <f t="shared" si="91"/>
        <v/>
      </c>
      <c r="AQ288" s="536" t="str">
        <f t="shared" si="92"/>
        <v/>
      </c>
      <c r="AR288" s="536" t="str">
        <f t="shared" si="93"/>
        <v/>
      </c>
      <c r="AS288" s="537">
        <f>IF(OR(J288&lt;&gt;"",AP288&amp;AQ288&amp;AR288&lt;&gt;"X",WEEKDAY(I288,2)&gt;5,C288&lt;&gt;0,(FechaInicio1Tri&gt;I288),(FechaFinEEva&lt;I288)),0,_xlfn.XLOOKUP(WEEKDAY(I288,2),Fchs!$J$10:$N$10,Fchs!$J$12:$N$12))</f>
        <v>0</v>
      </c>
      <c r="AT288" s="536">
        <f t="shared" ca="1" si="94"/>
        <v>0</v>
      </c>
      <c r="AU288" s="538">
        <f>IF(AS288&lt;&gt;0,MAXA($AU$14:AU287)+AS288,0)</f>
        <v>0</v>
      </c>
      <c r="AV288" s="538">
        <f ca="1">IF(AT288&lt;&gt;0,MAXA($AU$14:AU287)+AT288,0)</f>
        <v>0</v>
      </c>
      <c r="AW288" s="70"/>
    </row>
    <row r="289" spans="1:49" ht="18.75" customHeight="1" x14ac:dyDescent="0.25">
      <c r="A289" s="70"/>
      <c r="B289" s="56" t="str">
        <f>MID(Info!$AZ$3,(WEEKDAY(I289,2)-1)*3+1,3)</f>
        <v>Lun</v>
      </c>
      <c r="C289" s="523">
        <f>_xlfn.XLOOKUP(I289,Fchs!$F$156:$F$197,Fchs!$G$156:$G$197,0)</f>
        <v>0</v>
      </c>
      <c r="D289" s="523">
        <f>_xlfn.XLOOKUP(I289,Fchs!$F$156:$F$197,Fchs!$H$156:$H$197)</f>
        <v>0</v>
      </c>
      <c r="E289" s="532" t="str">
        <f>IF($AS289&lt;&gt;0,_xlfn.XLOOKUP($G289,UDs!$E$34:$E$55,UDs!$B$34:$B$55,,-1),0)</f>
        <v/>
      </c>
      <c r="F289" s="532">
        <f t="shared" ca="1" si="90"/>
        <v>0</v>
      </c>
      <c r="G289" s="569">
        <f>IF(AU289&lt;&gt;0,MAX($AU$13:$AU288)+1,0)</f>
        <v>119</v>
      </c>
      <c r="H289" s="569">
        <f>IF(AS289&lt;&gt;0,COUNT($H$14:H288,1),"")</f>
        <v>119</v>
      </c>
      <c r="I289" s="533">
        <f t="shared" si="95"/>
        <v>46146</v>
      </c>
      <c r="J289" s="534"/>
      <c r="K289" s="535"/>
      <c r="L289" s="126">
        <f t="shared" ca="1" si="89"/>
        <v>0</v>
      </c>
      <c r="M289" s="127">
        <f t="shared" ca="1" si="89"/>
        <v>0</v>
      </c>
      <c r="N289" s="127">
        <f t="shared" ca="1" si="89"/>
        <v>0</v>
      </c>
      <c r="O289" s="127">
        <f t="shared" ca="1" si="89"/>
        <v>0</v>
      </c>
      <c r="P289" s="128">
        <f t="shared" ca="1" si="89"/>
        <v>0</v>
      </c>
      <c r="Q289" s="126">
        <f t="shared" ca="1" si="89"/>
        <v>0</v>
      </c>
      <c r="R289" s="127">
        <f t="shared" ca="1" si="89"/>
        <v>0</v>
      </c>
      <c r="S289" s="127">
        <f t="shared" ca="1" si="89"/>
        <v>0</v>
      </c>
      <c r="T289" s="127">
        <f t="shared" ca="1" si="89"/>
        <v>0</v>
      </c>
      <c r="U289" s="128">
        <f t="shared" ca="1" si="89"/>
        <v>0</v>
      </c>
      <c r="V289" s="126">
        <f t="shared" ca="1" si="89"/>
        <v>0</v>
      </c>
      <c r="W289" s="127">
        <f t="shared" ca="1" si="89"/>
        <v>0</v>
      </c>
      <c r="X289" s="127">
        <f t="shared" ca="1" si="89"/>
        <v>0</v>
      </c>
      <c r="Y289" s="127">
        <f t="shared" ca="1" si="89"/>
        <v>0</v>
      </c>
      <c r="Z289" s="128">
        <f t="shared" ca="1" si="89"/>
        <v>0</v>
      </c>
      <c r="AA289" s="126">
        <f t="shared" ca="1" si="89"/>
        <v>0</v>
      </c>
      <c r="AB289" s="127">
        <f t="shared" ca="1" si="88"/>
        <v>0</v>
      </c>
      <c r="AC289" s="127">
        <f t="shared" ca="1" si="88"/>
        <v>0</v>
      </c>
      <c r="AD289" s="127">
        <f t="shared" ca="1" si="88"/>
        <v>0</v>
      </c>
      <c r="AE289" s="128">
        <f t="shared" ca="1" si="88"/>
        <v>0</v>
      </c>
      <c r="AF289" s="126">
        <f t="shared" ca="1" si="88"/>
        <v>0</v>
      </c>
      <c r="AG289" s="127">
        <f t="shared" ca="1" si="88"/>
        <v>0</v>
      </c>
      <c r="AH289" s="127">
        <f t="shared" ca="1" si="88"/>
        <v>0</v>
      </c>
      <c r="AI289" s="127">
        <f t="shared" ca="1" si="88"/>
        <v>0</v>
      </c>
      <c r="AJ289" s="128">
        <f t="shared" ca="1" si="88"/>
        <v>0</v>
      </c>
      <c r="AK289" s="126">
        <f t="shared" ca="1" si="88"/>
        <v>0</v>
      </c>
      <c r="AL289" s="127">
        <f t="shared" ca="1" si="88"/>
        <v>0</v>
      </c>
      <c r="AM289" s="127">
        <f t="shared" ca="1" si="88"/>
        <v>0</v>
      </c>
      <c r="AN289" s="127">
        <f t="shared" ca="1" si="88"/>
        <v>0</v>
      </c>
      <c r="AO289" s="129">
        <f t="shared" ca="1" si="86"/>
        <v>0</v>
      </c>
      <c r="AP289" s="536" t="str">
        <f t="shared" si="91"/>
        <v/>
      </c>
      <c r="AQ289" s="536" t="str">
        <f t="shared" si="92"/>
        <v/>
      </c>
      <c r="AR289" s="536" t="str">
        <f t="shared" si="93"/>
        <v>X</v>
      </c>
      <c r="AS289" s="537">
        <f>IF(OR(J289&lt;&gt;"",AP289&amp;AQ289&amp;AR289&lt;&gt;"X",WEEKDAY(I289,2)&gt;5,C289&lt;&gt;0,(FechaInicio1Tri&gt;I289),(FechaFinEEva&lt;I289)),0,_xlfn.XLOOKUP(WEEKDAY(I289,2),Fchs!$J$10:$N$10,Fchs!$J$12:$N$12))</f>
        <v>1</v>
      </c>
      <c r="AT289" s="536">
        <f t="shared" ca="1" si="94"/>
        <v>0</v>
      </c>
      <c r="AU289" s="538">
        <f>IF(AS289&lt;&gt;0,MAXA($AU$14:AU288)+AS289,0)</f>
        <v>119</v>
      </c>
      <c r="AV289" s="538">
        <f ca="1">IF(AT289&lt;&gt;0,MAXA($AU$14:AU288)+AT289,0)</f>
        <v>0</v>
      </c>
      <c r="AW289" s="70"/>
    </row>
    <row r="290" spans="1:49" ht="18.75" customHeight="1" x14ac:dyDescent="0.25">
      <c r="A290" s="70"/>
      <c r="B290" s="56" t="str">
        <f>MID(Info!$AZ$3,(WEEKDAY(I290,2)-1)*3+1,3)</f>
        <v>Mar</v>
      </c>
      <c r="C290" s="523">
        <f>_xlfn.XLOOKUP(I290,Fchs!$F$156:$F$197,Fchs!$G$156:$G$197,0)</f>
        <v>0</v>
      </c>
      <c r="D290" s="523">
        <f>_xlfn.XLOOKUP(I290,Fchs!$F$156:$F$197,Fchs!$H$156:$H$197)</f>
        <v>0</v>
      </c>
      <c r="E290" s="532" t="str">
        <f>IF($AS290&lt;&gt;0,_xlfn.XLOOKUP($G290,UDs!$E$34:$E$55,UDs!$B$34:$B$55,,-1),0)</f>
        <v/>
      </c>
      <c r="F290" s="532">
        <f t="shared" ca="1" si="90"/>
        <v>0</v>
      </c>
      <c r="G290" s="569">
        <f>IF(AU290&lt;&gt;0,MAX($AU$13:$AU289)+1,0)</f>
        <v>120</v>
      </c>
      <c r="H290" s="569">
        <f>IF(AS290&lt;&gt;0,COUNT($H$14:H289,1),"")</f>
        <v>120</v>
      </c>
      <c r="I290" s="533">
        <f t="shared" si="95"/>
        <v>46147</v>
      </c>
      <c r="J290" s="534"/>
      <c r="K290" s="535"/>
      <c r="L290" s="126">
        <f t="shared" ca="1" si="89"/>
        <v>0</v>
      </c>
      <c r="M290" s="127">
        <f t="shared" ca="1" si="89"/>
        <v>0</v>
      </c>
      <c r="N290" s="127">
        <f t="shared" ca="1" si="89"/>
        <v>0</v>
      </c>
      <c r="O290" s="127">
        <f t="shared" ca="1" si="89"/>
        <v>0</v>
      </c>
      <c r="P290" s="128">
        <f t="shared" ca="1" si="89"/>
        <v>0</v>
      </c>
      <c r="Q290" s="126">
        <f t="shared" ca="1" si="89"/>
        <v>0</v>
      </c>
      <c r="R290" s="127">
        <f t="shared" ca="1" si="89"/>
        <v>0</v>
      </c>
      <c r="S290" s="127">
        <f t="shared" ca="1" si="89"/>
        <v>0</v>
      </c>
      <c r="T290" s="127">
        <f t="shared" ca="1" si="89"/>
        <v>0</v>
      </c>
      <c r="U290" s="128">
        <f t="shared" ca="1" si="89"/>
        <v>0</v>
      </c>
      <c r="V290" s="126">
        <f t="shared" ca="1" si="89"/>
        <v>0</v>
      </c>
      <c r="W290" s="127">
        <f t="shared" ca="1" si="89"/>
        <v>0</v>
      </c>
      <c r="X290" s="127">
        <f t="shared" ca="1" si="89"/>
        <v>0</v>
      </c>
      <c r="Y290" s="127">
        <f t="shared" ca="1" si="89"/>
        <v>0</v>
      </c>
      <c r="Z290" s="128">
        <f t="shared" ca="1" si="89"/>
        <v>0</v>
      </c>
      <c r="AA290" s="126">
        <f t="shared" ca="1" si="89"/>
        <v>0</v>
      </c>
      <c r="AB290" s="127">
        <f t="shared" ca="1" si="88"/>
        <v>0</v>
      </c>
      <c r="AC290" s="127">
        <f t="shared" ca="1" si="88"/>
        <v>0</v>
      </c>
      <c r="AD290" s="127">
        <f t="shared" ca="1" si="88"/>
        <v>0</v>
      </c>
      <c r="AE290" s="128">
        <f t="shared" ca="1" si="88"/>
        <v>0</v>
      </c>
      <c r="AF290" s="126">
        <f t="shared" ca="1" si="88"/>
        <v>0</v>
      </c>
      <c r="AG290" s="127">
        <f t="shared" ca="1" si="88"/>
        <v>0</v>
      </c>
      <c r="AH290" s="127">
        <f t="shared" ca="1" si="88"/>
        <v>0</v>
      </c>
      <c r="AI290" s="127">
        <f t="shared" ca="1" si="88"/>
        <v>0</v>
      </c>
      <c r="AJ290" s="128">
        <f t="shared" ca="1" si="88"/>
        <v>0</v>
      </c>
      <c r="AK290" s="126">
        <f t="shared" ca="1" si="88"/>
        <v>0</v>
      </c>
      <c r="AL290" s="127">
        <f t="shared" ca="1" si="88"/>
        <v>0</v>
      </c>
      <c r="AM290" s="127">
        <f t="shared" ca="1" si="88"/>
        <v>0</v>
      </c>
      <c r="AN290" s="127">
        <f t="shared" ca="1" si="88"/>
        <v>0</v>
      </c>
      <c r="AO290" s="129">
        <f t="shared" ca="1" si="86"/>
        <v>0</v>
      </c>
      <c r="AP290" s="536" t="str">
        <f t="shared" si="91"/>
        <v/>
      </c>
      <c r="AQ290" s="536" t="str">
        <f t="shared" si="92"/>
        <v/>
      </c>
      <c r="AR290" s="536" t="str">
        <f t="shared" si="93"/>
        <v>X</v>
      </c>
      <c r="AS290" s="537">
        <f>IF(OR(J290&lt;&gt;"",AP290&amp;AQ290&amp;AR290&lt;&gt;"X",WEEKDAY(I290,2)&gt;5,C290&lt;&gt;0,(FechaInicio1Tri&gt;I290),(FechaFinEEva&lt;I290)),0,_xlfn.XLOOKUP(WEEKDAY(I290,2),Fchs!$J$10:$N$10,Fchs!$J$12:$N$12))</f>
        <v>1</v>
      </c>
      <c r="AT290" s="536">
        <f t="shared" ca="1" si="94"/>
        <v>0</v>
      </c>
      <c r="AU290" s="538">
        <f>IF(AS290&lt;&gt;0,MAXA($AU$14:AU289)+AS290,0)</f>
        <v>120</v>
      </c>
      <c r="AV290" s="538">
        <f ca="1">IF(AT290&lt;&gt;0,MAXA($AU$14:AU289)+AT290,0)</f>
        <v>0</v>
      </c>
      <c r="AW290" s="70"/>
    </row>
    <row r="291" spans="1:49" ht="18.75" customHeight="1" x14ac:dyDescent="0.25">
      <c r="A291" s="70"/>
      <c r="B291" s="56" t="str">
        <f>MID(Info!$AZ$3,(WEEKDAY(I291,2)-1)*3+1,3)</f>
        <v>Mié</v>
      </c>
      <c r="C291" s="523">
        <f>_xlfn.XLOOKUP(I291,Fchs!$F$156:$F$197,Fchs!$G$156:$G$197,0)</f>
        <v>0</v>
      </c>
      <c r="D291" s="523">
        <f>_xlfn.XLOOKUP(I291,Fchs!$F$156:$F$197,Fchs!$H$156:$H$197)</f>
        <v>0</v>
      </c>
      <c r="E291" s="532" t="str">
        <f>IF($AS291&lt;&gt;0,_xlfn.XLOOKUP($G291,UDs!$E$34:$E$55,UDs!$B$34:$B$55,,-1),0)</f>
        <v/>
      </c>
      <c r="F291" s="532">
        <f t="shared" ca="1" si="90"/>
        <v>0</v>
      </c>
      <c r="G291" s="569">
        <f>IF(AU291&lt;&gt;0,MAX($AU$13:$AU290)+1,0)</f>
        <v>121</v>
      </c>
      <c r="H291" s="569">
        <f>IF(AS291&lt;&gt;0,COUNT($H$14:H290,1),"")</f>
        <v>121</v>
      </c>
      <c r="I291" s="533">
        <f t="shared" si="95"/>
        <v>46148</v>
      </c>
      <c r="J291" s="534"/>
      <c r="K291" s="535"/>
      <c r="L291" s="126">
        <f t="shared" ca="1" si="89"/>
        <v>0</v>
      </c>
      <c r="M291" s="127">
        <f t="shared" ca="1" si="89"/>
        <v>0</v>
      </c>
      <c r="N291" s="127">
        <f t="shared" ca="1" si="89"/>
        <v>0</v>
      </c>
      <c r="O291" s="127">
        <f t="shared" ca="1" si="89"/>
        <v>0</v>
      </c>
      <c r="P291" s="128">
        <f t="shared" ca="1" si="89"/>
        <v>0</v>
      </c>
      <c r="Q291" s="126">
        <f t="shared" ca="1" si="89"/>
        <v>0</v>
      </c>
      <c r="R291" s="127">
        <f t="shared" ca="1" si="89"/>
        <v>0</v>
      </c>
      <c r="S291" s="127">
        <f t="shared" ca="1" si="89"/>
        <v>0</v>
      </c>
      <c r="T291" s="127">
        <f t="shared" ca="1" si="89"/>
        <v>0</v>
      </c>
      <c r="U291" s="128">
        <f t="shared" ca="1" si="89"/>
        <v>0</v>
      </c>
      <c r="V291" s="126">
        <f t="shared" ca="1" si="89"/>
        <v>0</v>
      </c>
      <c r="W291" s="127">
        <f t="shared" ca="1" si="89"/>
        <v>0</v>
      </c>
      <c r="X291" s="127">
        <f t="shared" ca="1" si="89"/>
        <v>0</v>
      </c>
      <c r="Y291" s="127">
        <f t="shared" ca="1" si="89"/>
        <v>0</v>
      </c>
      <c r="Z291" s="128">
        <f t="shared" ca="1" si="89"/>
        <v>0</v>
      </c>
      <c r="AA291" s="126">
        <f t="shared" ca="1" si="89"/>
        <v>0</v>
      </c>
      <c r="AB291" s="127">
        <f t="shared" ca="1" si="88"/>
        <v>0</v>
      </c>
      <c r="AC291" s="127">
        <f t="shared" ca="1" si="88"/>
        <v>0</v>
      </c>
      <c r="AD291" s="127">
        <f t="shared" ca="1" si="88"/>
        <v>0</v>
      </c>
      <c r="AE291" s="128">
        <f t="shared" ca="1" si="88"/>
        <v>0</v>
      </c>
      <c r="AF291" s="126">
        <f t="shared" ca="1" si="88"/>
        <v>0</v>
      </c>
      <c r="AG291" s="127">
        <f t="shared" ca="1" si="88"/>
        <v>0</v>
      </c>
      <c r="AH291" s="127">
        <f t="shared" ca="1" si="88"/>
        <v>0</v>
      </c>
      <c r="AI291" s="127">
        <f t="shared" ca="1" si="88"/>
        <v>0</v>
      </c>
      <c r="AJ291" s="128">
        <f t="shared" ca="1" si="88"/>
        <v>0</v>
      </c>
      <c r="AK291" s="126">
        <f t="shared" ca="1" si="88"/>
        <v>0</v>
      </c>
      <c r="AL291" s="127">
        <f t="shared" ca="1" si="88"/>
        <v>0</v>
      </c>
      <c r="AM291" s="127">
        <f t="shared" ca="1" si="88"/>
        <v>0</v>
      </c>
      <c r="AN291" s="127">
        <f t="shared" ca="1" si="88"/>
        <v>0</v>
      </c>
      <c r="AO291" s="129">
        <f t="shared" ca="1" si="86"/>
        <v>0</v>
      </c>
      <c r="AP291" s="536" t="str">
        <f t="shared" si="91"/>
        <v/>
      </c>
      <c r="AQ291" s="536" t="str">
        <f t="shared" si="92"/>
        <v/>
      </c>
      <c r="AR291" s="536" t="str">
        <f t="shared" si="93"/>
        <v>X</v>
      </c>
      <c r="AS291" s="537">
        <f>IF(OR(J291&lt;&gt;"",AP291&amp;AQ291&amp;AR291&lt;&gt;"X",WEEKDAY(I291,2)&gt;5,C291&lt;&gt;0,(FechaInicio1Tri&gt;I291),(FechaFinEEva&lt;I291)),0,_xlfn.XLOOKUP(WEEKDAY(I291,2),Fchs!$J$10:$N$10,Fchs!$J$12:$N$12))</f>
        <v>1</v>
      </c>
      <c r="AT291" s="536">
        <f t="shared" ca="1" si="94"/>
        <v>0</v>
      </c>
      <c r="AU291" s="538">
        <f>IF(AS291&lt;&gt;0,MAXA($AU$14:AU290)+AS291,0)</f>
        <v>121</v>
      </c>
      <c r="AV291" s="538">
        <f ca="1">IF(AT291&lt;&gt;0,MAXA($AU$14:AU290)+AT291,0)</f>
        <v>0</v>
      </c>
      <c r="AW291" s="70"/>
    </row>
    <row r="292" spans="1:49" ht="18.75" customHeight="1" x14ac:dyDescent="0.25">
      <c r="A292" s="70"/>
      <c r="B292" s="56" t="str">
        <f>MID(Info!$AZ$3,(WEEKDAY(I292,2)-1)*3+1,3)</f>
        <v>Jue</v>
      </c>
      <c r="C292" s="523">
        <f>_xlfn.XLOOKUP(I292,Fchs!$F$156:$F$197,Fchs!$G$156:$G$197,0)</f>
        <v>0</v>
      </c>
      <c r="D292" s="523">
        <f>_xlfn.XLOOKUP(I292,Fchs!$F$156:$F$197,Fchs!$H$156:$H$197)</f>
        <v>0</v>
      </c>
      <c r="E292" s="532" t="str">
        <f>IF($AS292&lt;&gt;0,_xlfn.XLOOKUP($G292,UDs!$E$34:$E$55,UDs!$B$34:$B$55,,-1),0)</f>
        <v/>
      </c>
      <c r="F292" s="532">
        <f t="shared" ca="1" si="90"/>
        <v>0</v>
      </c>
      <c r="G292" s="569">
        <f>IF(AU292&lt;&gt;0,MAX($AU$13:$AU291)+1,0)</f>
        <v>122</v>
      </c>
      <c r="H292" s="569">
        <f>IF(AS292&lt;&gt;0,COUNT($H$14:H291,1),"")</f>
        <v>122</v>
      </c>
      <c r="I292" s="533">
        <f t="shared" si="95"/>
        <v>46149</v>
      </c>
      <c r="J292" s="534"/>
      <c r="K292" s="535"/>
      <c r="L292" s="126">
        <f t="shared" ca="1" si="89"/>
        <v>0</v>
      </c>
      <c r="M292" s="127">
        <f t="shared" ca="1" si="89"/>
        <v>0</v>
      </c>
      <c r="N292" s="127">
        <f t="shared" ca="1" si="89"/>
        <v>0</v>
      </c>
      <c r="O292" s="127">
        <f t="shared" ca="1" si="89"/>
        <v>0</v>
      </c>
      <c r="P292" s="128">
        <f t="shared" ca="1" si="89"/>
        <v>0</v>
      </c>
      <c r="Q292" s="126">
        <f t="shared" ca="1" si="89"/>
        <v>0</v>
      </c>
      <c r="R292" s="127">
        <f t="shared" ca="1" si="89"/>
        <v>0</v>
      </c>
      <c r="S292" s="127">
        <f t="shared" ca="1" si="89"/>
        <v>0</v>
      </c>
      <c r="T292" s="127">
        <f t="shared" ca="1" si="89"/>
        <v>0</v>
      </c>
      <c r="U292" s="128">
        <f t="shared" ca="1" si="89"/>
        <v>0</v>
      </c>
      <c r="V292" s="126">
        <f t="shared" ca="1" si="89"/>
        <v>0</v>
      </c>
      <c r="W292" s="127">
        <f t="shared" ca="1" si="89"/>
        <v>0</v>
      </c>
      <c r="X292" s="127">
        <f t="shared" ca="1" si="89"/>
        <v>0</v>
      </c>
      <c r="Y292" s="127">
        <f t="shared" ca="1" si="89"/>
        <v>0</v>
      </c>
      <c r="Z292" s="128">
        <f t="shared" ca="1" si="89"/>
        <v>0</v>
      </c>
      <c r="AA292" s="126">
        <f t="shared" ca="1" si="89"/>
        <v>0</v>
      </c>
      <c r="AB292" s="127">
        <f t="shared" ca="1" si="88"/>
        <v>0</v>
      </c>
      <c r="AC292" s="127">
        <f t="shared" ca="1" si="88"/>
        <v>0</v>
      </c>
      <c r="AD292" s="127">
        <f t="shared" ca="1" si="88"/>
        <v>0</v>
      </c>
      <c r="AE292" s="128">
        <f t="shared" ca="1" si="88"/>
        <v>0</v>
      </c>
      <c r="AF292" s="126">
        <f t="shared" ca="1" si="88"/>
        <v>0</v>
      </c>
      <c r="AG292" s="127">
        <f t="shared" ca="1" si="88"/>
        <v>0</v>
      </c>
      <c r="AH292" s="127">
        <f t="shared" ca="1" si="88"/>
        <v>0</v>
      </c>
      <c r="AI292" s="127">
        <f t="shared" ca="1" si="88"/>
        <v>0</v>
      </c>
      <c r="AJ292" s="128">
        <f t="shared" ca="1" si="88"/>
        <v>0</v>
      </c>
      <c r="AK292" s="126">
        <f t="shared" ca="1" si="88"/>
        <v>0</v>
      </c>
      <c r="AL292" s="127">
        <f t="shared" ca="1" si="88"/>
        <v>0</v>
      </c>
      <c r="AM292" s="127">
        <f t="shared" ca="1" si="88"/>
        <v>0</v>
      </c>
      <c r="AN292" s="127">
        <f t="shared" ca="1" si="88"/>
        <v>0</v>
      </c>
      <c r="AO292" s="129">
        <f t="shared" ca="1" si="86"/>
        <v>0</v>
      </c>
      <c r="AP292" s="536" t="str">
        <f t="shared" si="91"/>
        <v/>
      </c>
      <c r="AQ292" s="536" t="str">
        <f t="shared" si="92"/>
        <v/>
      </c>
      <c r="AR292" s="536" t="str">
        <f t="shared" si="93"/>
        <v>X</v>
      </c>
      <c r="AS292" s="537">
        <f>IF(OR(J292&lt;&gt;"",AP292&amp;AQ292&amp;AR292&lt;&gt;"X",WEEKDAY(I292,2)&gt;5,C292&lt;&gt;0,(FechaInicio1Tri&gt;I292),(FechaFinEEva&lt;I292)),0,_xlfn.XLOOKUP(WEEKDAY(I292,2),Fchs!$J$10:$N$10,Fchs!$J$12:$N$12))</f>
        <v>1</v>
      </c>
      <c r="AT292" s="536">
        <f t="shared" ca="1" si="94"/>
        <v>0</v>
      </c>
      <c r="AU292" s="538">
        <f>IF(AS292&lt;&gt;0,MAXA($AU$14:AU291)+AS292,0)</f>
        <v>122</v>
      </c>
      <c r="AV292" s="538">
        <f ca="1">IF(AT292&lt;&gt;0,MAXA($AU$14:AU291)+AT292,0)</f>
        <v>0</v>
      </c>
      <c r="AW292" s="70"/>
    </row>
    <row r="293" spans="1:49" ht="18.75" customHeight="1" x14ac:dyDescent="0.25">
      <c r="A293" s="70"/>
      <c r="B293" s="56" t="str">
        <f>MID(Info!$AZ$3,(WEEKDAY(I293,2)-1)*3+1,3)</f>
        <v>Vie</v>
      </c>
      <c r="C293" s="523">
        <f>_xlfn.XLOOKUP(I293,Fchs!$F$156:$F$197,Fchs!$G$156:$G$197,0)</f>
        <v>0</v>
      </c>
      <c r="D293" s="523">
        <f>_xlfn.XLOOKUP(I293,Fchs!$F$156:$F$197,Fchs!$H$156:$H$197)</f>
        <v>0</v>
      </c>
      <c r="E293" s="532" t="str">
        <f>IF($AS293&lt;&gt;0,_xlfn.XLOOKUP($G293,UDs!$E$34:$E$55,UDs!$B$34:$B$55,,-1),0)</f>
        <v/>
      </c>
      <c r="F293" s="532">
        <f t="shared" ca="1" si="90"/>
        <v>0</v>
      </c>
      <c r="G293" s="569">
        <f>IF(AU293&lt;&gt;0,MAX($AU$13:$AU292)+1,0)</f>
        <v>123</v>
      </c>
      <c r="H293" s="569">
        <f>IF(AS293&lt;&gt;0,COUNT($H$14:H292,1),"")</f>
        <v>123</v>
      </c>
      <c r="I293" s="533">
        <f t="shared" si="95"/>
        <v>46150</v>
      </c>
      <c r="J293" s="534"/>
      <c r="K293" s="535"/>
      <c r="L293" s="126">
        <f t="shared" ca="1" si="89"/>
        <v>0</v>
      </c>
      <c r="M293" s="127">
        <f t="shared" ca="1" si="89"/>
        <v>0</v>
      </c>
      <c r="N293" s="127">
        <f t="shared" ca="1" si="89"/>
        <v>0</v>
      </c>
      <c r="O293" s="127">
        <f t="shared" ca="1" si="89"/>
        <v>0</v>
      </c>
      <c r="P293" s="128">
        <f t="shared" ca="1" si="89"/>
        <v>0</v>
      </c>
      <c r="Q293" s="126">
        <f t="shared" ca="1" si="89"/>
        <v>0</v>
      </c>
      <c r="R293" s="127">
        <f t="shared" ca="1" si="89"/>
        <v>0</v>
      </c>
      <c r="S293" s="127">
        <f t="shared" ca="1" si="89"/>
        <v>0</v>
      </c>
      <c r="T293" s="127">
        <f t="shared" ca="1" si="89"/>
        <v>0</v>
      </c>
      <c r="U293" s="128">
        <f t="shared" ca="1" si="89"/>
        <v>0</v>
      </c>
      <c r="V293" s="126">
        <f t="shared" ca="1" si="89"/>
        <v>0</v>
      </c>
      <c r="W293" s="127">
        <f t="shared" ca="1" si="89"/>
        <v>0</v>
      </c>
      <c r="X293" s="127">
        <f t="shared" ca="1" si="89"/>
        <v>0</v>
      </c>
      <c r="Y293" s="127">
        <f t="shared" ca="1" si="89"/>
        <v>0</v>
      </c>
      <c r="Z293" s="128">
        <f t="shared" ca="1" si="89"/>
        <v>0</v>
      </c>
      <c r="AA293" s="126">
        <f t="shared" ca="1" si="89"/>
        <v>0</v>
      </c>
      <c r="AB293" s="127">
        <f t="shared" ca="1" si="88"/>
        <v>0</v>
      </c>
      <c r="AC293" s="127">
        <f t="shared" ca="1" si="88"/>
        <v>0</v>
      </c>
      <c r="AD293" s="127">
        <f t="shared" ca="1" si="88"/>
        <v>0</v>
      </c>
      <c r="AE293" s="128">
        <f t="shared" ca="1" si="88"/>
        <v>0</v>
      </c>
      <c r="AF293" s="126">
        <f t="shared" ca="1" si="88"/>
        <v>0</v>
      </c>
      <c r="AG293" s="127">
        <f t="shared" ca="1" si="88"/>
        <v>0</v>
      </c>
      <c r="AH293" s="127">
        <f t="shared" ca="1" si="88"/>
        <v>0</v>
      </c>
      <c r="AI293" s="127">
        <f t="shared" ca="1" si="88"/>
        <v>0</v>
      </c>
      <c r="AJ293" s="128">
        <f t="shared" ca="1" si="88"/>
        <v>0</v>
      </c>
      <c r="AK293" s="126">
        <f t="shared" ca="1" si="88"/>
        <v>0</v>
      </c>
      <c r="AL293" s="127">
        <f t="shared" ca="1" si="88"/>
        <v>0</v>
      </c>
      <c r="AM293" s="127">
        <f t="shared" ca="1" si="88"/>
        <v>0</v>
      </c>
      <c r="AN293" s="127">
        <f t="shared" ca="1" si="88"/>
        <v>0</v>
      </c>
      <c r="AO293" s="129">
        <f t="shared" ca="1" si="86"/>
        <v>0</v>
      </c>
      <c r="AP293" s="536" t="str">
        <f t="shared" si="91"/>
        <v/>
      </c>
      <c r="AQ293" s="536" t="str">
        <f t="shared" si="92"/>
        <v/>
      </c>
      <c r="AR293" s="536" t="str">
        <f t="shared" si="93"/>
        <v>X</v>
      </c>
      <c r="AS293" s="537">
        <f>IF(OR(J293&lt;&gt;"",AP293&amp;AQ293&amp;AR293&lt;&gt;"X",WEEKDAY(I293,2)&gt;5,C293&lt;&gt;0,(FechaInicio1Tri&gt;I293),(FechaFinEEva&lt;I293)),0,_xlfn.XLOOKUP(WEEKDAY(I293,2),Fchs!$J$10:$N$10,Fchs!$J$12:$N$12))</f>
        <v>1</v>
      </c>
      <c r="AT293" s="536">
        <f t="shared" ca="1" si="94"/>
        <v>0</v>
      </c>
      <c r="AU293" s="538">
        <f>IF(AS293&lt;&gt;0,MAXA($AU$14:AU292)+AS293,0)</f>
        <v>123</v>
      </c>
      <c r="AV293" s="538">
        <f ca="1">IF(AT293&lt;&gt;0,MAXA($AU$14:AU292)+AT293,0)</f>
        <v>0</v>
      </c>
      <c r="AW293" s="70"/>
    </row>
    <row r="294" spans="1:49" ht="18.75" customHeight="1" x14ac:dyDescent="0.25">
      <c r="A294" s="70"/>
      <c r="B294" s="56" t="str">
        <f>MID(Info!$AZ$3,(WEEKDAY(I294,2)-1)*3+1,3)</f>
        <v>Sáb</v>
      </c>
      <c r="C294" s="523">
        <f>_xlfn.XLOOKUP(I294,Fchs!$F$156:$F$197,Fchs!$G$156:$G$197,0)</f>
        <v>0</v>
      </c>
      <c r="D294" s="523">
        <f>_xlfn.XLOOKUP(I294,Fchs!$F$156:$F$197,Fchs!$H$156:$H$197)</f>
        <v>0</v>
      </c>
      <c r="E294" s="532">
        <f>IF($AS294&lt;&gt;0,_xlfn.XLOOKUP($G294,UDs!$E$34:$E$55,UDs!$B$34:$B$55,,-1),0)</f>
        <v>0</v>
      </c>
      <c r="F294" s="532">
        <f t="shared" ca="1" si="90"/>
        <v>0</v>
      </c>
      <c r="G294" s="569">
        <f>IF(AU294&lt;&gt;0,MAX($AU$13:$AU293)+1,0)</f>
        <v>0</v>
      </c>
      <c r="H294" s="569" t="str">
        <f>IF(AS294&lt;&gt;0,COUNT($H$14:H293,1),"")</f>
        <v/>
      </c>
      <c r="I294" s="533">
        <f t="shared" si="95"/>
        <v>46151</v>
      </c>
      <c r="J294" s="534"/>
      <c r="K294" s="535"/>
      <c r="L294" s="126">
        <f t="shared" ca="1" si="89"/>
        <v>0</v>
      </c>
      <c r="M294" s="127">
        <f t="shared" ca="1" si="89"/>
        <v>0</v>
      </c>
      <c r="N294" s="127">
        <f t="shared" ca="1" si="89"/>
        <v>0</v>
      </c>
      <c r="O294" s="127">
        <f t="shared" ca="1" si="89"/>
        <v>0</v>
      </c>
      <c r="P294" s="128">
        <f t="shared" ca="1" si="89"/>
        <v>0</v>
      </c>
      <c r="Q294" s="126">
        <f t="shared" ca="1" si="89"/>
        <v>0</v>
      </c>
      <c r="R294" s="127">
        <f t="shared" ca="1" si="89"/>
        <v>0</v>
      </c>
      <c r="S294" s="127">
        <f t="shared" ca="1" si="89"/>
        <v>0</v>
      </c>
      <c r="T294" s="127">
        <f t="shared" ca="1" si="89"/>
        <v>0</v>
      </c>
      <c r="U294" s="128">
        <f t="shared" ca="1" si="89"/>
        <v>0</v>
      </c>
      <c r="V294" s="126">
        <f t="shared" ca="1" si="89"/>
        <v>0</v>
      </c>
      <c r="W294" s="127">
        <f t="shared" ca="1" si="89"/>
        <v>0</v>
      </c>
      <c r="X294" s="127">
        <f t="shared" ca="1" si="89"/>
        <v>0</v>
      </c>
      <c r="Y294" s="127">
        <f t="shared" ca="1" si="89"/>
        <v>0</v>
      </c>
      <c r="Z294" s="128">
        <f t="shared" ca="1" si="89"/>
        <v>0</v>
      </c>
      <c r="AA294" s="126">
        <f t="shared" ref="AA294:AN309" ca="1" si="96">$AT294</f>
        <v>0</v>
      </c>
      <c r="AB294" s="127">
        <f t="shared" ca="1" si="96"/>
        <v>0</v>
      </c>
      <c r="AC294" s="127">
        <f t="shared" ca="1" si="96"/>
        <v>0</v>
      </c>
      <c r="AD294" s="127">
        <f t="shared" ca="1" si="96"/>
        <v>0</v>
      </c>
      <c r="AE294" s="128">
        <f t="shared" ca="1" si="96"/>
        <v>0</v>
      </c>
      <c r="AF294" s="126">
        <f t="shared" ca="1" si="96"/>
        <v>0</v>
      </c>
      <c r="AG294" s="127">
        <f t="shared" ca="1" si="96"/>
        <v>0</v>
      </c>
      <c r="AH294" s="127">
        <f t="shared" ca="1" si="96"/>
        <v>0</v>
      </c>
      <c r="AI294" s="127">
        <f t="shared" ca="1" si="96"/>
        <v>0</v>
      </c>
      <c r="AJ294" s="128">
        <f t="shared" ca="1" si="96"/>
        <v>0</v>
      </c>
      <c r="AK294" s="126">
        <f t="shared" ca="1" si="96"/>
        <v>0</v>
      </c>
      <c r="AL294" s="127">
        <f t="shared" ca="1" si="96"/>
        <v>0</v>
      </c>
      <c r="AM294" s="127">
        <f t="shared" ca="1" si="96"/>
        <v>0</v>
      </c>
      <c r="AN294" s="127">
        <f t="shared" ca="1" si="96"/>
        <v>0</v>
      </c>
      <c r="AO294" s="129">
        <f t="shared" ca="1" si="86"/>
        <v>0</v>
      </c>
      <c r="AP294" s="536" t="str">
        <f t="shared" si="91"/>
        <v/>
      </c>
      <c r="AQ294" s="536" t="str">
        <f t="shared" si="92"/>
        <v/>
      </c>
      <c r="AR294" s="536" t="str">
        <f t="shared" si="93"/>
        <v/>
      </c>
      <c r="AS294" s="537">
        <f>IF(OR(J294&lt;&gt;"",AP294&amp;AQ294&amp;AR294&lt;&gt;"X",WEEKDAY(I294,2)&gt;5,C294&lt;&gt;0,(FechaInicio1Tri&gt;I294),(FechaFinEEva&lt;I294)),0,_xlfn.XLOOKUP(WEEKDAY(I294,2),Fchs!$J$10:$N$10,Fchs!$J$12:$N$12))</f>
        <v>0</v>
      </c>
      <c r="AT294" s="536">
        <f t="shared" ca="1" si="94"/>
        <v>0</v>
      </c>
      <c r="AU294" s="538">
        <f>IF(AS294&lt;&gt;0,MAXA($AU$14:AU293)+AS294,0)</f>
        <v>0</v>
      </c>
      <c r="AV294" s="538">
        <f ca="1">IF(AT294&lt;&gt;0,MAXA($AU$14:AU293)+AT294,0)</f>
        <v>0</v>
      </c>
      <c r="AW294" s="70"/>
    </row>
    <row r="295" spans="1:49" ht="18.75" customHeight="1" x14ac:dyDescent="0.25">
      <c r="A295" s="70"/>
      <c r="B295" s="56" t="str">
        <f>MID(Info!$AZ$3,(WEEKDAY(I295,2)-1)*3+1,3)</f>
        <v>Dom</v>
      </c>
      <c r="C295" s="523">
        <f>_xlfn.XLOOKUP(I295,Fchs!$F$156:$F$197,Fchs!$G$156:$G$197,0)</f>
        <v>0</v>
      </c>
      <c r="D295" s="523">
        <f>_xlfn.XLOOKUP(I295,Fchs!$F$156:$F$197,Fchs!$H$156:$H$197)</f>
        <v>0</v>
      </c>
      <c r="E295" s="532">
        <f>IF($AS295&lt;&gt;0,_xlfn.XLOOKUP($G295,UDs!$E$34:$E$55,UDs!$B$34:$B$55,,-1),0)</f>
        <v>0</v>
      </c>
      <c r="F295" s="532">
        <f t="shared" ca="1" si="90"/>
        <v>0</v>
      </c>
      <c r="G295" s="569">
        <f>IF(AU295&lt;&gt;0,MAX($AU$13:$AU294)+1,0)</f>
        <v>0</v>
      </c>
      <c r="H295" s="569" t="str">
        <f>IF(AS295&lt;&gt;0,COUNT($H$14:H294,1),"")</f>
        <v/>
      </c>
      <c r="I295" s="533">
        <f t="shared" si="95"/>
        <v>46152</v>
      </c>
      <c r="J295" s="534"/>
      <c r="K295" s="535"/>
      <c r="L295" s="126">
        <f t="shared" ref="L295:AA310" ca="1" si="97">$AT295</f>
        <v>0</v>
      </c>
      <c r="M295" s="127">
        <f t="shared" ca="1" si="97"/>
        <v>0</v>
      </c>
      <c r="N295" s="127">
        <f t="shared" ca="1" si="97"/>
        <v>0</v>
      </c>
      <c r="O295" s="127">
        <f t="shared" ca="1" si="97"/>
        <v>0</v>
      </c>
      <c r="P295" s="128">
        <f t="shared" ca="1" si="97"/>
        <v>0</v>
      </c>
      <c r="Q295" s="126">
        <f t="shared" ca="1" si="97"/>
        <v>0</v>
      </c>
      <c r="R295" s="127">
        <f t="shared" ca="1" si="97"/>
        <v>0</v>
      </c>
      <c r="S295" s="127">
        <f t="shared" ca="1" si="97"/>
        <v>0</v>
      </c>
      <c r="T295" s="127">
        <f t="shared" ca="1" si="97"/>
        <v>0</v>
      </c>
      <c r="U295" s="128">
        <f t="shared" ca="1" si="97"/>
        <v>0</v>
      </c>
      <c r="V295" s="126">
        <f t="shared" ca="1" si="97"/>
        <v>0</v>
      </c>
      <c r="W295" s="127">
        <f t="shared" ca="1" si="97"/>
        <v>0</v>
      </c>
      <c r="X295" s="127">
        <f t="shared" ca="1" si="97"/>
        <v>0</v>
      </c>
      <c r="Y295" s="127">
        <f t="shared" ca="1" si="97"/>
        <v>0</v>
      </c>
      <c r="Z295" s="128">
        <f t="shared" ca="1" si="97"/>
        <v>0</v>
      </c>
      <c r="AA295" s="126">
        <f t="shared" ca="1" si="97"/>
        <v>0</v>
      </c>
      <c r="AB295" s="127">
        <f t="shared" ca="1" si="96"/>
        <v>0</v>
      </c>
      <c r="AC295" s="127">
        <f t="shared" ca="1" si="96"/>
        <v>0</v>
      </c>
      <c r="AD295" s="127">
        <f t="shared" ca="1" si="96"/>
        <v>0</v>
      </c>
      <c r="AE295" s="128">
        <f t="shared" ca="1" si="96"/>
        <v>0</v>
      </c>
      <c r="AF295" s="126">
        <f t="shared" ca="1" si="96"/>
        <v>0</v>
      </c>
      <c r="AG295" s="127">
        <f t="shared" ca="1" si="96"/>
        <v>0</v>
      </c>
      <c r="AH295" s="127">
        <f t="shared" ca="1" si="96"/>
        <v>0</v>
      </c>
      <c r="AI295" s="127">
        <f t="shared" ca="1" si="96"/>
        <v>0</v>
      </c>
      <c r="AJ295" s="128">
        <f t="shared" ca="1" si="96"/>
        <v>0</v>
      </c>
      <c r="AK295" s="126">
        <f t="shared" ca="1" si="96"/>
        <v>0</v>
      </c>
      <c r="AL295" s="127">
        <f t="shared" ca="1" si="96"/>
        <v>0</v>
      </c>
      <c r="AM295" s="127">
        <f t="shared" ca="1" si="96"/>
        <v>0</v>
      </c>
      <c r="AN295" s="127">
        <f t="shared" ca="1" si="96"/>
        <v>0</v>
      </c>
      <c r="AO295" s="129">
        <f t="shared" ca="1" si="86"/>
        <v>0</v>
      </c>
      <c r="AP295" s="536" t="str">
        <f t="shared" si="91"/>
        <v/>
      </c>
      <c r="AQ295" s="536" t="str">
        <f t="shared" si="92"/>
        <v/>
      </c>
      <c r="AR295" s="536" t="str">
        <f t="shared" si="93"/>
        <v/>
      </c>
      <c r="AS295" s="537">
        <f>IF(OR(J295&lt;&gt;"",AP295&amp;AQ295&amp;AR295&lt;&gt;"X",WEEKDAY(I295,2)&gt;5,C295&lt;&gt;0,(FechaInicio1Tri&gt;I295),(FechaFinEEva&lt;I295)),0,_xlfn.XLOOKUP(WEEKDAY(I295,2),Fchs!$J$10:$N$10,Fchs!$J$12:$N$12))</f>
        <v>0</v>
      </c>
      <c r="AT295" s="536">
        <f t="shared" ca="1" si="94"/>
        <v>0</v>
      </c>
      <c r="AU295" s="538">
        <f>IF(AS295&lt;&gt;0,MAXA($AU$14:AU294)+AS295,0)</f>
        <v>0</v>
      </c>
      <c r="AV295" s="538">
        <f ca="1">IF(AT295&lt;&gt;0,MAXA($AU$14:AU294)+AT295,0)</f>
        <v>0</v>
      </c>
      <c r="AW295" s="70"/>
    </row>
    <row r="296" spans="1:49" ht="18.75" customHeight="1" x14ac:dyDescent="0.25">
      <c r="A296" s="70"/>
      <c r="B296" s="56" t="str">
        <f>MID(Info!$AZ$3,(WEEKDAY(I296,2)-1)*3+1,3)</f>
        <v>Lun</v>
      </c>
      <c r="C296" s="523">
        <f>_xlfn.XLOOKUP(I296,Fchs!$F$156:$F$197,Fchs!$G$156:$G$197,0)</f>
        <v>0</v>
      </c>
      <c r="D296" s="523">
        <f>_xlfn.XLOOKUP(I296,Fchs!$F$156:$F$197,Fchs!$H$156:$H$197)</f>
        <v>0</v>
      </c>
      <c r="E296" s="532" t="str">
        <f>IF($AS296&lt;&gt;0,_xlfn.XLOOKUP($G296,UDs!$E$34:$E$55,UDs!$B$34:$B$55,,-1),0)</f>
        <v/>
      </c>
      <c r="F296" s="532">
        <f t="shared" ca="1" si="90"/>
        <v>0</v>
      </c>
      <c r="G296" s="569">
        <f>IF(AU296&lt;&gt;0,MAX($AU$13:$AU295)+1,0)</f>
        <v>124</v>
      </c>
      <c r="H296" s="569">
        <f>IF(AS296&lt;&gt;0,COUNT($H$14:H295,1),"")</f>
        <v>124</v>
      </c>
      <c r="I296" s="533">
        <f t="shared" si="95"/>
        <v>46153</v>
      </c>
      <c r="J296" s="534"/>
      <c r="K296" s="535"/>
      <c r="L296" s="126">
        <f t="shared" ca="1" si="97"/>
        <v>0</v>
      </c>
      <c r="M296" s="127">
        <f t="shared" ca="1" si="97"/>
        <v>0</v>
      </c>
      <c r="N296" s="127">
        <f t="shared" ca="1" si="97"/>
        <v>0</v>
      </c>
      <c r="O296" s="127">
        <f t="shared" ca="1" si="97"/>
        <v>0</v>
      </c>
      <c r="P296" s="128">
        <f t="shared" ca="1" si="97"/>
        <v>0</v>
      </c>
      <c r="Q296" s="126">
        <f t="shared" ca="1" si="97"/>
        <v>0</v>
      </c>
      <c r="R296" s="127">
        <f t="shared" ca="1" si="97"/>
        <v>0</v>
      </c>
      <c r="S296" s="127">
        <f t="shared" ca="1" si="97"/>
        <v>0</v>
      </c>
      <c r="T296" s="127">
        <f t="shared" ca="1" si="97"/>
        <v>0</v>
      </c>
      <c r="U296" s="128">
        <f t="shared" ca="1" si="97"/>
        <v>0</v>
      </c>
      <c r="V296" s="126">
        <f t="shared" ca="1" si="97"/>
        <v>0</v>
      </c>
      <c r="W296" s="127">
        <f t="shared" ca="1" si="97"/>
        <v>0</v>
      </c>
      <c r="X296" s="127">
        <f t="shared" ca="1" si="97"/>
        <v>0</v>
      </c>
      <c r="Y296" s="127">
        <f t="shared" ca="1" si="97"/>
        <v>0</v>
      </c>
      <c r="Z296" s="128">
        <f t="shared" ca="1" si="97"/>
        <v>0</v>
      </c>
      <c r="AA296" s="126">
        <f t="shared" ca="1" si="97"/>
        <v>0</v>
      </c>
      <c r="AB296" s="127">
        <f t="shared" ca="1" si="96"/>
        <v>0</v>
      </c>
      <c r="AC296" s="127">
        <f t="shared" ca="1" si="96"/>
        <v>0</v>
      </c>
      <c r="AD296" s="127">
        <f t="shared" ca="1" si="96"/>
        <v>0</v>
      </c>
      <c r="AE296" s="128">
        <f t="shared" ca="1" si="96"/>
        <v>0</v>
      </c>
      <c r="AF296" s="126">
        <f t="shared" ca="1" si="96"/>
        <v>0</v>
      </c>
      <c r="AG296" s="127">
        <f t="shared" ca="1" si="96"/>
        <v>0</v>
      </c>
      <c r="AH296" s="127">
        <f t="shared" ca="1" si="96"/>
        <v>0</v>
      </c>
      <c r="AI296" s="127">
        <f t="shared" ca="1" si="96"/>
        <v>0</v>
      </c>
      <c r="AJ296" s="128">
        <f t="shared" ca="1" si="96"/>
        <v>0</v>
      </c>
      <c r="AK296" s="126">
        <f t="shared" ca="1" si="96"/>
        <v>0</v>
      </c>
      <c r="AL296" s="127">
        <f t="shared" ca="1" si="96"/>
        <v>0</v>
      </c>
      <c r="AM296" s="127">
        <f t="shared" ca="1" si="96"/>
        <v>0</v>
      </c>
      <c r="AN296" s="127">
        <f t="shared" ca="1" si="96"/>
        <v>0</v>
      </c>
      <c r="AO296" s="129">
        <f t="shared" ca="1" si="86"/>
        <v>0</v>
      </c>
      <c r="AP296" s="536" t="str">
        <f t="shared" si="91"/>
        <v/>
      </c>
      <c r="AQ296" s="536" t="str">
        <f t="shared" si="92"/>
        <v/>
      </c>
      <c r="AR296" s="536" t="str">
        <f t="shared" si="93"/>
        <v>X</v>
      </c>
      <c r="AS296" s="537">
        <f>IF(OR(J296&lt;&gt;"",AP296&amp;AQ296&amp;AR296&lt;&gt;"X",WEEKDAY(I296,2)&gt;5,C296&lt;&gt;0,(FechaInicio1Tri&gt;I296),(FechaFinEEva&lt;I296)),0,_xlfn.XLOOKUP(WEEKDAY(I296,2),Fchs!$J$10:$N$10,Fchs!$J$12:$N$12))</f>
        <v>1</v>
      </c>
      <c r="AT296" s="536">
        <f t="shared" ca="1" si="94"/>
        <v>0</v>
      </c>
      <c r="AU296" s="538">
        <f>IF(AS296&lt;&gt;0,MAXA($AU$14:AU295)+AS296,0)</f>
        <v>124</v>
      </c>
      <c r="AV296" s="538">
        <f ca="1">IF(AT296&lt;&gt;0,MAXA($AU$14:AU295)+AT296,0)</f>
        <v>0</v>
      </c>
      <c r="AW296" s="70"/>
    </row>
    <row r="297" spans="1:49" ht="18.75" customHeight="1" x14ac:dyDescent="0.25">
      <c r="A297" s="70"/>
      <c r="B297" s="56" t="str">
        <f>MID(Info!$AZ$3,(WEEKDAY(I297,2)-1)*3+1,3)</f>
        <v>Mar</v>
      </c>
      <c r="C297" s="523">
        <f>_xlfn.XLOOKUP(I297,Fchs!$F$156:$F$197,Fchs!$G$156:$G$197,0)</f>
        <v>0</v>
      </c>
      <c r="D297" s="523">
        <f>_xlfn.XLOOKUP(I297,Fchs!$F$156:$F$197,Fchs!$H$156:$H$197)</f>
        <v>0</v>
      </c>
      <c r="E297" s="532" t="str">
        <f>IF($AS297&lt;&gt;0,_xlfn.XLOOKUP($G297,UDs!$E$34:$E$55,UDs!$B$34:$B$55,,-1),0)</f>
        <v/>
      </c>
      <c r="F297" s="532">
        <f t="shared" ca="1" si="90"/>
        <v>0</v>
      </c>
      <c r="G297" s="569">
        <f>IF(AU297&lt;&gt;0,MAX($AU$13:$AU296)+1,0)</f>
        <v>125</v>
      </c>
      <c r="H297" s="569">
        <f>IF(AS297&lt;&gt;0,COUNT($H$14:H296,1),"")</f>
        <v>125</v>
      </c>
      <c r="I297" s="533">
        <f t="shared" si="95"/>
        <v>46154</v>
      </c>
      <c r="J297" s="534"/>
      <c r="K297" s="535"/>
      <c r="L297" s="126">
        <f t="shared" ca="1" si="97"/>
        <v>0</v>
      </c>
      <c r="M297" s="127">
        <f t="shared" ca="1" si="97"/>
        <v>0</v>
      </c>
      <c r="N297" s="127">
        <f t="shared" ca="1" si="97"/>
        <v>0</v>
      </c>
      <c r="O297" s="127">
        <f t="shared" ca="1" si="97"/>
        <v>0</v>
      </c>
      <c r="P297" s="128">
        <f t="shared" ca="1" si="97"/>
        <v>0</v>
      </c>
      <c r="Q297" s="126">
        <f t="shared" ca="1" si="97"/>
        <v>0</v>
      </c>
      <c r="R297" s="127">
        <f t="shared" ca="1" si="97"/>
        <v>0</v>
      </c>
      <c r="S297" s="127">
        <f t="shared" ca="1" si="97"/>
        <v>0</v>
      </c>
      <c r="T297" s="127">
        <f t="shared" ca="1" si="97"/>
        <v>0</v>
      </c>
      <c r="U297" s="128">
        <f t="shared" ca="1" si="97"/>
        <v>0</v>
      </c>
      <c r="V297" s="126">
        <f t="shared" ca="1" si="97"/>
        <v>0</v>
      </c>
      <c r="W297" s="127">
        <f t="shared" ca="1" si="97"/>
        <v>0</v>
      </c>
      <c r="X297" s="127">
        <f t="shared" ca="1" si="97"/>
        <v>0</v>
      </c>
      <c r="Y297" s="127">
        <f t="shared" ca="1" si="97"/>
        <v>0</v>
      </c>
      <c r="Z297" s="128">
        <f t="shared" ca="1" si="97"/>
        <v>0</v>
      </c>
      <c r="AA297" s="126">
        <f t="shared" ca="1" si="97"/>
        <v>0</v>
      </c>
      <c r="AB297" s="127">
        <f t="shared" ca="1" si="96"/>
        <v>0</v>
      </c>
      <c r="AC297" s="127">
        <f t="shared" ca="1" si="96"/>
        <v>0</v>
      </c>
      <c r="AD297" s="127">
        <f t="shared" ca="1" si="96"/>
        <v>0</v>
      </c>
      <c r="AE297" s="128">
        <f t="shared" ca="1" si="96"/>
        <v>0</v>
      </c>
      <c r="AF297" s="126">
        <f t="shared" ca="1" si="96"/>
        <v>0</v>
      </c>
      <c r="AG297" s="127">
        <f t="shared" ca="1" si="96"/>
        <v>0</v>
      </c>
      <c r="AH297" s="127">
        <f t="shared" ca="1" si="96"/>
        <v>0</v>
      </c>
      <c r="AI297" s="127">
        <f t="shared" ca="1" si="96"/>
        <v>0</v>
      </c>
      <c r="AJ297" s="128">
        <f t="shared" ca="1" si="96"/>
        <v>0</v>
      </c>
      <c r="AK297" s="126">
        <f t="shared" ca="1" si="96"/>
        <v>0</v>
      </c>
      <c r="AL297" s="127">
        <f t="shared" ca="1" si="96"/>
        <v>0</v>
      </c>
      <c r="AM297" s="127">
        <f t="shared" ca="1" si="96"/>
        <v>0</v>
      </c>
      <c r="AN297" s="127">
        <f t="shared" ca="1" si="96"/>
        <v>0</v>
      </c>
      <c r="AO297" s="129">
        <f t="shared" ca="1" si="86"/>
        <v>0</v>
      </c>
      <c r="AP297" s="536" t="str">
        <f t="shared" si="91"/>
        <v/>
      </c>
      <c r="AQ297" s="536" t="str">
        <f t="shared" si="92"/>
        <v/>
      </c>
      <c r="AR297" s="536" t="str">
        <f t="shared" si="93"/>
        <v>X</v>
      </c>
      <c r="AS297" s="537">
        <f>IF(OR(J297&lt;&gt;"",AP297&amp;AQ297&amp;AR297&lt;&gt;"X",WEEKDAY(I297,2)&gt;5,C297&lt;&gt;0,(FechaInicio1Tri&gt;I297),(FechaFinEEva&lt;I297)),0,_xlfn.XLOOKUP(WEEKDAY(I297,2),Fchs!$J$10:$N$10,Fchs!$J$12:$N$12))</f>
        <v>1</v>
      </c>
      <c r="AT297" s="536">
        <f t="shared" ca="1" si="94"/>
        <v>0</v>
      </c>
      <c r="AU297" s="538">
        <f>IF(AS297&lt;&gt;0,MAXA($AU$14:AU296)+AS297,0)</f>
        <v>125</v>
      </c>
      <c r="AV297" s="538">
        <f ca="1">IF(AT297&lt;&gt;0,MAXA($AU$14:AU296)+AT297,0)</f>
        <v>0</v>
      </c>
      <c r="AW297" s="70"/>
    </row>
    <row r="298" spans="1:49" ht="18.75" customHeight="1" x14ac:dyDescent="0.25">
      <c r="A298" s="70"/>
      <c r="B298" s="56" t="str">
        <f>MID(Info!$AZ$3,(WEEKDAY(I298,2)-1)*3+1,3)</f>
        <v>Mié</v>
      </c>
      <c r="C298" s="523">
        <f>_xlfn.XLOOKUP(I298,Fchs!$F$156:$F$197,Fchs!$G$156:$G$197,0)</f>
        <v>0</v>
      </c>
      <c r="D298" s="523">
        <f>_xlfn.XLOOKUP(I298,Fchs!$F$156:$F$197,Fchs!$H$156:$H$197)</f>
        <v>0</v>
      </c>
      <c r="E298" s="532" t="str">
        <f>IF($AS298&lt;&gt;0,_xlfn.XLOOKUP($G298,UDs!$E$34:$E$55,UDs!$B$34:$B$55,,-1),0)</f>
        <v/>
      </c>
      <c r="F298" s="532">
        <f t="shared" ca="1" si="90"/>
        <v>0</v>
      </c>
      <c r="G298" s="569">
        <f>IF(AU298&lt;&gt;0,MAX($AU$13:$AU297)+1,0)</f>
        <v>126</v>
      </c>
      <c r="H298" s="569">
        <f>IF(AS298&lt;&gt;0,COUNT($H$14:H297,1),"")</f>
        <v>126</v>
      </c>
      <c r="I298" s="533">
        <f t="shared" si="95"/>
        <v>46155</v>
      </c>
      <c r="J298" s="534"/>
      <c r="K298" s="535"/>
      <c r="L298" s="126">
        <f t="shared" ca="1" si="97"/>
        <v>0</v>
      </c>
      <c r="M298" s="127">
        <f t="shared" ca="1" si="97"/>
        <v>0</v>
      </c>
      <c r="N298" s="127">
        <f t="shared" ca="1" si="97"/>
        <v>0</v>
      </c>
      <c r="O298" s="127">
        <f t="shared" ca="1" si="97"/>
        <v>0</v>
      </c>
      <c r="P298" s="128">
        <f t="shared" ca="1" si="97"/>
        <v>0</v>
      </c>
      <c r="Q298" s="126">
        <f t="shared" ca="1" si="97"/>
        <v>0</v>
      </c>
      <c r="R298" s="127">
        <f t="shared" ca="1" si="97"/>
        <v>0</v>
      </c>
      <c r="S298" s="127">
        <f t="shared" ca="1" si="97"/>
        <v>0</v>
      </c>
      <c r="T298" s="127">
        <f t="shared" ca="1" si="97"/>
        <v>0</v>
      </c>
      <c r="U298" s="128">
        <f t="shared" ca="1" si="97"/>
        <v>0</v>
      </c>
      <c r="V298" s="126">
        <f t="shared" ca="1" si="97"/>
        <v>0</v>
      </c>
      <c r="W298" s="127">
        <f t="shared" ca="1" si="97"/>
        <v>0</v>
      </c>
      <c r="X298" s="127">
        <f t="shared" ca="1" si="97"/>
        <v>0</v>
      </c>
      <c r="Y298" s="127">
        <f t="shared" ca="1" si="97"/>
        <v>0</v>
      </c>
      <c r="Z298" s="128">
        <f t="shared" ca="1" si="97"/>
        <v>0</v>
      </c>
      <c r="AA298" s="126">
        <f t="shared" ca="1" si="97"/>
        <v>0</v>
      </c>
      <c r="AB298" s="127">
        <f t="shared" ca="1" si="96"/>
        <v>0</v>
      </c>
      <c r="AC298" s="127">
        <f t="shared" ca="1" si="96"/>
        <v>0</v>
      </c>
      <c r="AD298" s="127">
        <f t="shared" ca="1" si="96"/>
        <v>0</v>
      </c>
      <c r="AE298" s="128">
        <f t="shared" ca="1" si="96"/>
        <v>0</v>
      </c>
      <c r="AF298" s="126">
        <f t="shared" ca="1" si="96"/>
        <v>0</v>
      </c>
      <c r="AG298" s="127">
        <f t="shared" ca="1" si="96"/>
        <v>0</v>
      </c>
      <c r="AH298" s="127">
        <f t="shared" ca="1" si="96"/>
        <v>0</v>
      </c>
      <c r="AI298" s="127">
        <f t="shared" ca="1" si="96"/>
        <v>0</v>
      </c>
      <c r="AJ298" s="128">
        <f t="shared" ca="1" si="96"/>
        <v>0</v>
      </c>
      <c r="AK298" s="126">
        <f t="shared" ca="1" si="96"/>
        <v>0</v>
      </c>
      <c r="AL298" s="127">
        <f t="shared" ca="1" si="96"/>
        <v>0</v>
      </c>
      <c r="AM298" s="127">
        <f t="shared" ca="1" si="96"/>
        <v>0</v>
      </c>
      <c r="AN298" s="127">
        <f t="shared" ca="1" si="96"/>
        <v>0</v>
      </c>
      <c r="AO298" s="129">
        <f t="shared" ca="1" si="86"/>
        <v>0</v>
      </c>
      <c r="AP298" s="536" t="str">
        <f t="shared" si="91"/>
        <v/>
      </c>
      <c r="AQ298" s="536" t="str">
        <f t="shared" si="92"/>
        <v/>
      </c>
      <c r="AR298" s="536" t="str">
        <f t="shared" si="93"/>
        <v>X</v>
      </c>
      <c r="AS298" s="537">
        <f>IF(OR(J298&lt;&gt;"",AP298&amp;AQ298&amp;AR298&lt;&gt;"X",WEEKDAY(I298,2)&gt;5,C298&lt;&gt;0,(FechaInicio1Tri&gt;I298),(FechaFinEEva&lt;I298)),0,_xlfn.XLOOKUP(WEEKDAY(I298,2),Fchs!$J$10:$N$10,Fchs!$J$12:$N$12))</f>
        <v>1</v>
      </c>
      <c r="AT298" s="536">
        <f t="shared" ca="1" si="94"/>
        <v>0</v>
      </c>
      <c r="AU298" s="538">
        <f>IF(AS298&lt;&gt;0,MAXA($AU$14:AU297)+AS298,0)</f>
        <v>126</v>
      </c>
      <c r="AV298" s="538">
        <f ca="1">IF(AT298&lt;&gt;0,MAXA($AU$14:AU297)+AT298,0)</f>
        <v>0</v>
      </c>
      <c r="AW298" s="70"/>
    </row>
    <row r="299" spans="1:49" ht="18.75" customHeight="1" x14ac:dyDescent="0.25">
      <c r="A299" s="70"/>
      <c r="B299" s="56" t="str">
        <f>MID(Info!$AZ$3,(WEEKDAY(I299,2)-1)*3+1,3)</f>
        <v>Jue</v>
      </c>
      <c r="C299" s="523">
        <f>_xlfn.XLOOKUP(I299,Fchs!$F$156:$F$197,Fchs!$G$156:$G$197,0)</f>
        <v>0</v>
      </c>
      <c r="D299" s="523">
        <f>_xlfn.XLOOKUP(I299,Fchs!$F$156:$F$197,Fchs!$H$156:$H$197)</f>
        <v>0</v>
      </c>
      <c r="E299" s="532" t="str">
        <f>IF($AS299&lt;&gt;0,_xlfn.XLOOKUP($G299,UDs!$E$34:$E$55,UDs!$B$34:$B$55,,-1),0)</f>
        <v/>
      </c>
      <c r="F299" s="532">
        <f t="shared" ca="1" si="90"/>
        <v>0</v>
      </c>
      <c r="G299" s="569">
        <f>IF(AU299&lt;&gt;0,MAX($AU$13:$AU298)+1,0)</f>
        <v>127</v>
      </c>
      <c r="H299" s="569">
        <f>IF(AS299&lt;&gt;0,COUNT($H$14:H298,1),"")</f>
        <v>127</v>
      </c>
      <c r="I299" s="533">
        <f t="shared" si="95"/>
        <v>46156</v>
      </c>
      <c r="J299" s="534"/>
      <c r="K299" s="535"/>
      <c r="L299" s="126">
        <f t="shared" ca="1" si="97"/>
        <v>0</v>
      </c>
      <c r="M299" s="127">
        <f t="shared" ca="1" si="97"/>
        <v>0</v>
      </c>
      <c r="N299" s="127">
        <f t="shared" ca="1" si="97"/>
        <v>0</v>
      </c>
      <c r="O299" s="127">
        <f t="shared" ca="1" si="97"/>
        <v>0</v>
      </c>
      <c r="P299" s="128">
        <f t="shared" ca="1" si="97"/>
        <v>0</v>
      </c>
      <c r="Q299" s="126">
        <f t="shared" ca="1" si="97"/>
        <v>0</v>
      </c>
      <c r="R299" s="127">
        <f t="shared" ca="1" si="97"/>
        <v>0</v>
      </c>
      <c r="S299" s="127">
        <f t="shared" ca="1" si="97"/>
        <v>0</v>
      </c>
      <c r="T299" s="127">
        <f t="shared" ca="1" si="97"/>
        <v>0</v>
      </c>
      <c r="U299" s="128">
        <f t="shared" ca="1" si="97"/>
        <v>0</v>
      </c>
      <c r="V299" s="126">
        <f t="shared" ca="1" si="97"/>
        <v>0</v>
      </c>
      <c r="W299" s="127">
        <f t="shared" ca="1" si="97"/>
        <v>0</v>
      </c>
      <c r="X299" s="127">
        <f t="shared" ca="1" si="97"/>
        <v>0</v>
      </c>
      <c r="Y299" s="127">
        <f t="shared" ca="1" si="97"/>
        <v>0</v>
      </c>
      <c r="Z299" s="128">
        <f t="shared" ca="1" si="97"/>
        <v>0</v>
      </c>
      <c r="AA299" s="126">
        <f t="shared" ca="1" si="97"/>
        <v>0</v>
      </c>
      <c r="AB299" s="127">
        <f t="shared" ca="1" si="96"/>
        <v>0</v>
      </c>
      <c r="AC299" s="127">
        <f t="shared" ca="1" si="96"/>
        <v>0</v>
      </c>
      <c r="AD299" s="127">
        <f t="shared" ca="1" si="96"/>
        <v>0</v>
      </c>
      <c r="AE299" s="128">
        <f t="shared" ca="1" si="96"/>
        <v>0</v>
      </c>
      <c r="AF299" s="126">
        <f t="shared" ca="1" si="96"/>
        <v>0</v>
      </c>
      <c r="AG299" s="127">
        <f t="shared" ca="1" si="96"/>
        <v>0</v>
      </c>
      <c r="AH299" s="127">
        <f t="shared" ca="1" si="96"/>
        <v>0</v>
      </c>
      <c r="AI299" s="127">
        <f t="shared" ca="1" si="96"/>
        <v>0</v>
      </c>
      <c r="AJ299" s="128">
        <f t="shared" ca="1" si="96"/>
        <v>0</v>
      </c>
      <c r="AK299" s="126">
        <f t="shared" ca="1" si="96"/>
        <v>0</v>
      </c>
      <c r="AL299" s="127">
        <f t="shared" ca="1" si="96"/>
        <v>0</v>
      </c>
      <c r="AM299" s="127">
        <f t="shared" ca="1" si="96"/>
        <v>0</v>
      </c>
      <c r="AN299" s="127">
        <f t="shared" ca="1" si="96"/>
        <v>0</v>
      </c>
      <c r="AO299" s="129">
        <f t="shared" ca="1" si="86"/>
        <v>0</v>
      </c>
      <c r="AP299" s="536" t="str">
        <f t="shared" si="91"/>
        <v/>
      </c>
      <c r="AQ299" s="536" t="str">
        <f t="shared" si="92"/>
        <v/>
      </c>
      <c r="AR299" s="536" t="str">
        <f t="shared" si="93"/>
        <v>X</v>
      </c>
      <c r="AS299" s="537">
        <f>IF(OR(J299&lt;&gt;"",AP299&amp;AQ299&amp;AR299&lt;&gt;"X",WEEKDAY(I299,2)&gt;5,C299&lt;&gt;0,(FechaInicio1Tri&gt;I299),(FechaFinEEva&lt;I299)),0,_xlfn.XLOOKUP(WEEKDAY(I299,2),Fchs!$J$10:$N$10,Fchs!$J$12:$N$12))</f>
        <v>1</v>
      </c>
      <c r="AT299" s="536">
        <f t="shared" ca="1" si="94"/>
        <v>0</v>
      </c>
      <c r="AU299" s="538">
        <f>IF(AS299&lt;&gt;0,MAXA($AU$14:AU298)+AS299,0)</f>
        <v>127</v>
      </c>
      <c r="AV299" s="538">
        <f ca="1">IF(AT299&lt;&gt;0,MAXA($AU$14:AU298)+AT299,0)</f>
        <v>0</v>
      </c>
      <c r="AW299" s="70"/>
    </row>
    <row r="300" spans="1:49" ht="18.75" customHeight="1" x14ac:dyDescent="0.25">
      <c r="A300" s="70"/>
      <c r="B300" s="56" t="str">
        <f>MID(Info!$AZ$3,(WEEKDAY(I300,2)-1)*3+1,3)</f>
        <v>Vie</v>
      </c>
      <c r="C300" s="523">
        <f>_xlfn.XLOOKUP(I300,Fchs!$F$156:$F$197,Fchs!$G$156:$G$197,0)</f>
        <v>0</v>
      </c>
      <c r="D300" s="523">
        <f>_xlfn.XLOOKUP(I300,Fchs!$F$156:$F$197,Fchs!$H$156:$H$197)</f>
        <v>0</v>
      </c>
      <c r="E300" s="532" t="str">
        <f>IF($AS300&lt;&gt;0,_xlfn.XLOOKUP($G300,UDs!$E$34:$E$55,UDs!$B$34:$B$55,,-1),0)</f>
        <v/>
      </c>
      <c r="F300" s="532">
        <f t="shared" ca="1" si="90"/>
        <v>0</v>
      </c>
      <c r="G300" s="569">
        <f>IF(AU300&lt;&gt;0,MAX($AU$13:$AU299)+1,0)</f>
        <v>128</v>
      </c>
      <c r="H300" s="569">
        <f>IF(AS300&lt;&gt;0,COUNT($H$14:H299,1),"")</f>
        <v>128</v>
      </c>
      <c r="I300" s="533">
        <f t="shared" si="95"/>
        <v>46157</v>
      </c>
      <c r="J300" s="534"/>
      <c r="K300" s="535"/>
      <c r="L300" s="126">
        <f t="shared" ca="1" si="97"/>
        <v>0</v>
      </c>
      <c r="M300" s="127">
        <f t="shared" ca="1" si="97"/>
        <v>0</v>
      </c>
      <c r="N300" s="127">
        <f t="shared" ca="1" si="97"/>
        <v>0</v>
      </c>
      <c r="O300" s="127">
        <f t="shared" ca="1" si="97"/>
        <v>0</v>
      </c>
      <c r="P300" s="128">
        <f t="shared" ca="1" si="97"/>
        <v>0</v>
      </c>
      <c r="Q300" s="126">
        <f t="shared" ca="1" si="97"/>
        <v>0</v>
      </c>
      <c r="R300" s="127">
        <f t="shared" ca="1" si="97"/>
        <v>0</v>
      </c>
      <c r="S300" s="127">
        <f t="shared" ca="1" si="97"/>
        <v>0</v>
      </c>
      <c r="T300" s="127">
        <f t="shared" ca="1" si="97"/>
        <v>0</v>
      </c>
      <c r="U300" s="128">
        <f t="shared" ca="1" si="97"/>
        <v>0</v>
      </c>
      <c r="V300" s="126">
        <f t="shared" ca="1" si="97"/>
        <v>0</v>
      </c>
      <c r="W300" s="127">
        <f t="shared" ca="1" si="97"/>
        <v>0</v>
      </c>
      <c r="X300" s="127">
        <f t="shared" ca="1" si="97"/>
        <v>0</v>
      </c>
      <c r="Y300" s="127">
        <f t="shared" ca="1" si="97"/>
        <v>0</v>
      </c>
      <c r="Z300" s="128">
        <f t="shared" ca="1" si="97"/>
        <v>0</v>
      </c>
      <c r="AA300" s="126">
        <f t="shared" ca="1" si="97"/>
        <v>0</v>
      </c>
      <c r="AB300" s="127">
        <f t="shared" ca="1" si="96"/>
        <v>0</v>
      </c>
      <c r="AC300" s="127">
        <f t="shared" ca="1" si="96"/>
        <v>0</v>
      </c>
      <c r="AD300" s="127">
        <f t="shared" ca="1" si="96"/>
        <v>0</v>
      </c>
      <c r="AE300" s="128">
        <f t="shared" ca="1" si="96"/>
        <v>0</v>
      </c>
      <c r="AF300" s="126">
        <f t="shared" ca="1" si="96"/>
        <v>0</v>
      </c>
      <c r="AG300" s="127">
        <f t="shared" ca="1" si="96"/>
        <v>0</v>
      </c>
      <c r="AH300" s="127">
        <f t="shared" ca="1" si="96"/>
        <v>0</v>
      </c>
      <c r="AI300" s="127">
        <f t="shared" ca="1" si="96"/>
        <v>0</v>
      </c>
      <c r="AJ300" s="128">
        <f t="shared" ca="1" si="96"/>
        <v>0</v>
      </c>
      <c r="AK300" s="126">
        <f t="shared" ca="1" si="96"/>
        <v>0</v>
      </c>
      <c r="AL300" s="127">
        <f t="shared" ca="1" si="96"/>
        <v>0</v>
      </c>
      <c r="AM300" s="127">
        <f t="shared" ca="1" si="96"/>
        <v>0</v>
      </c>
      <c r="AN300" s="127">
        <f t="shared" ca="1" si="96"/>
        <v>0</v>
      </c>
      <c r="AO300" s="129">
        <f t="shared" ca="1" si="86"/>
        <v>0</v>
      </c>
      <c r="AP300" s="536" t="str">
        <f t="shared" si="91"/>
        <v/>
      </c>
      <c r="AQ300" s="536" t="str">
        <f t="shared" si="92"/>
        <v/>
      </c>
      <c r="AR300" s="536" t="str">
        <f t="shared" si="93"/>
        <v>X</v>
      </c>
      <c r="AS300" s="537">
        <f>IF(OR(J300&lt;&gt;"",AP300&amp;AQ300&amp;AR300&lt;&gt;"X",WEEKDAY(I300,2)&gt;5,C300&lt;&gt;0,(FechaInicio1Tri&gt;I300),(FechaFinEEva&lt;I300)),0,_xlfn.XLOOKUP(WEEKDAY(I300,2),Fchs!$J$10:$N$10,Fchs!$J$12:$N$12))</f>
        <v>1</v>
      </c>
      <c r="AT300" s="536">
        <f t="shared" ca="1" si="94"/>
        <v>0</v>
      </c>
      <c r="AU300" s="538">
        <f>IF(AS300&lt;&gt;0,MAXA($AU$14:AU299)+AS300,0)</f>
        <v>128</v>
      </c>
      <c r="AV300" s="538">
        <f ca="1">IF(AT300&lt;&gt;0,MAXA($AU$14:AU299)+AT300,0)</f>
        <v>0</v>
      </c>
      <c r="AW300" s="70"/>
    </row>
    <row r="301" spans="1:49" ht="18.75" customHeight="1" x14ac:dyDescent="0.25">
      <c r="A301" s="70"/>
      <c r="B301" s="56" t="str">
        <f>MID(Info!$AZ$3,(WEEKDAY(I301,2)-1)*3+1,3)</f>
        <v>Sáb</v>
      </c>
      <c r="C301" s="523">
        <f>_xlfn.XLOOKUP(I301,Fchs!$F$156:$F$197,Fchs!$G$156:$G$197,0)</f>
        <v>0</v>
      </c>
      <c r="D301" s="523">
        <f>_xlfn.XLOOKUP(I301,Fchs!$F$156:$F$197,Fchs!$H$156:$H$197)</f>
        <v>0</v>
      </c>
      <c r="E301" s="532">
        <f>IF($AS301&lt;&gt;0,_xlfn.XLOOKUP($G301,UDs!$E$34:$E$55,UDs!$B$34:$B$55,,-1),0)</f>
        <v>0</v>
      </c>
      <c r="F301" s="532">
        <f t="shared" ca="1" si="90"/>
        <v>0</v>
      </c>
      <c r="G301" s="569">
        <f>IF(AU301&lt;&gt;0,MAX($AU$13:$AU300)+1,0)</f>
        <v>0</v>
      </c>
      <c r="H301" s="569" t="str">
        <f>IF(AS301&lt;&gt;0,COUNT($H$14:H300,1),"")</f>
        <v/>
      </c>
      <c r="I301" s="533">
        <f t="shared" si="95"/>
        <v>46158</v>
      </c>
      <c r="J301" s="534"/>
      <c r="K301" s="535"/>
      <c r="L301" s="126">
        <f t="shared" ca="1" si="97"/>
        <v>0</v>
      </c>
      <c r="M301" s="127">
        <f t="shared" ca="1" si="97"/>
        <v>0</v>
      </c>
      <c r="N301" s="127">
        <f t="shared" ca="1" si="97"/>
        <v>0</v>
      </c>
      <c r="O301" s="127">
        <f t="shared" ca="1" si="97"/>
        <v>0</v>
      </c>
      <c r="P301" s="128">
        <f t="shared" ca="1" si="97"/>
        <v>0</v>
      </c>
      <c r="Q301" s="126">
        <f t="shared" ca="1" si="97"/>
        <v>0</v>
      </c>
      <c r="R301" s="127">
        <f t="shared" ca="1" si="97"/>
        <v>0</v>
      </c>
      <c r="S301" s="127">
        <f t="shared" ca="1" si="97"/>
        <v>0</v>
      </c>
      <c r="T301" s="127">
        <f t="shared" ca="1" si="97"/>
        <v>0</v>
      </c>
      <c r="U301" s="128">
        <f t="shared" ca="1" si="97"/>
        <v>0</v>
      </c>
      <c r="V301" s="126">
        <f t="shared" ca="1" si="97"/>
        <v>0</v>
      </c>
      <c r="W301" s="127">
        <f t="shared" ca="1" si="97"/>
        <v>0</v>
      </c>
      <c r="X301" s="127">
        <f t="shared" ca="1" si="97"/>
        <v>0</v>
      </c>
      <c r="Y301" s="127">
        <f t="shared" ca="1" si="97"/>
        <v>0</v>
      </c>
      <c r="Z301" s="128">
        <f t="shared" ca="1" si="97"/>
        <v>0</v>
      </c>
      <c r="AA301" s="126">
        <f t="shared" ca="1" si="97"/>
        <v>0</v>
      </c>
      <c r="AB301" s="127">
        <f t="shared" ca="1" si="96"/>
        <v>0</v>
      </c>
      <c r="AC301" s="127">
        <f t="shared" ca="1" si="96"/>
        <v>0</v>
      </c>
      <c r="AD301" s="127">
        <f t="shared" ca="1" si="96"/>
        <v>0</v>
      </c>
      <c r="AE301" s="128">
        <f t="shared" ca="1" si="96"/>
        <v>0</v>
      </c>
      <c r="AF301" s="126">
        <f t="shared" ca="1" si="96"/>
        <v>0</v>
      </c>
      <c r="AG301" s="127">
        <f t="shared" ca="1" si="96"/>
        <v>0</v>
      </c>
      <c r="AH301" s="127">
        <f t="shared" ca="1" si="96"/>
        <v>0</v>
      </c>
      <c r="AI301" s="127">
        <f t="shared" ca="1" si="96"/>
        <v>0</v>
      </c>
      <c r="AJ301" s="128">
        <f t="shared" ca="1" si="96"/>
        <v>0</v>
      </c>
      <c r="AK301" s="126">
        <f t="shared" ca="1" si="96"/>
        <v>0</v>
      </c>
      <c r="AL301" s="127">
        <f t="shared" ca="1" si="96"/>
        <v>0</v>
      </c>
      <c r="AM301" s="127">
        <f t="shared" ca="1" si="96"/>
        <v>0</v>
      </c>
      <c r="AN301" s="127">
        <f t="shared" ca="1" si="96"/>
        <v>0</v>
      </c>
      <c r="AO301" s="129">
        <f t="shared" ca="1" si="86"/>
        <v>0</v>
      </c>
      <c r="AP301" s="536" t="str">
        <f t="shared" si="91"/>
        <v/>
      </c>
      <c r="AQ301" s="536" t="str">
        <f t="shared" si="92"/>
        <v/>
      </c>
      <c r="AR301" s="536" t="str">
        <f t="shared" si="93"/>
        <v/>
      </c>
      <c r="AS301" s="537">
        <f>IF(OR(J301&lt;&gt;"",AP301&amp;AQ301&amp;AR301&lt;&gt;"X",WEEKDAY(I301,2)&gt;5,C301&lt;&gt;0,(FechaInicio1Tri&gt;I301),(FechaFinEEva&lt;I301)),0,_xlfn.XLOOKUP(WEEKDAY(I301,2),Fchs!$J$10:$N$10,Fchs!$J$12:$N$12))</f>
        <v>0</v>
      </c>
      <c r="AT301" s="536">
        <f t="shared" ca="1" si="94"/>
        <v>0</v>
      </c>
      <c r="AU301" s="538">
        <f>IF(AS301&lt;&gt;0,MAXA($AU$14:AU300)+AS301,0)</f>
        <v>0</v>
      </c>
      <c r="AV301" s="538">
        <f ca="1">IF(AT301&lt;&gt;0,MAXA($AU$14:AU300)+AT301,0)</f>
        <v>0</v>
      </c>
      <c r="AW301" s="70"/>
    </row>
    <row r="302" spans="1:49" ht="18.75" customHeight="1" x14ac:dyDescent="0.25">
      <c r="A302" s="70"/>
      <c r="B302" s="56" t="str">
        <f>MID(Info!$AZ$3,(WEEKDAY(I302,2)-1)*3+1,3)</f>
        <v>Dom</v>
      </c>
      <c r="C302" s="523">
        <f>_xlfn.XLOOKUP(I302,Fchs!$F$156:$F$197,Fchs!$G$156:$G$197,0)</f>
        <v>0</v>
      </c>
      <c r="D302" s="523">
        <f>_xlfn.XLOOKUP(I302,Fchs!$F$156:$F$197,Fchs!$H$156:$H$197)</f>
        <v>0</v>
      </c>
      <c r="E302" s="532">
        <f>IF($AS302&lt;&gt;0,_xlfn.XLOOKUP($G302,UDs!$E$34:$E$55,UDs!$B$34:$B$55,,-1),0)</f>
        <v>0</v>
      </c>
      <c r="F302" s="532">
        <f t="shared" ca="1" si="90"/>
        <v>0</v>
      </c>
      <c r="G302" s="569">
        <f>IF(AU302&lt;&gt;0,MAX($AU$13:$AU301)+1,0)</f>
        <v>0</v>
      </c>
      <c r="H302" s="569" t="str">
        <f>IF(AS302&lt;&gt;0,COUNT($H$14:H301,1),"")</f>
        <v/>
      </c>
      <c r="I302" s="533">
        <f t="shared" si="95"/>
        <v>46159</v>
      </c>
      <c r="J302" s="534"/>
      <c r="K302" s="535"/>
      <c r="L302" s="126">
        <f t="shared" ca="1" si="97"/>
        <v>0</v>
      </c>
      <c r="M302" s="127">
        <f t="shared" ca="1" si="97"/>
        <v>0</v>
      </c>
      <c r="N302" s="127">
        <f t="shared" ca="1" si="97"/>
        <v>0</v>
      </c>
      <c r="O302" s="127">
        <f t="shared" ca="1" si="97"/>
        <v>0</v>
      </c>
      <c r="P302" s="128">
        <f t="shared" ca="1" si="97"/>
        <v>0</v>
      </c>
      <c r="Q302" s="126">
        <f t="shared" ca="1" si="97"/>
        <v>0</v>
      </c>
      <c r="R302" s="127">
        <f t="shared" ca="1" si="97"/>
        <v>0</v>
      </c>
      <c r="S302" s="127">
        <f t="shared" ca="1" si="97"/>
        <v>0</v>
      </c>
      <c r="T302" s="127">
        <f t="shared" ca="1" si="97"/>
        <v>0</v>
      </c>
      <c r="U302" s="128">
        <f t="shared" ca="1" si="97"/>
        <v>0</v>
      </c>
      <c r="V302" s="126">
        <f t="shared" ca="1" si="97"/>
        <v>0</v>
      </c>
      <c r="W302" s="127">
        <f t="shared" ca="1" si="97"/>
        <v>0</v>
      </c>
      <c r="X302" s="127">
        <f t="shared" ca="1" si="97"/>
        <v>0</v>
      </c>
      <c r="Y302" s="127">
        <f t="shared" ca="1" si="97"/>
        <v>0</v>
      </c>
      <c r="Z302" s="128">
        <f t="shared" ca="1" si="97"/>
        <v>0</v>
      </c>
      <c r="AA302" s="126">
        <f t="shared" ca="1" si="97"/>
        <v>0</v>
      </c>
      <c r="AB302" s="127">
        <f t="shared" ca="1" si="96"/>
        <v>0</v>
      </c>
      <c r="AC302" s="127">
        <f t="shared" ca="1" si="96"/>
        <v>0</v>
      </c>
      <c r="AD302" s="127">
        <f t="shared" ca="1" si="96"/>
        <v>0</v>
      </c>
      <c r="AE302" s="128">
        <f t="shared" ca="1" si="96"/>
        <v>0</v>
      </c>
      <c r="AF302" s="126">
        <f t="shared" ca="1" si="96"/>
        <v>0</v>
      </c>
      <c r="AG302" s="127">
        <f t="shared" ca="1" si="96"/>
        <v>0</v>
      </c>
      <c r="AH302" s="127">
        <f t="shared" ca="1" si="96"/>
        <v>0</v>
      </c>
      <c r="AI302" s="127">
        <f t="shared" ca="1" si="96"/>
        <v>0</v>
      </c>
      <c r="AJ302" s="128">
        <f t="shared" ca="1" si="96"/>
        <v>0</v>
      </c>
      <c r="AK302" s="126">
        <f t="shared" ca="1" si="96"/>
        <v>0</v>
      </c>
      <c r="AL302" s="127">
        <f t="shared" ca="1" si="96"/>
        <v>0</v>
      </c>
      <c r="AM302" s="127">
        <f t="shared" ca="1" si="96"/>
        <v>0</v>
      </c>
      <c r="AN302" s="127">
        <f t="shared" ca="1" si="96"/>
        <v>0</v>
      </c>
      <c r="AO302" s="129">
        <f t="shared" ca="1" si="86"/>
        <v>0</v>
      </c>
      <c r="AP302" s="536" t="str">
        <f t="shared" si="91"/>
        <v/>
      </c>
      <c r="AQ302" s="536" t="str">
        <f t="shared" si="92"/>
        <v/>
      </c>
      <c r="AR302" s="536" t="str">
        <f t="shared" si="93"/>
        <v/>
      </c>
      <c r="AS302" s="537">
        <f>IF(OR(J302&lt;&gt;"",AP302&amp;AQ302&amp;AR302&lt;&gt;"X",WEEKDAY(I302,2)&gt;5,C302&lt;&gt;0,(FechaInicio1Tri&gt;I302),(FechaFinEEva&lt;I302)),0,_xlfn.XLOOKUP(WEEKDAY(I302,2),Fchs!$J$10:$N$10,Fchs!$J$12:$N$12))</f>
        <v>0</v>
      </c>
      <c r="AT302" s="536">
        <f t="shared" ca="1" si="94"/>
        <v>0</v>
      </c>
      <c r="AU302" s="538">
        <f>IF(AS302&lt;&gt;0,MAXA($AU$14:AU301)+AS302,0)</f>
        <v>0</v>
      </c>
      <c r="AV302" s="538">
        <f ca="1">IF(AT302&lt;&gt;0,MAXA($AU$14:AU301)+AT302,0)</f>
        <v>0</v>
      </c>
      <c r="AW302" s="70"/>
    </row>
    <row r="303" spans="1:49" ht="18.75" customHeight="1" x14ac:dyDescent="0.25">
      <c r="A303" s="70"/>
      <c r="B303" s="56" t="str">
        <f>MID(Info!$AZ$3,(WEEKDAY(I303,2)-1)*3+1,3)</f>
        <v>Lun</v>
      </c>
      <c r="C303" s="523">
        <f>_xlfn.XLOOKUP(I303,Fchs!$F$156:$F$197,Fchs!$G$156:$G$197,0)</f>
        <v>0</v>
      </c>
      <c r="D303" s="523">
        <f>_xlfn.XLOOKUP(I303,Fchs!$F$156:$F$197,Fchs!$H$156:$H$197)</f>
        <v>0</v>
      </c>
      <c r="E303" s="532" t="str">
        <f>IF($AS303&lt;&gt;0,_xlfn.XLOOKUP($G303,UDs!$E$34:$E$55,UDs!$B$34:$B$55,,-1),0)</f>
        <v/>
      </c>
      <c r="F303" s="532">
        <f t="shared" ca="1" si="90"/>
        <v>0</v>
      </c>
      <c r="G303" s="569">
        <f>IF(AU303&lt;&gt;0,MAX($AU$13:$AU302)+1,0)</f>
        <v>129</v>
      </c>
      <c r="H303" s="569">
        <f>IF(AS303&lt;&gt;0,COUNT($H$14:H302,1),"")</f>
        <v>129</v>
      </c>
      <c r="I303" s="533">
        <f t="shared" si="95"/>
        <v>46160</v>
      </c>
      <c r="J303" s="534"/>
      <c r="K303" s="535"/>
      <c r="L303" s="126">
        <f t="shared" ca="1" si="97"/>
        <v>0</v>
      </c>
      <c r="M303" s="127">
        <f t="shared" ca="1" si="97"/>
        <v>0</v>
      </c>
      <c r="N303" s="127">
        <f t="shared" ca="1" si="97"/>
        <v>0</v>
      </c>
      <c r="O303" s="127">
        <f t="shared" ca="1" si="97"/>
        <v>0</v>
      </c>
      <c r="P303" s="128">
        <f t="shared" ca="1" si="97"/>
        <v>0</v>
      </c>
      <c r="Q303" s="126">
        <f t="shared" ca="1" si="97"/>
        <v>0</v>
      </c>
      <c r="R303" s="127">
        <f t="shared" ca="1" si="97"/>
        <v>0</v>
      </c>
      <c r="S303" s="127">
        <f t="shared" ca="1" si="97"/>
        <v>0</v>
      </c>
      <c r="T303" s="127">
        <f t="shared" ca="1" si="97"/>
        <v>0</v>
      </c>
      <c r="U303" s="128">
        <f t="shared" ca="1" si="97"/>
        <v>0</v>
      </c>
      <c r="V303" s="126">
        <f t="shared" ca="1" si="97"/>
        <v>0</v>
      </c>
      <c r="W303" s="127">
        <f t="shared" ca="1" si="97"/>
        <v>0</v>
      </c>
      <c r="X303" s="127">
        <f t="shared" ca="1" si="97"/>
        <v>0</v>
      </c>
      <c r="Y303" s="127">
        <f t="shared" ca="1" si="97"/>
        <v>0</v>
      </c>
      <c r="Z303" s="128">
        <f t="shared" ca="1" si="97"/>
        <v>0</v>
      </c>
      <c r="AA303" s="126">
        <f t="shared" ca="1" si="97"/>
        <v>0</v>
      </c>
      <c r="AB303" s="127">
        <f t="shared" ca="1" si="96"/>
        <v>0</v>
      </c>
      <c r="AC303" s="127">
        <f t="shared" ca="1" si="96"/>
        <v>0</v>
      </c>
      <c r="AD303" s="127">
        <f t="shared" ca="1" si="96"/>
        <v>0</v>
      </c>
      <c r="AE303" s="128">
        <f t="shared" ca="1" si="96"/>
        <v>0</v>
      </c>
      <c r="AF303" s="126">
        <f t="shared" ca="1" si="96"/>
        <v>0</v>
      </c>
      <c r="AG303" s="127">
        <f t="shared" ca="1" si="96"/>
        <v>0</v>
      </c>
      <c r="AH303" s="127">
        <f t="shared" ca="1" si="96"/>
        <v>0</v>
      </c>
      <c r="AI303" s="127">
        <f t="shared" ca="1" si="96"/>
        <v>0</v>
      </c>
      <c r="AJ303" s="128">
        <f t="shared" ca="1" si="96"/>
        <v>0</v>
      </c>
      <c r="AK303" s="126">
        <f t="shared" ca="1" si="96"/>
        <v>0</v>
      </c>
      <c r="AL303" s="127">
        <f t="shared" ca="1" si="96"/>
        <v>0</v>
      </c>
      <c r="AM303" s="127">
        <f t="shared" ca="1" si="96"/>
        <v>0</v>
      </c>
      <c r="AN303" s="127">
        <f t="shared" ca="1" si="96"/>
        <v>0</v>
      </c>
      <c r="AO303" s="129">
        <f t="shared" ca="1" si="86"/>
        <v>0</v>
      </c>
      <c r="AP303" s="536" t="str">
        <f t="shared" si="91"/>
        <v/>
      </c>
      <c r="AQ303" s="536" t="str">
        <f t="shared" si="92"/>
        <v/>
      </c>
      <c r="AR303" s="536" t="str">
        <f t="shared" si="93"/>
        <v>X</v>
      </c>
      <c r="AS303" s="537">
        <f>IF(OR(J303&lt;&gt;"",AP303&amp;AQ303&amp;AR303&lt;&gt;"X",WEEKDAY(I303,2)&gt;5,C303&lt;&gt;0,(FechaInicio1Tri&gt;I303),(FechaFinEEva&lt;I303)),0,_xlfn.XLOOKUP(WEEKDAY(I303,2),Fchs!$J$10:$N$10,Fchs!$J$12:$N$12))</f>
        <v>1</v>
      </c>
      <c r="AT303" s="536">
        <f t="shared" ca="1" si="94"/>
        <v>0</v>
      </c>
      <c r="AU303" s="538">
        <f>IF(AS303&lt;&gt;0,MAXA($AU$14:AU302)+AS303,0)</f>
        <v>129</v>
      </c>
      <c r="AV303" s="538">
        <f ca="1">IF(AT303&lt;&gt;0,MAXA($AU$14:AU302)+AT303,0)</f>
        <v>0</v>
      </c>
      <c r="AW303" s="70"/>
    </row>
    <row r="304" spans="1:49" ht="18.75" customHeight="1" x14ac:dyDescent="0.25">
      <c r="A304" s="70"/>
      <c r="B304" s="56" t="str">
        <f>MID(Info!$AZ$3,(WEEKDAY(I304,2)-1)*3+1,3)</f>
        <v>Mar</v>
      </c>
      <c r="C304" s="523">
        <f>_xlfn.XLOOKUP(I304,Fchs!$F$156:$F$197,Fchs!$G$156:$G$197,0)</f>
        <v>0</v>
      </c>
      <c r="D304" s="523">
        <f>_xlfn.XLOOKUP(I304,Fchs!$F$156:$F$197,Fchs!$H$156:$H$197)</f>
        <v>0</v>
      </c>
      <c r="E304" s="532" t="str">
        <f>IF($AS304&lt;&gt;0,_xlfn.XLOOKUP($G304,UDs!$E$34:$E$55,UDs!$B$34:$B$55,,-1),0)</f>
        <v/>
      </c>
      <c r="F304" s="532">
        <f t="shared" ca="1" si="90"/>
        <v>0</v>
      </c>
      <c r="G304" s="569">
        <f>IF(AU304&lt;&gt;0,MAX($AU$13:$AU303)+1,0)</f>
        <v>130</v>
      </c>
      <c r="H304" s="569">
        <f>IF(AS304&lt;&gt;0,COUNT($H$14:H303,1),"")</f>
        <v>130</v>
      </c>
      <c r="I304" s="533">
        <f t="shared" si="95"/>
        <v>46161</v>
      </c>
      <c r="J304" s="534"/>
      <c r="K304" s="535"/>
      <c r="L304" s="126">
        <f t="shared" ca="1" si="97"/>
        <v>0</v>
      </c>
      <c r="M304" s="127">
        <f t="shared" ca="1" si="97"/>
        <v>0</v>
      </c>
      <c r="N304" s="127">
        <f t="shared" ca="1" si="97"/>
        <v>0</v>
      </c>
      <c r="O304" s="127">
        <f t="shared" ca="1" si="97"/>
        <v>0</v>
      </c>
      <c r="P304" s="128">
        <f t="shared" ca="1" si="97"/>
        <v>0</v>
      </c>
      <c r="Q304" s="126">
        <f t="shared" ca="1" si="97"/>
        <v>0</v>
      </c>
      <c r="R304" s="127">
        <f t="shared" ca="1" si="97"/>
        <v>0</v>
      </c>
      <c r="S304" s="127">
        <f t="shared" ca="1" si="97"/>
        <v>0</v>
      </c>
      <c r="T304" s="127">
        <f t="shared" ca="1" si="97"/>
        <v>0</v>
      </c>
      <c r="U304" s="128">
        <f t="shared" ca="1" si="97"/>
        <v>0</v>
      </c>
      <c r="V304" s="126">
        <f t="shared" ca="1" si="97"/>
        <v>0</v>
      </c>
      <c r="W304" s="127">
        <f t="shared" ca="1" si="97"/>
        <v>0</v>
      </c>
      <c r="X304" s="127">
        <f t="shared" ca="1" si="97"/>
        <v>0</v>
      </c>
      <c r="Y304" s="127">
        <f t="shared" ca="1" si="97"/>
        <v>0</v>
      </c>
      <c r="Z304" s="128">
        <f t="shared" ca="1" si="97"/>
        <v>0</v>
      </c>
      <c r="AA304" s="126">
        <f t="shared" ca="1" si="97"/>
        <v>0</v>
      </c>
      <c r="AB304" s="127">
        <f t="shared" ca="1" si="96"/>
        <v>0</v>
      </c>
      <c r="AC304" s="127">
        <f t="shared" ca="1" si="96"/>
        <v>0</v>
      </c>
      <c r="AD304" s="127">
        <f t="shared" ca="1" si="96"/>
        <v>0</v>
      </c>
      <c r="AE304" s="128">
        <f t="shared" ca="1" si="96"/>
        <v>0</v>
      </c>
      <c r="AF304" s="126">
        <f t="shared" ca="1" si="96"/>
        <v>0</v>
      </c>
      <c r="AG304" s="127">
        <f t="shared" ca="1" si="96"/>
        <v>0</v>
      </c>
      <c r="AH304" s="127">
        <f t="shared" ca="1" si="96"/>
        <v>0</v>
      </c>
      <c r="AI304" s="127">
        <f t="shared" ca="1" si="96"/>
        <v>0</v>
      </c>
      <c r="AJ304" s="128">
        <f t="shared" ca="1" si="96"/>
        <v>0</v>
      </c>
      <c r="AK304" s="126">
        <f t="shared" ca="1" si="96"/>
        <v>0</v>
      </c>
      <c r="AL304" s="127">
        <f t="shared" ca="1" si="96"/>
        <v>0</v>
      </c>
      <c r="AM304" s="127">
        <f t="shared" ca="1" si="96"/>
        <v>0</v>
      </c>
      <c r="AN304" s="127">
        <f t="shared" ca="1" si="96"/>
        <v>0</v>
      </c>
      <c r="AO304" s="129">
        <f t="shared" ca="1" si="86"/>
        <v>0</v>
      </c>
      <c r="AP304" s="536" t="str">
        <f t="shared" si="91"/>
        <v/>
      </c>
      <c r="AQ304" s="536" t="str">
        <f t="shared" si="92"/>
        <v/>
      </c>
      <c r="AR304" s="536" t="str">
        <f t="shared" si="93"/>
        <v>X</v>
      </c>
      <c r="AS304" s="537">
        <f>IF(OR(J304&lt;&gt;"",AP304&amp;AQ304&amp;AR304&lt;&gt;"X",WEEKDAY(I304,2)&gt;5,C304&lt;&gt;0,(FechaInicio1Tri&gt;I304),(FechaFinEEva&lt;I304)),0,_xlfn.XLOOKUP(WEEKDAY(I304,2),Fchs!$J$10:$N$10,Fchs!$J$12:$N$12))</f>
        <v>1</v>
      </c>
      <c r="AT304" s="536">
        <f t="shared" ca="1" si="94"/>
        <v>0</v>
      </c>
      <c r="AU304" s="538">
        <f>IF(AS304&lt;&gt;0,MAXA($AU$14:AU303)+AS304,0)</f>
        <v>130</v>
      </c>
      <c r="AV304" s="538">
        <f ca="1">IF(AT304&lt;&gt;0,MAXA($AU$14:AU303)+AT304,0)</f>
        <v>0</v>
      </c>
      <c r="AW304" s="70"/>
    </row>
    <row r="305" spans="1:49" ht="18.75" customHeight="1" x14ac:dyDescent="0.25">
      <c r="A305" s="70"/>
      <c r="B305" s="56" t="str">
        <f>MID(Info!$AZ$3,(WEEKDAY(I305,2)-1)*3+1,3)</f>
        <v>Mié</v>
      </c>
      <c r="C305" s="523">
        <f>_xlfn.XLOOKUP(I305,Fchs!$F$156:$F$197,Fchs!$G$156:$G$197,0)</f>
        <v>0</v>
      </c>
      <c r="D305" s="523">
        <f>_xlfn.XLOOKUP(I305,Fchs!$F$156:$F$197,Fchs!$H$156:$H$197)</f>
        <v>0</v>
      </c>
      <c r="E305" s="532" t="str">
        <f>IF($AS305&lt;&gt;0,_xlfn.XLOOKUP($G305,UDs!$E$34:$E$55,UDs!$B$34:$B$55,,-1),0)</f>
        <v/>
      </c>
      <c r="F305" s="532">
        <f t="shared" ca="1" si="90"/>
        <v>0</v>
      </c>
      <c r="G305" s="569">
        <f>IF(AU305&lt;&gt;0,MAX($AU$13:$AU304)+1,0)</f>
        <v>131</v>
      </c>
      <c r="H305" s="569">
        <f>IF(AS305&lt;&gt;0,COUNT($H$14:H304,1),"")</f>
        <v>131</v>
      </c>
      <c r="I305" s="533">
        <f t="shared" si="95"/>
        <v>46162</v>
      </c>
      <c r="J305" s="534"/>
      <c r="K305" s="535"/>
      <c r="L305" s="126">
        <f t="shared" ca="1" si="97"/>
        <v>0</v>
      </c>
      <c r="M305" s="127">
        <f t="shared" ca="1" si="97"/>
        <v>0</v>
      </c>
      <c r="N305" s="127">
        <f t="shared" ca="1" si="97"/>
        <v>0</v>
      </c>
      <c r="O305" s="127">
        <f t="shared" ca="1" si="97"/>
        <v>0</v>
      </c>
      <c r="P305" s="128">
        <f t="shared" ca="1" si="97"/>
        <v>0</v>
      </c>
      <c r="Q305" s="126">
        <f t="shared" ca="1" si="97"/>
        <v>0</v>
      </c>
      <c r="R305" s="127">
        <f t="shared" ca="1" si="97"/>
        <v>0</v>
      </c>
      <c r="S305" s="127">
        <f t="shared" ca="1" si="97"/>
        <v>0</v>
      </c>
      <c r="T305" s="127">
        <f t="shared" ca="1" si="97"/>
        <v>0</v>
      </c>
      <c r="U305" s="128">
        <f t="shared" ca="1" si="97"/>
        <v>0</v>
      </c>
      <c r="V305" s="126">
        <f t="shared" ca="1" si="97"/>
        <v>0</v>
      </c>
      <c r="W305" s="127">
        <f t="shared" ca="1" si="97"/>
        <v>0</v>
      </c>
      <c r="X305" s="127">
        <f t="shared" ca="1" si="97"/>
        <v>0</v>
      </c>
      <c r="Y305" s="127">
        <f t="shared" ca="1" si="97"/>
        <v>0</v>
      </c>
      <c r="Z305" s="128">
        <f t="shared" ca="1" si="97"/>
        <v>0</v>
      </c>
      <c r="AA305" s="126">
        <f t="shared" ca="1" si="97"/>
        <v>0</v>
      </c>
      <c r="AB305" s="127">
        <f t="shared" ca="1" si="96"/>
        <v>0</v>
      </c>
      <c r="AC305" s="127">
        <f t="shared" ca="1" si="96"/>
        <v>0</v>
      </c>
      <c r="AD305" s="127">
        <f t="shared" ca="1" si="96"/>
        <v>0</v>
      </c>
      <c r="AE305" s="128">
        <f t="shared" ca="1" si="96"/>
        <v>0</v>
      </c>
      <c r="AF305" s="126">
        <f t="shared" ca="1" si="96"/>
        <v>0</v>
      </c>
      <c r="AG305" s="127">
        <f t="shared" ca="1" si="96"/>
        <v>0</v>
      </c>
      <c r="AH305" s="127">
        <f t="shared" ca="1" si="96"/>
        <v>0</v>
      </c>
      <c r="AI305" s="127">
        <f t="shared" ca="1" si="96"/>
        <v>0</v>
      </c>
      <c r="AJ305" s="128">
        <f t="shared" ca="1" si="96"/>
        <v>0</v>
      </c>
      <c r="AK305" s="126">
        <f t="shared" ca="1" si="96"/>
        <v>0</v>
      </c>
      <c r="AL305" s="127">
        <f t="shared" ca="1" si="96"/>
        <v>0</v>
      </c>
      <c r="AM305" s="127">
        <f t="shared" ca="1" si="96"/>
        <v>0</v>
      </c>
      <c r="AN305" s="127">
        <f t="shared" ca="1" si="96"/>
        <v>0</v>
      </c>
      <c r="AO305" s="129">
        <f t="shared" ca="1" si="86"/>
        <v>0</v>
      </c>
      <c r="AP305" s="536" t="str">
        <f t="shared" si="91"/>
        <v/>
      </c>
      <c r="AQ305" s="536" t="str">
        <f t="shared" si="92"/>
        <v/>
      </c>
      <c r="AR305" s="536" t="str">
        <f t="shared" si="93"/>
        <v>X</v>
      </c>
      <c r="AS305" s="537">
        <f>IF(OR(J305&lt;&gt;"",AP305&amp;AQ305&amp;AR305&lt;&gt;"X",WEEKDAY(I305,2)&gt;5,C305&lt;&gt;0,(FechaInicio1Tri&gt;I305),(FechaFinEEva&lt;I305)),0,_xlfn.XLOOKUP(WEEKDAY(I305,2),Fchs!$J$10:$N$10,Fchs!$J$12:$N$12))</f>
        <v>1</v>
      </c>
      <c r="AT305" s="536">
        <f t="shared" ca="1" si="94"/>
        <v>0</v>
      </c>
      <c r="AU305" s="538">
        <f>IF(AS305&lt;&gt;0,MAXA($AU$14:AU304)+AS305,0)</f>
        <v>131</v>
      </c>
      <c r="AV305" s="538">
        <f ca="1">IF(AT305&lt;&gt;0,MAXA($AU$14:AU304)+AT305,0)</f>
        <v>0</v>
      </c>
      <c r="AW305" s="70"/>
    </row>
    <row r="306" spans="1:49" ht="18.75" customHeight="1" x14ac:dyDescent="0.25">
      <c r="A306" s="70"/>
      <c r="B306" s="56" t="str">
        <f>MID(Info!$AZ$3,(WEEKDAY(I306,2)-1)*3+1,3)</f>
        <v>Jue</v>
      </c>
      <c r="C306" s="523">
        <f>_xlfn.XLOOKUP(I306,Fchs!$F$156:$F$197,Fchs!$G$156:$G$197,0)</f>
        <v>0</v>
      </c>
      <c r="D306" s="523">
        <f>_xlfn.XLOOKUP(I306,Fchs!$F$156:$F$197,Fchs!$H$156:$H$197)</f>
        <v>0</v>
      </c>
      <c r="E306" s="532" t="str">
        <f>IF($AS306&lt;&gt;0,_xlfn.XLOOKUP($G306,UDs!$E$34:$E$55,UDs!$B$34:$B$55,,-1),0)</f>
        <v/>
      </c>
      <c r="F306" s="532">
        <f t="shared" ca="1" si="90"/>
        <v>0</v>
      </c>
      <c r="G306" s="569">
        <f>IF(AU306&lt;&gt;0,MAX($AU$13:$AU305)+1,0)</f>
        <v>132</v>
      </c>
      <c r="H306" s="569">
        <f>IF(AS306&lt;&gt;0,COUNT($H$14:H305,1),"")</f>
        <v>132</v>
      </c>
      <c r="I306" s="533">
        <f t="shared" si="95"/>
        <v>46163</v>
      </c>
      <c r="J306" s="534"/>
      <c r="K306" s="535"/>
      <c r="L306" s="126">
        <f t="shared" ca="1" si="97"/>
        <v>0</v>
      </c>
      <c r="M306" s="127">
        <f t="shared" ca="1" si="97"/>
        <v>0</v>
      </c>
      <c r="N306" s="127">
        <f t="shared" ca="1" si="97"/>
        <v>0</v>
      </c>
      <c r="O306" s="127">
        <f t="shared" ca="1" si="97"/>
        <v>0</v>
      </c>
      <c r="P306" s="128">
        <f t="shared" ca="1" si="97"/>
        <v>0</v>
      </c>
      <c r="Q306" s="126">
        <f t="shared" ca="1" si="97"/>
        <v>0</v>
      </c>
      <c r="R306" s="127">
        <f t="shared" ca="1" si="97"/>
        <v>0</v>
      </c>
      <c r="S306" s="127">
        <f t="shared" ca="1" si="97"/>
        <v>0</v>
      </c>
      <c r="T306" s="127">
        <f t="shared" ca="1" si="97"/>
        <v>0</v>
      </c>
      <c r="U306" s="128">
        <f t="shared" ca="1" si="97"/>
        <v>0</v>
      </c>
      <c r="V306" s="126">
        <f t="shared" ca="1" si="97"/>
        <v>0</v>
      </c>
      <c r="W306" s="127">
        <f t="shared" ca="1" si="97"/>
        <v>0</v>
      </c>
      <c r="X306" s="127">
        <f t="shared" ca="1" si="97"/>
        <v>0</v>
      </c>
      <c r="Y306" s="127">
        <f t="shared" ca="1" si="97"/>
        <v>0</v>
      </c>
      <c r="Z306" s="128">
        <f t="shared" ca="1" si="97"/>
        <v>0</v>
      </c>
      <c r="AA306" s="126">
        <f t="shared" ca="1" si="97"/>
        <v>0</v>
      </c>
      <c r="AB306" s="127">
        <f t="shared" ca="1" si="96"/>
        <v>0</v>
      </c>
      <c r="AC306" s="127">
        <f t="shared" ca="1" si="96"/>
        <v>0</v>
      </c>
      <c r="AD306" s="127">
        <f t="shared" ca="1" si="96"/>
        <v>0</v>
      </c>
      <c r="AE306" s="128">
        <f t="shared" ca="1" si="96"/>
        <v>0</v>
      </c>
      <c r="AF306" s="126">
        <f t="shared" ca="1" si="96"/>
        <v>0</v>
      </c>
      <c r="AG306" s="127">
        <f t="shared" ca="1" si="96"/>
        <v>0</v>
      </c>
      <c r="AH306" s="127">
        <f t="shared" ca="1" si="96"/>
        <v>0</v>
      </c>
      <c r="AI306" s="127">
        <f t="shared" ca="1" si="96"/>
        <v>0</v>
      </c>
      <c r="AJ306" s="128">
        <f t="shared" ca="1" si="96"/>
        <v>0</v>
      </c>
      <c r="AK306" s="126">
        <f t="shared" ca="1" si="96"/>
        <v>0</v>
      </c>
      <c r="AL306" s="127">
        <f t="shared" ca="1" si="96"/>
        <v>0</v>
      </c>
      <c r="AM306" s="127">
        <f t="shared" ca="1" si="96"/>
        <v>0</v>
      </c>
      <c r="AN306" s="127">
        <f t="shared" ca="1" si="96"/>
        <v>0</v>
      </c>
      <c r="AO306" s="129">
        <f t="shared" ca="1" si="86"/>
        <v>0</v>
      </c>
      <c r="AP306" s="536" t="str">
        <f t="shared" si="91"/>
        <v/>
      </c>
      <c r="AQ306" s="536" t="str">
        <f t="shared" si="92"/>
        <v/>
      </c>
      <c r="AR306" s="536" t="str">
        <f t="shared" si="93"/>
        <v>X</v>
      </c>
      <c r="AS306" s="537">
        <f>IF(OR(J306&lt;&gt;"",AP306&amp;AQ306&amp;AR306&lt;&gt;"X",WEEKDAY(I306,2)&gt;5,C306&lt;&gt;0,(FechaInicio1Tri&gt;I306),(FechaFinEEva&lt;I306)),0,_xlfn.XLOOKUP(WEEKDAY(I306,2),Fchs!$J$10:$N$10,Fchs!$J$12:$N$12))</f>
        <v>1</v>
      </c>
      <c r="AT306" s="536">
        <f t="shared" ca="1" si="94"/>
        <v>0</v>
      </c>
      <c r="AU306" s="538">
        <f>IF(AS306&lt;&gt;0,MAXA($AU$14:AU305)+AS306,0)</f>
        <v>132</v>
      </c>
      <c r="AV306" s="538">
        <f ca="1">IF(AT306&lt;&gt;0,MAXA($AU$14:AU305)+AT306,0)</f>
        <v>0</v>
      </c>
      <c r="AW306" s="70"/>
    </row>
    <row r="307" spans="1:49" ht="18.75" customHeight="1" x14ac:dyDescent="0.25">
      <c r="A307" s="70"/>
      <c r="B307" s="56" t="str">
        <f>MID(Info!$AZ$3,(WEEKDAY(I307,2)-1)*3+1,3)</f>
        <v>Vie</v>
      </c>
      <c r="C307" s="523">
        <f>_xlfn.XLOOKUP(I307,Fchs!$F$156:$F$197,Fchs!$G$156:$G$197,0)</f>
        <v>0</v>
      </c>
      <c r="D307" s="523">
        <f>_xlfn.XLOOKUP(I307,Fchs!$F$156:$F$197,Fchs!$H$156:$H$197)</f>
        <v>0</v>
      </c>
      <c r="E307" s="532" t="str">
        <f>IF($AS307&lt;&gt;0,_xlfn.XLOOKUP($G307,UDs!$E$34:$E$55,UDs!$B$34:$B$55,,-1),0)</f>
        <v/>
      </c>
      <c r="F307" s="532">
        <f t="shared" ca="1" si="90"/>
        <v>0</v>
      </c>
      <c r="G307" s="569">
        <f>IF(AU307&lt;&gt;0,MAX($AU$13:$AU306)+1,0)</f>
        <v>133</v>
      </c>
      <c r="H307" s="569">
        <f>IF(AS307&lt;&gt;0,COUNT($H$14:H306,1),"")</f>
        <v>133</v>
      </c>
      <c r="I307" s="533">
        <f t="shared" si="95"/>
        <v>46164</v>
      </c>
      <c r="J307" s="534"/>
      <c r="K307" s="535"/>
      <c r="L307" s="126">
        <f t="shared" ca="1" si="97"/>
        <v>0</v>
      </c>
      <c r="M307" s="127">
        <f t="shared" ca="1" si="97"/>
        <v>0</v>
      </c>
      <c r="N307" s="127">
        <f t="shared" ca="1" si="97"/>
        <v>0</v>
      </c>
      <c r="O307" s="127">
        <f t="shared" ca="1" si="97"/>
        <v>0</v>
      </c>
      <c r="P307" s="128">
        <f t="shared" ca="1" si="97"/>
        <v>0</v>
      </c>
      <c r="Q307" s="126">
        <f t="shared" ca="1" si="97"/>
        <v>0</v>
      </c>
      <c r="R307" s="127">
        <f t="shared" ca="1" si="97"/>
        <v>0</v>
      </c>
      <c r="S307" s="127">
        <f t="shared" ca="1" si="97"/>
        <v>0</v>
      </c>
      <c r="T307" s="127">
        <f t="shared" ca="1" si="97"/>
        <v>0</v>
      </c>
      <c r="U307" s="128">
        <f t="shared" ca="1" si="97"/>
        <v>0</v>
      </c>
      <c r="V307" s="126">
        <f t="shared" ca="1" si="97"/>
        <v>0</v>
      </c>
      <c r="W307" s="127">
        <f t="shared" ca="1" si="97"/>
        <v>0</v>
      </c>
      <c r="X307" s="127">
        <f t="shared" ca="1" si="97"/>
        <v>0</v>
      </c>
      <c r="Y307" s="127">
        <f t="shared" ca="1" si="97"/>
        <v>0</v>
      </c>
      <c r="Z307" s="128">
        <f t="shared" ca="1" si="97"/>
        <v>0</v>
      </c>
      <c r="AA307" s="126">
        <f t="shared" ca="1" si="97"/>
        <v>0</v>
      </c>
      <c r="AB307" s="127">
        <f t="shared" ca="1" si="96"/>
        <v>0</v>
      </c>
      <c r="AC307" s="127">
        <f t="shared" ca="1" si="96"/>
        <v>0</v>
      </c>
      <c r="AD307" s="127">
        <f t="shared" ca="1" si="96"/>
        <v>0</v>
      </c>
      <c r="AE307" s="128">
        <f t="shared" ca="1" si="96"/>
        <v>0</v>
      </c>
      <c r="AF307" s="126">
        <f t="shared" ca="1" si="96"/>
        <v>0</v>
      </c>
      <c r="AG307" s="127">
        <f t="shared" ca="1" si="96"/>
        <v>0</v>
      </c>
      <c r="AH307" s="127">
        <f t="shared" ca="1" si="96"/>
        <v>0</v>
      </c>
      <c r="AI307" s="127">
        <f t="shared" ca="1" si="96"/>
        <v>0</v>
      </c>
      <c r="AJ307" s="128">
        <f t="shared" ca="1" si="96"/>
        <v>0</v>
      </c>
      <c r="AK307" s="126">
        <f t="shared" ca="1" si="96"/>
        <v>0</v>
      </c>
      <c r="AL307" s="127">
        <f t="shared" ca="1" si="96"/>
        <v>0</v>
      </c>
      <c r="AM307" s="127">
        <f t="shared" ca="1" si="96"/>
        <v>0</v>
      </c>
      <c r="AN307" s="127">
        <f t="shared" ca="1" si="96"/>
        <v>0</v>
      </c>
      <c r="AO307" s="129">
        <f t="shared" ca="1" si="86"/>
        <v>0</v>
      </c>
      <c r="AP307" s="536" t="str">
        <f t="shared" si="91"/>
        <v/>
      </c>
      <c r="AQ307" s="536" t="str">
        <f t="shared" si="92"/>
        <v/>
      </c>
      <c r="AR307" s="536" t="str">
        <f t="shared" si="93"/>
        <v>X</v>
      </c>
      <c r="AS307" s="537">
        <f>IF(OR(J307&lt;&gt;"",AP307&amp;AQ307&amp;AR307&lt;&gt;"X",WEEKDAY(I307,2)&gt;5,C307&lt;&gt;0,(FechaInicio1Tri&gt;I307),(FechaFinEEva&lt;I307)),0,_xlfn.XLOOKUP(WEEKDAY(I307,2),Fchs!$J$10:$N$10,Fchs!$J$12:$N$12))</f>
        <v>1</v>
      </c>
      <c r="AT307" s="536">
        <f t="shared" ca="1" si="94"/>
        <v>0</v>
      </c>
      <c r="AU307" s="538">
        <f>IF(AS307&lt;&gt;0,MAXA($AU$14:AU306)+AS307,0)</f>
        <v>133</v>
      </c>
      <c r="AV307" s="538">
        <f ca="1">IF(AT307&lt;&gt;0,MAXA($AU$14:AU306)+AT307,0)</f>
        <v>0</v>
      </c>
      <c r="AW307" s="70"/>
    </row>
    <row r="308" spans="1:49" ht="18.75" customHeight="1" x14ac:dyDescent="0.25">
      <c r="A308" s="70"/>
      <c r="B308" s="56" t="str">
        <f>MID(Info!$AZ$3,(WEEKDAY(I308,2)-1)*3+1,3)</f>
        <v>Sáb</v>
      </c>
      <c r="C308" s="523">
        <f>_xlfn.XLOOKUP(I308,Fchs!$F$156:$F$197,Fchs!$G$156:$G$197,0)</f>
        <v>0</v>
      </c>
      <c r="D308" s="523">
        <f>_xlfn.XLOOKUP(I308,Fchs!$F$156:$F$197,Fchs!$H$156:$H$197)</f>
        <v>0</v>
      </c>
      <c r="E308" s="532">
        <f>IF($AS308&lt;&gt;0,_xlfn.XLOOKUP($G308,UDs!$E$34:$E$55,UDs!$B$34:$B$55,,-1),0)</f>
        <v>0</v>
      </c>
      <c r="F308" s="532">
        <f t="shared" ca="1" si="90"/>
        <v>0</v>
      </c>
      <c r="G308" s="569">
        <f>IF(AU308&lt;&gt;0,MAX($AU$13:$AU307)+1,0)</f>
        <v>0</v>
      </c>
      <c r="H308" s="569" t="str">
        <f>IF(AS308&lt;&gt;0,COUNT($H$14:H307,1),"")</f>
        <v/>
      </c>
      <c r="I308" s="533">
        <f t="shared" si="95"/>
        <v>46165</v>
      </c>
      <c r="J308" s="534"/>
      <c r="K308" s="535"/>
      <c r="L308" s="126">
        <f t="shared" ca="1" si="97"/>
        <v>0</v>
      </c>
      <c r="M308" s="127">
        <f t="shared" ca="1" si="97"/>
        <v>0</v>
      </c>
      <c r="N308" s="127">
        <f t="shared" ca="1" si="97"/>
        <v>0</v>
      </c>
      <c r="O308" s="127">
        <f t="shared" ca="1" si="97"/>
        <v>0</v>
      </c>
      <c r="P308" s="128">
        <f t="shared" ca="1" si="97"/>
        <v>0</v>
      </c>
      <c r="Q308" s="126">
        <f t="shared" ca="1" si="97"/>
        <v>0</v>
      </c>
      <c r="R308" s="127">
        <f t="shared" ca="1" si="97"/>
        <v>0</v>
      </c>
      <c r="S308" s="127">
        <f t="shared" ca="1" si="97"/>
        <v>0</v>
      </c>
      <c r="T308" s="127">
        <f t="shared" ca="1" si="97"/>
        <v>0</v>
      </c>
      <c r="U308" s="128">
        <f t="shared" ca="1" si="97"/>
        <v>0</v>
      </c>
      <c r="V308" s="126">
        <f t="shared" ca="1" si="97"/>
        <v>0</v>
      </c>
      <c r="W308" s="127">
        <f t="shared" ca="1" si="97"/>
        <v>0</v>
      </c>
      <c r="X308" s="127">
        <f t="shared" ca="1" si="97"/>
        <v>0</v>
      </c>
      <c r="Y308" s="127">
        <f t="shared" ca="1" si="97"/>
        <v>0</v>
      </c>
      <c r="Z308" s="128">
        <f t="shared" ca="1" si="97"/>
        <v>0</v>
      </c>
      <c r="AA308" s="126">
        <f t="shared" ca="1" si="97"/>
        <v>0</v>
      </c>
      <c r="AB308" s="127">
        <f t="shared" ca="1" si="96"/>
        <v>0</v>
      </c>
      <c r="AC308" s="127">
        <f t="shared" ca="1" si="96"/>
        <v>0</v>
      </c>
      <c r="AD308" s="127">
        <f t="shared" ca="1" si="96"/>
        <v>0</v>
      </c>
      <c r="AE308" s="128">
        <f t="shared" ca="1" si="96"/>
        <v>0</v>
      </c>
      <c r="AF308" s="126">
        <f t="shared" ca="1" si="96"/>
        <v>0</v>
      </c>
      <c r="AG308" s="127">
        <f t="shared" ca="1" si="96"/>
        <v>0</v>
      </c>
      <c r="AH308" s="127">
        <f t="shared" ca="1" si="96"/>
        <v>0</v>
      </c>
      <c r="AI308" s="127">
        <f t="shared" ca="1" si="96"/>
        <v>0</v>
      </c>
      <c r="AJ308" s="128">
        <f t="shared" ca="1" si="96"/>
        <v>0</v>
      </c>
      <c r="AK308" s="126">
        <f t="shared" ca="1" si="96"/>
        <v>0</v>
      </c>
      <c r="AL308" s="127">
        <f t="shared" ca="1" si="96"/>
        <v>0</v>
      </c>
      <c r="AM308" s="127">
        <f t="shared" ca="1" si="96"/>
        <v>0</v>
      </c>
      <c r="AN308" s="127">
        <f t="shared" ca="1" si="96"/>
        <v>0</v>
      </c>
      <c r="AO308" s="129">
        <f t="shared" ca="1" si="86"/>
        <v>0</v>
      </c>
      <c r="AP308" s="536" t="str">
        <f t="shared" si="91"/>
        <v/>
      </c>
      <c r="AQ308" s="536" t="str">
        <f t="shared" si="92"/>
        <v/>
      </c>
      <c r="AR308" s="536" t="str">
        <f t="shared" si="93"/>
        <v/>
      </c>
      <c r="AS308" s="537">
        <f>IF(OR(J308&lt;&gt;"",AP308&amp;AQ308&amp;AR308&lt;&gt;"X",WEEKDAY(I308,2)&gt;5,C308&lt;&gt;0,(FechaInicio1Tri&gt;I308),(FechaFinEEva&lt;I308)),0,_xlfn.XLOOKUP(WEEKDAY(I308,2),Fchs!$J$10:$N$10,Fchs!$J$12:$N$12))</f>
        <v>0</v>
      </c>
      <c r="AT308" s="536">
        <f t="shared" ca="1" si="94"/>
        <v>0</v>
      </c>
      <c r="AU308" s="538">
        <f>IF(AS308&lt;&gt;0,MAXA($AU$14:AU307)+AS308,0)</f>
        <v>0</v>
      </c>
      <c r="AV308" s="538">
        <f ca="1">IF(AT308&lt;&gt;0,MAXA($AU$14:AU307)+AT308,0)</f>
        <v>0</v>
      </c>
      <c r="AW308" s="70"/>
    </row>
    <row r="309" spans="1:49" ht="18.600000000000001" customHeight="1" x14ac:dyDescent="0.25">
      <c r="A309" s="70"/>
      <c r="B309" s="56" t="str">
        <f>MID(Info!$AZ$3,(WEEKDAY(I309,2)-1)*3+1,3)</f>
        <v>Dom</v>
      </c>
      <c r="C309" s="523">
        <f>_xlfn.XLOOKUP(I309,Fchs!$F$156:$F$197,Fchs!$G$156:$G$197,0)</f>
        <v>0</v>
      </c>
      <c r="D309" s="523">
        <f>_xlfn.XLOOKUP(I309,Fchs!$F$156:$F$197,Fchs!$H$156:$H$197)</f>
        <v>0</v>
      </c>
      <c r="E309" s="532">
        <f>IF($AS309&lt;&gt;0,_xlfn.XLOOKUP($G309,UDs!$E$34:$E$55,UDs!$B$34:$B$55,,-1),0)</f>
        <v>0</v>
      </c>
      <c r="F309" s="532">
        <f t="shared" ca="1" si="90"/>
        <v>0</v>
      </c>
      <c r="G309" s="569">
        <f>IF(AU309&lt;&gt;0,MAX($AU$13:$AU308)+1,0)</f>
        <v>0</v>
      </c>
      <c r="H309" s="569" t="str">
        <f>IF(AS309&lt;&gt;0,COUNT($H$14:H308,1),"")</f>
        <v/>
      </c>
      <c r="I309" s="533">
        <f t="shared" si="95"/>
        <v>46166</v>
      </c>
      <c r="J309" s="534"/>
      <c r="K309" s="535"/>
      <c r="L309" s="126">
        <f t="shared" ca="1" si="97"/>
        <v>0</v>
      </c>
      <c r="M309" s="127">
        <f t="shared" ca="1" si="97"/>
        <v>0</v>
      </c>
      <c r="N309" s="127">
        <f t="shared" ca="1" si="97"/>
        <v>0</v>
      </c>
      <c r="O309" s="127">
        <f t="shared" ca="1" si="97"/>
        <v>0</v>
      </c>
      <c r="P309" s="128">
        <f t="shared" ca="1" si="97"/>
        <v>0</v>
      </c>
      <c r="Q309" s="126">
        <f t="shared" ca="1" si="97"/>
        <v>0</v>
      </c>
      <c r="R309" s="127">
        <f t="shared" ca="1" si="97"/>
        <v>0</v>
      </c>
      <c r="S309" s="127">
        <f t="shared" ca="1" si="97"/>
        <v>0</v>
      </c>
      <c r="T309" s="127">
        <f t="shared" ca="1" si="97"/>
        <v>0</v>
      </c>
      <c r="U309" s="128">
        <f t="shared" ca="1" si="97"/>
        <v>0</v>
      </c>
      <c r="V309" s="126">
        <f t="shared" ca="1" si="97"/>
        <v>0</v>
      </c>
      <c r="W309" s="127">
        <f t="shared" ca="1" si="97"/>
        <v>0</v>
      </c>
      <c r="X309" s="127">
        <f t="shared" ca="1" si="97"/>
        <v>0</v>
      </c>
      <c r="Y309" s="127">
        <f t="shared" ca="1" si="97"/>
        <v>0</v>
      </c>
      <c r="Z309" s="128">
        <f t="shared" ca="1" si="97"/>
        <v>0</v>
      </c>
      <c r="AA309" s="126">
        <f t="shared" ca="1" si="97"/>
        <v>0</v>
      </c>
      <c r="AB309" s="127">
        <f t="shared" ca="1" si="96"/>
        <v>0</v>
      </c>
      <c r="AC309" s="127">
        <f t="shared" ca="1" si="96"/>
        <v>0</v>
      </c>
      <c r="AD309" s="127">
        <f t="shared" ca="1" si="96"/>
        <v>0</v>
      </c>
      <c r="AE309" s="128">
        <f t="shared" ca="1" si="96"/>
        <v>0</v>
      </c>
      <c r="AF309" s="126">
        <f t="shared" ca="1" si="96"/>
        <v>0</v>
      </c>
      <c r="AG309" s="127">
        <f t="shared" ca="1" si="96"/>
        <v>0</v>
      </c>
      <c r="AH309" s="127">
        <f t="shared" ca="1" si="96"/>
        <v>0</v>
      </c>
      <c r="AI309" s="127">
        <f t="shared" ca="1" si="96"/>
        <v>0</v>
      </c>
      <c r="AJ309" s="128">
        <f t="shared" ca="1" si="96"/>
        <v>0</v>
      </c>
      <c r="AK309" s="126">
        <f t="shared" ca="1" si="96"/>
        <v>0</v>
      </c>
      <c r="AL309" s="127">
        <f t="shared" ca="1" si="96"/>
        <v>0</v>
      </c>
      <c r="AM309" s="127">
        <f t="shared" ca="1" si="96"/>
        <v>0</v>
      </c>
      <c r="AN309" s="127">
        <f t="shared" ca="1" si="96"/>
        <v>0</v>
      </c>
      <c r="AO309" s="129">
        <f t="shared" ca="1" si="86"/>
        <v>0</v>
      </c>
      <c r="AP309" s="536" t="str">
        <f t="shared" si="91"/>
        <v/>
      </c>
      <c r="AQ309" s="536" t="str">
        <f t="shared" si="92"/>
        <v/>
      </c>
      <c r="AR309" s="536" t="str">
        <f t="shared" si="93"/>
        <v/>
      </c>
      <c r="AS309" s="537">
        <f>IF(OR(J309&lt;&gt;"",AP309&amp;AQ309&amp;AR309&lt;&gt;"X",WEEKDAY(I309,2)&gt;5,C309&lt;&gt;0,(FechaInicio1Tri&gt;I309),(FechaFinEEva&lt;I309)),0,_xlfn.XLOOKUP(WEEKDAY(I309,2),Fchs!$J$10:$N$10,Fchs!$J$12:$N$12))</f>
        <v>0</v>
      </c>
      <c r="AT309" s="536">
        <f t="shared" ca="1" si="94"/>
        <v>0</v>
      </c>
      <c r="AU309" s="538">
        <f>IF(AS309&lt;&gt;0,MAXA($AU$14:AU308)+AS309,0)</f>
        <v>0</v>
      </c>
      <c r="AV309" s="538">
        <f ca="1">IF(AT309&lt;&gt;0,MAXA($AU$14:AU308)+AT309,0)</f>
        <v>0</v>
      </c>
      <c r="AW309" s="70"/>
    </row>
    <row r="310" spans="1:49" ht="18.75" customHeight="1" x14ac:dyDescent="0.25">
      <c r="A310" s="70"/>
      <c r="B310" s="56" t="str">
        <f>MID(Info!$AZ$3,(WEEKDAY(I310,2)-1)*3+1,3)</f>
        <v>Lun</v>
      </c>
      <c r="C310" s="523">
        <f>_xlfn.XLOOKUP(I310,Fchs!$F$156:$F$197,Fchs!$G$156:$G$197,0)</f>
        <v>0</v>
      </c>
      <c r="D310" s="523">
        <f>_xlfn.XLOOKUP(I310,Fchs!$F$156:$F$197,Fchs!$H$156:$H$197)</f>
        <v>0</v>
      </c>
      <c r="E310" s="532" t="str">
        <f>IF($AS310&lt;&gt;0,_xlfn.XLOOKUP($G310,UDs!$E$34:$E$55,UDs!$B$34:$B$55,,-1),0)</f>
        <v/>
      </c>
      <c r="F310" s="532">
        <f t="shared" ca="1" si="90"/>
        <v>0</v>
      </c>
      <c r="G310" s="569">
        <f>IF(AU310&lt;&gt;0,MAX($AU$13:$AU309)+1,0)</f>
        <v>134</v>
      </c>
      <c r="H310" s="569">
        <f>IF(AS310&lt;&gt;0,COUNT($H$14:H309,1),"")</f>
        <v>134</v>
      </c>
      <c r="I310" s="533">
        <f t="shared" si="95"/>
        <v>46167</v>
      </c>
      <c r="J310" s="534"/>
      <c r="K310" s="535"/>
      <c r="L310" s="126">
        <f t="shared" ca="1" si="97"/>
        <v>0</v>
      </c>
      <c r="M310" s="127">
        <f t="shared" ca="1" si="97"/>
        <v>0</v>
      </c>
      <c r="N310" s="127">
        <f t="shared" ca="1" si="97"/>
        <v>0</v>
      </c>
      <c r="O310" s="127">
        <f t="shared" ca="1" si="97"/>
        <v>0</v>
      </c>
      <c r="P310" s="128">
        <f t="shared" ca="1" si="97"/>
        <v>0</v>
      </c>
      <c r="Q310" s="126">
        <f t="shared" ca="1" si="97"/>
        <v>0</v>
      </c>
      <c r="R310" s="127">
        <f t="shared" ca="1" si="97"/>
        <v>0</v>
      </c>
      <c r="S310" s="127">
        <f t="shared" ca="1" si="97"/>
        <v>0</v>
      </c>
      <c r="T310" s="127">
        <f t="shared" ca="1" si="97"/>
        <v>0</v>
      </c>
      <c r="U310" s="128">
        <f t="shared" ca="1" si="97"/>
        <v>0</v>
      </c>
      <c r="V310" s="126">
        <f t="shared" ca="1" si="97"/>
        <v>0</v>
      </c>
      <c r="W310" s="127">
        <f t="shared" ca="1" si="97"/>
        <v>0</v>
      </c>
      <c r="X310" s="127">
        <f t="shared" ca="1" si="97"/>
        <v>0</v>
      </c>
      <c r="Y310" s="127">
        <f t="shared" ca="1" si="97"/>
        <v>0</v>
      </c>
      <c r="Z310" s="128">
        <f t="shared" ca="1" si="97"/>
        <v>0</v>
      </c>
      <c r="AA310" s="126">
        <f t="shared" ref="AA310:AO349" ca="1" si="98">$AT310</f>
        <v>0</v>
      </c>
      <c r="AB310" s="127">
        <f t="shared" ca="1" si="98"/>
        <v>0</v>
      </c>
      <c r="AC310" s="127">
        <f t="shared" ca="1" si="98"/>
        <v>0</v>
      </c>
      <c r="AD310" s="127">
        <f t="shared" ca="1" si="98"/>
        <v>0</v>
      </c>
      <c r="AE310" s="128">
        <f t="shared" ca="1" si="98"/>
        <v>0</v>
      </c>
      <c r="AF310" s="126">
        <f t="shared" ca="1" si="98"/>
        <v>0</v>
      </c>
      <c r="AG310" s="127">
        <f t="shared" ca="1" si="98"/>
        <v>0</v>
      </c>
      <c r="AH310" s="127">
        <f t="shared" ca="1" si="98"/>
        <v>0</v>
      </c>
      <c r="AI310" s="127">
        <f t="shared" ca="1" si="98"/>
        <v>0</v>
      </c>
      <c r="AJ310" s="128">
        <f t="shared" ca="1" si="98"/>
        <v>0</v>
      </c>
      <c r="AK310" s="126">
        <f t="shared" ca="1" si="98"/>
        <v>0</v>
      </c>
      <c r="AL310" s="127">
        <f t="shared" ca="1" si="98"/>
        <v>0</v>
      </c>
      <c r="AM310" s="127">
        <f t="shared" ca="1" si="98"/>
        <v>0</v>
      </c>
      <c r="AN310" s="127">
        <f t="shared" ca="1" si="98"/>
        <v>0</v>
      </c>
      <c r="AO310" s="129">
        <f t="shared" ca="1" si="86"/>
        <v>0</v>
      </c>
      <c r="AP310" s="536" t="str">
        <f t="shared" si="91"/>
        <v/>
      </c>
      <c r="AQ310" s="536" t="str">
        <f t="shared" si="92"/>
        <v/>
      </c>
      <c r="AR310" s="536" t="str">
        <f t="shared" si="93"/>
        <v>X</v>
      </c>
      <c r="AS310" s="537">
        <f>IF(OR(J310&lt;&gt;"",AP310&amp;AQ310&amp;AR310&lt;&gt;"X",WEEKDAY(I310,2)&gt;5,C310&lt;&gt;0,(FechaInicio1Tri&gt;I310),(FechaFinEEva&lt;I310)),0,_xlfn.XLOOKUP(WEEKDAY(I310,2),Fchs!$J$10:$N$10,Fchs!$J$12:$N$12))</f>
        <v>1</v>
      </c>
      <c r="AT310" s="536">
        <f t="shared" ca="1" si="94"/>
        <v>0</v>
      </c>
      <c r="AU310" s="538">
        <f>IF(AS310&lt;&gt;0,MAXA($AU$14:AU309)+AS310,0)</f>
        <v>134</v>
      </c>
      <c r="AV310" s="538">
        <f ca="1">IF(AT310&lt;&gt;0,MAXA($AU$14:AU309)+AT310,0)</f>
        <v>0</v>
      </c>
      <c r="AW310" s="70"/>
    </row>
    <row r="311" spans="1:49" ht="18.75" customHeight="1" x14ac:dyDescent="0.25">
      <c r="A311" s="70"/>
      <c r="B311" s="56" t="str">
        <f>MID(Info!$AZ$3,(WEEKDAY(I311,2)-1)*3+1,3)</f>
        <v>Mar</v>
      </c>
      <c r="C311" s="523">
        <f>_xlfn.XLOOKUP(I311,Fchs!$F$156:$F$197,Fchs!$G$156:$G$197,0)</f>
        <v>0</v>
      </c>
      <c r="D311" s="523">
        <f>_xlfn.XLOOKUP(I311,Fchs!$F$156:$F$197,Fchs!$H$156:$H$197)</f>
        <v>0</v>
      </c>
      <c r="E311" s="532" t="str">
        <f>IF($AS311&lt;&gt;0,_xlfn.XLOOKUP($G311,UDs!$E$34:$E$55,UDs!$B$34:$B$55,,-1),0)</f>
        <v/>
      </c>
      <c r="F311" s="532">
        <f t="shared" ca="1" si="90"/>
        <v>0</v>
      </c>
      <c r="G311" s="569">
        <f>IF(AU311&lt;&gt;0,MAX($AU$13:$AU310)+1,0)</f>
        <v>135</v>
      </c>
      <c r="H311" s="569">
        <f>IF(AS311&lt;&gt;0,COUNT($H$14:H310,1),"")</f>
        <v>135</v>
      </c>
      <c r="I311" s="533">
        <f t="shared" si="95"/>
        <v>46168</v>
      </c>
      <c r="J311" s="534"/>
      <c r="K311" s="535"/>
      <c r="L311" s="126">
        <f t="shared" ref="L311:AA326" ca="1" si="99">$AT311</f>
        <v>0</v>
      </c>
      <c r="M311" s="127">
        <f t="shared" ca="1" si="99"/>
        <v>0</v>
      </c>
      <c r="N311" s="127">
        <f t="shared" ca="1" si="99"/>
        <v>0</v>
      </c>
      <c r="O311" s="127">
        <f t="shared" ca="1" si="99"/>
        <v>0</v>
      </c>
      <c r="P311" s="128">
        <f t="shared" ca="1" si="99"/>
        <v>0</v>
      </c>
      <c r="Q311" s="126">
        <f t="shared" ca="1" si="99"/>
        <v>0</v>
      </c>
      <c r="R311" s="127">
        <f t="shared" ca="1" si="99"/>
        <v>0</v>
      </c>
      <c r="S311" s="127">
        <f t="shared" ca="1" si="99"/>
        <v>0</v>
      </c>
      <c r="T311" s="127">
        <f t="shared" ca="1" si="99"/>
        <v>0</v>
      </c>
      <c r="U311" s="128">
        <f t="shared" ca="1" si="99"/>
        <v>0</v>
      </c>
      <c r="V311" s="126">
        <f t="shared" ca="1" si="99"/>
        <v>0</v>
      </c>
      <c r="W311" s="127">
        <f t="shared" ca="1" si="99"/>
        <v>0</v>
      </c>
      <c r="X311" s="127">
        <f t="shared" ca="1" si="99"/>
        <v>0</v>
      </c>
      <c r="Y311" s="127">
        <f t="shared" ca="1" si="99"/>
        <v>0</v>
      </c>
      <c r="Z311" s="128">
        <f t="shared" ca="1" si="99"/>
        <v>0</v>
      </c>
      <c r="AA311" s="126">
        <f t="shared" ca="1" si="99"/>
        <v>0</v>
      </c>
      <c r="AB311" s="127">
        <f t="shared" ca="1" si="98"/>
        <v>0</v>
      </c>
      <c r="AC311" s="127">
        <f t="shared" ca="1" si="98"/>
        <v>0</v>
      </c>
      <c r="AD311" s="127">
        <f t="shared" ca="1" si="98"/>
        <v>0</v>
      </c>
      <c r="AE311" s="128">
        <f t="shared" ca="1" si="98"/>
        <v>0</v>
      </c>
      <c r="AF311" s="126">
        <f t="shared" ca="1" si="98"/>
        <v>0</v>
      </c>
      <c r="AG311" s="127">
        <f t="shared" ca="1" si="98"/>
        <v>0</v>
      </c>
      <c r="AH311" s="127">
        <f t="shared" ca="1" si="98"/>
        <v>0</v>
      </c>
      <c r="AI311" s="127">
        <f t="shared" ca="1" si="98"/>
        <v>0</v>
      </c>
      <c r="AJ311" s="128">
        <f t="shared" ca="1" si="98"/>
        <v>0</v>
      </c>
      <c r="AK311" s="126">
        <f t="shared" ca="1" si="98"/>
        <v>0</v>
      </c>
      <c r="AL311" s="127">
        <f t="shared" ca="1" si="98"/>
        <v>0</v>
      </c>
      <c r="AM311" s="127">
        <f t="shared" ca="1" si="98"/>
        <v>0</v>
      </c>
      <c r="AN311" s="127">
        <f t="shared" ca="1" si="98"/>
        <v>0</v>
      </c>
      <c r="AO311" s="129">
        <f t="shared" ca="1" si="86"/>
        <v>0</v>
      </c>
      <c r="AP311" s="536" t="str">
        <f t="shared" si="91"/>
        <v/>
      </c>
      <c r="AQ311" s="536" t="str">
        <f t="shared" si="92"/>
        <v/>
      </c>
      <c r="AR311" s="536" t="str">
        <f t="shared" si="93"/>
        <v>X</v>
      </c>
      <c r="AS311" s="537">
        <f>IF(OR(J311&lt;&gt;"",AP311&amp;AQ311&amp;AR311&lt;&gt;"X",WEEKDAY(I311,2)&gt;5,C311&lt;&gt;0,(FechaInicio1Tri&gt;I311),(FechaFinEEva&lt;I311)),0,_xlfn.XLOOKUP(WEEKDAY(I311,2),Fchs!$J$10:$N$10,Fchs!$J$12:$N$12))</f>
        <v>1</v>
      </c>
      <c r="AT311" s="536">
        <f t="shared" ca="1" si="94"/>
        <v>0</v>
      </c>
      <c r="AU311" s="538">
        <f>IF(AS311&lt;&gt;0,MAXA($AU$14:AU310)+AS311,0)</f>
        <v>135</v>
      </c>
      <c r="AV311" s="538">
        <f ca="1">IF(AT311&lt;&gt;0,MAXA($AU$14:AU310)+AT311,0)</f>
        <v>0</v>
      </c>
      <c r="AW311" s="70"/>
    </row>
    <row r="312" spans="1:49" ht="18.75" customHeight="1" x14ac:dyDescent="0.25">
      <c r="A312" s="70"/>
      <c r="B312" s="56" t="str">
        <f>MID(Info!$AZ$3,(WEEKDAY(I312,2)-1)*3+1,3)</f>
        <v>Mié</v>
      </c>
      <c r="C312" s="523">
        <f>_xlfn.XLOOKUP(I312,Fchs!$F$156:$F$197,Fchs!$G$156:$G$197,0)</f>
        <v>0</v>
      </c>
      <c r="D312" s="523">
        <f>_xlfn.XLOOKUP(I312,Fchs!$F$156:$F$197,Fchs!$H$156:$H$197)</f>
        <v>0</v>
      </c>
      <c r="E312" s="532" t="str">
        <f>IF($AS312&lt;&gt;0,_xlfn.XLOOKUP($G312,UDs!$E$34:$E$55,UDs!$B$34:$B$55,,-1),0)</f>
        <v/>
      </c>
      <c r="F312" s="532">
        <f t="shared" ca="1" si="90"/>
        <v>0</v>
      </c>
      <c r="G312" s="569">
        <f>IF(AU312&lt;&gt;0,MAX($AU$13:$AU311)+1,0)</f>
        <v>136</v>
      </c>
      <c r="H312" s="569">
        <f>IF(AS312&lt;&gt;0,COUNT($H$14:H311,1),"")</f>
        <v>136</v>
      </c>
      <c r="I312" s="533">
        <f t="shared" si="95"/>
        <v>46169</v>
      </c>
      <c r="J312" s="534"/>
      <c r="K312" s="535"/>
      <c r="L312" s="126">
        <f t="shared" ca="1" si="99"/>
        <v>0</v>
      </c>
      <c r="M312" s="127">
        <f t="shared" ca="1" si="99"/>
        <v>0</v>
      </c>
      <c r="N312" s="127">
        <f t="shared" ca="1" si="99"/>
        <v>0</v>
      </c>
      <c r="O312" s="127">
        <f t="shared" ca="1" si="99"/>
        <v>0</v>
      </c>
      <c r="P312" s="128">
        <f t="shared" ca="1" si="99"/>
        <v>0</v>
      </c>
      <c r="Q312" s="126">
        <f t="shared" ca="1" si="99"/>
        <v>0</v>
      </c>
      <c r="R312" s="127">
        <f t="shared" ca="1" si="99"/>
        <v>0</v>
      </c>
      <c r="S312" s="127">
        <f t="shared" ca="1" si="99"/>
        <v>0</v>
      </c>
      <c r="T312" s="127">
        <f t="shared" ca="1" si="99"/>
        <v>0</v>
      </c>
      <c r="U312" s="128">
        <f t="shared" ca="1" si="99"/>
        <v>0</v>
      </c>
      <c r="V312" s="126">
        <f t="shared" ca="1" si="99"/>
        <v>0</v>
      </c>
      <c r="W312" s="127">
        <f t="shared" ca="1" si="99"/>
        <v>0</v>
      </c>
      <c r="X312" s="127">
        <f t="shared" ca="1" si="99"/>
        <v>0</v>
      </c>
      <c r="Y312" s="127">
        <f t="shared" ca="1" si="99"/>
        <v>0</v>
      </c>
      <c r="Z312" s="128">
        <f t="shared" ca="1" si="99"/>
        <v>0</v>
      </c>
      <c r="AA312" s="126">
        <f t="shared" ca="1" si="99"/>
        <v>0</v>
      </c>
      <c r="AB312" s="127">
        <f t="shared" ca="1" si="98"/>
        <v>0</v>
      </c>
      <c r="AC312" s="127">
        <f t="shared" ca="1" si="98"/>
        <v>0</v>
      </c>
      <c r="AD312" s="127">
        <f t="shared" ca="1" si="98"/>
        <v>0</v>
      </c>
      <c r="AE312" s="128">
        <f t="shared" ca="1" si="98"/>
        <v>0</v>
      </c>
      <c r="AF312" s="126">
        <f t="shared" ca="1" si="98"/>
        <v>0</v>
      </c>
      <c r="AG312" s="127">
        <f t="shared" ca="1" si="98"/>
        <v>0</v>
      </c>
      <c r="AH312" s="127">
        <f t="shared" ca="1" si="98"/>
        <v>0</v>
      </c>
      <c r="AI312" s="127">
        <f t="shared" ca="1" si="98"/>
        <v>0</v>
      </c>
      <c r="AJ312" s="128">
        <f t="shared" ca="1" si="98"/>
        <v>0</v>
      </c>
      <c r="AK312" s="126">
        <f t="shared" ca="1" si="98"/>
        <v>0</v>
      </c>
      <c r="AL312" s="127">
        <f t="shared" ca="1" si="98"/>
        <v>0</v>
      </c>
      <c r="AM312" s="127">
        <f t="shared" ca="1" si="98"/>
        <v>0</v>
      </c>
      <c r="AN312" s="127">
        <f t="shared" ca="1" si="98"/>
        <v>0</v>
      </c>
      <c r="AO312" s="129">
        <f t="shared" ca="1" si="86"/>
        <v>0</v>
      </c>
      <c r="AP312" s="536" t="str">
        <f t="shared" si="91"/>
        <v/>
      </c>
      <c r="AQ312" s="536" t="str">
        <f t="shared" si="92"/>
        <v/>
      </c>
      <c r="AR312" s="536" t="str">
        <f t="shared" si="93"/>
        <v>X</v>
      </c>
      <c r="AS312" s="537">
        <f>IF(OR(J312&lt;&gt;"",AP312&amp;AQ312&amp;AR312&lt;&gt;"X",WEEKDAY(I312,2)&gt;5,C312&lt;&gt;0,(FechaInicio1Tri&gt;I312),(FechaFinEEva&lt;I312)),0,_xlfn.XLOOKUP(WEEKDAY(I312,2),Fchs!$J$10:$N$10,Fchs!$J$12:$N$12))</f>
        <v>1</v>
      </c>
      <c r="AT312" s="536">
        <f t="shared" ca="1" si="94"/>
        <v>0</v>
      </c>
      <c r="AU312" s="538">
        <f>IF(AS312&lt;&gt;0,MAXA($AU$14:AU311)+AS312,0)</f>
        <v>136</v>
      </c>
      <c r="AV312" s="538">
        <f ca="1">IF(AT312&lt;&gt;0,MAXA($AU$14:AU311)+AT312,0)</f>
        <v>0</v>
      </c>
      <c r="AW312" s="70"/>
    </row>
    <row r="313" spans="1:49" ht="18.75" customHeight="1" x14ac:dyDescent="0.25">
      <c r="A313" s="70"/>
      <c r="B313" s="56" t="str">
        <f>MID(Info!$AZ$3,(WEEKDAY(I313,2)-1)*3+1,3)</f>
        <v>Jue</v>
      </c>
      <c r="C313" s="523">
        <f>_xlfn.XLOOKUP(I313,Fchs!$F$156:$F$197,Fchs!$G$156:$G$197,0)</f>
        <v>0</v>
      </c>
      <c r="D313" s="523">
        <f>_xlfn.XLOOKUP(I313,Fchs!$F$156:$F$197,Fchs!$H$156:$H$197)</f>
        <v>0</v>
      </c>
      <c r="E313" s="532" t="str">
        <f>IF($AS313&lt;&gt;0,_xlfn.XLOOKUP($G313,UDs!$E$34:$E$55,UDs!$B$34:$B$55,,-1),0)</f>
        <v/>
      </c>
      <c r="F313" s="532">
        <f t="shared" ca="1" si="90"/>
        <v>0</v>
      </c>
      <c r="G313" s="569">
        <f>IF(AU313&lt;&gt;0,MAX($AU$13:$AU312)+1,0)</f>
        <v>137</v>
      </c>
      <c r="H313" s="569">
        <f>IF(AS313&lt;&gt;0,COUNT($H$14:H312,1),"")</f>
        <v>137</v>
      </c>
      <c r="I313" s="533">
        <f t="shared" si="95"/>
        <v>46170</v>
      </c>
      <c r="J313" s="534"/>
      <c r="K313" s="535"/>
      <c r="L313" s="126">
        <f t="shared" ca="1" si="99"/>
        <v>0</v>
      </c>
      <c r="M313" s="127">
        <f t="shared" ca="1" si="99"/>
        <v>0</v>
      </c>
      <c r="N313" s="127">
        <f t="shared" ca="1" si="99"/>
        <v>0</v>
      </c>
      <c r="O313" s="127">
        <f t="shared" ca="1" si="99"/>
        <v>0</v>
      </c>
      <c r="P313" s="128">
        <f t="shared" ca="1" si="99"/>
        <v>0</v>
      </c>
      <c r="Q313" s="126">
        <f t="shared" ca="1" si="99"/>
        <v>0</v>
      </c>
      <c r="R313" s="127">
        <f t="shared" ca="1" si="99"/>
        <v>0</v>
      </c>
      <c r="S313" s="127">
        <f t="shared" ca="1" si="99"/>
        <v>0</v>
      </c>
      <c r="T313" s="127">
        <f t="shared" ca="1" si="99"/>
        <v>0</v>
      </c>
      <c r="U313" s="128">
        <f t="shared" ca="1" si="99"/>
        <v>0</v>
      </c>
      <c r="V313" s="126">
        <f t="shared" ca="1" si="99"/>
        <v>0</v>
      </c>
      <c r="W313" s="127">
        <f t="shared" ca="1" si="99"/>
        <v>0</v>
      </c>
      <c r="X313" s="127">
        <f t="shared" ca="1" si="99"/>
        <v>0</v>
      </c>
      <c r="Y313" s="127">
        <f t="shared" ca="1" si="99"/>
        <v>0</v>
      </c>
      <c r="Z313" s="128">
        <f t="shared" ca="1" si="99"/>
        <v>0</v>
      </c>
      <c r="AA313" s="126">
        <f t="shared" ca="1" si="99"/>
        <v>0</v>
      </c>
      <c r="AB313" s="127">
        <f t="shared" ca="1" si="98"/>
        <v>0</v>
      </c>
      <c r="AC313" s="127">
        <f t="shared" ca="1" si="98"/>
        <v>0</v>
      </c>
      <c r="AD313" s="127">
        <f t="shared" ca="1" si="98"/>
        <v>0</v>
      </c>
      <c r="AE313" s="128">
        <f t="shared" ca="1" si="98"/>
        <v>0</v>
      </c>
      <c r="AF313" s="126">
        <f t="shared" ca="1" si="98"/>
        <v>0</v>
      </c>
      <c r="AG313" s="127">
        <f t="shared" ca="1" si="98"/>
        <v>0</v>
      </c>
      <c r="AH313" s="127">
        <f t="shared" ca="1" si="98"/>
        <v>0</v>
      </c>
      <c r="AI313" s="127">
        <f t="shared" ca="1" si="98"/>
        <v>0</v>
      </c>
      <c r="AJ313" s="128">
        <f t="shared" ca="1" si="98"/>
        <v>0</v>
      </c>
      <c r="AK313" s="126">
        <f t="shared" ca="1" si="98"/>
        <v>0</v>
      </c>
      <c r="AL313" s="127">
        <f t="shared" ca="1" si="98"/>
        <v>0</v>
      </c>
      <c r="AM313" s="127">
        <f t="shared" ca="1" si="98"/>
        <v>0</v>
      </c>
      <c r="AN313" s="127">
        <f t="shared" ca="1" si="98"/>
        <v>0</v>
      </c>
      <c r="AO313" s="129">
        <f t="shared" ca="1" si="86"/>
        <v>0</v>
      </c>
      <c r="AP313" s="536" t="str">
        <f t="shared" si="91"/>
        <v/>
      </c>
      <c r="AQ313" s="536" t="str">
        <f t="shared" si="92"/>
        <v/>
      </c>
      <c r="AR313" s="536" t="str">
        <f t="shared" si="93"/>
        <v>X</v>
      </c>
      <c r="AS313" s="537">
        <f>IF(OR(J313&lt;&gt;"",AP313&amp;AQ313&amp;AR313&lt;&gt;"X",WEEKDAY(I313,2)&gt;5,C313&lt;&gt;0,(FechaInicio1Tri&gt;I313),(FechaFinEEva&lt;I313)),0,_xlfn.XLOOKUP(WEEKDAY(I313,2),Fchs!$J$10:$N$10,Fchs!$J$12:$N$12))</f>
        <v>1</v>
      </c>
      <c r="AT313" s="536">
        <f t="shared" ca="1" si="94"/>
        <v>0</v>
      </c>
      <c r="AU313" s="538">
        <f>IF(AS313&lt;&gt;0,MAXA($AU$14:AU312)+AS313,0)</f>
        <v>137</v>
      </c>
      <c r="AV313" s="538">
        <f ca="1">IF(AT313&lt;&gt;0,MAXA($AU$14:AU312)+AT313,0)</f>
        <v>0</v>
      </c>
      <c r="AW313" s="70"/>
    </row>
    <row r="314" spans="1:49" ht="18.75" customHeight="1" x14ac:dyDescent="0.25">
      <c r="A314" s="70"/>
      <c r="B314" s="56" t="str">
        <f>MID(Info!$AZ$3,(WEEKDAY(I314,2)-1)*3+1,3)</f>
        <v>Vie</v>
      </c>
      <c r="C314" s="523">
        <f>_xlfn.XLOOKUP(I314,Fchs!$F$156:$F$197,Fchs!$G$156:$G$197,0)</f>
        <v>0</v>
      </c>
      <c r="D314" s="523">
        <f>_xlfn.XLOOKUP(I314,Fchs!$F$156:$F$197,Fchs!$H$156:$H$197)</f>
        <v>0</v>
      </c>
      <c r="E314" s="532" t="str">
        <f>IF($AS314&lt;&gt;0,_xlfn.XLOOKUP($G314,UDs!$E$34:$E$55,UDs!$B$34:$B$55,,-1),0)</f>
        <v/>
      </c>
      <c r="F314" s="532">
        <f t="shared" ca="1" si="90"/>
        <v>0</v>
      </c>
      <c r="G314" s="569">
        <f>IF(AU314&lt;&gt;0,MAX($AU$13:$AU313)+1,0)</f>
        <v>138</v>
      </c>
      <c r="H314" s="569">
        <f>IF(AS314&lt;&gt;0,COUNT($H$14:H313,1),"")</f>
        <v>138</v>
      </c>
      <c r="I314" s="533">
        <f t="shared" si="95"/>
        <v>46171</v>
      </c>
      <c r="J314" s="534"/>
      <c r="K314" s="535"/>
      <c r="L314" s="126">
        <f t="shared" ca="1" si="99"/>
        <v>0</v>
      </c>
      <c r="M314" s="127">
        <f t="shared" ca="1" si="99"/>
        <v>0</v>
      </c>
      <c r="N314" s="127">
        <f t="shared" ca="1" si="99"/>
        <v>0</v>
      </c>
      <c r="O314" s="127">
        <f t="shared" ca="1" si="99"/>
        <v>0</v>
      </c>
      <c r="P314" s="128">
        <f t="shared" ca="1" si="99"/>
        <v>0</v>
      </c>
      <c r="Q314" s="126">
        <f t="shared" ca="1" si="99"/>
        <v>0</v>
      </c>
      <c r="R314" s="127">
        <f t="shared" ca="1" si="99"/>
        <v>0</v>
      </c>
      <c r="S314" s="127">
        <f t="shared" ca="1" si="99"/>
        <v>0</v>
      </c>
      <c r="T314" s="127">
        <f t="shared" ca="1" si="99"/>
        <v>0</v>
      </c>
      <c r="U314" s="128">
        <f t="shared" ca="1" si="99"/>
        <v>0</v>
      </c>
      <c r="V314" s="126">
        <f t="shared" ca="1" si="99"/>
        <v>0</v>
      </c>
      <c r="W314" s="127">
        <f t="shared" ca="1" si="99"/>
        <v>0</v>
      </c>
      <c r="X314" s="127">
        <f t="shared" ca="1" si="99"/>
        <v>0</v>
      </c>
      <c r="Y314" s="127">
        <f t="shared" ca="1" si="99"/>
        <v>0</v>
      </c>
      <c r="Z314" s="128">
        <f t="shared" ca="1" si="99"/>
        <v>0</v>
      </c>
      <c r="AA314" s="126">
        <f t="shared" ca="1" si="99"/>
        <v>0</v>
      </c>
      <c r="AB314" s="127">
        <f t="shared" ca="1" si="98"/>
        <v>0</v>
      </c>
      <c r="AC314" s="127">
        <f t="shared" ca="1" si="98"/>
        <v>0</v>
      </c>
      <c r="AD314" s="127">
        <f t="shared" ca="1" si="98"/>
        <v>0</v>
      </c>
      <c r="AE314" s="128">
        <f t="shared" ca="1" si="98"/>
        <v>0</v>
      </c>
      <c r="AF314" s="126">
        <f t="shared" ca="1" si="98"/>
        <v>0</v>
      </c>
      <c r="AG314" s="127">
        <f t="shared" ca="1" si="98"/>
        <v>0</v>
      </c>
      <c r="AH314" s="127">
        <f t="shared" ca="1" si="98"/>
        <v>0</v>
      </c>
      <c r="AI314" s="127">
        <f t="shared" ca="1" si="98"/>
        <v>0</v>
      </c>
      <c r="AJ314" s="128">
        <f t="shared" ca="1" si="98"/>
        <v>0</v>
      </c>
      <c r="AK314" s="126">
        <f t="shared" ca="1" si="98"/>
        <v>0</v>
      </c>
      <c r="AL314" s="127">
        <f t="shared" ca="1" si="98"/>
        <v>0</v>
      </c>
      <c r="AM314" s="127">
        <f t="shared" ca="1" si="98"/>
        <v>0</v>
      </c>
      <c r="AN314" s="127">
        <f t="shared" ca="1" si="98"/>
        <v>0</v>
      </c>
      <c r="AO314" s="129">
        <f t="shared" ca="1" si="86"/>
        <v>0</v>
      </c>
      <c r="AP314" s="536" t="str">
        <f t="shared" si="91"/>
        <v/>
      </c>
      <c r="AQ314" s="536" t="str">
        <f t="shared" si="92"/>
        <v/>
      </c>
      <c r="AR314" s="536" t="str">
        <f t="shared" si="93"/>
        <v>X</v>
      </c>
      <c r="AS314" s="537">
        <f>IF(OR(J314&lt;&gt;"",AP314&amp;AQ314&amp;AR314&lt;&gt;"X",WEEKDAY(I314,2)&gt;5,C314&lt;&gt;0,(FechaInicio1Tri&gt;I314),(FechaFinEEva&lt;I314)),0,_xlfn.XLOOKUP(WEEKDAY(I314,2),Fchs!$J$10:$N$10,Fchs!$J$12:$N$12))</f>
        <v>1</v>
      </c>
      <c r="AT314" s="536">
        <f t="shared" ca="1" si="94"/>
        <v>0</v>
      </c>
      <c r="AU314" s="538">
        <f>IF(AS314&lt;&gt;0,MAXA($AU$14:AU313)+AS314,0)</f>
        <v>138</v>
      </c>
      <c r="AV314" s="538">
        <f ca="1">IF(AT314&lt;&gt;0,MAXA($AU$14:AU313)+AT314,0)</f>
        <v>0</v>
      </c>
      <c r="AW314" s="70"/>
    </row>
    <row r="315" spans="1:49" ht="18.75" customHeight="1" x14ac:dyDescent="0.25">
      <c r="A315" s="70"/>
      <c r="B315" s="56" t="str">
        <f>MID(Info!$AZ$3,(WEEKDAY(I315,2)-1)*3+1,3)</f>
        <v>Sáb</v>
      </c>
      <c r="C315" s="523">
        <f>_xlfn.XLOOKUP(I315,Fchs!$F$156:$F$197,Fchs!$G$156:$G$197,0)</f>
        <v>0</v>
      </c>
      <c r="D315" s="523">
        <f>_xlfn.XLOOKUP(I315,Fchs!$F$156:$F$197,Fchs!$H$156:$H$197)</f>
        <v>0</v>
      </c>
      <c r="E315" s="532">
        <f>IF($AS315&lt;&gt;0,_xlfn.XLOOKUP($G315,UDs!$E$34:$E$55,UDs!$B$34:$B$55,,-1),0)</f>
        <v>0</v>
      </c>
      <c r="F315" s="532">
        <f t="shared" ca="1" si="90"/>
        <v>0</v>
      </c>
      <c r="G315" s="569">
        <f>IF(AU315&lt;&gt;0,MAX($AU$13:$AU314)+1,0)</f>
        <v>0</v>
      </c>
      <c r="H315" s="569" t="str">
        <f>IF(AS315&lt;&gt;0,COUNT($H$14:H314,1),"")</f>
        <v/>
      </c>
      <c r="I315" s="533">
        <f t="shared" si="95"/>
        <v>46172</v>
      </c>
      <c r="J315" s="534"/>
      <c r="K315" s="535"/>
      <c r="L315" s="126">
        <f t="shared" ca="1" si="99"/>
        <v>0</v>
      </c>
      <c r="M315" s="127">
        <f t="shared" ca="1" si="99"/>
        <v>0</v>
      </c>
      <c r="N315" s="127">
        <f t="shared" ca="1" si="99"/>
        <v>0</v>
      </c>
      <c r="O315" s="127">
        <f t="shared" ca="1" si="99"/>
        <v>0</v>
      </c>
      <c r="P315" s="128">
        <f t="shared" ca="1" si="99"/>
        <v>0</v>
      </c>
      <c r="Q315" s="126">
        <f t="shared" ca="1" si="99"/>
        <v>0</v>
      </c>
      <c r="R315" s="127">
        <f t="shared" ca="1" si="99"/>
        <v>0</v>
      </c>
      <c r="S315" s="127">
        <f t="shared" ca="1" si="99"/>
        <v>0</v>
      </c>
      <c r="T315" s="127">
        <f t="shared" ca="1" si="99"/>
        <v>0</v>
      </c>
      <c r="U315" s="128">
        <f t="shared" ca="1" si="99"/>
        <v>0</v>
      </c>
      <c r="V315" s="126">
        <f t="shared" ca="1" si="99"/>
        <v>0</v>
      </c>
      <c r="W315" s="127">
        <f t="shared" ca="1" si="99"/>
        <v>0</v>
      </c>
      <c r="X315" s="127">
        <f t="shared" ca="1" si="99"/>
        <v>0</v>
      </c>
      <c r="Y315" s="127">
        <f t="shared" ca="1" si="99"/>
        <v>0</v>
      </c>
      <c r="Z315" s="128">
        <f t="shared" ca="1" si="99"/>
        <v>0</v>
      </c>
      <c r="AA315" s="126">
        <f t="shared" ca="1" si="99"/>
        <v>0</v>
      </c>
      <c r="AB315" s="127">
        <f t="shared" ca="1" si="98"/>
        <v>0</v>
      </c>
      <c r="AC315" s="127">
        <f t="shared" ca="1" si="98"/>
        <v>0</v>
      </c>
      <c r="AD315" s="127">
        <f t="shared" ca="1" si="98"/>
        <v>0</v>
      </c>
      <c r="AE315" s="128">
        <f t="shared" ca="1" si="98"/>
        <v>0</v>
      </c>
      <c r="AF315" s="126">
        <f t="shared" ca="1" si="98"/>
        <v>0</v>
      </c>
      <c r="AG315" s="127">
        <f t="shared" ca="1" si="98"/>
        <v>0</v>
      </c>
      <c r="AH315" s="127">
        <f t="shared" ca="1" si="98"/>
        <v>0</v>
      </c>
      <c r="AI315" s="127">
        <f t="shared" ca="1" si="98"/>
        <v>0</v>
      </c>
      <c r="AJ315" s="128">
        <f t="shared" ca="1" si="98"/>
        <v>0</v>
      </c>
      <c r="AK315" s="126">
        <f t="shared" ca="1" si="98"/>
        <v>0</v>
      </c>
      <c r="AL315" s="127">
        <f t="shared" ca="1" si="98"/>
        <v>0</v>
      </c>
      <c r="AM315" s="127">
        <f t="shared" ca="1" si="98"/>
        <v>0</v>
      </c>
      <c r="AN315" s="127">
        <f t="shared" ca="1" si="98"/>
        <v>0</v>
      </c>
      <c r="AO315" s="129">
        <f t="shared" ca="1" si="86"/>
        <v>0</v>
      </c>
      <c r="AP315" s="536" t="str">
        <f t="shared" si="91"/>
        <v/>
      </c>
      <c r="AQ315" s="536" t="str">
        <f t="shared" si="92"/>
        <v/>
      </c>
      <c r="AR315" s="536" t="str">
        <f t="shared" si="93"/>
        <v/>
      </c>
      <c r="AS315" s="537">
        <f>IF(OR(J315&lt;&gt;"",AP315&amp;AQ315&amp;AR315&lt;&gt;"X",WEEKDAY(I315,2)&gt;5,C315&lt;&gt;0,(FechaInicio1Tri&gt;I315),(FechaFinEEva&lt;I315)),0,_xlfn.XLOOKUP(WEEKDAY(I315,2),Fchs!$J$10:$N$10,Fchs!$J$12:$N$12))</f>
        <v>0</v>
      </c>
      <c r="AT315" s="536">
        <f t="shared" ca="1" si="94"/>
        <v>0</v>
      </c>
      <c r="AU315" s="538">
        <f>IF(AS315&lt;&gt;0,MAXA($AU$14:AU314)+AS315,0)</f>
        <v>0</v>
      </c>
      <c r="AV315" s="538">
        <f ca="1">IF(AT315&lt;&gt;0,MAXA($AU$14:AU314)+AT315,0)</f>
        <v>0</v>
      </c>
      <c r="AW315" s="70"/>
    </row>
    <row r="316" spans="1:49" ht="18.75" customHeight="1" x14ac:dyDescent="0.25">
      <c r="A316" s="70"/>
      <c r="B316" s="530" t="str">
        <f>MID(Info!$AZ$3,(WEEKDAY(I316,2)-1)*3+1,3)</f>
        <v>Dom</v>
      </c>
      <c r="C316" s="611">
        <f>_xlfn.XLOOKUP(I316,Fchs!$F$156:$F$197,Fchs!$G$156:$G$197,0)</f>
        <v>0</v>
      </c>
      <c r="D316" s="611">
        <f>_xlfn.XLOOKUP(I316,Fchs!$F$156:$F$197,Fchs!$H$156:$H$197)</f>
        <v>0</v>
      </c>
      <c r="E316" s="539">
        <f>IF($AS316&lt;&gt;0,_xlfn.XLOOKUP($G316,UDs!$E$34:$E$55,UDs!$B$34:$B$55,,-1),0)</f>
        <v>0</v>
      </c>
      <c r="F316" s="539">
        <f t="shared" ca="1" si="90"/>
        <v>0</v>
      </c>
      <c r="G316" s="570">
        <f>IF(AU316&lt;&gt;0,MAX($AU$13:$AU315)+1,0)</f>
        <v>0</v>
      </c>
      <c r="H316" s="570" t="str">
        <f>IF(AS316&lt;&gt;0,COUNT($H$14:H315,1),"")</f>
        <v/>
      </c>
      <c r="I316" s="540">
        <f t="shared" si="95"/>
        <v>46173</v>
      </c>
      <c r="J316" s="541"/>
      <c r="K316" s="542"/>
      <c r="L316" s="121">
        <f t="shared" ca="1" si="99"/>
        <v>0</v>
      </c>
      <c r="M316" s="122">
        <f t="shared" ca="1" si="99"/>
        <v>0</v>
      </c>
      <c r="N316" s="122">
        <f t="shared" ca="1" si="99"/>
        <v>0</v>
      </c>
      <c r="O316" s="122">
        <f t="shared" ca="1" si="99"/>
        <v>0</v>
      </c>
      <c r="P316" s="123">
        <f t="shared" ca="1" si="99"/>
        <v>0</v>
      </c>
      <c r="Q316" s="121">
        <f t="shared" ca="1" si="99"/>
        <v>0</v>
      </c>
      <c r="R316" s="122">
        <f t="shared" ca="1" si="99"/>
        <v>0</v>
      </c>
      <c r="S316" s="122">
        <f t="shared" ca="1" si="99"/>
        <v>0</v>
      </c>
      <c r="T316" s="122">
        <f t="shared" ca="1" si="99"/>
        <v>0</v>
      </c>
      <c r="U316" s="123">
        <f t="shared" ca="1" si="99"/>
        <v>0</v>
      </c>
      <c r="V316" s="121">
        <f t="shared" ca="1" si="99"/>
        <v>0</v>
      </c>
      <c r="W316" s="122">
        <f t="shared" ca="1" si="99"/>
        <v>0</v>
      </c>
      <c r="X316" s="122">
        <f t="shared" ca="1" si="99"/>
        <v>0</v>
      </c>
      <c r="Y316" s="122">
        <f t="shared" ca="1" si="99"/>
        <v>0</v>
      </c>
      <c r="Z316" s="123">
        <f t="shared" ca="1" si="99"/>
        <v>0</v>
      </c>
      <c r="AA316" s="121">
        <f t="shared" ca="1" si="99"/>
        <v>0</v>
      </c>
      <c r="AB316" s="122">
        <f t="shared" ca="1" si="98"/>
        <v>0</v>
      </c>
      <c r="AC316" s="122">
        <f t="shared" ca="1" si="98"/>
        <v>0</v>
      </c>
      <c r="AD316" s="122">
        <f t="shared" ca="1" si="98"/>
        <v>0</v>
      </c>
      <c r="AE316" s="123">
        <f t="shared" ca="1" si="98"/>
        <v>0</v>
      </c>
      <c r="AF316" s="121">
        <f t="shared" ca="1" si="98"/>
        <v>0</v>
      </c>
      <c r="AG316" s="122">
        <f t="shared" ca="1" si="98"/>
        <v>0</v>
      </c>
      <c r="AH316" s="122">
        <f t="shared" ca="1" si="98"/>
        <v>0</v>
      </c>
      <c r="AI316" s="122">
        <f t="shared" ca="1" si="98"/>
        <v>0</v>
      </c>
      <c r="AJ316" s="123">
        <f t="shared" ca="1" si="98"/>
        <v>0</v>
      </c>
      <c r="AK316" s="121">
        <f t="shared" ca="1" si="98"/>
        <v>0</v>
      </c>
      <c r="AL316" s="122">
        <f t="shared" ca="1" si="98"/>
        <v>0</v>
      </c>
      <c r="AM316" s="122">
        <f t="shared" ca="1" si="98"/>
        <v>0</v>
      </c>
      <c r="AN316" s="122">
        <f t="shared" ca="1" si="98"/>
        <v>0</v>
      </c>
      <c r="AO316" s="123">
        <f t="shared" ca="1" si="98"/>
        <v>0</v>
      </c>
      <c r="AP316" s="536" t="str">
        <f t="shared" si="91"/>
        <v/>
      </c>
      <c r="AQ316" s="536" t="str">
        <f t="shared" si="92"/>
        <v/>
      </c>
      <c r="AR316" s="536" t="str">
        <f t="shared" si="93"/>
        <v/>
      </c>
      <c r="AS316" s="537">
        <f>IF(OR(J316&lt;&gt;"",AP316&amp;AQ316&amp;AR316&lt;&gt;"X",WEEKDAY(I316,2)&gt;5,C316&lt;&gt;0,(FechaInicio1Tri&gt;I316),(FechaFinEEva&lt;I316)),0,_xlfn.XLOOKUP(WEEKDAY(I316,2),Fchs!$J$10:$N$10,Fchs!$J$12:$N$12))</f>
        <v>0</v>
      </c>
      <c r="AT316" s="536">
        <f t="shared" ca="1" si="94"/>
        <v>0</v>
      </c>
      <c r="AU316" s="538">
        <f>IF(AS316&lt;&gt;0,MAXA($AU$14:AU315)+AS316,0)</f>
        <v>0</v>
      </c>
      <c r="AV316" s="538">
        <f ca="1">IF(AT316&lt;&gt;0,MAXA($AU$14:AU315)+AT316,0)</f>
        <v>0</v>
      </c>
      <c r="AW316" s="70"/>
    </row>
    <row r="317" spans="1:49" ht="18.75" customHeight="1" thickBot="1" x14ac:dyDescent="0.3">
      <c r="A317" s="106"/>
      <c r="B317" s="79"/>
      <c r="C317" s="543"/>
      <c r="D317" s="543"/>
      <c r="E317" s="543"/>
      <c r="F317" s="543"/>
      <c r="G317" s="124"/>
      <c r="H317" s="124"/>
      <c r="I317" s="544"/>
      <c r="J317" s="106"/>
      <c r="K317" s="106"/>
      <c r="L317" s="543"/>
      <c r="M317" s="543"/>
      <c r="N317" s="543"/>
      <c r="O317" s="543"/>
      <c r="P317" s="543"/>
      <c r="Q317" s="543"/>
      <c r="R317" s="543"/>
      <c r="S317" s="543"/>
      <c r="T317" s="543"/>
      <c r="U317" s="543"/>
      <c r="V317" s="543"/>
      <c r="W317" s="543"/>
      <c r="X317" s="543"/>
      <c r="Y317" s="543"/>
      <c r="Z317" s="543"/>
      <c r="AA317" s="543"/>
      <c r="AB317" s="543"/>
      <c r="AC317" s="543"/>
      <c r="AD317" s="543"/>
      <c r="AE317" s="543"/>
      <c r="AF317" s="543"/>
      <c r="AG317" s="543"/>
      <c r="AH317" s="543"/>
      <c r="AI317" s="543"/>
      <c r="AJ317" s="543"/>
      <c r="AK317" s="543"/>
      <c r="AL317" s="543"/>
      <c r="AM317" s="543"/>
      <c r="AN317" s="543"/>
      <c r="AO317" s="543"/>
      <c r="AP317" s="124" t="str">
        <f>IF(AND(FechaInicio1Tri&lt;=$I317, FechaFin1Tri&gt;=$I317),"X","")</f>
        <v/>
      </c>
      <c r="AQ317" s="124" t="str">
        <f>IF(AND(FechaInicio2Tri&lt;=$I317, FechaFin2Tri&gt;=$I317),"X","")</f>
        <v/>
      </c>
      <c r="AR317" s="124" t="str">
        <f>IF(AND(FechaInicio3Tri&lt;=$I317, FechaFin3Tri&gt;=$I317, NTri&gt;=3),"X","")</f>
        <v/>
      </c>
      <c r="AS317" s="545"/>
      <c r="AT317" s="545"/>
      <c r="AU317" s="545"/>
      <c r="AV317" s="545"/>
      <c r="AW317" s="106"/>
    </row>
    <row r="318" spans="1:49" ht="18.75" customHeight="1" x14ac:dyDescent="0.25">
      <c r="A318" s="226"/>
      <c r="B318" s="546" t="str">
        <f>MID(Info!$AZ$5,(MONTH(I320)-1)*3+1,3)&amp;" "&amp;YEAR(I320)</f>
        <v xml:space="preserve"> 2026</v>
      </c>
      <c r="C318" s="543"/>
      <c r="D318" s="543"/>
      <c r="E318" s="543"/>
      <c r="F318" s="543"/>
      <c r="G318" s="124"/>
      <c r="H318" s="124"/>
      <c r="I318" s="544"/>
      <c r="J318" s="106"/>
      <c r="K318" s="106"/>
      <c r="L318" s="543"/>
      <c r="M318" s="543"/>
      <c r="N318" s="543"/>
      <c r="O318" s="543"/>
      <c r="P318" s="543"/>
      <c r="Q318" s="543"/>
      <c r="R318" s="543"/>
      <c r="S318" s="543"/>
      <c r="T318" s="543"/>
      <c r="U318" s="543"/>
      <c r="V318" s="543"/>
      <c r="W318" s="543"/>
      <c r="X318" s="543"/>
      <c r="Y318" s="543"/>
      <c r="Z318" s="543"/>
      <c r="AA318" s="543"/>
      <c r="AB318" s="543"/>
      <c r="AC318" s="543"/>
      <c r="AD318" s="543"/>
      <c r="AE318" s="543"/>
      <c r="AF318" s="543"/>
      <c r="AG318" s="543"/>
      <c r="AH318" s="543"/>
      <c r="AI318" s="543"/>
      <c r="AJ318" s="543"/>
      <c r="AK318" s="543"/>
      <c r="AL318" s="543"/>
      <c r="AM318" s="543"/>
      <c r="AN318" s="543"/>
      <c r="AO318" s="543"/>
      <c r="AP318" s="547">
        <f>SUMIF(AP320:AP350,"X",$AS320:$AS350)</f>
        <v>0</v>
      </c>
      <c r="AQ318" s="547">
        <f>SUMIF(AQ320:AQ350,"X",$AS320:$AS350)</f>
        <v>0</v>
      </c>
      <c r="AR318" s="547">
        <f>SUMIF(AR320:AR350,"X",$AS320:$AS350)</f>
        <v>0</v>
      </c>
      <c r="AS318" s="545"/>
      <c r="AT318" s="545"/>
      <c r="AU318" s="545"/>
      <c r="AV318" s="545"/>
      <c r="AW318" s="226"/>
    </row>
    <row r="319" spans="1:49" ht="18.75" customHeight="1" thickBot="1" x14ac:dyDescent="0.3">
      <c r="A319" s="226"/>
      <c r="B319" s="527" t="str">
        <f>IFERROR(SUM(AP319:AR319)/SUM(AP318:AR318),"--")</f>
        <v>--</v>
      </c>
      <c r="C319" s="549"/>
      <c r="D319" s="549"/>
      <c r="E319" s="549"/>
      <c r="F319" s="549"/>
      <c r="G319" s="125"/>
      <c r="H319" s="125"/>
      <c r="I319" s="550"/>
      <c r="J319" s="548"/>
      <c r="K319" s="548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49"/>
      <c r="AB319" s="549"/>
      <c r="AC319" s="549"/>
      <c r="AD319" s="549"/>
      <c r="AE319" s="549"/>
      <c r="AF319" s="549"/>
      <c r="AG319" s="549"/>
      <c r="AH319" s="549"/>
      <c r="AI319" s="549"/>
      <c r="AJ319" s="549"/>
      <c r="AK319" s="549"/>
      <c r="AL319" s="549"/>
      <c r="AM319" s="549"/>
      <c r="AN319" s="549"/>
      <c r="AO319" s="549"/>
      <c r="AP319" s="531">
        <f>SUMIF(AP320:AP350,"X",$AT320:$AT350)</f>
        <v>0</v>
      </c>
      <c r="AQ319" s="531">
        <f>SUMIF(AQ320:AQ350,"X",$AT320:$AT350)</f>
        <v>0</v>
      </c>
      <c r="AR319" s="531">
        <f>SUMIF(AR320:AR350,"X",$AT320:$AT350)</f>
        <v>0</v>
      </c>
      <c r="AS319" s="545"/>
      <c r="AT319" s="545"/>
      <c r="AU319" s="545"/>
      <c r="AV319" s="545"/>
      <c r="AW319" s="226"/>
    </row>
    <row r="320" spans="1:49" ht="18.75" customHeight="1" x14ac:dyDescent="0.25">
      <c r="A320" s="226"/>
      <c r="B320" s="56" t="str">
        <f>MID(Info!$AZ$3,(WEEKDAY(I320,2)-1)*3+1,3)</f>
        <v>Lun</v>
      </c>
      <c r="C320" s="523">
        <f>_xlfn.XLOOKUP(I320,Fchs!$I$156:$I$197,Fchs!$J$156:$J$197,0)</f>
        <v>0</v>
      </c>
      <c r="D320" s="523">
        <f>_xlfn.XLOOKUP(I320,Fchs!$I$156:$I$197,Fchs!$K$156:$K$197)</f>
        <v>0</v>
      </c>
      <c r="E320" s="532">
        <f>IF($AS320&lt;&gt;0,_xlfn.XLOOKUP($G320,UDs!$E$34:$E$55,UDs!$B$34:$B$55,,-1),0)</f>
        <v>0</v>
      </c>
      <c r="F320" s="552">
        <f t="shared" ref="F320:F349" ca="1" si="100">IF(AT320&lt;&gt;0,E320,0)</f>
        <v>0</v>
      </c>
      <c r="G320" s="127">
        <f>IF(AU320&lt;&gt;0,MAX($AU$13:$AU319)+1,0)</f>
        <v>0</v>
      </c>
      <c r="H320" s="127" t="str">
        <f>IF(AS320&lt;&gt;0,COUNT($H$14:H319,1),"")</f>
        <v/>
      </c>
      <c r="I320" s="533">
        <f>DATE(YEAR(FechaInicio1Tri),MONTH(FechaInicio1Tri)+9,1)</f>
        <v>46174</v>
      </c>
      <c r="J320" s="553"/>
      <c r="K320" s="554"/>
      <c r="L320" s="126">
        <f t="shared" ca="1" si="99"/>
        <v>0</v>
      </c>
      <c r="M320" s="127">
        <f t="shared" ca="1" si="99"/>
        <v>0</v>
      </c>
      <c r="N320" s="127">
        <f t="shared" ca="1" si="99"/>
        <v>0</v>
      </c>
      <c r="O320" s="127">
        <f t="shared" ca="1" si="99"/>
        <v>0</v>
      </c>
      <c r="P320" s="128">
        <f t="shared" ca="1" si="99"/>
        <v>0</v>
      </c>
      <c r="Q320" s="126">
        <f t="shared" ca="1" si="99"/>
        <v>0</v>
      </c>
      <c r="R320" s="127">
        <f t="shared" ca="1" si="99"/>
        <v>0</v>
      </c>
      <c r="S320" s="127">
        <f t="shared" ca="1" si="99"/>
        <v>0</v>
      </c>
      <c r="T320" s="127">
        <f t="shared" ca="1" si="99"/>
        <v>0</v>
      </c>
      <c r="U320" s="128">
        <f t="shared" ca="1" si="99"/>
        <v>0</v>
      </c>
      <c r="V320" s="126">
        <f t="shared" ca="1" si="99"/>
        <v>0</v>
      </c>
      <c r="W320" s="127">
        <f t="shared" ca="1" si="99"/>
        <v>0</v>
      </c>
      <c r="X320" s="127">
        <f t="shared" ca="1" si="99"/>
        <v>0</v>
      </c>
      <c r="Y320" s="127">
        <f t="shared" ca="1" si="99"/>
        <v>0</v>
      </c>
      <c r="Z320" s="128">
        <f t="shared" ca="1" si="99"/>
        <v>0</v>
      </c>
      <c r="AA320" s="126">
        <f t="shared" ca="1" si="99"/>
        <v>0</v>
      </c>
      <c r="AB320" s="127">
        <f t="shared" ca="1" si="98"/>
        <v>0</v>
      </c>
      <c r="AC320" s="127">
        <f t="shared" ca="1" si="98"/>
        <v>0</v>
      </c>
      <c r="AD320" s="127">
        <f t="shared" ca="1" si="98"/>
        <v>0</v>
      </c>
      <c r="AE320" s="128">
        <f t="shared" ca="1" si="98"/>
        <v>0</v>
      </c>
      <c r="AF320" s="126">
        <f t="shared" ca="1" si="98"/>
        <v>0</v>
      </c>
      <c r="AG320" s="127">
        <f t="shared" ca="1" si="98"/>
        <v>0</v>
      </c>
      <c r="AH320" s="127">
        <f t="shared" ca="1" si="98"/>
        <v>0</v>
      </c>
      <c r="AI320" s="127">
        <f t="shared" ca="1" si="98"/>
        <v>0</v>
      </c>
      <c r="AJ320" s="128">
        <f t="shared" ca="1" si="98"/>
        <v>0</v>
      </c>
      <c r="AK320" s="126">
        <f t="shared" ca="1" si="98"/>
        <v>0</v>
      </c>
      <c r="AL320" s="127">
        <f t="shared" ca="1" si="98"/>
        <v>0</v>
      </c>
      <c r="AM320" s="127">
        <f t="shared" ca="1" si="98"/>
        <v>0</v>
      </c>
      <c r="AN320" s="127">
        <f t="shared" ca="1" si="98"/>
        <v>0</v>
      </c>
      <c r="AO320" s="129">
        <f t="shared" ca="1" si="98"/>
        <v>0</v>
      </c>
      <c r="AP320" s="536" t="str">
        <f t="shared" ref="AP320:AP349" si="101">IF(AND(FechaInicio1Tri&lt;=$I320, FechaFin1Tri&gt;=$I320,WEEKDAY($I320,2)&lt;=5),"X","")</f>
        <v/>
      </c>
      <c r="AQ320" s="536" t="str">
        <f t="shared" ref="AQ320:AQ349" si="102">IF(AND(FechaInicio2Tri&lt;=$I320, FechaFin2Tri&gt;=$I320,WEEKDAY($I320,2)&lt;=5),"X","")</f>
        <v/>
      </c>
      <c r="AR320" s="536" t="str">
        <f t="shared" ref="AR320:AR349" si="103">IF(AND(FechaInicio3Tri&lt;=$I320, FechaFin3Tri&gt;=$I320, NTri&gt;=3,WEEKDAY($I320,2)&lt;=5),"X","")</f>
        <v/>
      </c>
      <c r="AS320" s="537">
        <f>IF(OR(J320&lt;&gt;"",AP320&amp;AQ320&amp;AR320&lt;&gt;"X",WEEKDAY(I320,2)&gt;5,C320&lt;&gt;0,(FechaInicio1Tri&gt;I320),(FechaFinEEva&lt;I320)),0,_xlfn.XLOOKUP(WEEKDAY(I320,2),Fchs!$J$10:$N$10,Fchs!$J$12:$N$12))</f>
        <v>0</v>
      </c>
      <c r="AT320" s="536">
        <f t="shared" ref="AT320:AT349" ca="1" si="104">IF(OR(AS320=0,FechaHoy&lt;I320,(FechaInicio1Tri&gt;I320),(FechaFinEEva&lt;I320)),0,AS320)</f>
        <v>0</v>
      </c>
      <c r="AU320" s="538">
        <f>IF(AS320&lt;&gt;0,MAXA($AU$14:AU319)+AS320,0)</f>
        <v>0</v>
      </c>
      <c r="AV320" s="538">
        <f ca="1">IF(AT320&lt;&gt;0,MAXA($AU$14:AU319)+AT320,0)</f>
        <v>0</v>
      </c>
      <c r="AW320" s="226"/>
    </row>
    <row r="321" spans="1:49" ht="18.75" customHeight="1" x14ac:dyDescent="0.25">
      <c r="A321" s="226"/>
      <c r="B321" s="56" t="str">
        <f>MID(Info!$AZ$3,(WEEKDAY(I321,2)-1)*3+1,3)</f>
        <v>Mar</v>
      </c>
      <c r="C321" s="523">
        <f>_xlfn.XLOOKUP(I321,Fchs!$I$156:$I$197,Fchs!$J$156:$J$197,0)</f>
        <v>0</v>
      </c>
      <c r="D321" s="523">
        <f>_xlfn.XLOOKUP(I321,Fchs!$I$156:$I$197,Fchs!$K$156:$K$197)</f>
        <v>0</v>
      </c>
      <c r="E321" s="532">
        <f>IF($AS321&lt;&gt;0,_xlfn.XLOOKUP($G321,UDs!$E$34:$E$55,UDs!$B$34:$B$55,,-1),0)</f>
        <v>0</v>
      </c>
      <c r="F321" s="532">
        <f t="shared" ca="1" si="100"/>
        <v>0</v>
      </c>
      <c r="G321" s="569">
        <f>IF(AU321&lt;&gt;0,MAX($AU$13:$AU320)+1,0)</f>
        <v>0</v>
      </c>
      <c r="H321" s="569" t="str">
        <f>IF(AS321&lt;&gt;0,COUNT($H$14:H320,1),"")</f>
        <v/>
      </c>
      <c r="I321" s="533">
        <f t="shared" ref="I321:I349" si="105">I320+1</f>
        <v>46175</v>
      </c>
      <c r="J321" s="534"/>
      <c r="K321" s="535"/>
      <c r="L321" s="126">
        <f t="shared" ca="1" si="99"/>
        <v>0</v>
      </c>
      <c r="M321" s="127">
        <f t="shared" ca="1" si="99"/>
        <v>0</v>
      </c>
      <c r="N321" s="127">
        <f t="shared" ca="1" si="99"/>
        <v>0</v>
      </c>
      <c r="O321" s="127">
        <f t="shared" ca="1" si="99"/>
        <v>0</v>
      </c>
      <c r="P321" s="128">
        <f t="shared" ca="1" si="99"/>
        <v>0</v>
      </c>
      <c r="Q321" s="126">
        <f t="shared" ca="1" si="99"/>
        <v>0</v>
      </c>
      <c r="R321" s="127">
        <f t="shared" ca="1" si="99"/>
        <v>0</v>
      </c>
      <c r="S321" s="127">
        <f t="shared" ca="1" si="99"/>
        <v>0</v>
      </c>
      <c r="T321" s="127">
        <f t="shared" ca="1" si="99"/>
        <v>0</v>
      </c>
      <c r="U321" s="128">
        <f t="shared" ca="1" si="99"/>
        <v>0</v>
      </c>
      <c r="V321" s="126">
        <f t="shared" ca="1" si="99"/>
        <v>0</v>
      </c>
      <c r="W321" s="127">
        <f t="shared" ca="1" si="99"/>
        <v>0</v>
      </c>
      <c r="X321" s="127">
        <f t="shared" ca="1" si="99"/>
        <v>0</v>
      </c>
      <c r="Y321" s="127">
        <f t="shared" ca="1" si="99"/>
        <v>0</v>
      </c>
      <c r="Z321" s="128">
        <f t="shared" ca="1" si="99"/>
        <v>0</v>
      </c>
      <c r="AA321" s="126">
        <f t="shared" ca="1" si="99"/>
        <v>0</v>
      </c>
      <c r="AB321" s="127">
        <f t="shared" ca="1" si="98"/>
        <v>0</v>
      </c>
      <c r="AC321" s="127">
        <f t="shared" ca="1" si="98"/>
        <v>0</v>
      </c>
      <c r="AD321" s="127">
        <f t="shared" ca="1" si="98"/>
        <v>0</v>
      </c>
      <c r="AE321" s="128">
        <f t="shared" ca="1" si="98"/>
        <v>0</v>
      </c>
      <c r="AF321" s="126">
        <f t="shared" ca="1" si="98"/>
        <v>0</v>
      </c>
      <c r="AG321" s="127">
        <f t="shared" ca="1" si="98"/>
        <v>0</v>
      </c>
      <c r="AH321" s="127">
        <f t="shared" ca="1" si="98"/>
        <v>0</v>
      </c>
      <c r="AI321" s="127">
        <f t="shared" ca="1" si="98"/>
        <v>0</v>
      </c>
      <c r="AJ321" s="128">
        <f t="shared" ca="1" si="98"/>
        <v>0</v>
      </c>
      <c r="AK321" s="126">
        <f t="shared" ca="1" si="98"/>
        <v>0</v>
      </c>
      <c r="AL321" s="127">
        <f t="shared" ca="1" si="98"/>
        <v>0</v>
      </c>
      <c r="AM321" s="127">
        <f t="shared" ca="1" si="98"/>
        <v>0</v>
      </c>
      <c r="AN321" s="127">
        <f t="shared" ca="1" si="98"/>
        <v>0</v>
      </c>
      <c r="AO321" s="129">
        <f t="shared" ca="1" si="98"/>
        <v>0</v>
      </c>
      <c r="AP321" s="536" t="str">
        <f t="shared" si="101"/>
        <v/>
      </c>
      <c r="AQ321" s="536" t="str">
        <f t="shared" si="102"/>
        <v/>
      </c>
      <c r="AR321" s="536" t="str">
        <f t="shared" si="103"/>
        <v/>
      </c>
      <c r="AS321" s="537">
        <f>IF(OR(J321&lt;&gt;"",AP321&amp;AQ321&amp;AR321&lt;&gt;"X",WEEKDAY(I321,2)&gt;5,C321&lt;&gt;0,(FechaInicio1Tri&gt;I321),(FechaFinEEva&lt;I321)),0,_xlfn.XLOOKUP(WEEKDAY(I321,2),Fchs!$J$10:$N$10,Fchs!$J$12:$N$12))</f>
        <v>0</v>
      </c>
      <c r="AT321" s="536">
        <f t="shared" ca="1" si="104"/>
        <v>0</v>
      </c>
      <c r="AU321" s="538">
        <f>IF(AS321&lt;&gt;0,MAXA($AU$14:AU320)+AS321,0)</f>
        <v>0</v>
      </c>
      <c r="AV321" s="538">
        <f ca="1">IF(AT321&lt;&gt;0,MAXA($AU$14:AU320)+AT321,0)</f>
        <v>0</v>
      </c>
      <c r="AW321" s="226"/>
    </row>
    <row r="322" spans="1:49" ht="18.75" customHeight="1" x14ac:dyDescent="0.25">
      <c r="A322" s="226"/>
      <c r="B322" s="56" t="str">
        <f>MID(Info!$AZ$3,(WEEKDAY(I322,2)-1)*3+1,3)</f>
        <v>Mié</v>
      </c>
      <c r="C322" s="523">
        <f>_xlfn.XLOOKUP(I322,Fchs!$I$156:$I$197,Fchs!$J$156:$J$197,0)</f>
        <v>0</v>
      </c>
      <c r="D322" s="523">
        <f>_xlfn.XLOOKUP(I322,Fchs!$I$156:$I$197,Fchs!$K$156:$K$197)</f>
        <v>0</v>
      </c>
      <c r="E322" s="532">
        <f>IF($AS322&lt;&gt;0,_xlfn.XLOOKUP($G322,UDs!$E$34:$E$55,UDs!$B$34:$B$55,,-1),0)</f>
        <v>0</v>
      </c>
      <c r="F322" s="532">
        <f t="shared" ca="1" si="100"/>
        <v>0</v>
      </c>
      <c r="G322" s="569">
        <f>IF(AU322&lt;&gt;0,MAX($AU$13:$AU321)+1,0)</f>
        <v>0</v>
      </c>
      <c r="H322" s="569" t="str">
        <f>IF(AS322&lt;&gt;0,COUNT($H$14:H321,1),"")</f>
        <v/>
      </c>
      <c r="I322" s="533">
        <f t="shared" si="105"/>
        <v>46176</v>
      </c>
      <c r="J322" s="534"/>
      <c r="K322" s="535"/>
      <c r="L322" s="126">
        <f t="shared" ca="1" si="99"/>
        <v>0</v>
      </c>
      <c r="M322" s="127">
        <f t="shared" ca="1" si="99"/>
        <v>0</v>
      </c>
      <c r="N322" s="127">
        <f t="shared" ca="1" si="99"/>
        <v>0</v>
      </c>
      <c r="O322" s="127">
        <f t="shared" ca="1" si="99"/>
        <v>0</v>
      </c>
      <c r="P322" s="128">
        <f t="shared" ca="1" si="99"/>
        <v>0</v>
      </c>
      <c r="Q322" s="126">
        <f t="shared" ca="1" si="99"/>
        <v>0</v>
      </c>
      <c r="R322" s="127">
        <f t="shared" ca="1" si="99"/>
        <v>0</v>
      </c>
      <c r="S322" s="127">
        <f t="shared" ca="1" si="99"/>
        <v>0</v>
      </c>
      <c r="T322" s="127">
        <f t="shared" ca="1" si="99"/>
        <v>0</v>
      </c>
      <c r="U322" s="128">
        <f t="shared" ca="1" si="99"/>
        <v>0</v>
      </c>
      <c r="V322" s="126">
        <f t="shared" ca="1" si="99"/>
        <v>0</v>
      </c>
      <c r="W322" s="127">
        <f t="shared" ca="1" si="99"/>
        <v>0</v>
      </c>
      <c r="X322" s="127">
        <f t="shared" ca="1" si="99"/>
        <v>0</v>
      </c>
      <c r="Y322" s="127">
        <f t="shared" ca="1" si="99"/>
        <v>0</v>
      </c>
      <c r="Z322" s="128">
        <f t="shared" ca="1" si="99"/>
        <v>0</v>
      </c>
      <c r="AA322" s="126">
        <f t="shared" ca="1" si="99"/>
        <v>0</v>
      </c>
      <c r="AB322" s="127">
        <f t="shared" ca="1" si="98"/>
        <v>0</v>
      </c>
      <c r="AC322" s="127">
        <f t="shared" ca="1" si="98"/>
        <v>0</v>
      </c>
      <c r="AD322" s="127">
        <f t="shared" ca="1" si="98"/>
        <v>0</v>
      </c>
      <c r="AE322" s="128">
        <f t="shared" ca="1" si="98"/>
        <v>0</v>
      </c>
      <c r="AF322" s="126">
        <f t="shared" ca="1" si="98"/>
        <v>0</v>
      </c>
      <c r="AG322" s="127">
        <f t="shared" ca="1" si="98"/>
        <v>0</v>
      </c>
      <c r="AH322" s="127">
        <f t="shared" ca="1" si="98"/>
        <v>0</v>
      </c>
      <c r="AI322" s="127">
        <f t="shared" ca="1" si="98"/>
        <v>0</v>
      </c>
      <c r="AJ322" s="128">
        <f t="shared" ca="1" si="98"/>
        <v>0</v>
      </c>
      <c r="AK322" s="126">
        <f t="shared" ca="1" si="98"/>
        <v>0</v>
      </c>
      <c r="AL322" s="127">
        <f t="shared" ca="1" si="98"/>
        <v>0</v>
      </c>
      <c r="AM322" s="127">
        <f t="shared" ca="1" si="98"/>
        <v>0</v>
      </c>
      <c r="AN322" s="127">
        <f t="shared" ca="1" si="98"/>
        <v>0</v>
      </c>
      <c r="AO322" s="129">
        <f t="shared" ca="1" si="98"/>
        <v>0</v>
      </c>
      <c r="AP322" s="536" t="str">
        <f t="shared" si="101"/>
        <v/>
      </c>
      <c r="AQ322" s="536" t="str">
        <f t="shared" si="102"/>
        <v/>
      </c>
      <c r="AR322" s="536" t="str">
        <f t="shared" si="103"/>
        <v/>
      </c>
      <c r="AS322" s="537">
        <f>IF(OR(J322&lt;&gt;"",AP322&amp;AQ322&amp;AR322&lt;&gt;"X",WEEKDAY(I322,2)&gt;5,C322&lt;&gt;0,(FechaInicio1Tri&gt;I322),(FechaFinEEva&lt;I322)),0,_xlfn.XLOOKUP(WEEKDAY(I322,2),Fchs!$J$10:$N$10,Fchs!$J$12:$N$12))</f>
        <v>0</v>
      </c>
      <c r="AT322" s="536">
        <f t="shared" ca="1" si="104"/>
        <v>0</v>
      </c>
      <c r="AU322" s="538">
        <f>IF(AS322&lt;&gt;0,MAXA($AU$14:AU321)+AS322,0)</f>
        <v>0</v>
      </c>
      <c r="AV322" s="538">
        <f ca="1">IF(AT322&lt;&gt;0,MAXA($AU$14:AU321)+AT322,0)</f>
        <v>0</v>
      </c>
      <c r="AW322" s="226"/>
    </row>
    <row r="323" spans="1:49" ht="18.75" customHeight="1" x14ac:dyDescent="0.25">
      <c r="A323" s="226"/>
      <c r="B323" s="56" t="str">
        <f>MID(Info!$AZ$3,(WEEKDAY(I323,2)-1)*3+1,3)</f>
        <v>Jue</v>
      </c>
      <c r="C323" s="523">
        <f>_xlfn.XLOOKUP(I323,Fchs!$I$156:$I$197,Fchs!$J$156:$J$197,0)</f>
        <v>0</v>
      </c>
      <c r="D323" s="523">
        <f>_xlfn.XLOOKUP(I323,Fchs!$I$156:$I$197,Fchs!$K$156:$K$197)</f>
        <v>0</v>
      </c>
      <c r="E323" s="532">
        <f>IF($AS323&lt;&gt;0,_xlfn.XLOOKUP($G323,UDs!$E$34:$E$55,UDs!$B$34:$B$55,,-1),0)</f>
        <v>0</v>
      </c>
      <c r="F323" s="532">
        <f t="shared" ca="1" si="100"/>
        <v>0</v>
      </c>
      <c r="G323" s="569">
        <f>IF(AU323&lt;&gt;0,MAX($AU$13:$AU322)+1,0)</f>
        <v>0</v>
      </c>
      <c r="H323" s="569" t="str">
        <f>IF(AS323&lt;&gt;0,COUNT($H$14:H322,1),"")</f>
        <v/>
      </c>
      <c r="I323" s="533">
        <f t="shared" si="105"/>
        <v>46177</v>
      </c>
      <c r="J323" s="534"/>
      <c r="K323" s="535"/>
      <c r="L323" s="126">
        <f t="shared" ca="1" si="99"/>
        <v>0</v>
      </c>
      <c r="M323" s="127">
        <f t="shared" ca="1" si="99"/>
        <v>0</v>
      </c>
      <c r="N323" s="127">
        <f t="shared" ca="1" si="99"/>
        <v>0</v>
      </c>
      <c r="O323" s="127">
        <f t="shared" ca="1" si="99"/>
        <v>0</v>
      </c>
      <c r="P323" s="128">
        <f t="shared" ca="1" si="99"/>
        <v>0</v>
      </c>
      <c r="Q323" s="126">
        <f t="shared" ca="1" si="99"/>
        <v>0</v>
      </c>
      <c r="R323" s="127">
        <f t="shared" ca="1" si="99"/>
        <v>0</v>
      </c>
      <c r="S323" s="127">
        <f t="shared" ca="1" si="99"/>
        <v>0</v>
      </c>
      <c r="T323" s="127">
        <f t="shared" ca="1" si="99"/>
        <v>0</v>
      </c>
      <c r="U323" s="128">
        <f t="shared" ca="1" si="99"/>
        <v>0</v>
      </c>
      <c r="V323" s="126">
        <f t="shared" ca="1" si="99"/>
        <v>0</v>
      </c>
      <c r="W323" s="127">
        <f t="shared" ca="1" si="99"/>
        <v>0</v>
      </c>
      <c r="X323" s="127">
        <f t="shared" ca="1" si="99"/>
        <v>0</v>
      </c>
      <c r="Y323" s="127">
        <f t="shared" ca="1" si="99"/>
        <v>0</v>
      </c>
      <c r="Z323" s="128">
        <f t="shared" ca="1" si="99"/>
        <v>0</v>
      </c>
      <c r="AA323" s="126">
        <f t="shared" ca="1" si="99"/>
        <v>0</v>
      </c>
      <c r="AB323" s="127">
        <f t="shared" ca="1" si="98"/>
        <v>0</v>
      </c>
      <c r="AC323" s="127">
        <f t="shared" ca="1" si="98"/>
        <v>0</v>
      </c>
      <c r="AD323" s="127">
        <f t="shared" ca="1" si="98"/>
        <v>0</v>
      </c>
      <c r="AE323" s="128">
        <f t="shared" ca="1" si="98"/>
        <v>0</v>
      </c>
      <c r="AF323" s="126">
        <f t="shared" ca="1" si="98"/>
        <v>0</v>
      </c>
      <c r="AG323" s="127">
        <f t="shared" ca="1" si="98"/>
        <v>0</v>
      </c>
      <c r="AH323" s="127">
        <f t="shared" ca="1" si="98"/>
        <v>0</v>
      </c>
      <c r="AI323" s="127">
        <f t="shared" ca="1" si="98"/>
        <v>0</v>
      </c>
      <c r="AJ323" s="128">
        <f t="shared" ca="1" si="98"/>
        <v>0</v>
      </c>
      <c r="AK323" s="126">
        <f t="shared" ca="1" si="98"/>
        <v>0</v>
      </c>
      <c r="AL323" s="127">
        <f t="shared" ca="1" si="98"/>
        <v>0</v>
      </c>
      <c r="AM323" s="127">
        <f t="shared" ca="1" si="98"/>
        <v>0</v>
      </c>
      <c r="AN323" s="127">
        <f t="shared" ca="1" si="98"/>
        <v>0</v>
      </c>
      <c r="AO323" s="129">
        <f t="shared" ca="1" si="98"/>
        <v>0</v>
      </c>
      <c r="AP323" s="536" t="str">
        <f t="shared" si="101"/>
        <v/>
      </c>
      <c r="AQ323" s="536" t="str">
        <f t="shared" si="102"/>
        <v/>
      </c>
      <c r="AR323" s="536" t="str">
        <f t="shared" si="103"/>
        <v/>
      </c>
      <c r="AS323" s="537">
        <f>IF(OR(J323&lt;&gt;"",AP323&amp;AQ323&amp;AR323&lt;&gt;"X",WEEKDAY(I323,2)&gt;5,C323&lt;&gt;0,(FechaInicio1Tri&gt;I323),(FechaFinEEva&lt;I323)),0,_xlfn.XLOOKUP(WEEKDAY(I323,2),Fchs!$J$10:$N$10,Fchs!$J$12:$N$12))</f>
        <v>0</v>
      </c>
      <c r="AT323" s="536">
        <f t="shared" ca="1" si="104"/>
        <v>0</v>
      </c>
      <c r="AU323" s="538">
        <f>IF(AS323&lt;&gt;0,MAXA($AU$14:AU322)+AS323,0)</f>
        <v>0</v>
      </c>
      <c r="AV323" s="538">
        <f ca="1">IF(AT323&lt;&gt;0,MAXA($AU$14:AU322)+AT323,0)</f>
        <v>0</v>
      </c>
      <c r="AW323" s="226"/>
    </row>
    <row r="324" spans="1:49" ht="18.75" customHeight="1" x14ac:dyDescent="0.25">
      <c r="A324" s="226"/>
      <c r="B324" s="56" t="str">
        <f>MID(Info!$AZ$3,(WEEKDAY(I324,2)-1)*3+1,3)</f>
        <v>Vie</v>
      </c>
      <c r="C324" s="523">
        <f>_xlfn.XLOOKUP(I324,Fchs!$I$156:$I$197,Fchs!$J$156:$J$197,0)</f>
        <v>0</v>
      </c>
      <c r="D324" s="523">
        <f>_xlfn.XLOOKUP(I324,Fchs!$I$156:$I$197,Fchs!$K$156:$K$197)</f>
        <v>0</v>
      </c>
      <c r="E324" s="532">
        <f>IF($AS324&lt;&gt;0,_xlfn.XLOOKUP($G324,UDs!$E$34:$E$55,UDs!$B$34:$B$55,,-1),0)</f>
        <v>0</v>
      </c>
      <c r="F324" s="532">
        <f t="shared" ca="1" si="100"/>
        <v>0</v>
      </c>
      <c r="G324" s="569">
        <f>IF(AU324&lt;&gt;0,MAX($AU$13:$AU323)+1,0)</f>
        <v>0</v>
      </c>
      <c r="H324" s="569" t="str">
        <f>IF(AS324&lt;&gt;0,COUNT($H$14:H323,1),"")</f>
        <v/>
      </c>
      <c r="I324" s="533">
        <f t="shared" si="105"/>
        <v>46178</v>
      </c>
      <c r="J324" s="534"/>
      <c r="K324" s="535"/>
      <c r="L324" s="126">
        <f t="shared" ca="1" si="99"/>
        <v>0</v>
      </c>
      <c r="M324" s="127">
        <f t="shared" ca="1" si="99"/>
        <v>0</v>
      </c>
      <c r="N324" s="127">
        <f t="shared" ca="1" si="99"/>
        <v>0</v>
      </c>
      <c r="O324" s="127">
        <f t="shared" ca="1" si="99"/>
        <v>0</v>
      </c>
      <c r="P324" s="128">
        <f t="shared" ca="1" si="99"/>
        <v>0</v>
      </c>
      <c r="Q324" s="126">
        <f t="shared" ca="1" si="99"/>
        <v>0</v>
      </c>
      <c r="R324" s="127">
        <f t="shared" ca="1" si="99"/>
        <v>0</v>
      </c>
      <c r="S324" s="127">
        <f t="shared" ca="1" si="99"/>
        <v>0</v>
      </c>
      <c r="T324" s="127">
        <f t="shared" ca="1" si="99"/>
        <v>0</v>
      </c>
      <c r="U324" s="128">
        <f t="shared" ca="1" si="99"/>
        <v>0</v>
      </c>
      <c r="V324" s="126">
        <f t="shared" ca="1" si="99"/>
        <v>0</v>
      </c>
      <c r="W324" s="127">
        <f t="shared" ca="1" si="99"/>
        <v>0</v>
      </c>
      <c r="X324" s="127">
        <f t="shared" ca="1" si="99"/>
        <v>0</v>
      </c>
      <c r="Y324" s="127">
        <f t="shared" ca="1" si="99"/>
        <v>0</v>
      </c>
      <c r="Z324" s="128">
        <f t="shared" ca="1" si="99"/>
        <v>0</v>
      </c>
      <c r="AA324" s="126">
        <f t="shared" ca="1" si="99"/>
        <v>0</v>
      </c>
      <c r="AB324" s="127">
        <f t="shared" ca="1" si="98"/>
        <v>0</v>
      </c>
      <c r="AC324" s="127">
        <f t="shared" ca="1" si="98"/>
        <v>0</v>
      </c>
      <c r="AD324" s="127">
        <f t="shared" ca="1" si="98"/>
        <v>0</v>
      </c>
      <c r="AE324" s="128">
        <f t="shared" ca="1" si="98"/>
        <v>0</v>
      </c>
      <c r="AF324" s="126">
        <f t="shared" ca="1" si="98"/>
        <v>0</v>
      </c>
      <c r="AG324" s="127">
        <f t="shared" ca="1" si="98"/>
        <v>0</v>
      </c>
      <c r="AH324" s="127">
        <f t="shared" ca="1" si="98"/>
        <v>0</v>
      </c>
      <c r="AI324" s="127">
        <f t="shared" ca="1" si="98"/>
        <v>0</v>
      </c>
      <c r="AJ324" s="128">
        <f t="shared" ca="1" si="98"/>
        <v>0</v>
      </c>
      <c r="AK324" s="126">
        <f t="shared" ca="1" si="98"/>
        <v>0</v>
      </c>
      <c r="AL324" s="127">
        <f t="shared" ca="1" si="98"/>
        <v>0</v>
      </c>
      <c r="AM324" s="127">
        <f t="shared" ca="1" si="98"/>
        <v>0</v>
      </c>
      <c r="AN324" s="127">
        <f t="shared" ca="1" si="98"/>
        <v>0</v>
      </c>
      <c r="AO324" s="129">
        <f t="shared" ca="1" si="98"/>
        <v>0</v>
      </c>
      <c r="AP324" s="536" t="str">
        <f t="shared" si="101"/>
        <v/>
      </c>
      <c r="AQ324" s="536" t="str">
        <f t="shared" si="102"/>
        <v/>
      </c>
      <c r="AR324" s="536" t="str">
        <f t="shared" si="103"/>
        <v/>
      </c>
      <c r="AS324" s="537">
        <f>IF(OR(J324&lt;&gt;"",AP324&amp;AQ324&amp;AR324&lt;&gt;"X",WEEKDAY(I324,2)&gt;5,C324&lt;&gt;0,(FechaInicio1Tri&gt;I324),(FechaFinEEva&lt;I324)),0,_xlfn.XLOOKUP(WEEKDAY(I324,2),Fchs!$J$10:$N$10,Fchs!$J$12:$N$12))</f>
        <v>0</v>
      </c>
      <c r="AT324" s="536">
        <f t="shared" ca="1" si="104"/>
        <v>0</v>
      </c>
      <c r="AU324" s="538">
        <f>IF(AS324&lt;&gt;0,MAXA($AU$14:AU323)+AS324,0)</f>
        <v>0</v>
      </c>
      <c r="AV324" s="538">
        <f ca="1">IF(AT324&lt;&gt;0,MAXA($AU$14:AU323)+AT324,0)</f>
        <v>0</v>
      </c>
      <c r="AW324" s="226"/>
    </row>
    <row r="325" spans="1:49" ht="18.75" customHeight="1" x14ac:dyDescent="0.25">
      <c r="A325" s="226"/>
      <c r="B325" s="56" t="str">
        <f>MID(Info!$AZ$3,(WEEKDAY(I325,2)-1)*3+1,3)</f>
        <v>Sáb</v>
      </c>
      <c r="C325" s="523">
        <f>_xlfn.XLOOKUP(I325,Fchs!$I$156:$I$197,Fchs!$J$156:$J$197,0)</f>
        <v>0</v>
      </c>
      <c r="D325" s="523">
        <f>_xlfn.XLOOKUP(I325,Fchs!$I$156:$I$197,Fchs!$K$156:$K$197)</f>
        <v>0</v>
      </c>
      <c r="E325" s="532">
        <f>IF($AS325&lt;&gt;0,_xlfn.XLOOKUP($G325,UDs!$E$34:$E$55,UDs!$B$34:$B$55,,-1),0)</f>
        <v>0</v>
      </c>
      <c r="F325" s="532">
        <f t="shared" ca="1" si="100"/>
        <v>0</v>
      </c>
      <c r="G325" s="569">
        <f>IF(AU325&lt;&gt;0,MAX($AU$13:$AU324)+1,0)</f>
        <v>0</v>
      </c>
      <c r="H325" s="569" t="str">
        <f>IF(AS325&lt;&gt;0,COUNT($H$14:H324,1),"")</f>
        <v/>
      </c>
      <c r="I325" s="533">
        <f t="shared" si="105"/>
        <v>46179</v>
      </c>
      <c r="J325" s="534"/>
      <c r="K325" s="535"/>
      <c r="L325" s="126">
        <f t="shared" ca="1" si="99"/>
        <v>0</v>
      </c>
      <c r="M325" s="127">
        <f t="shared" ca="1" si="99"/>
        <v>0</v>
      </c>
      <c r="N325" s="127">
        <f t="shared" ca="1" si="99"/>
        <v>0</v>
      </c>
      <c r="O325" s="127">
        <f t="shared" ca="1" si="99"/>
        <v>0</v>
      </c>
      <c r="P325" s="128">
        <f t="shared" ca="1" si="99"/>
        <v>0</v>
      </c>
      <c r="Q325" s="126">
        <f t="shared" ca="1" si="99"/>
        <v>0</v>
      </c>
      <c r="R325" s="127">
        <f t="shared" ca="1" si="99"/>
        <v>0</v>
      </c>
      <c r="S325" s="127">
        <f t="shared" ca="1" si="99"/>
        <v>0</v>
      </c>
      <c r="T325" s="127">
        <f t="shared" ca="1" si="99"/>
        <v>0</v>
      </c>
      <c r="U325" s="128">
        <f t="shared" ca="1" si="99"/>
        <v>0</v>
      </c>
      <c r="V325" s="126">
        <f t="shared" ca="1" si="99"/>
        <v>0</v>
      </c>
      <c r="W325" s="127">
        <f t="shared" ca="1" si="99"/>
        <v>0</v>
      </c>
      <c r="X325" s="127">
        <f t="shared" ca="1" si="99"/>
        <v>0</v>
      </c>
      <c r="Y325" s="127">
        <f t="shared" ca="1" si="99"/>
        <v>0</v>
      </c>
      <c r="Z325" s="128">
        <f t="shared" ca="1" si="99"/>
        <v>0</v>
      </c>
      <c r="AA325" s="126">
        <f t="shared" ca="1" si="99"/>
        <v>0</v>
      </c>
      <c r="AB325" s="127">
        <f t="shared" ca="1" si="98"/>
        <v>0</v>
      </c>
      <c r="AC325" s="127">
        <f t="shared" ca="1" si="98"/>
        <v>0</v>
      </c>
      <c r="AD325" s="127">
        <f t="shared" ca="1" si="98"/>
        <v>0</v>
      </c>
      <c r="AE325" s="128">
        <f t="shared" ca="1" si="98"/>
        <v>0</v>
      </c>
      <c r="AF325" s="126">
        <f t="shared" ca="1" si="98"/>
        <v>0</v>
      </c>
      <c r="AG325" s="127">
        <f t="shared" ca="1" si="98"/>
        <v>0</v>
      </c>
      <c r="AH325" s="127">
        <f t="shared" ca="1" si="98"/>
        <v>0</v>
      </c>
      <c r="AI325" s="127">
        <f t="shared" ca="1" si="98"/>
        <v>0</v>
      </c>
      <c r="AJ325" s="128">
        <f t="shared" ca="1" si="98"/>
        <v>0</v>
      </c>
      <c r="AK325" s="126">
        <f t="shared" ca="1" si="98"/>
        <v>0</v>
      </c>
      <c r="AL325" s="127">
        <f t="shared" ca="1" si="98"/>
        <v>0</v>
      </c>
      <c r="AM325" s="127">
        <f t="shared" ca="1" si="98"/>
        <v>0</v>
      </c>
      <c r="AN325" s="127">
        <f t="shared" ca="1" si="98"/>
        <v>0</v>
      </c>
      <c r="AO325" s="129">
        <f t="shared" ca="1" si="98"/>
        <v>0</v>
      </c>
      <c r="AP325" s="536" t="str">
        <f t="shared" si="101"/>
        <v/>
      </c>
      <c r="AQ325" s="536" t="str">
        <f t="shared" si="102"/>
        <v/>
      </c>
      <c r="AR325" s="536" t="str">
        <f t="shared" si="103"/>
        <v/>
      </c>
      <c r="AS325" s="537">
        <f>IF(OR(J325&lt;&gt;"",AP325&amp;AQ325&amp;AR325&lt;&gt;"X",WEEKDAY(I325,2)&gt;5,C325&lt;&gt;0,(FechaInicio1Tri&gt;I325),(FechaFinEEva&lt;I325)),0,_xlfn.XLOOKUP(WEEKDAY(I325,2),Fchs!$J$10:$N$10,Fchs!$J$12:$N$12))</f>
        <v>0</v>
      </c>
      <c r="AT325" s="536">
        <f t="shared" ca="1" si="104"/>
        <v>0</v>
      </c>
      <c r="AU325" s="538">
        <f>IF(AS325&lt;&gt;0,MAXA($AU$14:AU324)+AS325,0)</f>
        <v>0</v>
      </c>
      <c r="AV325" s="538">
        <f ca="1">IF(AT325&lt;&gt;0,MAXA($AU$14:AU324)+AT325,0)</f>
        <v>0</v>
      </c>
      <c r="AW325" s="226"/>
    </row>
    <row r="326" spans="1:49" ht="18.75" customHeight="1" x14ac:dyDescent="0.25">
      <c r="A326" s="226"/>
      <c r="B326" s="56" t="str">
        <f>MID(Info!$AZ$3,(WEEKDAY(I326,2)-1)*3+1,3)</f>
        <v>Dom</v>
      </c>
      <c r="C326" s="523">
        <f>_xlfn.XLOOKUP(I326,Fchs!$I$156:$I$197,Fchs!$J$156:$J$197,0)</f>
        <v>0</v>
      </c>
      <c r="D326" s="523">
        <f>_xlfn.XLOOKUP(I326,Fchs!$I$156:$I$197,Fchs!$K$156:$K$197)</f>
        <v>0</v>
      </c>
      <c r="E326" s="532">
        <f>IF($AS326&lt;&gt;0,_xlfn.XLOOKUP($G326,UDs!$E$34:$E$55,UDs!$B$34:$B$55,,-1),0)</f>
        <v>0</v>
      </c>
      <c r="F326" s="532">
        <f t="shared" ca="1" si="100"/>
        <v>0</v>
      </c>
      <c r="G326" s="569">
        <f>IF(AU326&lt;&gt;0,MAX($AU$13:$AU325)+1,0)</f>
        <v>0</v>
      </c>
      <c r="H326" s="569" t="str">
        <f>IF(AS326&lt;&gt;0,COUNT($H$14:H325,1),"")</f>
        <v/>
      </c>
      <c r="I326" s="533">
        <f t="shared" si="105"/>
        <v>46180</v>
      </c>
      <c r="J326" s="534"/>
      <c r="K326" s="535"/>
      <c r="L326" s="126">
        <f t="shared" ca="1" si="99"/>
        <v>0</v>
      </c>
      <c r="M326" s="127">
        <f t="shared" ca="1" si="99"/>
        <v>0</v>
      </c>
      <c r="N326" s="127">
        <f t="shared" ca="1" si="99"/>
        <v>0</v>
      </c>
      <c r="O326" s="127">
        <f t="shared" ca="1" si="99"/>
        <v>0</v>
      </c>
      <c r="P326" s="128">
        <f t="shared" ca="1" si="99"/>
        <v>0</v>
      </c>
      <c r="Q326" s="126">
        <f t="shared" ca="1" si="99"/>
        <v>0</v>
      </c>
      <c r="R326" s="127">
        <f t="shared" ca="1" si="99"/>
        <v>0</v>
      </c>
      <c r="S326" s="127">
        <f t="shared" ca="1" si="99"/>
        <v>0</v>
      </c>
      <c r="T326" s="127">
        <f t="shared" ca="1" si="99"/>
        <v>0</v>
      </c>
      <c r="U326" s="128">
        <f t="shared" ca="1" si="99"/>
        <v>0</v>
      </c>
      <c r="V326" s="126">
        <f t="shared" ca="1" si="99"/>
        <v>0</v>
      </c>
      <c r="W326" s="127">
        <f t="shared" ca="1" si="99"/>
        <v>0</v>
      </c>
      <c r="X326" s="127">
        <f t="shared" ca="1" si="99"/>
        <v>0</v>
      </c>
      <c r="Y326" s="127">
        <f t="shared" ca="1" si="99"/>
        <v>0</v>
      </c>
      <c r="Z326" s="128">
        <f t="shared" ca="1" si="99"/>
        <v>0</v>
      </c>
      <c r="AA326" s="126">
        <f t="shared" ref="AA326:AN341" ca="1" si="106">$AT326</f>
        <v>0</v>
      </c>
      <c r="AB326" s="127">
        <f t="shared" ca="1" si="106"/>
        <v>0</v>
      </c>
      <c r="AC326" s="127">
        <f t="shared" ca="1" si="106"/>
        <v>0</v>
      </c>
      <c r="AD326" s="127">
        <f t="shared" ca="1" si="106"/>
        <v>0</v>
      </c>
      <c r="AE326" s="128">
        <f t="shared" ca="1" si="106"/>
        <v>0</v>
      </c>
      <c r="AF326" s="126">
        <f t="shared" ca="1" si="106"/>
        <v>0</v>
      </c>
      <c r="AG326" s="127">
        <f t="shared" ca="1" si="106"/>
        <v>0</v>
      </c>
      <c r="AH326" s="127">
        <f t="shared" ca="1" si="106"/>
        <v>0</v>
      </c>
      <c r="AI326" s="127">
        <f t="shared" ca="1" si="106"/>
        <v>0</v>
      </c>
      <c r="AJ326" s="128">
        <f t="shared" ca="1" si="106"/>
        <v>0</v>
      </c>
      <c r="AK326" s="126">
        <f t="shared" ca="1" si="106"/>
        <v>0</v>
      </c>
      <c r="AL326" s="127">
        <f t="shared" ca="1" si="106"/>
        <v>0</v>
      </c>
      <c r="AM326" s="127">
        <f t="shared" ca="1" si="106"/>
        <v>0</v>
      </c>
      <c r="AN326" s="127">
        <f t="shared" ca="1" si="106"/>
        <v>0</v>
      </c>
      <c r="AO326" s="129">
        <f t="shared" ca="1" si="98"/>
        <v>0</v>
      </c>
      <c r="AP326" s="536" t="str">
        <f t="shared" si="101"/>
        <v/>
      </c>
      <c r="AQ326" s="536" t="str">
        <f t="shared" si="102"/>
        <v/>
      </c>
      <c r="AR326" s="536" t="str">
        <f t="shared" si="103"/>
        <v/>
      </c>
      <c r="AS326" s="537">
        <f>IF(OR(J326&lt;&gt;"",AP326&amp;AQ326&amp;AR326&lt;&gt;"X",WEEKDAY(I326,2)&gt;5,C326&lt;&gt;0,(FechaInicio1Tri&gt;I326),(FechaFinEEva&lt;I326)),0,_xlfn.XLOOKUP(WEEKDAY(I326,2),Fchs!$J$10:$N$10,Fchs!$J$12:$N$12))</f>
        <v>0</v>
      </c>
      <c r="AT326" s="536">
        <f t="shared" ca="1" si="104"/>
        <v>0</v>
      </c>
      <c r="AU326" s="538">
        <f>IF(AS326&lt;&gt;0,MAXA($AU$14:AU325)+AS326,0)</f>
        <v>0</v>
      </c>
      <c r="AV326" s="538">
        <f ca="1">IF(AT326&lt;&gt;0,MAXA($AU$14:AU325)+AT326,0)</f>
        <v>0</v>
      </c>
      <c r="AW326" s="226"/>
    </row>
    <row r="327" spans="1:49" ht="18.75" customHeight="1" x14ac:dyDescent="0.25">
      <c r="A327" s="226"/>
      <c r="B327" s="56" t="str">
        <f>MID(Info!$AZ$3,(WEEKDAY(I327,2)-1)*3+1,3)</f>
        <v>Lun</v>
      </c>
      <c r="C327" s="523">
        <f>_xlfn.XLOOKUP(I327,Fchs!$I$156:$I$197,Fchs!$J$156:$J$197,0)</f>
        <v>0</v>
      </c>
      <c r="D327" s="523" t="str">
        <f>_xlfn.XLOOKUP(I327,Fchs!$I$156:$I$197,Fchs!$K$156:$K$197)</f>
        <v>xºGx-Junta 3ªEv.</v>
      </c>
      <c r="E327" s="532">
        <f>IF($AS327&lt;&gt;0,_xlfn.XLOOKUP($G327,UDs!$E$34:$E$55,UDs!$B$34:$B$55,,-1),0)</f>
        <v>0</v>
      </c>
      <c r="F327" s="532">
        <f t="shared" ca="1" si="100"/>
        <v>0</v>
      </c>
      <c r="G327" s="569">
        <f>IF(AU327&lt;&gt;0,MAX($AU$13:$AU326)+1,0)</f>
        <v>0</v>
      </c>
      <c r="H327" s="569" t="str">
        <f>IF(AS327&lt;&gt;0,COUNT($H$14:H326,1),"")</f>
        <v/>
      </c>
      <c r="I327" s="533">
        <f t="shared" si="105"/>
        <v>46181</v>
      </c>
      <c r="J327" s="534"/>
      <c r="K327" s="535"/>
      <c r="L327" s="126">
        <f t="shared" ref="L327:AA342" ca="1" si="107">$AT327</f>
        <v>0</v>
      </c>
      <c r="M327" s="127">
        <f t="shared" ca="1" si="107"/>
        <v>0</v>
      </c>
      <c r="N327" s="127">
        <f t="shared" ca="1" si="107"/>
        <v>0</v>
      </c>
      <c r="O327" s="127">
        <f t="shared" ca="1" si="107"/>
        <v>0</v>
      </c>
      <c r="P327" s="128">
        <f t="shared" ca="1" si="107"/>
        <v>0</v>
      </c>
      <c r="Q327" s="126">
        <f t="shared" ca="1" si="107"/>
        <v>0</v>
      </c>
      <c r="R327" s="127">
        <f t="shared" ca="1" si="107"/>
        <v>0</v>
      </c>
      <c r="S327" s="127">
        <f t="shared" ca="1" si="107"/>
        <v>0</v>
      </c>
      <c r="T327" s="127">
        <f t="shared" ca="1" si="107"/>
        <v>0</v>
      </c>
      <c r="U327" s="128">
        <f t="shared" ca="1" si="107"/>
        <v>0</v>
      </c>
      <c r="V327" s="126">
        <f t="shared" ca="1" si="107"/>
        <v>0</v>
      </c>
      <c r="W327" s="127">
        <f t="shared" ca="1" si="107"/>
        <v>0</v>
      </c>
      <c r="X327" s="127">
        <f t="shared" ca="1" si="107"/>
        <v>0</v>
      </c>
      <c r="Y327" s="127">
        <f t="shared" ca="1" si="107"/>
        <v>0</v>
      </c>
      <c r="Z327" s="128">
        <f t="shared" ca="1" si="107"/>
        <v>0</v>
      </c>
      <c r="AA327" s="126">
        <f t="shared" ca="1" si="107"/>
        <v>0</v>
      </c>
      <c r="AB327" s="127">
        <f t="shared" ca="1" si="106"/>
        <v>0</v>
      </c>
      <c r="AC327" s="127">
        <f t="shared" ca="1" si="106"/>
        <v>0</v>
      </c>
      <c r="AD327" s="127">
        <f t="shared" ca="1" si="106"/>
        <v>0</v>
      </c>
      <c r="AE327" s="128">
        <f t="shared" ca="1" si="106"/>
        <v>0</v>
      </c>
      <c r="AF327" s="126">
        <f t="shared" ca="1" si="106"/>
        <v>0</v>
      </c>
      <c r="AG327" s="127">
        <f t="shared" ca="1" si="106"/>
        <v>0</v>
      </c>
      <c r="AH327" s="127">
        <f t="shared" ca="1" si="106"/>
        <v>0</v>
      </c>
      <c r="AI327" s="127">
        <f t="shared" ca="1" si="106"/>
        <v>0</v>
      </c>
      <c r="AJ327" s="128">
        <f t="shared" ca="1" si="106"/>
        <v>0</v>
      </c>
      <c r="AK327" s="126">
        <f t="shared" ca="1" si="106"/>
        <v>0</v>
      </c>
      <c r="AL327" s="127">
        <f t="shared" ca="1" si="106"/>
        <v>0</v>
      </c>
      <c r="AM327" s="127">
        <f t="shared" ca="1" si="106"/>
        <v>0</v>
      </c>
      <c r="AN327" s="127">
        <f t="shared" ca="1" si="106"/>
        <v>0</v>
      </c>
      <c r="AO327" s="129">
        <f t="shared" ca="1" si="98"/>
        <v>0</v>
      </c>
      <c r="AP327" s="536" t="str">
        <f t="shared" si="101"/>
        <v/>
      </c>
      <c r="AQ327" s="536" t="str">
        <f t="shared" si="102"/>
        <v/>
      </c>
      <c r="AR327" s="536" t="str">
        <f t="shared" si="103"/>
        <v/>
      </c>
      <c r="AS327" s="537">
        <f>IF(OR(J327&lt;&gt;"",AP327&amp;AQ327&amp;AR327&lt;&gt;"X",WEEKDAY(I327,2)&gt;5,C327&lt;&gt;0,(FechaInicio1Tri&gt;I327),(FechaFinEEva&lt;I327)),0,_xlfn.XLOOKUP(WEEKDAY(I327,2),Fchs!$J$10:$N$10,Fchs!$J$12:$N$12))</f>
        <v>0</v>
      </c>
      <c r="AT327" s="536">
        <f t="shared" ca="1" si="104"/>
        <v>0</v>
      </c>
      <c r="AU327" s="538">
        <f>IF(AS327&lt;&gt;0,MAXA($AU$14:AU326)+AS327,0)</f>
        <v>0</v>
      </c>
      <c r="AV327" s="538">
        <f ca="1">IF(AT327&lt;&gt;0,MAXA($AU$14:AU326)+AT327,0)</f>
        <v>0</v>
      </c>
      <c r="AW327" s="226"/>
    </row>
    <row r="328" spans="1:49" ht="18.75" customHeight="1" x14ac:dyDescent="0.25">
      <c r="A328" s="226"/>
      <c r="B328" s="56" t="str">
        <f>MID(Info!$AZ$3,(WEEKDAY(I328,2)-1)*3+1,3)</f>
        <v>Mar</v>
      </c>
      <c r="C328" s="523">
        <f>_xlfn.XLOOKUP(I328,Fchs!$I$156:$I$197,Fchs!$J$156:$J$197,0)</f>
        <v>0</v>
      </c>
      <c r="D328" s="523" t="str">
        <f>_xlfn.XLOOKUP(I328,Fchs!$I$156:$I$197,Fchs!$K$156:$K$197)</f>
        <v>xºGx-Boletín 3ªEv.</v>
      </c>
      <c r="E328" s="532">
        <f>IF($AS328&lt;&gt;0,_xlfn.XLOOKUP($G328,UDs!$E$34:$E$55,UDs!$B$34:$B$55,,-1),0)</f>
        <v>0</v>
      </c>
      <c r="F328" s="532">
        <f t="shared" ca="1" si="100"/>
        <v>0</v>
      </c>
      <c r="G328" s="569">
        <f>IF(AU328&lt;&gt;0,MAX($AU$13:$AU327)+1,0)</f>
        <v>0</v>
      </c>
      <c r="H328" s="569" t="str">
        <f>IF(AS328&lt;&gt;0,COUNT($H$14:H327,1),"")</f>
        <v/>
      </c>
      <c r="I328" s="533">
        <f t="shared" si="105"/>
        <v>46182</v>
      </c>
      <c r="J328" s="534"/>
      <c r="K328" s="535"/>
      <c r="L328" s="126">
        <f t="shared" ca="1" si="107"/>
        <v>0</v>
      </c>
      <c r="M328" s="127">
        <f t="shared" ca="1" si="107"/>
        <v>0</v>
      </c>
      <c r="N328" s="127">
        <f t="shared" ca="1" si="107"/>
        <v>0</v>
      </c>
      <c r="O328" s="127">
        <f t="shared" ca="1" si="107"/>
        <v>0</v>
      </c>
      <c r="P328" s="128">
        <f t="shared" ca="1" si="107"/>
        <v>0</v>
      </c>
      <c r="Q328" s="126">
        <f t="shared" ca="1" si="107"/>
        <v>0</v>
      </c>
      <c r="R328" s="127">
        <f t="shared" ca="1" si="107"/>
        <v>0</v>
      </c>
      <c r="S328" s="127">
        <f t="shared" ca="1" si="107"/>
        <v>0</v>
      </c>
      <c r="T328" s="127">
        <f t="shared" ca="1" si="107"/>
        <v>0</v>
      </c>
      <c r="U328" s="128">
        <f t="shared" ca="1" si="107"/>
        <v>0</v>
      </c>
      <c r="V328" s="126">
        <f t="shared" ca="1" si="107"/>
        <v>0</v>
      </c>
      <c r="W328" s="127">
        <f t="shared" ca="1" si="107"/>
        <v>0</v>
      </c>
      <c r="X328" s="127">
        <f t="shared" ca="1" si="107"/>
        <v>0</v>
      </c>
      <c r="Y328" s="127">
        <f t="shared" ca="1" si="107"/>
        <v>0</v>
      </c>
      <c r="Z328" s="128">
        <f t="shared" ca="1" si="107"/>
        <v>0</v>
      </c>
      <c r="AA328" s="126">
        <f t="shared" ca="1" si="107"/>
        <v>0</v>
      </c>
      <c r="AB328" s="127">
        <f t="shared" ca="1" si="106"/>
        <v>0</v>
      </c>
      <c r="AC328" s="127">
        <f t="shared" ca="1" si="106"/>
        <v>0</v>
      </c>
      <c r="AD328" s="127">
        <f t="shared" ca="1" si="106"/>
        <v>0</v>
      </c>
      <c r="AE328" s="128">
        <f t="shared" ca="1" si="106"/>
        <v>0</v>
      </c>
      <c r="AF328" s="126">
        <f t="shared" ca="1" si="106"/>
        <v>0</v>
      </c>
      <c r="AG328" s="127">
        <f t="shared" ca="1" si="106"/>
        <v>0</v>
      </c>
      <c r="AH328" s="127">
        <f t="shared" ca="1" si="106"/>
        <v>0</v>
      </c>
      <c r="AI328" s="127">
        <f t="shared" ca="1" si="106"/>
        <v>0</v>
      </c>
      <c r="AJ328" s="128">
        <f t="shared" ca="1" si="106"/>
        <v>0</v>
      </c>
      <c r="AK328" s="126">
        <f t="shared" ca="1" si="106"/>
        <v>0</v>
      </c>
      <c r="AL328" s="127">
        <f t="shared" ca="1" si="106"/>
        <v>0</v>
      </c>
      <c r="AM328" s="127">
        <f t="shared" ca="1" si="106"/>
        <v>0</v>
      </c>
      <c r="AN328" s="127">
        <f t="shared" ca="1" si="106"/>
        <v>0</v>
      </c>
      <c r="AO328" s="129">
        <f t="shared" ca="1" si="98"/>
        <v>0</v>
      </c>
      <c r="AP328" s="536" t="str">
        <f t="shared" si="101"/>
        <v/>
      </c>
      <c r="AQ328" s="536" t="str">
        <f t="shared" si="102"/>
        <v/>
      </c>
      <c r="AR328" s="536" t="str">
        <f t="shared" si="103"/>
        <v/>
      </c>
      <c r="AS328" s="537">
        <f>IF(OR(J328&lt;&gt;"",AP328&amp;AQ328&amp;AR328&lt;&gt;"X",WEEKDAY(I328,2)&gt;5,C328&lt;&gt;0,(FechaInicio1Tri&gt;I328),(FechaFinEEva&lt;I328)),0,_xlfn.XLOOKUP(WEEKDAY(I328,2),Fchs!$J$10:$N$10,Fchs!$J$12:$N$12))</f>
        <v>0</v>
      </c>
      <c r="AT328" s="536">
        <f t="shared" ca="1" si="104"/>
        <v>0</v>
      </c>
      <c r="AU328" s="538">
        <f>IF(AS328&lt;&gt;0,MAXA($AU$14:AU327)+AS328,0)</f>
        <v>0</v>
      </c>
      <c r="AV328" s="538">
        <f ca="1">IF(AT328&lt;&gt;0,MAXA($AU$14:AU327)+AT328,0)</f>
        <v>0</v>
      </c>
      <c r="AW328" s="226"/>
    </row>
    <row r="329" spans="1:49" ht="18.75" customHeight="1" x14ac:dyDescent="0.25">
      <c r="A329" s="226"/>
      <c r="B329" s="56" t="str">
        <f>MID(Info!$AZ$3,(WEEKDAY(I329,2)-1)*3+1,3)</f>
        <v>Mié</v>
      </c>
      <c r="C329" s="523">
        <f>_xlfn.XLOOKUP(I329,Fchs!$I$156:$I$197,Fchs!$J$156:$J$197,0)</f>
        <v>0</v>
      </c>
      <c r="D329" s="523" t="str">
        <f>_xlfn.XLOOKUP(I329,Fchs!$I$156:$I$197,Fchs!$K$156:$K$197)</f>
        <v>xºGx-Reclama+1d</v>
      </c>
      <c r="E329" s="532">
        <f>IF($AS329&lt;&gt;0,_xlfn.XLOOKUP($G329,UDs!$E$34:$E$55,UDs!$B$34:$B$55,,-1),0)</f>
        <v>0</v>
      </c>
      <c r="F329" s="532">
        <f t="shared" ca="1" si="100"/>
        <v>0</v>
      </c>
      <c r="G329" s="569">
        <f>IF(AU329&lt;&gt;0,MAX($AU$13:$AU328)+1,0)</f>
        <v>0</v>
      </c>
      <c r="H329" s="569" t="str">
        <f>IF(AS329&lt;&gt;0,COUNT($H$14:H328,1),"")</f>
        <v/>
      </c>
      <c r="I329" s="533">
        <f t="shared" si="105"/>
        <v>46183</v>
      </c>
      <c r="J329" s="534"/>
      <c r="K329" s="535"/>
      <c r="L329" s="126">
        <f t="shared" ca="1" si="107"/>
        <v>0</v>
      </c>
      <c r="M329" s="127">
        <f t="shared" ca="1" si="107"/>
        <v>0</v>
      </c>
      <c r="N329" s="127">
        <f t="shared" ca="1" si="107"/>
        <v>0</v>
      </c>
      <c r="O329" s="127">
        <f t="shared" ca="1" si="107"/>
        <v>0</v>
      </c>
      <c r="P329" s="128">
        <f t="shared" ca="1" si="107"/>
        <v>0</v>
      </c>
      <c r="Q329" s="126">
        <f t="shared" ca="1" si="107"/>
        <v>0</v>
      </c>
      <c r="R329" s="127">
        <f t="shared" ca="1" si="107"/>
        <v>0</v>
      </c>
      <c r="S329" s="127">
        <f t="shared" ca="1" si="107"/>
        <v>0</v>
      </c>
      <c r="T329" s="127">
        <f t="shared" ca="1" si="107"/>
        <v>0</v>
      </c>
      <c r="U329" s="128">
        <f t="shared" ca="1" si="107"/>
        <v>0</v>
      </c>
      <c r="V329" s="126">
        <f t="shared" ca="1" si="107"/>
        <v>0</v>
      </c>
      <c r="W329" s="127">
        <f t="shared" ca="1" si="107"/>
        <v>0</v>
      </c>
      <c r="X329" s="127">
        <f t="shared" ca="1" si="107"/>
        <v>0</v>
      </c>
      <c r="Y329" s="127">
        <f t="shared" ca="1" si="107"/>
        <v>0</v>
      </c>
      <c r="Z329" s="128">
        <f t="shared" ca="1" si="107"/>
        <v>0</v>
      </c>
      <c r="AA329" s="126">
        <f t="shared" ca="1" si="107"/>
        <v>0</v>
      </c>
      <c r="AB329" s="127">
        <f t="shared" ca="1" si="106"/>
        <v>0</v>
      </c>
      <c r="AC329" s="127">
        <f t="shared" ca="1" si="106"/>
        <v>0</v>
      </c>
      <c r="AD329" s="127">
        <f t="shared" ca="1" si="106"/>
        <v>0</v>
      </c>
      <c r="AE329" s="128">
        <f t="shared" ca="1" si="106"/>
        <v>0</v>
      </c>
      <c r="AF329" s="126">
        <f t="shared" ca="1" si="106"/>
        <v>0</v>
      </c>
      <c r="AG329" s="127">
        <f t="shared" ca="1" si="106"/>
        <v>0</v>
      </c>
      <c r="AH329" s="127">
        <f t="shared" ca="1" si="106"/>
        <v>0</v>
      </c>
      <c r="AI329" s="127">
        <f t="shared" ca="1" si="106"/>
        <v>0</v>
      </c>
      <c r="AJ329" s="128">
        <f t="shared" ca="1" si="106"/>
        <v>0</v>
      </c>
      <c r="AK329" s="126">
        <f t="shared" ca="1" si="106"/>
        <v>0</v>
      </c>
      <c r="AL329" s="127">
        <f t="shared" ca="1" si="106"/>
        <v>0</v>
      </c>
      <c r="AM329" s="127">
        <f t="shared" ca="1" si="106"/>
        <v>0</v>
      </c>
      <c r="AN329" s="127">
        <f t="shared" ca="1" si="106"/>
        <v>0</v>
      </c>
      <c r="AO329" s="129">
        <f t="shared" ca="1" si="98"/>
        <v>0</v>
      </c>
      <c r="AP329" s="536" t="str">
        <f t="shared" si="101"/>
        <v/>
      </c>
      <c r="AQ329" s="536" t="str">
        <f t="shared" si="102"/>
        <v/>
      </c>
      <c r="AR329" s="536" t="str">
        <f t="shared" si="103"/>
        <v/>
      </c>
      <c r="AS329" s="537">
        <f>IF(OR(J329&lt;&gt;"",AP329&amp;AQ329&amp;AR329&lt;&gt;"X",WEEKDAY(I329,2)&gt;5,C329&lt;&gt;0,(FechaInicio1Tri&gt;I329),(FechaFinEEva&lt;I329)),0,_xlfn.XLOOKUP(WEEKDAY(I329,2),Fchs!$J$10:$N$10,Fchs!$J$12:$N$12))</f>
        <v>0</v>
      </c>
      <c r="AT329" s="536">
        <f t="shared" ca="1" si="104"/>
        <v>0</v>
      </c>
      <c r="AU329" s="538">
        <f>IF(AS329&lt;&gt;0,MAXA($AU$14:AU328)+AS329,0)</f>
        <v>0</v>
      </c>
      <c r="AV329" s="538">
        <f ca="1">IF(AT329&lt;&gt;0,MAXA($AU$14:AU328)+AT329,0)</f>
        <v>0</v>
      </c>
      <c r="AW329" s="226"/>
    </row>
    <row r="330" spans="1:49" ht="18.75" customHeight="1" x14ac:dyDescent="0.25">
      <c r="A330" s="226"/>
      <c r="B330" s="56" t="str">
        <f>MID(Info!$AZ$3,(WEEKDAY(I330,2)-1)*3+1,3)</f>
        <v>Jue</v>
      </c>
      <c r="C330" s="523">
        <f>_xlfn.XLOOKUP(I330,Fchs!$I$156:$I$197,Fchs!$J$156:$J$197,0)</f>
        <v>0</v>
      </c>
      <c r="D330" s="523">
        <f>_xlfn.XLOOKUP(I330,Fchs!$I$156:$I$197,Fchs!$K$156:$K$197)</f>
        <v>0</v>
      </c>
      <c r="E330" s="532">
        <f>IF($AS330&lt;&gt;0,_xlfn.XLOOKUP($G330,UDs!$E$34:$E$55,UDs!$B$34:$B$55,,-1),0)</f>
        <v>0</v>
      </c>
      <c r="F330" s="532">
        <f t="shared" ca="1" si="100"/>
        <v>0</v>
      </c>
      <c r="G330" s="569">
        <f>IF(AU330&lt;&gt;0,MAX($AU$13:$AU329)+1,0)</f>
        <v>0</v>
      </c>
      <c r="H330" s="569" t="str">
        <f>IF(AS330&lt;&gt;0,COUNT($H$14:H329,1),"")</f>
        <v/>
      </c>
      <c r="I330" s="533">
        <f t="shared" si="105"/>
        <v>46184</v>
      </c>
      <c r="J330" s="534"/>
      <c r="K330" s="535"/>
      <c r="L330" s="126">
        <f t="shared" ca="1" si="107"/>
        <v>0</v>
      </c>
      <c r="M330" s="127">
        <f t="shared" ca="1" si="107"/>
        <v>0</v>
      </c>
      <c r="N330" s="127">
        <f t="shared" ca="1" si="107"/>
        <v>0</v>
      </c>
      <c r="O330" s="127">
        <f t="shared" ca="1" si="107"/>
        <v>0</v>
      </c>
      <c r="P330" s="128">
        <f t="shared" ca="1" si="107"/>
        <v>0</v>
      </c>
      <c r="Q330" s="126">
        <f t="shared" ca="1" si="107"/>
        <v>0</v>
      </c>
      <c r="R330" s="127">
        <f t="shared" ca="1" si="107"/>
        <v>0</v>
      </c>
      <c r="S330" s="127">
        <f t="shared" ca="1" si="107"/>
        <v>0</v>
      </c>
      <c r="T330" s="127">
        <f t="shared" ca="1" si="107"/>
        <v>0</v>
      </c>
      <c r="U330" s="128">
        <f t="shared" ca="1" si="107"/>
        <v>0</v>
      </c>
      <c r="V330" s="126">
        <f t="shared" ca="1" si="107"/>
        <v>0</v>
      </c>
      <c r="W330" s="127">
        <f t="shared" ca="1" si="107"/>
        <v>0</v>
      </c>
      <c r="X330" s="127">
        <f t="shared" ca="1" si="107"/>
        <v>0</v>
      </c>
      <c r="Y330" s="127">
        <f t="shared" ca="1" si="107"/>
        <v>0</v>
      </c>
      <c r="Z330" s="128">
        <f t="shared" ca="1" si="107"/>
        <v>0</v>
      </c>
      <c r="AA330" s="126">
        <f t="shared" ca="1" si="107"/>
        <v>0</v>
      </c>
      <c r="AB330" s="127">
        <f t="shared" ca="1" si="106"/>
        <v>0</v>
      </c>
      <c r="AC330" s="127">
        <f t="shared" ca="1" si="106"/>
        <v>0</v>
      </c>
      <c r="AD330" s="127">
        <f t="shared" ca="1" si="106"/>
        <v>0</v>
      </c>
      <c r="AE330" s="128">
        <f t="shared" ca="1" si="106"/>
        <v>0</v>
      </c>
      <c r="AF330" s="126">
        <f t="shared" ca="1" si="106"/>
        <v>0</v>
      </c>
      <c r="AG330" s="127">
        <f t="shared" ca="1" si="106"/>
        <v>0</v>
      </c>
      <c r="AH330" s="127">
        <f t="shared" ca="1" si="106"/>
        <v>0</v>
      </c>
      <c r="AI330" s="127">
        <f t="shared" ca="1" si="106"/>
        <v>0</v>
      </c>
      <c r="AJ330" s="128">
        <f t="shared" ca="1" si="106"/>
        <v>0</v>
      </c>
      <c r="AK330" s="126">
        <f t="shared" ca="1" si="106"/>
        <v>0</v>
      </c>
      <c r="AL330" s="127">
        <f t="shared" ca="1" si="106"/>
        <v>0</v>
      </c>
      <c r="AM330" s="127">
        <f t="shared" ca="1" si="106"/>
        <v>0</v>
      </c>
      <c r="AN330" s="127">
        <f t="shared" ca="1" si="106"/>
        <v>0</v>
      </c>
      <c r="AO330" s="129">
        <f t="shared" ca="1" si="98"/>
        <v>0</v>
      </c>
      <c r="AP330" s="536" t="str">
        <f t="shared" si="101"/>
        <v/>
      </c>
      <c r="AQ330" s="536" t="str">
        <f t="shared" si="102"/>
        <v/>
      </c>
      <c r="AR330" s="536" t="str">
        <f t="shared" si="103"/>
        <v/>
      </c>
      <c r="AS330" s="537">
        <f>IF(OR(J330&lt;&gt;"",AP330&amp;AQ330&amp;AR330&lt;&gt;"X",WEEKDAY(I330,2)&gt;5,C330&lt;&gt;0,(FechaInicio1Tri&gt;I330),(FechaFinEEva&lt;I330)),0,_xlfn.XLOOKUP(WEEKDAY(I330,2),Fchs!$J$10:$N$10,Fchs!$J$12:$N$12))</f>
        <v>0</v>
      </c>
      <c r="AT330" s="536">
        <f t="shared" ca="1" si="104"/>
        <v>0</v>
      </c>
      <c r="AU330" s="538">
        <f>IF(AS330&lt;&gt;0,MAXA($AU$14:AU329)+AS330,0)</f>
        <v>0</v>
      </c>
      <c r="AV330" s="538">
        <f ca="1">IF(AT330&lt;&gt;0,MAXA($AU$14:AU329)+AT330,0)</f>
        <v>0</v>
      </c>
      <c r="AW330" s="226"/>
    </row>
    <row r="331" spans="1:49" ht="18.75" customHeight="1" x14ac:dyDescent="0.25">
      <c r="A331" s="226"/>
      <c r="B331" s="56" t="str">
        <f>MID(Info!$AZ$3,(WEEKDAY(I331,2)-1)*3+1,3)</f>
        <v>Vie</v>
      </c>
      <c r="C331" s="523">
        <f>_xlfn.XLOOKUP(I331,Fchs!$I$156:$I$197,Fchs!$J$156:$J$197,0)</f>
        <v>0</v>
      </c>
      <c r="D331" s="523">
        <f>_xlfn.XLOOKUP(I331,Fchs!$I$156:$I$197,Fchs!$K$156:$K$197)</f>
        <v>0</v>
      </c>
      <c r="E331" s="532">
        <f>IF($AS331&lt;&gt;0,_xlfn.XLOOKUP($G331,UDs!$E$34:$E$55,UDs!$B$34:$B$55,,-1),0)</f>
        <v>0</v>
      </c>
      <c r="F331" s="532">
        <f t="shared" ca="1" si="100"/>
        <v>0</v>
      </c>
      <c r="G331" s="569">
        <f>IF(AU331&lt;&gt;0,MAX($AU$13:$AU330)+1,0)</f>
        <v>0</v>
      </c>
      <c r="H331" s="569" t="str">
        <f>IF(AS331&lt;&gt;0,COUNT($H$14:H330,1),"")</f>
        <v/>
      </c>
      <c r="I331" s="533">
        <f t="shared" si="105"/>
        <v>46185</v>
      </c>
      <c r="J331" s="534"/>
      <c r="K331" s="535"/>
      <c r="L331" s="126">
        <f t="shared" ca="1" si="107"/>
        <v>0</v>
      </c>
      <c r="M331" s="127">
        <f t="shared" ca="1" si="107"/>
        <v>0</v>
      </c>
      <c r="N331" s="127">
        <f t="shared" ca="1" si="107"/>
        <v>0</v>
      </c>
      <c r="O331" s="127">
        <f t="shared" ca="1" si="107"/>
        <v>0</v>
      </c>
      <c r="P331" s="128">
        <f t="shared" ca="1" si="107"/>
        <v>0</v>
      </c>
      <c r="Q331" s="126">
        <f t="shared" ca="1" si="107"/>
        <v>0</v>
      </c>
      <c r="R331" s="127">
        <f t="shared" ca="1" si="107"/>
        <v>0</v>
      </c>
      <c r="S331" s="127">
        <f t="shared" ca="1" si="107"/>
        <v>0</v>
      </c>
      <c r="T331" s="127">
        <f t="shared" ca="1" si="107"/>
        <v>0</v>
      </c>
      <c r="U331" s="128">
        <f t="shared" ca="1" si="107"/>
        <v>0</v>
      </c>
      <c r="V331" s="126">
        <f t="shared" ca="1" si="107"/>
        <v>0</v>
      </c>
      <c r="W331" s="127">
        <f t="shared" ca="1" si="107"/>
        <v>0</v>
      </c>
      <c r="X331" s="127">
        <f t="shared" ca="1" si="107"/>
        <v>0</v>
      </c>
      <c r="Y331" s="127">
        <f t="shared" ca="1" si="107"/>
        <v>0</v>
      </c>
      <c r="Z331" s="128">
        <f t="shared" ca="1" si="107"/>
        <v>0</v>
      </c>
      <c r="AA331" s="126">
        <f t="shared" ca="1" si="107"/>
        <v>0</v>
      </c>
      <c r="AB331" s="127">
        <f t="shared" ca="1" si="106"/>
        <v>0</v>
      </c>
      <c r="AC331" s="127">
        <f t="shared" ca="1" si="106"/>
        <v>0</v>
      </c>
      <c r="AD331" s="127">
        <f t="shared" ca="1" si="106"/>
        <v>0</v>
      </c>
      <c r="AE331" s="128">
        <f t="shared" ca="1" si="106"/>
        <v>0</v>
      </c>
      <c r="AF331" s="126">
        <f t="shared" ca="1" si="106"/>
        <v>0</v>
      </c>
      <c r="AG331" s="127">
        <f t="shared" ca="1" si="106"/>
        <v>0</v>
      </c>
      <c r="AH331" s="127">
        <f t="shared" ca="1" si="106"/>
        <v>0</v>
      </c>
      <c r="AI331" s="127">
        <f t="shared" ca="1" si="106"/>
        <v>0</v>
      </c>
      <c r="AJ331" s="128">
        <f t="shared" ca="1" si="106"/>
        <v>0</v>
      </c>
      <c r="AK331" s="126">
        <f t="shared" ca="1" si="106"/>
        <v>0</v>
      </c>
      <c r="AL331" s="127">
        <f t="shared" ca="1" si="106"/>
        <v>0</v>
      </c>
      <c r="AM331" s="127">
        <f t="shared" ca="1" si="106"/>
        <v>0</v>
      </c>
      <c r="AN331" s="127">
        <f t="shared" ca="1" si="106"/>
        <v>0</v>
      </c>
      <c r="AO331" s="129">
        <f t="shared" ca="1" si="98"/>
        <v>0</v>
      </c>
      <c r="AP331" s="536" t="str">
        <f t="shared" si="101"/>
        <v/>
      </c>
      <c r="AQ331" s="536" t="str">
        <f t="shared" si="102"/>
        <v/>
      </c>
      <c r="AR331" s="536" t="str">
        <f t="shared" si="103"/>
        <v/>
      </c>
      <c r="AS331" s="537">
        <f>IF(OR(J331&lt;&gt;"",AP331&amp;AQ331&amp;AR331&lt;&gt;"X",WEEKDAY(I331,2)&gt;5,C331&lt;&gt;0,(FechaInicio1Tri&gt;I331),(FechaFinEEva&lt;I331)),0,_xlfn.XLOOKUP(WEEKDAY(I331,2),Fchs!$J$10:$N$10,Fchs!$J$12:$N$12))</f>
        <v>0</v>
      </c>
      <c r="AT331" s="536">
        <f t="shared" ca="1" si="104"/>
        <v>0</v>
      </c>
      <c r="AU331" s="538">
        <f>IF(AS331&lt;&gt;0,MAXA($AU$14:AU330)+AS331,0)</f>
        <v>0</v>
      </c>
      <c r="AV331" s="538">
        <f ca="1">IF(AT331&lt;&gt;0,MAXA($AU$14:AU330)+AT331,0)</f>
        <v>0</v>
      </c>
      <c r="AW331" s="226"/>
    </row>
    <row r="332" spans="1:49" ht="18.75" customHeight="1" x14ac:dyDescent="0.25">
      <c r="A332" s="226"/>
      <c r="B332" s="56" t="str">
        <f>MID(Info!$AZ$3,(WEEKDAY(I332,2)-1)*3+1,3)</f>
        <v>Sáb</v>
      </c>
      <c r="C332" s="523">
        <f>_xlfn.XLOOKUP(I332,Fchs!$I$156:$I$197,Fchs!$J$156:$J$197,0)</f>
        <v>0</v>
      </c>
      <c r="D332" s="523">
        <f>_xlfn.XLOOKUP(I332,Fchs!$I$156:$I$197,Fchs!$K$156:$K$197)</f>
        <v>0</v>
      </c>
      <c r="E332" s="532">
        <f>IF($AS332&lt;&gt;0,_xlfn.XLOOKUP($G332,UDs!$E$34:$E$55,UDs!$B$34:$B$55,,-1),0)</f>
        <v>0</v>
      </c>
      <c r="F332" s="532">
        <f t="shared" ca="1" si="100"/>
        <v>0</v>
      </c>
      <c r="G332" s="569">
        <f>IF(AU332&lt;&gt;0,MAX($AU$13:$AU331)+1,0)</f>
        <v>0</v>
      </c>
      <c r="H332" s="569" t="str">
        <f>IF(AS332&lt;&gt;0,COUNT($H$14:H331,1),"")</f>
        <v/>
      </c>
      <c r="I332" s="533">
        <f t="shared" si="105"/>
        <v>46186</v>
      </c>
      <c r="J332" s="534"/>
      <c r="K332" s="535"/>
      <c r="L332" s="126">
        <f t="shared" ca="1" si="107"/>
        <v>0</v>
      </c>
      <c r="M332" s="127">
        <f t="shared" ca="1" si="107"/>
        <v>0</v>
      </c>
      <c r="N332" s="127">
        <f t="shared" ca="1" si="107"/>
        <v>0</v>
      </c>
      <c r="O332" s="127">
        <f t="shared" ca="1" si="107"/>
        <v>0</v>
      </c>
      <c r="P332" s="128">
        <f t="shared" ca="1" si="107"/>
        <v>0</v>
      </c>
      <c r="Q332" s="126">
        <f t="shared" ca="1" si="107"/>
        <v>0</v>
      </c>
      <c r="R332" s="127">
        <f t="shared" ca="1" si="107"/>
        <v>0</v>
      </c>
      <c r="S332" s="127">
        <f t="shared" ca="1" si="107"/>
        <v>0</v>
      </c>
      <c r="T332" s="127">
        <f t="shared" ca="1" si="107"/>
        <v>0</v>
      </c>
      <c r="U332" s="128">
        <f t="shared" ca="1" si="107"/>
        <v>0</v>
      </c>
      <c r="V332" s="126">
        <f t="shared" ca="1" si="107"/>
        <v>0</v>
      </c>
      <c r="W332" s="127">
        <f t="shared" ca="1" si="107"/>
        <v>0</v>
      </c>
      <c r="X332" s="127">
        <f t="shared" ca="1" si="107"/>
        <v>0</v>
      </c>
      <c r="Y332" s="127">
        <f t="shared" ca="1" si="107"/>
        <v>0</v>
      </c>
      <c r="Z332" s="128">
        <f t="shared" ca="1" si="107"/>
        <v>0</v>
      </c>
      <c r="AA332" s="126">
        <f t="shared" ca="1" si="107"/>
        <v>0</v>
      </c>
      <c r="AB332" s="127">
        <f t="shared" ca="1" si="106"/>
        <v>0</v>
      </c>
      <c r="AC332" s="127">
        <f t="shared" ca="1" si="106"/>
        <v>0</v>
      </c>
      <c r="AD332" s="127">
        <f t="shared" ca="1" si="106"/>
        <v>0</v>
      </c>
      <c r="AE332" s="128">
        <f t="shared" ca="1" si="106"/>
        <v>0</v>
      </c>
      <c r="AF332" s="126">
        <f t="shared" ca="1" si="106"/>
        <v>0</v>
      </c>
      <c r="AG332" s="127">
        <f t="shared" ca="1" si="106"/>
        <v>0</v>
      </c>
      <c r="AH332" s="127">
        <f t="shared" ca="1" si="106"/>
        <v>0</v>
      </c>
      <c r="AI332" s="127">
        <f t="shared" ca="1" si="106"/>
        <v>0</v>
      </c>
      <c r="AJ332" s="128">
        <f t="shared" ca="1" si="106"/>
        <v>0</v>
      </c>
      <c r="AK332" s="126">
        <f t="shared" ca="1" si="106"/>
        <v>0</v>
      </c>
      <c r="AL332" s="127">
        <f t="shared" ca="1" si="106"/>
        <v>0</v>
      </c>
      <c r="AM332" s="127">
        <f t="shared" ca="1" si="106"/>
        <v>0</v>
      </c>
      <c r="AN332" s="127">
        <f t="shared" ca="1" si="106"/>
        <v>0</v>
      </c>
      <c r="AO332" s="129">
        <f t="shared" ca="1" si="98"/>
        <v>0</v>
      </c>
      <c r="AP332" s="536" t="str">
        <f t="shared" si="101"/>
        <v/>
      </c>
      <c r="AQ332" s="536" t="str">
        <f t="shared" si="102"/>
        <v/>
      </c>
      <c r="AR332" s="536" t="str">
        <f t="shared" si="103"/>
        <v/>
      </c>
      <c r="AS332" s="537">
        <f>IF(OR(J332&lt;&gt;"",AP332&amp;AQ332&amp;AR332&lt;&gt;"X",WEEKDAY(I332,2)&gt;5,C332&lt;&gt;0,(FechaInicio1Tri&gt;I332),(FechaFinEEva&lt;I332)),0,_xlfn.XLOOKUP(WEEKDAY(I332,2),Fchs!$J$10:$N$10,Fchs!$J$12:$N$12))</f>
        <v>0</v>
      </c>
      <c r="AT332" s="536">
        <f t="shared" ca="1" si="104"/>
        <v>0</v>
      </c>
      <c r="AU332" s="538">
        <f>IF(AS332&lt;&gt;0,MAXA($AU$14:AU331)+AS332,0)</f>
        <v>0</v>
      </c>
      <c r="AV332" s="538">
        <f ca="1">IF(AT332&lt;&gt;0,MAXA($AU$14:AU331)+AT332,0)</f>
        <v>0</v>
      </c>
      <c r="AW332" s="226"/>
    </row>
    <row r="333" spans="1:49" ht="18.75" customHeight="1" x14ac:dyDescent="0.25">
      <c r="A333" s="226"/>
      <c r="B333" s="56" t="str">
        <f>MID(Info!$AZ$3,(WEEKDAY(I333,2)-1)*3+1,3)</f>
        <v>Dom</v>
      </c>
      <c r="C333" s="523">
        <f>_xlfn.XLOOKUP(I333,Fchs!$I$156:$I$197,Fchs!$J$156:$J$197,0)</f>
        <v>0</v>
      </c>
      <c r="D333" s="523">
        <f>_xlfn.XLOOKUP(I333,Fchs!$I$156:$I$197,Fchs!$K$156:$K$197)</f>
        <v>0</v>
      </c>
      <c r="E333" s="532">
        <f>IF($AS333&lt;&gt;0,_xlfn.XLOOKUP($G333,UDs!$E$34:$E$55,UDs!$B$34:$B$55,,-1),0)</f>
        <v>0</v>
      </c>
      <c r="F333" s="532">
        <f t="shared" ca="1" si="100"/>
        <v>0</v>
      </c>
      <c r="G333" s="569">
        <f>IF(AU333&lt;&gt;0,MAX($AU$13:$AU332)+1,0)</f>
        <v>0</v>
      </c>
      <c r="H333" s="569" t="str">
        <f>IF(AS333&lt;&gt;0,COUNT($H$14:H332,1),"")</f>
        <v/>
      </c>
      <c r="I333" s="533">
        <f t="shared" si="105"/>
        <v>46187</v>
      </c>
      <c r="J333" s="534"/>
      <c r="K333" s="535"/>
      <c r="L333" s="126">
        <f t="shared" ca="1" si="107"/>
        <v>0</v>
      </c>
      <c r="M333" s="127">
        <f t="shared" ca="1" si="107"/>
        <v>0</v>
      </c>
      <c r="N333" s="127">
        <f t="shared" ca="1" si="107"/>
        <v>0</v>
      </c>
      <c r="O333" s="127">
        <f t="shared" ca="1" si="107"/>
        <v>0</v>
      </c>
      <c r="P333" s="128">
        <f t="shared" ca="1" si="107"/>
        <v>0</v>
      </c>
      <c r="Q333" s="126">
        <f t="shared" ca="1" si="107"/>
        <v>0</v>
      </c>
      <c r="R333" s="127">
        <f t="shared" ca="1" si="107"/>
        <v>0</v>
      </c>
      <c r="S333" s="127">
        <f t="shared" ca="1" si="107"/>
        <v>0</v>
      </c>
      <c r="T333" s="127">
        <f t="shared" ca="1" si="107"/>
        <v>0</v>
      </c>
      <c r="U333" s="128">
        <f t="shared" ca="1" si="107"/>
        <v>0</v>
      </c>
      <c r="V333" s="126">
        <f t="shared" ca="1" si="107"/>
        <v>0</v>
      </c>
      <c r="W333" s="127">
        <f t="shared" ca="1" si="107"/>
        <v>0</v>
      </c>
      <c r="X333" s="127">
        <f t="shared" ca="1" si="107"/>
        <v>0</v>
      </c>
      <c r="Y333" s="127">
        <f t="shared" ca="1" si="107"/>
        <v>0</v>
      </c>
      <c r="Z333" s="128">
        <f t="shared" ca="1" si="107"/>
        <v>0</v>
      </c>
      <c r="AA333" s="126">
        <f t="shared" ca="1" si="107"/>
        <v>0</v>
      </c>
      <c r="AB333" s="127">
        <f t="shared" ca="1" si="106"/>
        <v>0</v>
      </c>
      <c r="AC333" s="127">
        <f t="shared" ca="1" si="106"/>
        <v>0</v>
      </c>
      <c r="AD333" s="127">
        <f t="shared" ca="1" si="106"/>
        <v>0</v>
      </c>
      <c r="AE333" s="128">
        <f t="shared" ca="1" si="106"/>
        <v>0</v>
      </c>
      <c r="AF333" s="126">
        <f t="shared" ca="1" si="106"/>
        <v>0</v>
      </c>
      <c r="AG333" s="127">
        <f t="shared" ca="1" si="106"/>
        <v>0</v>
      </c>
      <c r="AH333" s="127">
        <f t="shared" ca="1" si="106"/>
        <v>0</v>
      </c>
      <c r="AI333" s="127">
        <f t="shared" ca="1" si="106"/>
        <v>0</v>
      </c>
      <c r="AJ333" s="128">
        <f t="shared" ca="1" si="106"/>
        <v>0</v>
      </c>
      <c r="AK333" s="126">
        <f t="shared" ca="1" si="106"/>
        <v>0</v>
      </c>
      <c r="AL333" s="127">
        <f t="shared" ca="1" si="106"/>
        <v>0</v>
      </c>
      <c r="AM333" s="127">
        <f t="shared" ca="1" si="106"/>
        <v>0</v>
      </c>
      <c r="AN333" s="127">
        <f t="shared" ca="1" si="106"/>
        <v>0</v>
      </c>
      <c r="AO333" s="129">
        <f t="shared" ca="1" si="98"/>
        <v>0</v>
      </c>
      <c r="AP333" s="536" t="str">
        <f t="shared" si="101"/>
        <v/>
      </c>
      <c r="AQ333" s="536" t="str">
        <f t="shared" si="102"/>
        <v/>
      </c>
      <c r="AR333" s="536" t="str">
        <f t="shared" si="103"/>
        <v/>
      </c>
      <c r="AS333" s="537">
        <f>IF(OR(J333&lt;&gt;"",AP333&amp;AQ333&amp;AR333&lt;&gt;"X",WEEKDAY(I333,2)&gt;5,C333&lt;&gt;0,(FechaInicio1Tri&gt;I333),(FechaFinEEva&lt;I333)),0,_xlfn.XLOOKUP(WEEKDAY(I333,2),Fchs!$J$10:$N$10,Fchs!$J$12:$N$12))</f>
        <v>0</v>
      </c>
      <c r="AT333" s="536">
        <f t="shared" ca="1" si="104"/>
        <v>0</v>
      </c>
      <c r="AU333" s="538">
        <f>IF(AS333&lt;&gt;0,MAXA($AU$14:AU332)+AS333,0)</f>
        <v>0</v>
      </c>
      <c r="AV333" s="538">
        <f ca="1">IF(AT333&lt;&gt;0,MAXA($AU$14:AU332)+AT333,0)</f>
        <v>0</v>
      </c>
      <c r="AW333" s="226"/>
    </row>
    <row r="334" spans="1:49" ht="18.75" customHeight="1" x14ac:dyDescent="0.25">
      <c r="A334" s="226"/>
      <c r="B334" s="56" t="str">
        <f>MID(Info!$AZ$3,(WEEKDAY(I334,2)-1)*3+1,3)</f>
        <v>Lun</v>
      </c>
      <c r="C334" s="523">
        <f>_xlfn.XLOOKUP(I334,Fchs!$I$156:$I$197,Fchs!$J$156:$J$197,0)</f>
        <v>0</v>
      </c>
      <c r="D334" s="523">
        <f>_xlfn.XLOOKUP(I334,Fchs!$I$156:$I$197,Fchs!$K$156:$K$197)</f>
        <v>0</v>
      </c>
      <c r="E334" s="532">
        <f>IF($AS334&lt;&gt;0,_xlfn.XLOOKUP($G334,UDs!$E$34:$E$55,UDs!$B$34:$B$55,,-1),0)</f>
        <v>0</v>
      </c>
      <c r="F334" s="532">
        <f t="shared" ca="1" si="100"/>
        <v>0</v>
      </c>
      <c r="G334" s="569">
        <f>IF(AU334&lt;&gt;0,MAX($AU$13:$AU333)+1,0)</f>
        <v>0</v>
      </c>
      <c r="H334" s="569" t="str">
        <f>IF(AS334&lt;&gt;0,COUNT($H$14:H333,1),"")</f>
        <v/>
      </c>
      <c r="I334" s="533">
        <f t="shared" si="105"/>
        <v>46188</v>
      </c>
      <c r="J334" s="534"/>
      <c r="K334" s="535"/>
      <c r="L334" s="126">
        <f t="shared" ca="1" si="107"/>
        <v>0</v>
      </c>
      <c r="M334" s="127">
        <f t="shared" ca="1" si="107"/>
        <v>0</v>
      </c>
      <c r="N334" s="127">
        <f t="shared" ca="1" si="107"/>
        <v>0</v>
      </c>
      <c r="O334" s="127">
        <f t="shared" ca="1" si="107"/>
        <v>0</v>
      </c>
      <c r="P334" s="128">
        <f t="shared" ca="1" si="107"/>
        <v>0</v>
      </c>
      <c r="Q334" s="126">
        <f t="shared" ca="1" si="107"/>
        <v>0</v>
      </c>
      <c r="R334" s="127">
        <f t="shared" ca="1" si="107"/>
        <v>0</v>
      </c>
      <c r="S334" s="127">
        <f t="shared" ca="1" si="107"/>
        <v>0</v>
      </c>
      <c r="T334" s="127">
        <f t="shared" ca="1" si="107"/>
        <v>0</v>
      </c>
      <c r="U334" s="128">
        <f t="shared" ca="1" si="107"/>
        <v>0</v>
      </c>
      <c r="V334" s="126">
        <f t="shared" ca="1" si="107"/>
        <v>0</v>
      </c>
      <c r="W334" s="127">
        <f t="shared" ca="1" si="107"/>
        <v>0</v>
      </c>
      <c r="X334" s="127">
        <f t="shared" ca="1" si="107"/>
        <v>0</v>
      </c>
      <c r="Y334" s="127">
        <f t="shared" ca="1" si="107"/>
        <v>0</v>
      </c>
      <c r="Z334" s="128">
        <f t="shared" ca="1" si="107"/>
        <v>0</v>
      </c>
      <c r="AA334" s="126">
        <f t="shared" ca="1" si="107"/>
        <v>0</v>
      </c>
      <c r="AB334" s="127">
        <f t="shared" ca="1" si="106"/>
        <v>0</v>
      </c>
      <c r="AC334" s="127">
        <f t="shared" ca="1" si="106"/>
        <v>0</v>
      </c>
      <c r="AD334" s="127">
        <f t="shared" ca="1" si="106"/>
        <v>0</v>
      </c>
      <c r="AE334" s="128">
        <f t="shared" ca="1" si="106"/>
        <v>0</v>
      </c>
      <c r="AF334" s="126">
        <f t="shared" ca="1" si="106"/>
        <v>0</v>
      </c>
      <c r="AG334" s="127">
        <f t="shared" ca="1" si="106"/>
        <v>0</v>
      </c>
      <c r="AH334" s="127">
        <f t="shared" ca="1" si="106"/>
        <v>0</v>
      </c>
      <c r="AI334" s="127">
        <f t="shared" ca="1" si="106"/>
        <v>0</v>
      </c>
      <c r="AJ334" s="128">
        <f t="shared" ca="1" si="106"/>
        <v>0</v>
      </c>
      <c r="AK334" s="126">
        <f t="shared" ca="1" si="106"/>
        <v>0</v>
      </c>
      <c r="AL334" s="127">
        <f t="shared" ca="1" si="106"/>
        <v>0</v>
      </c>
      <c r="AM334" s="127">
        <f t="shared" ca="1" si="106"/>
        <v>0</v>
      </c>
      <c r="AN334" s="127">
        <f t="shared" ca="1" si="106"/>
        <v>0</v>
      </c>
      <c r="AO334" s="129">
        <f t="shared" ca="1" si="98"/>
        <v>0</v>
      </c>
      <c r="AP334" s="536" t="str">
        <f t="shared" si="101"/>
        <v/>
      </c>
      <c r="AQ334" s="536" t="str">
        <f t="shared" si="102"/>
        <v/>
      </c>
      <c r="AR334" s="536" t="str">
        <f t="shared" si="103"/>
        <v/>
      </c>
      <c r="AS334" s="537">
        <f>IF(OR(J334&lt;&gt;"",AP334&amp;AQ334&amp;AR334&lt;&gt;"X",WEEKDAY(I334,2)&gt;5,C334&lt;&gt;0,(FechaInicio1Tri&gt;I334),(FechaFinEEva&lt;I334)),0,_xlfn.XLOOKUP(WEEKDAY(I334,2),Fchs!$J$10:$N$10,Fchs!$J$12:$N$12))</f>
        <v>0</v>
      </c>
      <c r="AT334" s="536">
        <f t="shared" ca="1" si="104"/>
        <v>0</v>
      </c>
      <c r="AU334" s="538">
        <f>IF(AS334&lt;&gt;0,MAXA($AU$14:AU333)+AS334,0)</f>
        <v>0</v>
      </c>
      <c r="AV334" s="538">
        <f ca="1">IF(AT334&lt;&gt;0,MAXA($AU$14:AU333)+AT334,0)</f>
        <v>0</v>
      </c>
      <c r="AW334" s="226"/>
    </row>
    <row r="335" spans="1:49" ht="18.75" customHeight="1" x14ac:dyDescent="0.25">
      <c r="A335" s="226"/>
      <c r="B335" s="56" t="str">
        <f>MID(Info!$AZ$3,(WEEKDAY(I335,2)-1)*3+1,3)</f>
        <v>Mar</v>
      </c>
      <c r="C335" s="523">
        <f>_xlfn.XLOOKUP(I335,Fchs!$I$156:$I$197,Fchs!$J$156:$J$197,0)</f>
        <v>0</v>
      </c>
      <c r="D335" s="523">
        <f>_xlfn.XLOOKUP(I335,Fchs!$I$156:$I$197,Fchs!$K$156:$K$197)</f>
        <v>0</v>
      </c>
      <c r="E335" s="532">
        <f>IF($AS335&lt;&gt;0,_xlfn.XLOOKUP($G335,UDs!$E$34:$E$55,UDs!$B$34:$B$55,,-1),0)</f>
        <v>0</v>
      </c>
      <c r="F335" s="532">
        <f t="shared" ca="1" si="100"/>
        <v>0</v>
      </c>
      <c r="G335" s="569">
        <f>IF(AU335&lt;&gt;0,MAX($AU$13:$AU334)+1,0)</f>
        <v>0</v>
      </c>
      <c r="H335" s="569" t="str">
        <f>IF(AS335&lt;&gt;0,COUNT($H$14:H334,1),"")</f>
        <v/>
      </c>
      <c r="I335" s="533">
        <f t="shared" si="105"/>
        <v>46189</v>
      </c>
      <c r="J335" s="534"/>
      <c r="K335" s="535"/>
      <c r="L335" s="126">
        <f t="shared" ca="1" si="107"/>
        <v>0</v>
      </c>
      <c r="M335" s="127">
        <f t="shared" ca="1" si="107"/>
        <v>0</v>
      </c>
      <c r="N335" s="127">
        <f t="shared" ca="1" si="107"/>
        <v>0</v>
      </c>
      <c r="O335" s="127">
        <f t="shared" ca="1" si="107"/>
        <v>0</v>
      </c>
      <c r="P335" s="128">
        <f t="shared" ca="1" si="107"/>
        <v>0</v>
      </c>
      <c r="Q335" s="126">
        <f t="shared" ca="1" si="107"/>
        <v>0</v>
      </c>
      <c r="R335" s="127">
        <f t="shared" ca="1" si="107"/>
        <v>0</v>
      </c>
      <c r="S335" s="127">
        <f t="shared" ca="1" si="107"/>
        <v>0</v>
      </c>
      <c r="T335" s="127">
        <f t="shared" ca="1" si="107"/>
        <v>0</v>
      </c>
      <c r="U335" s="128">
        <f t="shared" ca="1" si="107"/>
        <v>0</v>
      </c>
      <c r="V335" s="126">
        <f t="shared" ca="1" si="107"/>
        <v>0</v>
      </c>
      <c r="W335" s="127">
        <f t="shared" ca="1" si="107"/>
        <v>0</v>
      </c>
      <c r="X335" s="127">
        <f t="shared" ca="1" si="107"/>
        <v>0</v>
      </c>
      <c r="Y335" s="127">
        <f t="shared" ca="1" si="107"/>
        <v>0</v>
      </c>
      <c r="Z335" s="128">
        <f t="shared" ca="1" si="107"/>
        <v>0</v>
      </c>
      <c r="AA335" s="126">
        <f t="shared" ca="1" si="107"/>
        <v>0</v>
      </c>
      <c r="AB335" s="127">
        <f t="shared" ca="1" si="106"/>
        <v>0</v>
      </c>
      <c r="AC335" s="127">
        <f t="shared" ca="1" si="106"/>
        <v>0</v>
      </c>
      <c r="AD335" s="127">
        <f t="shared" ca="1" si="106"/>
        <v>0</v>
      </c>
      <c r="AE335" s="128">
        <f t="shared" ca="1" si="106"/>
        <v>0</v>
      </c>
      <c r="AF335" s="126">
        <f t="shared" ca="1" si="106"/>
        <v>0</v>
      </c>
      <c r="AG335" s="127">
        <f t="shared" ca="1" si="106"/>
        <v>0</v>
      </c>
      <c r="AH335" s="127">
        <f t="shared" ca="1" si="106"/>
        <v>0</v>
      </c>
      <c r="AI335" s="127">
        <f t="shared" ca="1" si="106"/>
        <v>0</v>
      </c>
      <c r="AJ335" s="128">
        <f t="shared" ca="1" si="106"/>
        <v>0</v>
      </c>
      <c r="AK335" s="126">
        <f t="shared" ca="1" si="106"/>
        <v>0</v>
      </c>
      <c r="AL335" s="127">
        <f t="shared" ca="1" si="106"/>
        <v>0</v>
      </c>
      <c r="AM335" s="127">
        <f t="shared" ca="1" si="106"/>
        <v>0</v>
      </c>
      <c r="AN335" s="127">
        <f t="shared" ca="1" si="106"/>
        <v>0</v>
      </c>
      <c r="AO335" s="129">
        <f t="shared" ca="1" si="98"/>
        <v>0</v>
      </c>
      <c r="AP335" s="536" t="str">
        <f t="shared" si="101"/>
        <v/>
      </c>
      <c r="AQ335" s="536" t="str">
        <f t="shared" si="102"/>
        <v/>
      </c>
      <c r="AR335" s="536" t="str">
        <f t="shared" si="103"/>
        <v/>
      </c>
      <c r="AS335" s="537">
        <f>IF(OR(J335&lt;&gt;"",AP335&amp;AQ335&amp;AR335&lt;&gt;"X",WEEKDAY(I335,2)&gt;5,C335&lt;&gt;0,(FechaInicio1Tri&gt;I335),(FechaFinEEva&lt;I335)),0,_xlfn.XLOOKUP(WEEKDAY(I335,2),Fchs!$J$10:$N$10,Fchs!$J$12:$N$12))</f>
        <v>0</v>
      </c>
      <c r="AT335" s="536">
        <f t="shared" ca="1" si="104"/>
        <v>0</v>
      </c>
      <c r="AU335" s="538">
        <f>IF(AS335&lt;&gt;0,MAXA($AU$14:AU334)+AS335,0)</f>
        <v>0</v>
      </c>
      <c r="AV335" s="538">
        <f ca="1">IF(AT335&lt;&gt;0,MAXA($AU$14:AU334)+AT335,0)</f>
        <v>0</v>
      </c>
      <c r="AW335" s="226"/>
    </row>
    <row r="336" spans="1:49" ht="18.75" customHeight="1" x14ac:dyDescent="0.25">
      <c r="A336" s="226"/>
      <c r="B336" s="56" t="str">
        <f>MID(Info!$AZ$3,(WEEKDAY(I336,2)-1)*3+1,3)</f>
        <v>Mié</v>
      </c>
      <c r="C336" s="523">
        <f>_xlfn.XLOOKUP(I336,Fchs!$I$156:$I$197,Fchs!$J$156:$J$197,0)</f>
        <v>0</v>
      </c>
      <c r="D336" s="523">
        <f>_xlfn.XLOOKUP(I336,Fchs!$I$156:$I$197,Fchs!$K$156:$K$197)</f>
        <v>0</v>
      </c>
      <c r="E336" s="532">
        <f>IF($AS336&lt;&gt;0,_xlfn.XLOOKUP($G336,UDs!$E$34:$E$55,UDs!$B$34:$B$55,,-1),0)</f>
        <v>0</v>
      </c>
      <c r="F336" s="532">
        <f t="shared" ca="1" si="100"/>
        <v>0</v>
      </c>
      <c r="G336" s="569">
        <f>IF(AU336&lt;&gt;0,MAX($AU$13:$AU335)+1,0)</f>
        <v>0</v>
      </c>
      <c r="H336" s="569" t="str">
        <f>IF(AS336&lt;&gt;0,COUNT($H$14:H335,1),"")</f>
        <v/>
      </c>
      <c r="I336" s="533">
        <f t="shared" si="105"/>
        <v>46190</v>
      </c>
      <c r="J336" s="534"/>
      <c r="K336" s="535"/>
      <c r="L336" s="126">
        <f t="shared" ca="1" si="107"/>
        <v>0</v>
      </c>
      <c r="M336" s="127">
        <f t="shared" ca="1" si="107"/>
        <v>0</v>
      </c>
      <c r="N336" s="127">
        <f t="shared" ca="1" si="107"/>
        <v>0</v>
      </c>
      <c r="O336" s="127">
        <f t="shared" ca="1" si="107"/>
        <v>0</v>
      </c>
      <c r="P336" s="128">
        <f t="shared" ca="1" si="107"/>
        <v>0</v>
      </c>
      <c r="Q336" s="126">
        <f t="shared" ca="1" si="107"/>
        <v>0</v>
      </c>
      <c r="R336" s="127">
        <f t="shared" ca="1" si="107"/>
        <v>0</v>
      </c>
      <c r="S336" s="127">
        <f t="shared" ca="1" si="107"/>
        <v>0</v>
      </c>
      <c r="T336" s="127">
        <f t="shared" ca="1" si="107"/>
        <v>0</v>
      </c>
      <c r="U336" s="128">
        <f t="shared" ca="1" si="107"/>
        <v>0</v>
      </c>
      <c r="V336" s="126">
        <f t="shared" ca="1" si="107"/>
        <v>0</v>
      </c>
      <c r="W336" s="127">
        <f t="shared" ca="1" si="107"/>
        <v>0</v>
      </c>
      <c r="X336" s="127">
        <f t="shared" ca="1" si="107"/>
        <v>0</v>
      </c>
      <c r="Y336" s="127">
        <f t="shared" ca="1" si="107"/>
        <v>0</v>
      </c>
      <c r="Z336" s="128">
        <f t="shared" ca="1" si="107"/>
        <v>0</v>
      </c>
      <c r="AA336" s="126">
        <f t="shared" ca="1" si="107"/>
        <v>0</v>
      </c>
      <c r="AB336" s="127">
        <f t="shared" ca="1" si="106"/>
        <v>0</v>
      </c>
      <c r="AC336" s="127">
        <f t="shared" ca="1" si="106"/>
        <v>0</v>
      </c>
      <c r="AD336" s="127">
        <f t="shared" ca="1" si="106"/>
        <v>0</v>
      </c>
      <c r="AE336" s="128">
        <f t="shared" ca="1" si="106"/>
        <v>0</v>
      </c>
      <c r="AF336" s="126">
        <f t="shared" ca="1" si="106"/>
        <v>0</v>
      </c>
      <c r="AG336" s="127">
        <f t="shared" ca="1" si="106"/>
        <v>0</v>
      </c>
      <c r="AH336" s="127">
        <f t="shared" ca="1" si="106"/>
        <v>0</v>
      </c>
      <c r="AI336" s="127">
        <f t="shared" ca="1" si="106"/>
        <v>0</v>
      </c>
      <c r="AJ336" s="128">
        <f t="shared" ca="1" si="106"/>
        <v>0</v>
      </c>
      <c r="AK336" s="126">
        <f t="shared" ca="1" si="106"/>
        <v>0</v>
      </c>
      <c r="AL336" s="127">
        <f t="shared" ca="1" si="106"/>
        <v>0</v>
      </c>
      <c r="AM336" s="127">
        <f t="shared" ca="1" si="106"/>
        <v>0</v>
      </c>
      <c r="AN336" s="127">
        <f t="shared" ca="1" si="106"/>
        <v>0</v>
      </c>
      <c r="AO336" s="129">
        <f t="shared" ca="1" si="98"/>
        <v>0</v>
      </c>
      <c r="AP336" s="536" t="str">
        <f t="shared" si="101"/>
        <v/>
      </c>
      <c r="AQ336" s="536" t="str">
        <f t="shared" si="102"/>
        <v/>
      </c>
      <c r="AR336" s="536" t="str">
        <f t="shared" si="103"/>
        <v/>
      </c>
      <c r="AS336" s="537">
        <f>IF(OR(J336&lt;&gt;"",AP336&amp;AQ336&amp;AR336&lt;&gt;"X",WEEKDAY(I336,2)&gt;5,C336&lt;&gt;0,(FechaInicio1Tri&gt;I336),(FechaFinEEva&lt;I336)),0,_xlfn.XLOOKUP(WEEKDAY(I336,2),Fchs!$J$10:$N$10,Fchs!$J$12:$N$12))</f>
        <v>0</v>
      </c>
      <c r="AT336" s="536">
        <f t="shared" ca="1" si="104"/>
        <v>0</v>
      </c>
      <c r="AU336" s="538">
        <f>IF(AS336&lt;&gt;0,MAXA($AU$14:AU335)+AS336,0)</f>
        <v>0</v>
      </c>
      <c r="AV336" s="538">
        <f ca="1">IF(AT336&lt;&gt;0,MAXA($AU$14:AU335)+AT336,0)</f>
        <v>0</v>
      </c>
      <c r="AW336" s="226"/>
    </row>
    <row r="337" spans="1:49" ht="18.75" customHeight="1" x14ac:dyDescent="0.25">
      <c r="A337" s="226"/>
      <c r="B337" s="56" t="str">
        <f>MID(Info!$AZ$3,(WEEKDAY(I337,2)-1)*3+1,3)</f>
        <v>Jue</v>
      </c>
      <c r="C337" s="523">
        <f>_xlfn.XLOOKUP(I337,Fchs!$I$156:$I$197,Fchs!$J$156:$J$197,0)</f>
        <v>0</v>
      </c>
      <c r="D337" s="523" t="str">
        <f>_xlfn.XLOOKUP(I337,Fchs!$I$156:$I$197,Fchs!$K$156:$K$197)</f>
        <v>2ºGx-Junta OªEv.</v>
      </c>
      <c r="E337" s="532">
        <f>IF($AS337&lt;&gt;0,_xlfn.XLOOKUP($G337,UDs!$E$34:$E$55,UDs!$B$34:$B$55,,-1),0)</f>
        <v>0</v>
      </c>
      <c r="F337" s="532">
        <f t="shared" ca="1" si="100"/>
        <v>0</v>
      </c>
      <c r="G337" s="569">
        <f>IF(AU337&lt;&gt;0,MAX($AU$13:$AU336)+1,0)</f>
        <v>0</v>
      </c>
      <c r="H337" s="569" t="str">
        <f>IF(AS337&lt;&gt;0,COUNT($H$14:H336,1),"")</f>
        <v/>
      </c>
      <c r="I337" s="533">
        <f t="shared" si="105"/>
        <v>46191</v>
      </c>
      <c r="J337" s="534"/>
      <c r="K337" s="535"/>
      <c r="L337" s="126">
        <f t="shared" ca="1" si="107"/>
        <v>0</v>
      </c>
      <c r="M337" s="127">
        <f t="shared" ca="1" si="107"/>
        <v>0</v>
      </c>
      <c r="N337" s="127">
        <f t="shared" ca="1" si="107"/>
        <v>0</v>
      </c>
      <c r="O337" s="127">
        <f t="shared" ca="1" si="107"/>
        <v>0</v>
      </c>
      <c r="P337" s="128">
        <f t="shared" ca="1" si="107"/>
        <v>0</v>
      </c>
      <c r="Q337" s="126">
        <f t="shared" ca="1" si="107"/>
        <v>0</v>
      </c>
      <c r="R337" s="127">
        <f t="shared" ca="1" si="107"/>
        <v>0</v>
      </c>
      <c r="S337" s="127">
        <f t="shared" ca="1" si="107"/>
        <v>0</v>
      </c>
      <c r="T337" s="127">
        <f t="shared" ca="1" si="107"/>
        <v>0</v>
      </c>
      <c r="U337" s="128">
        <f t="shared" ca="1" si="107"/>
        <v>0</v>
      </c>
      <c r="V337" s="126">
        <f t="shared" ca="1" si="107"/>
        <v>0</v>
      </c>
      <c r="W337" s="127">
        <f t="shared" ca="1" si="107"/>
        <v>0</v>
      </c>
      <c r="X337" s="127">
        <f t="shared" ca="1" si="107"/>
        <v>0</v>
      </c>
      <c r="Y337" s="127">
        <f t="shared" ca="1" si="107"/>
        <v>0</v>
      </c>
      <c r="Z337" s="128">
        <f t="shared" ca="1" si="107"/>
        <v>0</v>
      </c>
      <c r="AA337" s="126">
        <f t="shared" ca="1" si="107"/>
        <v>0</v>
      </c>
      <c r="AB337" s="127">
        <f t="shared" ca="1" si="106"/>
        <v>0</v>
      </c>
      <c r="AC337" s="127">
        <f t="shared" ca="1" si="106"/>
        <v>0</v>
      </c>
      <c r="AD337" s="127">
        <f t="shared" ca="1" si="106"/>
        <v>0</v>
      </c>
      <c r="AE337" s="128">
        <f t="shared" ca="1" si="106"/>
        <v>0</v>
      </c>
      <c r="AF337" s="126">
        <f t="shared" ca="1" si="106"/>
        <v>0</v>
      </c>
      <c r="AG337" s="127">
        <f t="shared" ca="1" si="106"/>
        <v>0</v>
      </c>
      <c r="AH337" s="127">
        <f t="shared" ca="1" si="106"/>
        <v>0</v>
      </c>
      <c r="AI337" s="127">
        <f t="shared" ca="1" si="106"/>
        <v>0</v>
      </c>
      <c r="AJ337" s="128">
        <f t="shared" ca="1" si="106"/>
        <v>0</v>
      </c>
      <c r="AK337" s="126">
        <f t="shared" ca="1" si="106"/>
        <v>0</v>
      </c>
      <c r="AL337" s="127">
        <f t="shared" ca="1" si="106"/>
        <v>0</v>
      </c>
      <c r="AM337" s="127">
        <f t="shared" ca="1" si="106"/>
        <v>0</v>
      </c>
      <c r="AN337" s="127">
        <f t="shared" ca="1" si="106"/>
        <v>0</v>
      </c>
      <c r="AO337" s="129">
        <f t="shared" ca="1" si="98"/>
        <v>0</v>
      </c>
      <c r="AP337" s="536" t="str">
        <f t="shared" si="101"/>
        <v/>
      </c>
      <c r="AQ337" s="536" t="str">
        <f t="shared" si="102"/>
        <v/>
      </c>
      <c r="AR337" s="536" t="str">
        <f t="shared" si="103"/>
        <v/>
      </c>
      <c r="AS337" s="537">
        <f>IF(OR(J337&lt;&gt;"",AP337&amp;AQ337&amp;AR337&lt;&gt;"X",WEEKDAY(I337,2)&gt;5,C337&lt;&gt;0,(FechaInicio1Tri&gt;I337),(FechaFinEEva&lt;I337)),0,_xlfn.XLOOKUP(WEEKDAY(I337,2),Fchs!$J$10:$N$10,Fchs!$J$12:$N$12))</f>
        <v>0</v>
      </c>
      <c r="AT337" s="536">
        <f t="shared" ca="1" si="104"/>
        <v>0</v>
      </c>
      <c r="AU337" s="538">
        <f>IF(AS337&lt;&gt;0,MAXA($AU$14:AU336)+AS337,0)</f>
        <v>0</v>
      </c>
      <c r="AV337" s="538">
        <f ca="1">IF(AT337&lt;&gt;0,MAXA($AU$14:AU336)+AT337,0)</f>
        <v>0</v>
      </c>
      <c r="AW337" s="226"/>
    </row>
    <row r="338" spans="1:49" ht="18.75" customHeight="1" x14ac:dyDescent="0.25">
      <c r="A338" s="226"/>
      <c r="B338" s="56" t="str">
        <f>MID(Info!$AZ$3,(WEEKDAY(I338,2)-1)*3+1,3)</f>
        <v>Vie</v>
      </c>
      <c r="C338" s="523">
        <f>_xlfn.XLOOKUP(I338,Fchs!$I$156:$I$197,Fchs!$J$156:$J$197,0)</f>
        <v>0</v>
      </c>
      <c r="D338" s="523">
        <f>_xlfn.XLOOKUP(I338,Fchs!$I$156:$I$197,Fchs!$K$156:$K$197)</f>
        <v>0</v>
      </c>
      <c r="E338" s="532">
        <f>IF($AS338&lt;&gt;0,_xlfn.XLOOKUP($G338,UDs!$E$34:$E$55,UDs!$B$34:$B$55,,-1),0)</f>
        <v>0</v>
      </c>
      <c r="F338" s="532">
        <f t="shared" ca="1" si="100"/>
        <v>0</v>
      </c>
      <c r="G338" s="569">
        <f>IF(AU338&lt;&gt;0,MAX($AU$13:$AU337)+1,0)</f>
        <v>0</v>
      </c>
      <c r="H338" s="569" t="str">
        <f>IF(AS338&lt;&gt;0,COUNT($H$14:H337,1),"")</f>
        <v/>
      </c>
      <c r="I338" s="533">
        <f t="shared" si="105"/>
        <v>46192</v>
      </c>
      <c r="J338" s="534"/>
      <c r="K338" s="535"/>
      <c r="L338" s="126">
        <f t="shared" ca="1" si="107"/>
        <v>0</v>
      </c>
      <c r="M338" s="127">
        <f t="shared" ca="1" si="107"/>
        <v>0</v>
      </c>
      <c r="N338" s="127">
        <f t="shared" ca="1" si="107"/>
        <v>0</v>
      </c>
      <c r="O338" s="127">
        <f t="shared" ca="1" si="107"/>
        <v>0</v>
      </c>
      <c r="P338" s="128">
        <f t="shared" ca="1" si="107"/>
        <v>0</v>
      </c>
      <c r="Q338" s="126">
        <f t="shared" ca="1" si="107"/>
        <v>0</v>
      </c>
      <c r="R338" s="127">
        <f t="shared" ca="1" si="107"/>
        <v>0</v>
      </c>
      <c r="S338" s="127">
        <f t="shared" ca="1" si="107"/>
        <v>0</v>
      </c>
      <c r="T338" s="127">
        <f t="shared" ca="1" si="107"/>
        <v>0</v>
      </c>
      <c r="U338" s="128">
        <f t="shared" ca="1" si="107"/>
        <v>0</v>
      </c>
      <c r="V338" s="126">
        <f t="shared" ca="1" si="107"/>
        <v>0</v>
      </c>
      <c r="W338" s="127">
        <f t="shared" ca="1" si="107"/>
        <v>0</v>
      </c>
      <c r="X338" s="127">
        <f t="shared" ca="1" si="107"/>
        <v>0</v>
      </c>
      <c r="Y338" s="127">
        <f t="shared" ca="1" si="107"/>
        <v>0</v>
      </c>
      <c r="Z338" s="128">
        <f t="shared" ca="1" si="107"/>
        <v>0</v>
      </c>
      <c r="AA338" s="126">
        <f t="shared" ca="1" si="107"/>
        <v>0</v>
      </c>
      <c r="AB338" s="127">
        <f t="shared" ca="1" si="106"/>
        <v>0</v>
      </c>
      <c r="AC338" s="127">
        <f t="shared" ca="1" si="106"/>
        <v>0</v>
      </c>
      <c r="AD338" s="127">
        <f t="shared" ca="1" si="106"/>
        <v>0</v>
      </c>
      <c r="AE338" s="128">
        <f t="shared" ca="1" si="106"/>
        <v>0</v>
      </c>
      <c r="AF338" s="126">
        <f t="shared" ca="1" si="106"/>
        <v>0</v>
      </c>
      <c r="AG338" s="127">
        <f t="shared" ca="1" si="106"/>
        <v>0</v>
      </c>
      <c r="AH338" s="127">
        <f t="shared" ca="1" si="106"/>
        <v>0</v>
      </c>
      <c r="AI338" s="127">
        <f t="shared" ca="1" si="106"/>
        <v>0</v>
      </c>
      <c r="AJ338" s="128">
        <f t="shared" ca="1" si="106"/>
        <v>0</v>
      </c>
      <c r="AK338" s="126">
        <f t="shared" ca="1" si="106"/>
        <v>0</v>
      </c>
      <c r="AL338" s="127">
        <f t="shared" ca="1" si="106"/>
        <v>0</v>
      </c>
      <c r="AM338" s="127">
        <f t="shared" ca="1" si="106"/>
        <v>0</v>
      </c>
      <c r="AN338" s="127">
        <f t="shared" ca="1" si="106"/>
        <v>0</v>
      </c>
      <c r="AO338" s="129">
        <f t="shared" ca="1" si="98"/>
        <v>0</v>
      </c>
      <c r="AP338" s="536" t="str">
        <f t="shared" si="101"/>
        <v/>
      </c>
      <c r="AQ338" s="536" t="str">
        <f t="shared" si="102"/>
        <v/>
      </c>
      <c r="AR338" s="536" t="str">
        <f t="shared" si="103"/>
        <v/>
      </c>
      <c r="AS338" s="537">
        <f>IF(OR(J338&lt;&gt;"",AP338&amp;AQ338&amp;AR338&lt;&gt;"X",WEEKDAY(I338,2)&gt;5,C338&lt;&gt;0,(FechaInicio1Tri&gt;I338),(FechaFinEEva&lt;I338)),0,_xlfn.XLOOKUP(WEEKDAY(I338,2),Fchs!$J$10:$N$10,Fchs!$J$12:$N$12))</f>
        <v>0</v>
      </c>
      <c r="AT338" s="536">
        <f t="shared" ca="1" si="104"/>
        <v>0</v>
      </c>
      <c r="AU338" s="538">
        <f>IF(AS338&lt;&gt;0,MAXA($AU$14:AU337)+AS338,0)</f>
        <v>0</v>
      </c>
      <c r="AV338" s="538">
        <f ca="1">IF(AT338&lt;&gt;0,MAXA($AU$14:AU337)+AT338,0)</f>
        <v>0</v>
      </c>
      <c r="AW338" s="226"/>
    </row>
    <row r="339" spans="1:49" ht="18.75" customHeight="1" x14ac:dyDescent="0.25">
      <c r="A339" s="226"/>
      <c r="B339" s="56" t="str">
        <f>MID(Info!$AZ$3,(WEEKDAY(I339,2)-1)*3+1,3)</f>
        <v>Sáb</v>
      </c>
      <c r="C339" s="523">
        <f>_xlfn.XLOOKUP(I339,Fchs!$I$156:$I$197,Fchs!$J$156:$J$197,0)</f>
        <v>0</v>
      </c>
      <c r="D339" s="523">
        <f>_xlfn.XLOOKUP(I339,Fchs!$I$156:$I$197,Fchs!$K$156:$K$197)</f>
        <v>0</v>
      </c>
      <c r="E339" s="532">
        <f>IF($AS339&lt;&gt;0,_xlfn.XLOOKUP($G339,UDs!$E$34:$E$55,UDs!$B$34:$B$55,,-1),0)</f>
        <v>0</v>
      </c>
      <c r="F339" s="532">
        <f t="shared" ca="1" si="100"/>
        <v>0</v>
      </c>
      <c r="G339" s="569">
        <f>IF(AU339&lt;&gt;0,MAX($AU$13:$AU338)+1,0)</f>
        <v>0</v>
      </c>
      <c r="H339" s="569" t="str">
        <f>IF(AS339&lt;&gt;0,COUNT($H$14:H338,1),"")</f>
        <v/>
      </c>
      <c r="I339" s="533">
        <f t="shared" si="105"/>
        <v>46193</v>
      </c>
      <c r="J339" s="534"/>
      <c r="K339" s="535"/>
      <c r="L339" s="126">
        <f t="shared" ca="1" si="107"/>
        <v>0</v>
      </c>
      <c r="M339" s="127">
        <f t="shared" ca="1" si="107"/>
        <v>0</v>
      </c>
      <c r="N339" s="127">
        <f t="shared" ca="1" si="107"/>
        <v>0</v>
      </c>
      <c r="O339" s="127">
        <f t="shared" ca="1" si="107"/>
        <v>0</v>
      </c>
      <c r="P339" s="128">
        <f t="shared" ca="1" si="107"/>
        <v>0</v>
      </c>
      <c r="Q339" s="126">
        <f t="shared" ca="1" si="107"/>
        <v>0</v>
      </c>
      <c r="R339" s="127">
        <f t="shared" ca="1" si="107"/>
        <v>0</v>
      </c>
      <c r="S339" s="127">
        <f t="shared" ca="1" si="107"/>
        <v>0</v>
      </c>
      <c r="T339" s="127">
        <f t="shared" ca="1" si="107"/>
        <v>0</v>
      </c>
      <c r="U339" s="128">
        <f t="shared" ca="1" si="107"/>
        <v>0</v>
      </c>
      <c r="V339" s="126">
        <f t="shared" ca="1" si="107"/>
        <v>0</v>
      </c>
      <c r="W339" s="127">
        <f t="shared" ca="1" si="107"/>
        <v>0</v>
      </c>
      <c r="X339" s="127">
        <f t="shared" ca="1" si="107"/>
        <v>0</v>
      </c>
      <c r="Y339" s="127">
        <f t="shared" ca="1" si="107"/>
        <v>0</v>
      </c>
      <c r="Z339" s="128">
        <f t="shared" ca="1" si="107"/>
        <v>0</v>
      </c>
      <c r="AA339" s="126">
        <f t="shared" ca="1" si="107"/>
        <v>0</v>
      </c>
      <c r="AB339" s="127">
        <f t="shared" ca="1" si="106"/>
        <v>0</v>
      </c>
      <c r="AC339" s="127">
        <f t="shared" ca="1" si="106"/>
        <v>0</v>
      </c>
      <c r="AD339" s="127">
        <f t="shared" ca="1" si="106"/>
        <v>0</v>
      </c>
      <c r="AE339" s="128">
        <f t="shared" ca="1" si="106"/>
        <v>0</v>
      </c>
      <c r="AF339" s="126">
        <f t="shared" ca="1" si="106"/>
        <v>0</v>
      </c>
      <c r="AG339" s="127">
        <f t="shared" ca="1" si="106"/>
        <v>0</v>
      </c>
      <c r="AH339" s="127">
        <f t="shared" ca="1" si="106"/>
        <v>0</v>
      </c>
      <c r="AI339" s="127">
        <f t="shared" ca="1" si="106"/>
        <v>0</v>
      </c>
      <c r="AJ339" s="128">
        <f t="shared" ca="1" si="106"/>
        <v>0</v>
      </c>
      <c r="AK339" s="126">
        <f t="shared" ca="1" si="106"/>
        <v>0</v>
      </c>
      <c r="AL339" s="127">
        <f t="shared" ca="1" si="106"/>
        <v>0</v>
      </c>
      <c r="AM339" s="127">
        <f t="shared" ca="1" si="106"/>
        <v>0</v>
      </c>
      <c r="AN339" s="127">
        <f t="shared" ca="1" si="106"/>
        <v>0</v>
      </c>
      <c r="AO339" s="129">
        <f t="shared" ca="1" si="98"/>
        <v>0</v>
      </c>
      <c r="AP339" s="536" t="str">
        <f t="shared" si="101"/>
        <v/>
      </c>
      <c r="AQ339" s="536" t="str">
        <f t="shared" si="102"/>
        <v/>
      </c>
      <c r="AR339" s="536" t="str">
        <f t="shared" si="103"/>
        <v/>
      </c>
      <c r="AS339" s="537">
        <f>IF(OR(J339&lt;&gt;"",AP339&amp;AQ339&amp;AR339&lt;&gt;"X",WEEKDAY(I339,2)&gt;5,C339&lt;&gt;0,(FechaInicio1Tri&gt;I339),(FechaFinEEva&lt;I339)),0,_xlfn.XLOOKUP(WEEKDAY(I339,2),Fchs!$J$10:$N$10,Fchs!$J$12:$N$12))</f>
        <v>0</v>
      </c>
      <c r="AT339" s="536">
        <f t="shared" ca="1" si="104"/>
        <v>0</v>
      </c>
      <c r="AU339" s="538">
        <f>IF(AS339&lt;&gt;0,MAXA($AU$14:AU338)+AS339,0)</f>
        <v>0</v>
      </c>
      <c r="AV339" s="538">
        <f ca="1">IF(AT339&lt;&gt;0,MAXA($AU$14:AU338)+AT339,0)</f>
        <v>0</v>
      </c>
      <c r="AW339" s="226"/>
    </row>
    <row r="340" spans="1:49" ht="18.75" customHeight="1" x14ac:dyDescent="0.25">
      <c r="A340" s="226"/>
      <c r="B340" s="56" t="str">
        <f>MID(Info!$AZ$3,(WEEKDAY(I340,2)-1)*3+1,3)</f>
        <v>Dom</v>
      </c>
      <c r="C340" s="523">
        <f>_xlfn.XLOOKUP(I340,Fchs!$I$156:$I$197,Fchs!$J$156:$J$197,0)</f>
        <v>0</v>
      </c>
      <c r="D340" s="523">
        <f>_xlfn.XLOOKUP(I340,Fchs!$I$156:$I$197,Fchs!$K$156:$K$197)</f>
        <v>0</v>
      </c>
      <c r="E340" s="532">
        <f>IF($AS340&lt;&gt;0,_xlfn.XLOOKUP($G340,UDs!$E$34:$E$55,UDs!$B$34:$B$55,,-1),0)</f>
        <v>0</v>
      </c>
      <c r="F340" s="532">
        <f t="shared" ca="1" si="100"/>
        <v>0</v>
      </c>
      <c r="G340" s="569">
        <f>IF(AU340&lt;&gt;0,MAX($AU$13:$AU339)+1,0)</f>
        <v>0</v>
      </c>
      <c r="H340" s="569" t="str">
        <f>IF(AS340&lt;&gt;0,COUNT($H$14:H339,1),"")</f>
        <v/>
      </c>
      <c r="I340" s="533">
        <f t="shared" si="105"/>
        <v>46194</v>
      </c>
      <c r="J340" s="534"/>
      <c r="K340" s="535"/>
      <c r="L340" s="126">
        <f t="shared" ca="1" si="107"/>
        <v>0</v>
      </c>
      <c r="M340" s="127">
        <f t="shared" ca="1" si="107"/>
        <v>0</v>
      </c>
      <c r="N340" s="127">
        <f t="shared" ca="1" si="107"/>
        <v>0</v>
      </c>
      <c r="O340" s="127">
        <f t="shared" ca="1" si="107"/>
        <v>0</v>
      </c>
      <c r="P340" s="128">
        <f t="shared" ca="1" si="107"/>
        <v>0</v>
      </c>
      <c r="Q340" s="126">
        <f t="shared" ca="1" si="107"/>
        <v>0</v>
      </c>
      <c r="R340" s="127">
        <f t="shared" ca="1" si="107"/>
        <v>0</v>
      </c>
      <c r="S340" s="127">
        <f t="shared" ca="1" si="107"/>
        <v>0</v>
      </c>
      <c r="T340" s="127">
        <f t="shared" ca="1" si="107"/>
        <v>0</v>
      </c>
      <c r="U340" s="128">
        <f t="shared" ca="1" si="107"/>
        <v>0</v>
      </c>
      <c r="V340" s="126">
        <f t="shared" ca="1" si="107"/>
        <v>0</v>
      </c>
      <c r="W340" s="127">
        <f t="shared" ca="1" si="107"/>
        <v>0</v>
      </c>
      <c r="X340" s="127">
        <f t="shared" ca="1" si="107"/>
        <v>0</v>
      </c>
      <c r="Y340" s="127">
        <f t="shared" ca="1" si="107"/>
        <v>0</v>
      </c>
      <c r="Z340" s="128">
        <f t="shared" ca="1" si="107"/>
        <v>0</v>
      </c>
      <c r="AA340" s="126">
        <f t="shared" ca="1" si="107"/>
        <v>0</v>
      </c>
      <c r="AB340" s="127">
        <f t="shared" ca="1" si="106"/>
        <v>0</v>
      </c>
      <c r="AC340" s="127">
        <f t="shared" ca="1" si="106"/>
        <v>0</v>
      </c>
      <c r="AD340" s="127">
        <f t="shared" ca="1" si="106"/>
        <v>0</v>
      </c>
      <c r="AE340" s="128">
        <f t="shared" ca="1" si="106"/>
        <v>0</v>
      </c>
      <c r="AF340" s="126">
        <f t="shared" ca="1" si="106"/>
        <v>0</v>
      </c>
      <c r="AG340" s="127">
        <f t="shared" ca="1" si="106"/>
        <v>0</v>
      </c>
      <c r="AH340" s="127">
        <f t="shared" ca="1" si="106"/>
        <v>0</v>
      </c>
      <c r="AI340" s="127">
        <f t="shared" ca="1" si="106"/>
        <v>0</v>
      </c>
      <c r="AJ340" s="128">
        <f t="shared" ca="1" si="106"/>
        <v>0</v>
      </c>
      <c r="AK340" s="126">
        <f t="shared" ca="1" si="106"/>
        <v>0</v>
      </c>
      <c r="AL340" s="127">
        <f t="shared" ca="1" si="106"/>
        <v>0</v>
      </c>
      <c r="AM340" s="127">
        <f t="shared" ca="1" si="106"/>
        <v>0</v>
      </c>
      <c r="AN340" s="127">
        <f t="shared" ca="1" si="106"/>
        <v>0</v>
      </c>
      <c r="AO340" s="129">
        <f t="shared" ca="1" si="98"/>
        <v>0</v>
      </c>
      <c r="AP340" s="536" t="str">
        <f t="shared" si="101"/>
        <v/>
      </c>
      <c r="AQ340" s="536" t="str">
        <f t="shared" si="102"/>
        <v/>
      </c>
      <c r="AR340" s="536" t="str">
        <f t="shared" si="103"/>
        <v/>
      </c>
      <c r="AS340" s="537">
        <f>IF(OR(J340&lt;&gt;"",AP340&amp;AQ340&amp;AR340&lt;&gt;"X",WEEKDAY(I340,2)&gt;5,C340&lt;&gt;0,(FechaInicio1Tri&gt;I340),(FechaFinEEva&lt;I340)),0,_xlfn.XLOOKUP(WEEKDAY(I340,2),Fchs!$J$10:$N$10,Fchs!$J$12:$N$12))</f>
        <v>0</v>
      </c>
      <c r="AT340" s="536">
        <f t="shared" ca="1" si="104"/>
        <v>0</v>
      </c>
      <c r="AU340" s="538">
        <f>IF(AS340&lt;&gt;0,MAXA($AU$14:AU339)+AS340,0)</f>
        <v>0</v>
      </c>
      <c r="AV340" s="538">
        <f ca="1">IF(AT340&lt;&gt;0,MAXA($AU$14:AU339)+AT340,0)</f>
        <v>0</v>
      </c>
      <c r="AW340" s="226"/>
    </row>
    <row r="341" spans="1:49" ht="18.75" customHeight="1" x14ac:dyDescent="0.25">
      <c r="A341" s="226"/>
      <c r="B341" s="56" t="str">
        <f>MID(Info!$AZ$3,(WEEKDAY(I341,2)-1)*3+1,3)</f>
        <v>Lun</v>
      </c>
      <c r="C341" s="523">
        <f>_xlfn.XLOOKUP(I341,Fchs!$I$156:$I$197,Fchs!$J$156:$J$197,0)</f>
        <v>0</v>
      </c>
      <c r="D341" s="523">
        <f>_xlfn.XLOOKUP(I341,Fchs!$I$156:$I$197,Fchs!$K$156:$K$197)</f>
        <v>0</v>
      </c>
      <c r="E341" s="532">
        <f>IF($AS341&lt;&gt;0,_xlfn.XLOOKUP($G341,UDs!$E$34:$E$55,UDs!$B$34:$B$55,,-1),0)</f>
        <v>0</v>
      </c>
      <c r="F341" s="532">
        <f t="shared" ca="1" si="100"/>
        <v>0</v>
      </c>
      <c r="G341" s="569">
        <f>IF(AU341&lt;&gt;0,MAX($AU$13:$AU340)+1,0)</f>
        <v>0</v>
      </c>
      <c r="H341" s="569" t="str">
        <f>IF(AS341&lt;&gt;0,COUNT($H$14:H340,1),"")</f>
        <v/>
      </c>
      <c r="I341" s="533">
        <f t="shared" si="105"/>
        <v>46195</v>
      </c>
      <c r="J341" s="534"/>
      <c r="K341" s="535"/>
      <c r="L341" s="126">
        <f t="shared" ca="1" si="107"/>
        <v>0</v>
      </c>
      <c r="M341" s="127">
        <f t="shared" ca="1" si="107"/>
        <v>0</v>
      </c>
      <c r="N341" s="127">
        <f t="shared" ca="1" si="107"/>
        <v>0</v>
      </c>
      <c r="O341" s="127">
        <f t="shared" ca="1" si="107"/>
        <v>0</v>
      </c>
      <c r="P341" s="128">
        <f t="shared" ca="1" si="107"/>
        <v>0</v>
      </c>
      <c r="Q341" s="126">
        <f t="shared" ca="1" si="107"/>
        <v>0</v>
      </c>
      <c r="R341" s="127">
        <f t="shared" ca="1" si="107"/>
        <v>0</v>
      </c>
      <c r="S341" s="127">
        <f t="shared" ca="1" si="107"/>
        <v>0</v>
      </c>
      <c r="T341" s="127">
        <f t="shared" ca="1" si="107"/>
        <v>0</v>
      </c>
      <c r="U341" s="128">
        <f t="shared" ca="1" si="107"/>
        <v>0</v>
      </c>
      <c r="V341" s="126">
        <f t="shared" ca="1" si="107"/>
        <v>0</v>
      </c>
      <c r="W341" s="127">
        <f t="shared" ca="1" si="107"/>
        <v>0</v>
      </c>
      <c r="X341" s="127">
        <f t="shared" ca="1" si="107"/>
        <v>0</v>
      </c>
      <c r="Y341" s="127">
        <f t="shared" ca="1" si="107"/>
        <v>0</v>
      </c>
      <c r="Z341" s="128">
        <f t="shared" ca="1" si="107"/>
        <v>0</v>
      </c>
      <c r="AA341" s="126">
        <f t="shared" ca="1" si="107"/>
        <v>0</v>
      </c>
      <c r="AB341" s="127">
        <f t="shared" ca="1" si="106"/>
        <v>0</v>
      </c>
      <c r="AC341" s="127">
        <f t="shared" ca="1" si="106"/>
        <v>0</v>
      </c>
      <c r="AD341" s="127">
        <f t="shared" ca="1" si="106"/>
        <v>0</v>
      </c>
      <c r="AE341" s="128">
        <f t="shared" ca="1" si="106"/>
        <v>0</v>
      </c>
      <c r="AF341" s="126">
        <f t="shared" ca="1" si="106"/>
        <v>0</v>
      </c>
      <c r="AG341" s="127">
        <f t="shared" ca="1" si="106"/>
        <v>0</v>
      </c>
      <c r="AH341" s="127">
        <f t="shared" ca="1" si="106"/>
        <v>0</v>
      </c>
      <c r="AI341" s="127">
        <f t="shared" ca="1" si="106"/>
        <v>0</v>
      </c>
      <c r="AJ341" s="128">
        <f t="shared" ca="1" si="106"/>
        <v>0</v>
      </c>
      <c r="AK341" s="126">
        <f t="shared" ca="1" si="106"/>
        <v>0</v>
      </c>
      <c r="AL341" s="127">
        <f t="shared" ca="1" si="106"/>
        <v>0</v>
      </c>
      <c r="AM341" s="127">
        <f t="shared" ca="1" si="106"/>
        <v>0</v>
      </c>
      <c r="AN341" s="127">
        <f t="shared" ca="1" si="106"/>
        <v>0</v>
      </c>
      <c r="AO341" s="129">
        <f t="shared" ca="1" si="98"/>
        <v>0</v>
      </c>
      <c r="AP341" s="536" t="str">
        <f t="shared" si="101"/>
        <v/>
      </c>
      <c r="AQ341" s="536" t="str">
        <f t="shared" si="102"/>
        <v/>
      </c>
      <c r="AR341" s="536" t="str">
        <f t="shared" si="103"/>
        <v/>
      </c>
      <c r="AS341" s="537">
        <f>IF(OR(J341&lt;&gt;"",AP341&amp;AQ341&amp;AR341&lt;&gt;"X",WEEKDAY(I341,2)&gt;5,C341&lt;&gt;0,(FechaInicio1Tri&gt;I341),(FechaFinEEva&lt;I341)),0,_xlfn.XLOOKUP(WEEKDAY(I341,2),Fchs!$J$10:$N$10,Fchs!$J$12:$N$12))</f>
        <v>0</v>
      </c>
      <c r="AT341" s="536">
        <f t="shared" ca="1" si="104"/>
        <v>0</v>
      </c>
      <c r="AU341" s="538">
        <f>IF(AS341&lt;&gt;0,MAXA($AU$14:AU340)+AS341,0)</f>
        <v>0</v>
      </c>
      <c r="AV341" s="538">
        <f ca="1">IF(AT341&lt;&gt;0,MAXA($AU$14:AU340)+AT341,0)</f>
        <v>0</v>
      </c>
      <c r="AW341" s="226"/>
    </row>
    <row r="342" spans="1:49" ht="18.75" customHeight="1" x14ac:dyDescent="0.25">
      <c r="A342" s="226"/>
      <c r="B342" s="56" t="str">
        <f>MID(Info!$AZ$3,(WEEKDAY(I342,2)-1)*3+1,3)</f>
        <v>Mar</v>
      </c>
      <c r="C342" s="523">
        <f>_xlfn.XLOOKUP(I342,Fchs!$I$156:$I$197,Fchs!$J$156:$J$197,0)</f>
        <v>0</v>
      </c>
      <c r="D342" s="523">
        <f>_xlfn.XLOOKUP(I342,Fchs!$I$156:$I$197,Fchs!$K$156:$K$197)</f>
        <v>0</v>
      </c>
      <c r="E342" s="532">
        <f>IF($AS342&lt;&gt;0,_xlfn.XLOOKUP($G342,UDs!$E$34:$E$55,UDs!$B$34:$B$55,,-1),0)</f>
        <v>0</v>
      </c>
      <c r="F342" s="532">
        <f t="shared" ca="1" si="100"/>
        <v>0</v>
      </c>
      <c r="G342" s="569">
        <f>IF(AU342&lt;&gt;0,MAX($AU$13:$AU341)+1,0)</f>
        <v>0</v>
      </c>
      <c r="H342" s="569" t="str">
        <f>IF(AS342&lt;&gt;0,COUNT($H$14:H341,1),"")</f>
        <v/>
      </c>
      <c r="I342" s="533">
        <f t="shared" si="105"/>
        <v>46196</v>
      </c>
      <c r="J342" s="534"/>
      <c r="K342" s="535"/>
      <c r="L342" s="126">
        <f t="shared" ca="1" si="107"/>
        <v>0</v>
      </c>
      <c r="M342" s="127">
        <f t="shared" ca="1" si="107"/>
        <v>0</v>
      </c>
      <c r="N342" s="127">
        <f t="shared" ca="1" si="107"/>
        <v>0</v>
      </c>
      <c r="O342" s="127">
        <f t="shared" ca="1" si="107"/>
        <v>0</v>
      </c>
      <c r="P342" s="128">
        <f t="shared" ca="1" si="107"/>
        <v>0</v>
      </c>
      <c r="Q342" s="126">
        <f t="shared" ca="1" si="107"/>
        <v>0</v>
      </c>
      <c r="R342" s="127">
        <f t="shared" ca="1" si="107"/>
        <v>0</v>
      </c>
      <c r="S342" s="127">
        <f t="shared" ca="1" si="107"/>
        <v>0</v>
      </c>
      <c r="T342" s="127">
        <f t="shared" ca="1" si="107"/>
        <v>0</v>
      </c>
      <c r="U342" s="128">
        <f t="shared" ca="1" si="107"/>
        <v>0</v>
      </c>
      <c r="V342" s="126">
        <f t="shared" ca="1" si="107"/>
        <v>0</v>
      </c>
      <c r="W342" s="127">
        <f t="shared" ca="1" si="107"/>
        <v>0</v>
      </c>
      <c r="X342" s="127">
        <f t="shared" ca="1" si="107"/>
        <v>0</v>
      </c>
      <c r="Y342" s="127">
        <f t="shared" ca="1" si="107"/>
        <v>0</v>
      </c>
      <c r="Z342" s="128">
        <f t="shared" ca="1" si="107"/>
        <v>0</v>
      </c>
      <c r="AA342" s="126">
        <f t="shared" ref="AA342:AN349" ca="1" si="108">$AT342</f>
        <v>0</v>
      </c>
      <c r="AB342" s="127">
        <f t="shared" ca="1" si="108"/>
        <v>0</v>
      </c>
      <c r="AC342" s="127">
        <f t="shared" ca="1" si="108"/>
        <v>0</v>
      </c>
      <c r="AD342" s="127">
        <f t="shared" ca="1" si="108"/>
        <v>0</v>
      </c>
      <c r="AE342" s="128">
        <f t="shared" ca="1" si="108"/>
        <v>0</v>
      </c>
      <c r="AF342" s="126">
        <f t="shared" ca="1" si="108"/>
        <v>0</v>
      </c>
      <c r="AG342" s="127">
        <f t="shared" ca="1" si="108"/>
        <v>0</v>
      </c>
      <c r="AH342" s="127">
        <f t="shared" ca="1" si="108"/>
        <v>0</v>
      </c>
      <c r="AI342" s="127">
        <f t="shared" ca="1" si="108"/>
        <v>0</v>
      </c>
      <c r="AJ342" s="128">
        <f t="shared" ca="1" si="108"/>
        <v>0</v>
      </c>
      <c r="AK342" s="126">
        <f t="shared" ca="1" si="108"/>
        <v>0</v>
      </c>
      <c r="AL342" s="127">
        <f t="shared" ca="1" si="108"/>
        <v>0</v>
      </c>
      <c r="AM342" s="127">
        <f t="shared" ca="1" si="108"/>
        <v>0</v>
      </c>
      <c r="AN342" s="127">
        <f t="shared" ca="1" si="108"/>
        <v>0</v>
      </c>
      <c r="AO342" s="129">
        <f t="shared" ca="1" si="98"/>
        <v>0</v>
      </c>
      <c r="AP342" s="536" t="str">
        <f t="shared" si="101"/>
        <v/>
      </c>
      <c r="AQ342" s="536" t="str">
        <f t="shared" si="102"/>
        <v/>
      </c>
      <c r="AR342" s="536" t="str">
        <f t="shared" si="103"/>
        <v/>
      </c>
      <c r="AS342" s="537">
        <f>IF(OR(J342&lt;&gt;"",AP342&amp;AQ342&amp;AR342&lt;&gt;"X",WEEKDAY(I342,2)&gt;5,C342&lt;&gt;0,(FechaInicio1Tri&gt;I342),(FechaFinEEva&lt;I342)),0,_xlfn.XLOOKUP(WEEKDAY(I342,2),Fchs!$J$10:$N$10,Fchs!$J$12:$N$12))</f>
        <v>0</v>
      </c>
      <c r="AT342" s="536">
        <f t="shared" ca="1" si="104"/>
        <v>0</v>
      </c>
      <c r="AU342" s="538">
        <f>IF(AS342&lt;&gt;0,MAXA($AU$14:AU341)+AS342,0)</f>
        <v>0</v>
      </c>
      <c r="AV342" s="538">
        <f ca="1">IF(AT342&lt;&gt;0,MAXA($AU$14:AU341)+AT342,0)</f>
        <v>0</v>
      </c>
      <c r="AW342" s="226"/>
    </row>
    <row r="343" spans="1:49" ht="18.75" customHeight="1" x14ac:dyDescent="0.25">
      <c r="A343" s="226"/>
      <c r="B343" s="56" t="str">
        <f>MID(Info!$AZ$3,(WEEKDAY(I343,2)-1)*3+1,3)</f>
        <v>Mié</v>
      </c>
      <c r="C343" s="523">
        <f>_xlfn.XLOOKUP(I343,Fchs!$I$156:$I$197,Fchs!$J$156:$J$197,0)</f>
        <v>0</v>
      </c>
      <c r="D343" s="523">
        <f>_xlfn.XLOOKUP(I343,Fchs!$I$156:$I$197,Fchs!$K$156:$K$197)</f>
        <v>0</v>
      </c>
      <c r="E343" s="532">
        <f>IF($AS343&lt;&gt;0,_xlfn.XLOOKUP($G343,UDs!$E$34:$E$55,UDs!$B$34:$B$55,,-1),0)</f>
        <v>0</v>
      </c>
      <c r="F343" s="532">
        <f t="shared" ca="1" si="100"/>
        <v>0</v>
      </c>
      <c r="G343" s="569">
        <f>IF(AU343&lt;&gt;0,MAX($AU$13:$AU342)+1,0)</f>
        <v>0</v>
      </c>
      <c r="H343" s="569" t="str">
        <f>IF(AS343&lt;&gt;0,COUNT($H$14:H342,1),"")</f>
        <v/>
      </c>
      <c r="I343" s="533">
        <f t="shared" si="105"/>
        <v>46197</v>
      </c>
      <c r="J343" s="534"/>
      <c r="K343" s="535"/>
      <c r="L343" s="126">
        <f t="shared" ref="L343:AA349" ca="1" si="109">$AT343</f>
        <v>0</v>
      </c>
      <c r="M343" s="127">
        <f t="shared" ca="1" si="109"/>
        <v>0</v>
      </c>
      <c r="N343" s="127">
        <f t="shared" ca="1" si="109"/>
        <v>0</v>
      </c>
      <c r="O343" s="127">
        <f t="shared" ca="1" si="109"/>
        <v>0</v>
      </c>
      <c r="P343" s="128">
        <f t="shared" ca="1" si="109"/>
        <v>0</v>
      </c>
      <c r="Q343" s="126">
        <f t="shared" ca="1" si="109"/>
        <v>0</v>
      </c>
      <c r="R343" s="127">
        <f t="shared" ca="1" si="109"/>
        <v>0</v>
      </c>
      <c r="S343" s="127">
        <f t="shared" ca="1" si="109"/>
        <v>0</v>
      </c>
      <c r="T343" s="127">
        <f t="shared" ca="1" si="109"/>
        <v>0</v>
      </c>
      <c r="U343" s="128">
        <f t="shared" ca="1" si="109"/>
        <v>0</v>
      </c>
      <c r="V343" s="126">
        <f t="shared" ca="1" si="109"/>
        <v>0</v>
      </c>
      <c r="W343" s="127">
        <f t="shared" ca="1" si="109"/>
        <v>0</v>
      </c>
      <c r="X343" s="127">
        <f t="shared" ca="1" si="109"/>
        <v>0</v>
      </c>
      <c r="Y343" s="127">
        <f t="shared" ca="1" si="109"/>
        <v>0</v>
      </c>
      <c r="Z343" s="128">
        <f t="shared" ca="1" si="109"/>
        <v>0</v>
      </c>
      <c r="AA343" s="126">
        <f t="shared" ca="1" si="109"/>
        <v>0</v>
      </c>
      <c r="AB343" s="127">
        <f t="shared" ca="1" si="108"/>
        <v>0</v>
      </c>
      <c r="AC343" s="127">
        <f t="shared" ca="1" si="108"/>
        <v>0</v>
      </c>
      <c r="AD343" s="127">
        <f t="shared" ca="1" si="108"/>
        <v>0</v>
      </c>
      <c r="AE343" s="128">
        <f t="shared" ca="1" si="108"/>
        <v>0</v>
      </c>
      <c r="AF343" s="126">
        <f t="shared" ca="1" si="108"/>
        <v>0</v>
      </c>
      <c r="AG343" s="127">
        <f t="shared" ca="1" si="108"/>
        <v>0</v>
      </c>
      <c r="AH343" s="127">
        <f t="shared" ca="1" si="108"/>
        <v>0</v>
      </c>
      <c r="AI343" s="127">
        <f t="shared" ca="1" si="108"/>
        <v>0</v>
      </c>
      <c r="AJ343" s="128">
        <f t="shared" ca="1" si="108"/>
        <v>0</v>
      </c>
      <c r="AK343" s="126">
        <f t="shared" ca="1" si="108"/>
        <v>0</v>
      </c>
      <c r="AL343" s="127">
        <f t="shared" ca="1" si="108"/>
        <v>0</v>
      </c>
      <c r="AM343" s="127">
        <f t="shared" ca="1" si="108"/>
        <v>0</v>
      </c>
      <c r="AN343" s="127">
        <f t="shared" ca="1" si="108"/>
        <v>0</v>
      </c>
      <c r="AO343" s="129">
        <f t="shared" ca="1" si="98"/>
        <v>0</v>
      </c>
      <c r="AP343" s="536" t="str">
        <f t="shared" si="101"/>
        <v/>
      </c>
      <c r="AQ343" s="536" t="str">
        <f t="shared" si="102"/>
        <v/>
      </c>
      <c r="AR343" s="536" t="str">
        <f t="shared" si="103"/>
        <v/>
      </c>
      <c r="AS343" s="537">
        <f>IF(OR(J343&lt;&gt;"",AP343&amp;AQ343&amp;AR343&lt;&gt;"X",WEEKDAY(I343,2)&gt;5,C343&lt;&gt;0,(FechaInicio1Tri&gt;I343),(FechaFinEEva&lt;I343)),0,_xlfn.XLOOKUP(WEEKDAY(I343,2),Fchs!$J$10:$N$10,Fchs!$J$12:$N$12))</f>
        <v>0</v>
      </c>
      <c r="AT343" s="536">
        <f t="shared" ca="1" si="104"/>
        <v>0</v>
      </c>
      <c r="AU343" s="538">
        <f>IF(AS343&lt;&gt;0,MAXA($AU$14:AU342)+AS343,0)</f>
        <v>0</v>
      </c>
      <c r="AV343" s="538">
        <f ca="1">IF(AT343&lt;&gt;0,MAXA($AU$14:AU342)+AT343,0)</f>
        <v>0</v>
      </c>
      <c r="AW343" s="226"/>
    </row>
    <row r="344" spans="1:49" ht="18.75" customHeight="1" x14ac:dyDescent="0.25">
      <c r="A344" s="226"/>
      <c r="B344" s="56" t="str">
        <f>MID(Info!$AZ$3,(WEEKDAY(I344,2)-1)*3+1,3)</f>
        <v>Jue</v>
      </c>
      <c r="C344" s="523">
        <f>_xlfn.XLOOKUP(I344,Fchs!$I$156:$I$197,Fchs!$J$156:$J$197,0)</f>
        <v>0</v>
      </c>
      <c r="D344" s="523">
        <f>_xlfn.XLOOKUP(I344,Fchs!$I$156:$I$197,Fchs!$K$156:$K$197)</f>
        <v>0</v>
      </c>
      <c r="E344" s="532">
        <f>IF($AS344&lt;&gt;0,_xlfn.XLOOKUP($G344,UDs!$E$34:$E$55,UDs!$B$34:$B$55,,-1),0)</f>
        <v>0</v>
      </c>
      <c r="F344" s="532">
        <f t="shared" ca="1" si="100"/>
        <v>0</v>
      </c>
      <c r="G344" s="569">
        <f>IF(AU344&lt;&gt;0,MAX($AU$13:$AU343)+1,0)</f>
        <v>0</v>
      </c>
      <c r="H344" s="569" t="str">
        <f>IF(AS344&lt;&gt;0,COUNT($H$14:H343,1),"")</f>
        <v/>
      </c>
      <c r="I344" s="533">
        <f t="shared" si="105"/>
        <v>46198</v>
      </c>
      <c r="J344" s="534"/>
      <c r="K344" s="535"/>
      <c r="L344" s="126">
        <f t="shared" ca="1" si="109"/>
        <v>0</v>
      </c>
      <c r="M344" s="127">
        <f t="shared" ca="1" si="109"/>
        <v>0</v>
      </c>
      <c r="N344" s="127">
        <f t="shared" ca="1" si="109"/>
        <v>0</v>
      </c>
      <c r="O344" s="127">
        <f t="shared" ca="1" si="109"/>
        <v>0</v>
      </c>
      <c r="P344" s="128">
        <f t="shared" ca="1" si="109"/>
        <v>0</v>
      </c>
      <c r="Q344" s="126">
        <f t="shared" ca="1" si="109"/>
        <v>0</v>
      </c>
      <c r="R344" s="127">
        <f t="shared" ca="1" si="109"/>
        <v>0</v>
      </c>
      <c r="S344" s="127">
        <f t="shared" ca="1" si="109"/>
        <v>0</v>
      </c>
      <c r="T344" s="127">
        <f t="shared" ca="1" si="109"/>
        <v>0</v>
      </c>
      <c r="U344" s="128">
        <f t="shared" ca="1" si="109"/>
        <v>0</v>
      </c>
      <c r="V344" s="126">
        <f t="shared" ca="1" si="109"/>
        <v>0</v>
      </c>
      <c r="W344" s="127">
        <f t="shared" ca="1" si="109"/>
        <v>0</v>
      </c>
      <c r="X344" s="127">
        <f t="shared" ca="1" si="109"/>
        <v>0</v>
      </c>
      <c r="Y344" s="127">
        <f t="shared" ca="1" si="109"/>
        <v>0</v>
      </c>
      <c r="Z344" s="128">
        <f t="shared" ca="1" si="109"/>
        <v>0</v>
      </c>
      <c r="AA344" s="126">
        <f t="shared" ca="1" si="109"/>
        <v>0</v>
      </c>
      <c r="AB344" s="127">
        <f t="shared" ca="1" si="108"/>
        <v>0</v>
      </c>
      <c r="AC344" s="127">
        <f t="shared" ca="1" si="108"/>
        <v>0</v>
      </c>
      <c r="AD344" s="127">
        <f t="shared" ca="1" si="108"/>
        <v>0</v>
      </c>
      <c r="AE344" s="128">
        <f t="shared" ca="1" si="108"/>
        <v>0</v>
      </c>
      <c r="AF344" s="126">
        <f t="shared" ca="1" si="108"/>
        <v>0</v>
      </c>
      <c r="AG344" s="127">
        <f t="shared" ca="1" si="108"/>
        <v>0</v>
      </c>
      <c r="AH344" s="127">
        <f t="shared" ca="1" si="108"/>
        <v>0</v>
      </c>
      <c r="AI344" s="127">
        <f t="shared" ca="1" si="108"/>
        <v>0</v>
      </c>
      <c r="AJ344" s="128">
        <f t="shared" ca="1" si="108"/>
        <v>0</v>
      </c>
      <c r="AK344" s="126">
        <f t="shared" ca="1" si="108"/>
        <v>0</v>
      </c>
      <c r="AL344" s="127">
        <f t="shared" ca="1" si="108"/>
        <v>0</v>
      </c>
      <c r="AM344" s="127">
        <f t="shared" ca="1" si="108"/>
        <v>0</v>
      </c>
      <c r="AN344" s="127">
        <f t="shared" ca="1" si="108"/>
        <v>0</v>
      </c>
      <c r="AO344" s="129">
        <f t="shared" ca="1" si="98"/>
        <v>0</v>
      </c>
      <c r="AP344" s="536" t="str">
        <f t="shared" si="101"/>
        <v/>
      </c>
      <c r="AQ344" s="536" t="str">
        <f t="shared" si="102"/>
        <v/>
      </c>
      <c r="AR344" s="536" t="str">
        <f t="shared" si="103"/>
        <v/>
      </c>
      <c r="AS344" s="537">
        <f>IF(OR(J344&lt;&gt;"",AP344&amp;AQ344&amp;AR344&lt;&gt;"X",WEEKDAY(I344,2)&gt;5,C344&lt;&gt;0,(FechaInicio1Tri&gt;I344),(FechaFinEEva&lt;I344)),0,_xlfn.XLOOKUP(WEEKDAY(I344,2),Fchs!$J$10:$N$10,Fchs!$J$12:$N$12))</f>
        <v>0</v>
      </c>
      <c r="AT344" s="536">
        <f t="shared" ca="1" si="104"/>
        <v>0</v>
      </c>
      <c r="AU344" s="538">
        <f>IF(AS344&lt;&gt;0,MAXA($AU$14:AU343)+AS344,0)</f>
        <v>0</v>
      </c>
      <c r="AV344" s="538">
        <f ca="1">IF(AT344&lt;&gt;0,MAXA($AU$14:AU343)+AT344,0)</f>
        <v>0</v>
      </c>
      <c r="AW344" s="226"/>
    </row>
    <row r="345" spans="1:49" ht="18.75" customHeight="1" x14ac:dyDescent="0.25">
      <c r="A345" s="226"/>
      <c r="B345" s="56" t="str">
        <f>MID(Info!$AZ$3,(WEEKDAY(I345,2)-1)*3+1,3)</f>
        <v>Vie</v>
      </c>
      <c r="C345" s="523">
        <f>_xlfn.XLOOKUP(I345,Fchs!$I$156:$I$197,Fchs!$J$156:$J$197,0)</f>
        <v>0</v>
      </c>
      <c r="D345" s="523">
        <f>_xlfn.XLOOKUP(I345,Fchs!$I$156:$I$197,Fchs!$K$156:$K$197)</f>
        <v>0</v>
      </c>
      <c r="E345" s="532">
        <f>IF($AS345&lt;&gt;0,_xlfn.XLOOKUP($G345,UDs!$E$34:$E$55,UDs!$B$34:$B$55,,-1),0)</f>
        <v>0</v>
      </c>
      <c r="F345" s="532">
        <f t="shared" ca="1" si="100"/>
        <v>0</v>
      </c>
      <c r="G345" s="569">
        <f>IF(AU345&lt;&gt;0,MAX($AU$13:$AU344)+1,0)</f>
        <v>0</v>
      </c>
      <c r="H345" s="569" t="str">
        <f>IF(AS345&lt;&gt;0,COUNT($H$14:H344,1),"")</f>
        <v/>
      </c>
      <c r="I345" s="533">
        <f t="shared" si="105"/>
        <v>46199</v>
      </c>
      <c r="J345" s="534"/>
      <c r="K345" s="535"/>
      <c r="L345" s="126">
        <f t="shared" ca="1" si="109"/>
        <v>0</v>
      </c>
      <c r="M345" s="127">
        <f t="shared" ca="1" si="109"/>
        <v>0</v>
      </c>
      <c r="N345" s="127">
        <f t="shared" ca="1" si="109"/>
        <v>0</v>
      </c>
      <c r="O345" s="127">
        <f t="shared" ca="1" si="109"/>
        <v>0</v>
      </c>
      <c r="P345" s="128">
        <f t="shared" ca="1" si="109"/>
        <v>0</v>
      </c>
      <c r="Q345" s="126">
        <f t="shared" ca="1" si="109"/>
        <v>0</v>
      </c>
      <c r="R345" s="127">
        <f t="shared" ca="1" si="109"/>
        <v>0</v>
      </c>
      <c r="S345" s="127">
        <f t="shared" ca="1" si="109"/>
        <v>0</v>
      </c>
      <c r="T345" s="127">
        <f t="shared" ca="1" si="109"/>
        <v>0</v>
      </c>
      <c r="U345" s="128">
        <f t="shared" ca="1" si="109"/>
        <v>0</v>
      </c>
      <c r="V345" s="126">
        <f t="shared" ca="1" si="109"/>
        <v>0</v>
      </c>
      <c r="W345" s="127">
        <f t="shared" ca="1" si="109"/>
        <v>0</v>
      </c>
      <c r="X345" s="127">
        <f t="shared" ca="1" si="109"/>
        <v>0</v>
      </c>
      <c r="Y345" s="127">
        <f t="shared" ca="1" si="109"/>
        <v>0</v>
      </c>
      <c r="Z345" s="128">
        <f t="shared" ca="1" si="109"/>
        <v>0</v>
      </c>
      <c r="AA345" s="126">
        <f t="shared" ca="1" si="109"/>
        <v>0</v>
      </c>
      <c r="AB345" s="127">
        <f t="shared" ca="1" si="108"/>
        <v>0</v>
      </c>
      <c r="AC345" s="127">
        <f t="shared" ca="1" si="108"/>
        <v>0</v>
      </c>
      <c r="AD345" s="127">
        <f t="shared" ca="1" si="108"/>
        <v>0</v>
      </c>
      <c r="AE345" s="128">
        <f t="shared" ca="1" si="108"/>
        <v>0</v>
      </c>
      <c r="AF345" s="126">
        <f t="shared" ca="1" si="108"/>
        <v>0</v>
      </c>
      <c r="AG345" s="127">
        <f t="shared" ca="1" si="108"/>
        <v>0</v>
      </c>
      <c r="AH345" s="127">
        <f t="shared" ca="1" si="108"/>
        <v>0</v>
      </c>
      <c r="AI345" s="127">
        <f t="shared" ca="1" si="108"/>
        <v>0</v>
      </c>
      <c r="AJ345" s="128">
        <f t="shared" ca="1" si="108"/>
        <v>0</v>
      </c>
      <c r="AK345" s="126">
        <f t="shared" ca="1" si="108"/>
        <v>0</v>
      </c>
      <c r="AL345" s="127">
        <f t="shared" ca="1" si="108"/>
        <v>0</v>
      </c>
      <c r="AM345" s="127">
        <f t="shared" ca="1" si="108"/>
        <v>0</v>
      </c>
      <c r="AN345" s="127">
        <f t="shared" ca="1" si="108"/>
        <v>0</v>
      </c>
      <c r="AO345" s="129">
        <f t="shared" ca="1" si="98"/>
        <v>0</v>
      </c>
      <c r="AP345" s="536" t="str">
        <f t="shared" si="101"/>
        <v/>
      </c>
      <c r="AQ345" s="536" t="str">
        <f t="shared" si="102"/>
        <v/>
      </c>
      <c r="AR345" s="536" t="str">
        <f t="shared" si="103"/>
        <v/>
      </c>
      <c r="AS345" s="537">
        <f>IF(OR(J345&lt;&gt;"",AP345&amp;AQ345&amp;AR345&lt;&gt;"X",WEEKDAY(I345,2)&gt;5,C345&lt;&gt;0,(FechaInicio1Tri&gt;I345),(FechaFinEEva&lt;I345)),0,_xlfn.XLOOKUP(WEEKDAY(I345,2),Fchs!$J$10:$N$10,Fchs!$J$12:$N$12))</f>
        <v>0</v>
      </c>
      <c r="AT345" s="536">
        <f t="shared" ca="1" si="104"/>
        <v>0</v>
      </c>
      <c r="AU345" s="538">
        <f>IF(AS345&lt;&gt;0,MAXA($AU$14:AU344)+AS345,0)</f>
        <v>0</v>
      </c>
      <c r="AV345" s="538">
        <f ca="1">IF(AT345&lt;&gt;0,MAXA($AU$14:AU344)+AT345,0)</f>
        <v>0</v>
      </c>
      <c r="AW345" s="226"/>
    </row>
    <row r="346" spans="1:49" ht="18.75" customHeight="1" x14ac:dyDescent="0.25">
      <c r="A346" s="226"/>
      <c r="B346" s="56" t="str">
        <f>MID(Info!$AZ$3,(WEEKDAY(I346,2)-1)*3+1,3)</f>
        <v>Sáb</v>
      </c>
      <c r="C346" s="523">
        <f>_xlfn.XLOOKUP(I346,Fchs!$I$156:$I$197,Fchs!$J$156:$J$197,0)</f>
        <v>0</v>
      </c>
      <c r="D346" s="523">
        <f>_xlfn.XLOOKUP(I346,Fchs!$I$156:$I$197,Fchs!$K$156:$K$197)</f>
        <v>0</v>
      </c>
      <c r="E346" s="532">
        <f>IF($AS346&lt;&gt;0,_xlfn.XLOOKUP($G346,UDs!$E$34:$E$55,UDs!$B$34:$B$55,,-1),0)</f>
        <v>0</v>
      </c>
      <c r="F346" s="532">
        <f t="shared" ca="1" si="100"/>
        <v>0</v>
      </c>
      <c r="G346" s="569">
        <f>IF(AU346&lt;&gt;0,MAX($AU$13:$AU345)+1,0)</f>
        <v>0</v>
      </c>
      <c r="H346" s="569" t="str">
        <f>IF(AS346&lt;&gt;0,COUNT($H$14:H345,1),"")</f>
        <v/>
      </c>
      <c r="I346" s="533">
        <f t="shared" si="105"/>
        <v>46200</v>
      </c>
      <c r="J346" s="534"/>
      <c r="K346" s="535"/>
      <c r="L346" s="126">
        <f t="shared" ca="1" si="109"/>
        <v>0</v>
      </c>
      <c r="M346" s="127">
        <f t="shared" ca="1" si="109"/>
        <v>0</v>
      </c>
      <c r="N346" s="127">
        <f t="shared" ca="1" si="109"/>
        <v>0</v>
      </c>
      <c r="O346" s="127">
        <f t="shared" ca="1" si="109"/>
        <v>0</v>
      </c>
      <c r="P346" s="128">
        <f t="shared" ca="1" si="109"/>
        <v>0</v>
      </c>
      <c r="Q346" s="126">
        <f t="shared" ca="1" si="109"/>
        <v>0</v>
      </c>
      <c r="R346" s="127">
        <f t="shared" ca="1" si="109"/>
        <v>0</v>
      </c>
      <c r="S346" s="127">
        <f t="shared" ca="1" si="109"/>
        <v>0</v>
      </c>
      <c r="T346" s="127">
        <f t="shared" ca="1" si="109"/>
        <v>0</v>
      </c>
      <c r="U346" s="128">
        <f t="shared" ca="1" si="109"/>
        <v>0</v>
      </c>
      <c r="V346" s="126">
        <f t="shared" ca="1" si="109"/>
        <v>0</v>
      </c>
      <c r="W346" s="127">
        <f t="shared" ca="1" si="109"/>
        <v>0</v>
      </c>
      <c r="X346" s="127">
        <f t="shared" ca="1" si="109"/>
        <v>0</v>
      </c>
      <c r="Y346" s="127">
        <f t="shared" ca="1" si="109"/>
        <v>0</v>
      </c>
      <c r="Z346" s="128">
        <f t="shared" ca="1" si="109"/>
        <v>0</v>
      </c>
      <c r="AA346" s="126">
        <f t="shared" ca="1" si="109"/>
        <v>0</v>
      </c>
      <c r="AB346" s="127">
        <f t="shared" ca="1" si="108"/>
        <v>0</v>
      </c>
      <c r="AC346" s="127">
        <f t="shared" ca="1" si="108"/>
        <v>0</v>
      </c>
      <c r="AD346" s="127">
        <f t="shared" ca="1" si="108"/>
        <v>0</v>
      </c>
      <c r="AE346" s="128">
        <f t="shared" ca="1" si="108"/>
        <v>0</v>
      </c>
      <c r="AF346" s="126">
        <f t="shared" ca="1" si="108"/>
        <v>0</v>
      </c>
      <c r="AG346" s="127">
        <f t="shared" ca="1" si="108"/>
        <v>0</v>
      </c>
      <c r="AH346" s="127">
        <f t="shared" ca="1" si="108"/>
        <v>0</v>
      </c>
      <c r="AI346" s="127">
        <f t="shared" ca="1" si="108"/>
        <v>0</v>
      </c>
      <c r="AJ346" s="128">
        <f t="shared" ca="1" si="108"/>
        <v>0</v>
      </c>
      <c r="AK346" s="126">
        <f t="shared" ca="1" si="108"/>
        <v>0</v>
      </c>
      <c r="AL346" s="127">
        <f t="shared" ca="1" si="108"/>
        <v>0</v>
      </c>
      <c r="AM346" s="127">
        <f t="shared" ca="1" si="108"/>
        <v>0</v>
      </c>
      <c r="AN346" s="127">
        <f t="shared" ca="1" si="108"/>
        <v>0</v>
      </c>
      <c r="AO346" s="129">
        <f t="shared" ca="1" si="98"/>
        <v>0</v>
      </c>
      <c r="AP346" s="536" t="str">
        <f t="shared" si="101"/>
        <v/>
      </c>
      <c r="AQ346" s="536" t="str">
        <f t="shared" si="102"/>
        <v/>
      </c>
      <c r="AR346" s="536" t="str">
        <f t="shared" si="103"/>
        <v/>
      </c>
      <c r="AS346" s="537">
        <f>IF(OR(J346&lt;&gt;"",AP346&amp;AQ346&amp;AR346&lt;&gt;"X",WEEKDAY(I346,2)&gt;5,C346&lt;&gt;0,(FechaInicio1Tri&gt;I346),(FechaFinEEva&lt;I346)),0,_xlfn.XLOOKUP(WEEKDAY(I346,2),Fchs!$J$10:$N$10,Fchs!$J$12:$N$12))</f>
        <v>0</v>
      </c>
      <c r="AT346" s="536">
        <f t="shared" ca="1" si="104"/>
        <v>0</v>
      </c>
      <c r="AU346" s="538">
        <f>IF(AS346&lt;&gt;0,MAXA($AU$14:AU345)+AS346,0)</f>
        <v>0</v>
      </c>
      <c r="AV346" s="538">
        <f ca="1">IF(AT346&lt;&gt;0,MAXA($AU$14:AU345)+AT346,0)</f>
        <v>0</v>
      </c>
      <c r="AW346" s="226"/>
    </row>
    <row r="347" spans="1:49" ht="18.75" customHeight="1" x14ac:dyDescent="0.25">
      <c r="A347" s="226"/>
      <c r="B347" s="56" t="str">
        <f>MID(Info!$AZ$3,(WEEKDAY(I347,2)-1)*3+1,3)</f>
        <v>Dom</v>
      </c>
      <c r="C347" s="523">
        <f>_xlfn.XLOOKUP(I347,Fchs!$I$156:$I$197,Fchs!$J$156:$J$197,0)</f>
        <v>0</v>
      </c>
      <c r="D347" s="523">
        <f>_xlfn.XLOOKUP(I347,Fchs!$I$156:$I$197,Fchs!$K$156:$K$197)</f>
        <v>0</v>
      </c>
      <c r="E347" s="532">
        <f>IF($AS347&lt;&gt;0,_xlfn.XLOOKUP($G347,UDs!$E$34:$E$55,UDs!$B$34:$B$55,,-1),0)</f>
        <v>0</v>
      </c>
      <c r="F347" s="532">
        <f t="shared" ca="1" si="100"/>
        <v>0</v>
      </c>
      <c r="G347" s="569">
        <f>IF(AU347&lt;&gt;0,MAX($AU$13:$AU346)+1,0)</f>
        <v>0</v>
      </c>
      <c r="H347" s="569" t="str">
        <f>IF(AS347&lt;&gt;0,COUNT($H$14:H346,1),"")</f>
        <v/>
      </c>
      <c r="I347" s="533">
        <f t="shared" si="105"/>
        <v>46201</v>
      </c>
      <c r="J347" s="534"/>
      <c r="K347" s="535"/>
      <c r="L347" s="126">
        <f t="shared" ca="1" si="109"/>
        <v>0</v>
      </c>
      <c r="M347" s="127">
        <f t="shared" ca="1" si="109"/>
        <v>0</v>
      </c>
      <c r="N347" s="127">
        <f t="shared" ca="1" si="109"/>
        <v>0</v>
      </c>
      <c r="O347" s="127">
        <f t="shared" ca="1" si="109"/>
        <v>0</v>
      </c>
      <c r="P347" s="128">
        <f t="shared" ca="1" si="109"/>
        <v>0</v>
      </c>
      <c r="Q347" s="126">
        <f t="shared" ca="1" si="109"/>
        <v>0</v>
      </c>
      <c r="R347" s="127">
        <f t="shared" ca="1" si="109"/>
        <v>0</v>
      </c>
      <c r="S347" s="127">
        <f t="shared" ca="1" si="109"/>
        <v>0</v>
      </c>
      <c r="T347" s="127">
        <f t="shared" ca="1" si="109"/>
        <v>0</v>
      </c>
      <c r="U347" s="128">
        <f t="shared" ca="1" si="109"/>
        <v>0</v>
      </c>
      <c r="V347" s="126">
        <f t="shared" ca="1" si="109"/>
        <v>0</v>
      </c>
      <c r="W347" s="127">
        <f t="shared" ca="1" si="109"/>
        <v>0</v>
      </c>
      <c r="X347" s="127">
        <f t="shared" ca="1" si="109"/>
        <v>0</v>
      </c>
      <c r="Y347" s="127">
        <f t="shared" ca="1" si="109"/>
        <v>0</v>
      </c>
      <c r="Z347" s="128">
        <f t="shared" ca="1" si="109"/>
        <v>0</v>
      </c>
      <c r="AA347" s="126">
        <f t="shared" ca="1" si="109"/>
        <v>0</v>
      </c>
      <c r="AB347" s="127">
        <f t="shared" ca="1" si="108"/>
        <v>0</v>
      </c>
      <c r="AC347" s="127">
        <f t="shared" ca="1" si="108"/>
        <v>0</v>
      </c>
      <c r="AD347" s="127">
        <f t="shared" ca="1" si="108"/>
        <v>0</v>
      </c>
      <c r="AE347" s="128">
        <f t="shared" ca="1" si="108"/>
        <v>0</v>
      </c>
      <c r="AF347" s="126">
        <f t="shared" ca="1" si="108"/>
        <v>0</v>
      </c>
      <c r="AG347" s="127">
        <f t="shared" ca="1" si="108"/>
        <v>0</v>
      </c>
      <c r="AH347" s="127">
        <f t="shared" ca="1" si="108"/>
        <v>0</v>
      </c>
      <c r="AI347" s="127">
        <f t="shared" ca="1" si="108"/>
        <v>0</v>
      </c>
      <c r="AJ347" s="128">
        <f t="shared" ca="1" si="108"/>
        <v>0</v>
      </c>
      <c r="AK347" s="126">
        <f t="shared" ca="1" si="108"/>
        <v>0</v>
      </c>
      <c r="AL347" s="127">
        <f t="shared" ca="1" si="108"/>
        <v>0</v>
      </c>
      <c r="AM347" s="127">
        <f t="shared" ca="1" si="108"/>
        <v>0</v>
      </c>
      <c r="AN347" s="127">
        <f t="shared" ca="1" si="108"/>
        <v>0</v>
      </c>
      <c r="AO347" s="129">
        <f t="shared" ca="1" si="98"/>
        <v>0</v>
      </c>
      <c r="AP347" s="536" t="str">
        <f t="shared" si="101"/>
        <v/>
      </c>
      <c r="AQ347" s="536" t="str">
        <f t="shared" si="102"/>
        <v/>
      </c>
      <c r="AR347" s="536" t="str">
        <f t="shared" si="103"/>
        <v/>
      </c>
      <c r="AS347" s="537">
        <f>IF(OR(J347&lt;&gt;"",AP347&amp;AQ347&amp;AR347&lt;&gt;"X",WEEKDAY(I347,2)&gt;5,C347&lt;&gt;0,(FechaInicio1Tri&gt;I347),(FechaFinEEva&lt;I347)),0,_xlfn.XLOOKUP(WEEKDAY(I347,2),Fchs!$J$10:$N$10,Fchs!$J$12:$N$12))</f>
        <v>0</v>
      </c>
      <c r="AT347" s="536">
        <f t="shared" ca="1" si="104"/>
        <v>0</v>
      </c>
      <c r="AU347" s="538">
        <f>IF(AS347&lt;&gt;0,MAXA($AU$14:AU346)+AS347,0)</f>
        <v>0</v>
      </c>
      <c r="AV347" s="538">
        <f ca="1">IF(AT347&lt;&gt;0,MAXA($AU$14:AU346)+AT347,0)</f>
        <v>0</v>
      </c>
      <c r="AW347" s="226"/>
    </row>
    <row r="348" spans="1:49" ht="18.75" customHeight="1" x14ac:dyDescent="0.25">
      <c r="A348" s="226"/>
      <c r="B348" s="56" t="str">
        <f>MID(Info!$AZ$3,(WEEKDAY(I348,2)-1)*3+1,3)</f>
        <v>Lun</v>
      </c>
      <c r="C348" s="523">
        <f>_xlfn.XLOOKUP(I348,Fchs!$I$156:$I$197,Fchs!$J$156:$J$197,0)</f>
        <v>0</v>
      </c>
      <c r="D348" s="523">
        <f>_xlfn.XLOOKUP(I348,Fchs!$I$156:$I$197,Fchs!$K$156:$K$197)</f>
        <v>0</v>
      </c>
      <c r="E348" s="532">
        <f>IF($AS348&lt;&gt;0,_xlfn.XLOOKUP($G348,UDs!$E$34:$E$55,UDs!$B$34:$B$55,,-1),0)</f>
        <v>0</v>
      </c>
      <c r="F348" s="532">
        <f t="shared" ca="1" si="100"/>
        <v>0</v>
      </c>
      <c r="G348" s="569">
        <f>IF(AU348&lt;&gt;0,MAX($AU$13:$AU347)+1,0)</f>
        <v>0</v>
      </c>
      <c r="H348" s="569" t="str">
        <f>IF(AS348&lt;&gt;0,COUNT($H$14:H347,1),"")</f>
        <v/>
      </c>
      <c r="I348" s="533">
        <f t="shared" si="105"/>
        <v>46202</v>
      </c>
      <c r="J348" s="534"/>
      <c r="K348" s="535"/>
      <c r="L348" s="126">
        <f t="shared" ca="1" si="109"/>
        <v>0</v>
      </c>
      <c r="M348" s="127">
        <f t="shared" ca="1" si="109"/>
        <v>0</v>
      </c>
      <c r="N348" s="127">
        <f t="shared" ca="1" si="109"/>
        <v>0</v>
      </c>
      <c r="O348" s="127">
        <f t="shared" ca="1" si="109"/>
        <v>0</v>
      </c>
      <c r="P348" s="128">
        <f t="shared" ca="1" si="109"/>
        <v>0</v>
      </c>
      <c r="Q348" s="126">
        <f t="shared" ca="1" si="109"/>
        <v>0</v>
      </c>
      <c r="R348" s="127">
        <f t="shared" ca="1" si="109"/>
        <v>0</v>
      </c>
      <c r="S348" s="127">
        <f t="shared" ca="1" si="109"/>
        <v>0</v>
      </c>
      <c r="T348" s="127">
        <f t="shared" ca="1" si="109"/>
        <v>0</v>
      </c>
      <c r="U348" s="128">
        <f t="shared" ca="1" si="109"/>
        <v>0</v>
      </c>
      <c r="V348" s="126">
        <f t="shared" ca="1" si="109"/>
        <v>0</v>
      </c>
      <c r="W348" s="127">
        <f t="shared" ca="1" si="109"/>
        <v>0</v>
      </c>
      <c r="X348" s="127">
        <f t="shared" ca="1" si="109"/>
        <v>0</v>
      </c>
      <c r="Y348" s="127">
        <f t="shared" ca="1" si="109"/>
        <v>0</v>
      </c>
      <c r="Z348" s="128">
        <f t="shared" ca="1" si="109"/>
        <v>0</v>
      </c>
      <c r="AA348" s="126">
        <f t="shared" ca="1" si="109"/>
        <v>0</v>
      </c>
      <c r="AB348" s="127">
        <f t="shared" ca="1" si="108"/>
        <v>0</v>
      </c>
      <c r="AC348" s="127">
        <f t="shared" ca="1" si="108"/>
        <v>0</v>
      </c>
      <c r="AD348" s="127">
        <f t="shared" ca="1" si="108"/>
        <v>0</v>
      </c>
      <c r="AE348" s="128">
        <f t="shared" ca="1" si="108"/>
        <v>0</v>
      </c>
      <c r="AF348" s="126">
        <f t="shared" ca="1" si="108"/>
        <v>0</v>
      </c>
      <c r="AG348" s="127">
        <f t="shared" ca="1" si="108"/>
        <v>0</v>
      </c>
      <c r="AH348" s="127">
        <f t="shared" ca="1" si="108"/>
        <v>0</v>
      </c>
      <c r="AI348" s="127">
        <f t="shared" ca="1" si="108"/>
        <v>0</v>
      </c>
      <c r="AJ348" s="128">
        <f t="shared" ca="1" si="108"/>
        <v>0</v>
      </c>
      <c r="AK348" s="126">
        <f t="shared" ca="1" si="108"/>
        <v>0</v>
      </c>
      <c r="AL348" s="127">
        <f t="shared" ca="1" si="108"/>
        <v>0</v>
      </c>
      <c r="AM348" s="127">
        <f t="shared" ca="1" si="108"/>
        <v>0</v>
      </c>
      <c r="AN348" s="127">
        <f t="shared" ca="1" si="108"/>
        <v>0</v>
      </c>
      <c r="AO348" s="129">
        <f t="shared" ca="1" si="98"/>
        <v>0</v>
      </c>
      <c r="AP348" s="536" t="str">
        <f t="shared" si="101"/>
        <v/>
      </c>
      <c r="AQ348" s="536" t="str">
        <f t="shared" si="102"/>
        <v/>
      </c>
      <c r="AR348" s="536" t="str">
        <f t="shared" si="103"/>
        <v/>
      </c>
      <c r="AS348" s="537">
        <f>IF(OR(J348&lt;&gt;"",AP348&amp;AQ348&amp;AR348&lt;&gt;"X",WEEKDAY(I348,2)&gt;5,C348&lt;&gt;0,(FechaInicio1Tri&gt;I348),(FechaFinEEva&lt;I348)),0,_xlfn.XLOOKUP(WEEKDAY(I348,2),Fchs!$J$10:$N$10,Fchs!$J$12:$N$12))</f>
        <v>0</v>
      </c>
      <c r="AT348" s="536">
        <f t="shared" ca="1" si="104"/>
        <v>0</v>
      </c>
      <c r="AU348" s="538">
        <f>IF(AS348&lt;&gt;0,MAXA($AU$14:AU347)+AS348,0)</f>
        <v>0</v>
      </c>
      <c r="AV348" s="538">
        <f ca="1">IF(AT348&lt;&gt;0,MAXA($AU$14:AU347)+AT348,0)</f>
        <v>0</v>
      </c>
      <c r="AW348" s="226"/>
    </row>
    <row r="349" spans="1:49" ht="18.75" customHeight="1" x14ac:dyDescent="0.25">
      <c r="A349" s="226"/>
      <c r="B349" s="56" t="str">
        <f>MID(Info!$AZ$3,(WEEKDAY(I349,2)-1)*3+1,3)</f>
        <v>Mar</v>
      </c>
      <c r="C349" s="523">
        <f>_xlfn.XLOOKUP(I349,Fchs!$I$156:$I$197,Fchs!$J$156:$J$197,0)</f>
        <v>0</v>
      </c>
      <c r="D349" s="523">
        <f>_xlfn.XLOOKUP(I349,Fchs!$I$156:$I$197,Fchs!$K$156:$K$197)</f>
        <v>0</v>
      </c>
      <c r="E349" s="532">
        <f>IF($AS349&lt;&gt;0,_xlfn.XLOOKUP($G349,UDs!$E$34:$E$55,UDs!$B$34:$B$55,,-1),0)</f>
        <v>0</v>
      </c>
      <c r="F349" s="532">
        <f t="shared" ca="1" si="100"/>
        <v>0</v>
      </c>
      <c r="G349" s="569">
        <f>IF(AU349&lt;&gt;0,MAX($AU$13:$AU348)+1,0)</f>
        <v>0</v>
      </c>
      <c r="H349" s="569" t="str">
        <f>IF(AS349&lt;&gt;0,COUNT($H$14:H348,1),"")</f>
        <v/>
      </c>
      <c r="I349" s="533">
        <f t="shared" si="105"/>
        <v>46203</v>
      </c>
      <c r="J349" s="534"/>
      <c r="K349" s="535"/>
      <c r="L349" s="126">
        <f t="shared" ca="1" si="109"/>
        <v>0</v>
      </c>
      <c r="M349" s="127">
        <f t="shared" ca="1" si="109"/>
        <v>0</v>
      </c>
      <c r="N349" s="127">
        <f t="shared" ca="1" si="109"/>
        <v>0</v>
      </c>
      <c r="O349" s="127">
        <f t="shared" ca="1" si="109"/>
        <v>0</v>
      </c>
      <c r="P349" s="128">
        <f t="shared" ca="1" si="109"/>
        <v>0</v>
      </c>
      <c r="Q349" s="126">
        <f t="shared" ca="1" si="109"/>
        <v>0</v>
      </c>
      <c r="R349" s="127">
        <f t="shared" ca="1" si="109"/>
        <v>0</v>
      </c>
      <c r="S349" s="127">
        <f t="shared" ca="1" si="109"/>
        <v>0</v>
      </c>
      <c r="T349" s="127">
        <f t="shared" ca="1" si="109"/>
        <v>0</v>
      </c>
      <c r="U349" s="128">
        <f t="shared" ca="1" si="109"/>
        <v>0</v>
      </c>
      <c r="V349" s="126">
        <f t="shared" ca="1" si="109"/>
        <v>0</v>
      </c>
      <c r="W349" s="127">
        <f t="shared" ca="1" si="109"/>
        <v>0</v>
      </c>
      <c r="X349" s="127">
        <f t="shared" ca="1" si="109"/>
        <v>0</v>
      </c>
      <c r="Y349" s="127">
        <f t="shared" ca="1" si="109"/>
        <v>0</v>
      </c>
      <c r="Z349" s="128">
        <f t="shared" ca="1" si="109"/>
        <v>0</v>
      </c>
      <c r="AA349" s="126">
        <f t="shared" ca="1" si="109"/>
        <v>0</v>
      </c>
      <c r="AB349" s="127">
        <f t="shared" ca="1" si="108"/>
        <v>0</v>
      </c>
      <c r="AC349" s="127">
        <f t="shared" ca="1" si="108"/>
        <v>0</v>
      </c>
      <c r="AD349" s="127">
        <f t="shared" ca="1" si="108"/>
        <v>0</v>
      </c>
      <c r="AE349" s="128">
        <f t="shared" ca="1" si="108"/>
        <v>0</v>
      </c>
      <c r="AF349" s="126">
        <f t="shared" ca="1" si="108"/>
        <v>0</v>
      </c>
      <c r="AG349" s="127">
        <f t="shared" ca="1" si="108"/>
        <v>0</v>
      </c>
      <c r="AH349" s="127">
        <f t="shared" ca="1" si="108"/>
        <v>0</v>
      </c>
      <c r="AI349" s="127">
        <f t="shared" ca="1" si="108"/>
        <v>0</v>
      </c>
      <c r="AJ349" s="128">
        <f t="shared" ca="1" si="108"/>
        <v>0</v>
      </c>
      <c r="AK349" s="126">
        <f t="shared" ca="1" si="108"/>
        <v>0</v>
      </c>
      <c r="AL349" s="127">
        <f t="shared" ca="1" si="108"/>
        <v>0</v>
      </c>
      <c r="AM349" s="127">
        <f t="shared" ca="1" si="108"/>
        <v>0</v>
      </c>
      <c r="AN349" s="127">
        <f t="shared" ca="1" si="108"/>
        <v>0</v>
      </c>
      <c r="AO349" s="129">
        <f t="shared" ca="1" si="98"/>
        <v>0</v>
      </c>
      <c r="AP349" s="536" t="str">
        <f t="shared" si="101"/>
        <v/>
      </c>
      <c r="AQ349" s="536" t="str">
        <f t="shared" si="102"/>
        <v/>
      </c>
      <c r="AR349" s="536" t="str">
        <f t="shared" si="103"/>
        <v/>
      </c>
      <c r="AS349" s="537">
        <f>IF(OR(J349&lt;&gt;"",AP349&amp;AQ349&amp;AR349&lt;&gt;"X",WEEKDAY(I349,2)&gt;5,C349&lt;&gt;0,(FechaInicio1Tri&gt;I349),(FechaFinEEva&lt;I349)),0,_xlfn.XLOOKUP(WEEKDAY(I349,2),Fchs!$J$10:$N$10,Fchs!$J$12:$N$12))</f>
        <v>0</v>
      </c>
      <c r="AT349" s="536">
        <f t="shared" ca="1" si="104"/>
        <v>0</v>
      </c>
      <c r="AU349" s="538">
        <f>IF(AS349&lt;&gt;0,MAXA($AU$14:AU348)+AS349,0)</f>
        <v>0</v>
      </c>
      <c r="AV349" s="538">
        <f ca="1">IF(AT349&lt;&gt;0,MAXA($AU$14:AU348)+AT349,0)</f>
        <v>0</v>
      </c>
      <c r="AW349" s="226"/>
    </row>
    <row r="350" spans="1:49" s="13" customFormat="1" ht="18.75" customHeight="1" thickBot="1" x14ac:dyDescent="0.35">
      <c r="A350" s="511"/>
      <c r="B350" s="511"/>
      <c r="C350" s="512"/>
      <c r="D350" s="613"/>
      <c r="E350" s="307">
        <f>IF($AS350&lt;&gt;0,_xlfn.XLOOKUP($G350,UDs!$E$34:$E$55,UDs!$B$34:$B$55,,-1),0)</f>
        <v>0</v>
      </c>
      <c r="F350" s="512"/>
      <c r="G350" s="571"/>
      <c r="H350" s="571"/>
      <c r="I350" s="511"/>
      <c r="J350" s="511"/>
      <c r="K350" s="511"/>
      <c r="L350" s="501"/>
      <c r="M350" s="501"/>
      <c r="N350" s="501"/>
      <c r="O350" s="501"/>
      <c r="P350" s="501"/>
      <c r="Q350" s="501"/>
      <c r="R350" s="501"/>
      <c r="S350" s="501"/>
      <c r="T350" s="501"/>
      <c r="U350" s="501"/>
      <c r="V350" s="511"/>
      <c r="W350" s="307"/>
      <c r="X350" s="307"/>
      <c r="Y350" s="307"/>
      <c r="Z350" s="501"/>
      <c r="AA350" s="501"/>
      <c r="AB350" s="501"/>
      <c r="AC350" s="501"/>
      <c r="AD350" s="501"/>
      <c r="AE350" s="501"/>
      <c r="AF350" s="501"/>
      <c r="AG350" s="501"/>
      <c r="AH350" s="501"/>
      <c r="AI350" s="501"/>
      <c r="AJ350" s="501"/>
      <c r="AK350" s="501"/>
      <c r="AL350" s="501"/>
      <c r="AM350" s="511"/>
      <c r="AN350" s="501"/>
      <c r="AO350" s="501"/>
      <c r="AP350" s="513"/>
      <c r="AQ350" s="513"/>
      <c r="AR350" s="513"/>
      <c r="AS350" s="307"/>
      <c r="AT350" s="501"/>
      <c r="AU350" s="501"/>
      <c r="AV350" s="481" t="str">
        <f>IModulo&amp;" ("&amp;IProfesor&amp;")"</f>
        <v>FPM-it-1-0237 Infra. comunes de teleco en viviendas y edificios (Rafa Sanz)</v>
      </c>
      <c r="AW350" s="511"/>
    </row>
    <row r="351" spans="1:49" ht="18.75" customHeight="1" x14ac:dyDescent="0.35">
      <c r="D351" s="614"/>
      <c r="G351" s="55"/>
      <c r="H351" s="55"/>
      <c r="I351" s="17"/>
      <c r="J351" s="17"/>
      <c r="AS351" s="54"/>
      <c r="AU351" s="55"/>
    </row>
    <row r="352" spans="1:49" ht="18.75" customHeight="1" x14ac:dyDescent="0.35">
      <c r="D352" s="614"/>
      <c r="G352" s="55"/>
      <c r="H352" s="55"/>
      <c r="I352" s="17"/>
      <c r="J352" s="17"/>
      <c r="AS352" s="54"/>
      <c r="AU352" s="55"/>
    </row>
    <row r="353" spans="4:47" ht="18.75" customHeight="1" x14ac:dyDescent="0.35">
      <c r="D353" s="614"/>
      <c r="G353" s="55"/>
      <c r="H353" s="55"/>
      <c r="I353" s="17"/>
      <c r="J353" s="17"/>
      <c r="AS353" s="54"/>
      <c r="AU353" s="55"/>
    </row>
    <row r="354" spans="4:47" ht="18.75" customHeight="1" x14ac:dyDescent="0.35">
      <c r="D354" s="614"/>
      <c r="G354" s="55"/>
      <c r="H354" s="55"/>
      <c r="I354" s="17"/>
      <c r="J354" s="17"/>
      <c r="AS354" s="54"/>
      <c r="AU354" s="55"/>
    </row>
    <row r="355" spans="4:47" ht="18.75" customHeight="1" x14ac:dyDescent="0.35">
      <c r="D355" s="614"/>
      <c r="G355" s="55"/>
      <c r="H355" s="55"/>
      <c r="J355" s="17"/>
      <c r="AS355" s="54"/>
      <c r="AU355" s="55"/>
    </row>
    <row r="356" spans="4:47" ht="18.75" customHeight="1" x14ac:dyDescent="0.35">
      <c r="D356" s="614"/>
      <c r="G356" s="55"/>
      <c r="H356" s="55"/>
      <c r="J356" s="17"/>
      <c r="AS356" s="54"/>
      <c r="AU356" s="55"/>
    </row>
    <row r="357" spans="4:47" ht="18.75" customHeight="1" x14ac:dyDescent="0.35">
      <c r="D357" s="614"/>
      <c r="G357" s="55"/>
      <c r="H357" s="55"/>
      <c r="J357" s="17"/>
      <c r="AS357" s="54"/>
      <c r="AU357" s="55"/>
    </row>
    <row r="358" spans="4:47" ht="18.75" customHeight="1" x14ac:dyDescent="0.35">
      <c r="D358" s="614"/>
      <c r="G358" s="55"/>
      <c r="H358" s="55"/>
      <c r="J358" s="17"/>
      <c r="AS358" s="54"/>
      <c r="AU358" s="55"/>
    </row>
    <row r="359" spans="4:47" ht="18.75" customHeight="1" x14ac:dyDescent="0.35">
      <c r="D359" s="614"/>
      <c r="G359" s="55"/>
      <c r="H359" s="55"/>
      <c r="J359" s="17"/>
      <c r="AS359" s="54"/>
      <c r="AU359" s="55"/>
    </row>
    <row r="360" spans="4:47" ht="18.75" customHeight="1" x14ac:dyDescent="0.35">
      <c r="D360" s="614"/>
      <c r="G360" s="55"/>
      <c r="H360" s="55"/>
      <c r="J360" s="17"/>
      <c r="AS360" s="54"/>
      <c r="AU360" s="55"/>
    </row>
    <row r="361" spans="4:47" ht="18.75" customHeight="1" x14ac:dyDescent="0.35">
      <c r="D361" s="614"/>
      <c r="G361" s="55"/>
      <c r="H361" s="55"/>
      <c r="J361" s="17"/>
      <c r="AS361" s="54"/>
      <c r="AU361" s="55"/>
    </row>
    <row r="362" spans="4:47" ht="18.75" customHeight="1" x14ac:dyDescent="0.35">
      <c r="D362" s="614"/>
      <c r="G362" s="55"/>
      <c r="H362" s="55"/>
      <c r="J362" s="17"/>
      <c r="AS362" s="54"/>
      <c r="AU362" s="55"/>
    </row>
    <row r="363" spans="4:47" ht="18.75" customHeight="1" x14ac:dyDescent="0.35">
      <c r="D363" s="614"/>
      <c r="G363" s="55"/>
      <c r="H363" s="55"/>
      <c r="J363" s="17"/>
      <c r="AS363" s="54"/>
      <c r="AU363" s="55"/>
    </row>
    <row r="364" spans="4:47" ht="18.75" customHeight="1" x14ac:dyDescent="0.35">
      <c r="D364" s="614"/>
      <c r="G364" s="55"/>
      <c r="H364" s="55"/>
      <c r="J364" s="17"/>
      <c r="AS364" s="54"/>
      <c r="AU364" s="55"/>
    </row>
    <row r="365" spans="4:47" ht="18.75" customHeight="1" x14ac:dyDescent="0.35">
      <c r="D365" s="614"/>
      <c r="G365" s="55"/>
      <c r="H365" s="55"/>
      <c r="J365" s="17"/>
      <c r="AS365" s="54"/>
      <c r="AU365" s="55"/>
    </row>
    <row r="366" spans="4:47" ht="18.75" customHeight="1" x14ac:dyDescent="0.35">
      <c r="D366" s="614"/>
      <c r="G366" s="55"/>
      <c r="H366" s="55"/>
      <c r="J366" s="17"/>
      <c r="AS366" s="54"/>
      <c r="AU366" s="55"/>
    </row>
    <row r="367" spans="4:47" ht="18.75" customHeight="1" x14ac:dyDescent="0.35">
      <c r="D367" s="614"/>
      <c r="G367" s="55"/>
      <c r="H367" s="55"/>
      <c r="J367" s="17"/>
      <c r="AS367" s="54"/>
      <c r="AU367" s="55"/>
    </row>
    <row r="368" spans="4:47" ht="18.75" customHeight="1" x14ac:dyDescent="0.35">
      <c r="D368" s="614"/>
      <c r="G368" s="55"/>
      <c r="H368" s="55"/>
      <c r="J368" s="17"/>
      <c r="AS368" s="54"/>
      <c r="AU368" s="55"/>
    </row>
  </sheetData>
  <dataConsolidate/>
  <customSheetViews>
    <customSheetView guid="{BEE73D72-37A1-4B7A-85D2-C39E053A4017}" scale="55" showPageBreaks="1" zeroValues="0" fitToPage="1">
      <pane ySplit="19" topLeftCell="A33" activePane="bottomLeft" state="frozen"/>
      <selection pane="bottomLeft" activeCell="G349" sqref="G349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1"/>
    </customSheetView>
    <customSheetView guid="{81A05B8F-D3E4-4CEB-B8F2-C34A1F15FDB9}" scale="55" zeroValues="0" fitToPage="1">
      <pane ySplit="18.642857142857142" topLeftCell="A33" activePane="bottomLeft" state="frozen"/>
      <selection pane="bottomLeft" activeCell="G349" sqref="G349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31" fitToHeight="0" orientation="landscape" r:id="rId2"/>
    </customSheetView>
    <customSheetView guid="{079ED3F8-D23E-413F-B7FA-1C4A43A9CEAB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3"/>
    </customSheetView>
    <customSheetView guid="{BBFF7A3C-7579-4BB0-AAA9-66CE11DC0C92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4"/>
    </customSheetView>
    <customSheetView guid="{386B8780-5573-460C-A780-6C59BEFB4DBF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5"/>
    </customSheetView>
    <customSheetView guid="{748451F5-A0F3-420F-846E-9497A6A574EF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6"/>
    </customSheetView>
  </customSheetViews>
  <mergeCells count="1">
    <mergeCell ref="AT1:AV1"/>
  </mergeCells>
  <conditionalFormatting sqref="B14:H349">
    <cfRule type="expression" dxfId="38" priority="1">
      <formula>$B14="Dom"</formula>
    </cfRule>
    <cfRule type="expression" dxfId="37" priority="2">
      <formula>$B14="Sáb"</formula>
    </cfRule>
  </conditionalFormatting>
  <conditionalFormatting sqref="C14:C349">
    <cfRule type="expression" dxfId="36" priority="4765">
      <formula>$C14&lt;&gt;0</formula>
    </cfRule>
  </conditionalFormatting>
  <conditionalFormatting sqref="I14:AV349">
    <cfRule type="expression" dxfId="34" priority="4763">
      <formula>$B14="Dom"</formula>
    </cfRule>
    <cfRule type="expression" dxfId="33" priority="4764">
      <formula>$B14="Sáb"</formula>
    </cfRule>
  </conditionalFormatting>
  <conditionalFormatting sqref="J14:AO43 J48:AO78 J82:AO111 J116:AO146 J150:AO180 J184:AO212 J218:AO248 J252:AO281 J286:AO316 J320:AO349">
    <cfRule type="expression" dxfId="32" priority="4452">
      <formula>$AS14&lt;&gt;0</formula>
    </cfRule>
  </conditionalFormatting>
  <conditionalFormatting sqref="L3:AO349">
    <cfRule type="expression" dxfId="31" priority="3">
      <formula>L$5&lt;&gt;"Alta"</formula>
    </cfRule>
  </conditionalFormatting>
  <conditionalFormatting sqref="L6:AO6">
    <cfRule type="cellIs" dxfId="30" priority="4766" operator="greaterThanOrEqual">
      <formula>$D$8</formula>
    </cfRule>
  </conditionalFormatting>
  <conditionalFormatting sqref="L7:AO7">
    <cfRule type="cellIs" dxfId="29" priority="4767" operator="greaterThanOrEqual">
      <formula>$E$8</formula>
    </cfRule>
  </conditionalFormatting>
  <conditionalFormatting sqref="L8:AO8">
    <cfRule type="cellIs" dxfId="28" priority="4768" operator="greaterThanOrEqual">
      <formula>$F$8</formula>
    </cfRule>
  </conditionalFormatting>
  <conditionalFormatting sqref="L9:AO9">
    <cfRule type="cellIs" dxfId="27" priority="4770" operator="greaterThanOrEqual">
      <formula>$G$8</formula>
    </cfRule>
  </conditionalFormatting>
  <dataValidations count="1">
    <dataValidation type="whole" allowBlank="1" showInputMessage="1" showErrorMessage="1" sqref="L320:AO349 L286:AO316 L252:AO281 L218:AO248 L184:AO212 L150:AO180 L116:AO146 L48:AO78 L14:AO43 L82:AO111" xr:uid="{00000000-0002-0000-0500-000000000000}">
      <formula1>0</formula1>
      <formula2>$AV14</formula2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29" fitToHeight="0" orientation="landscape" r:id="rId7"/>
  <rowBreaks count="9" manualBreakCount="9">
    <brk id="45" max="16383" man="1"/>
    <brk id="79" max="16383" man="1"/>
    <brk id="113" max="16383" man="1"/>
    <brk id="147" max="16383" man="1"/>
    <brk id="181" max="16383" man="1"/>
    <brk id="215" max="16383" man="1"/>
    <brk id="249" max="16383" man="1"/>
    <brk id="283" max="16383" man="1"/>
    <brk id="317" max="16383" man="1"/>
  </rowBreaks>
  <ignoredErrors>
    <ignoredError sqref="L14:AO29 L48:AO78 L82:AO92 L116:AO146 L151:AO180 L184:AO212 L218:AO248 L252:AO281 L286:AO316 L320:AO349 L8:AO9 L31:AO40 L30:AB30 AC30:AO30 L97:AO111 M94:AO94 M93:AO93 M95:AO96 L93:L96 L42:AO43 L41:AD41 AF41:AO41 L7:AO7 F14:F25 G14:G350 F213:F248 F67 H14:H357 F63:F66 F33 F34:F43 F26:F32 F44:F55 F56:F62 F68:F78 F79:F212 F252:F349 E14:E351" unlockedFormula="1"/>
    <ignoredError sqref="D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94" operator="equal" id="{4816B39F-8EB1-4694-946E-DC24B2520F5C}">
            <xm:f>Sgmt!$AD$8</xm:f>
            <x14:dxf>
              <font>
                <b/>
                <i val="0"/>
                <color auto="1"/>
              </font>
              <fill>
                <patternFill>
                  <bgColor rgb="FFDFDA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I14:I43 I48:I78 I82:I111 I116:I146 I150:I180 I184:I212 I218:I248 I252:I281 I286:I316 I320:I349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1000000}">
          <x14:formula1>
            <xm:f>Info!$AH$3:$AH$6</xm:f>
          </x14:formula1>
          <xm:sqref>K14:K43 K48:K78 K286:K316 K252:K281 K218:K248 K184:K212 K150:K180 K116:K146 K82:K111 K320:K349</xm:sqref>
        </x14:dataValidation>
        <x14:dataValidation type="list" allowBlank="1" xr:uid="{00000000-0002-0000-0500-000002000000}">
          <x14:formula1>
            <xm:f>Info!$AE$3:$AE$7</xm:f>
          </x14:formula1>
          <xm:sqref>J320:J349 J48:J78 J82:J111 J116:J146 J150:J180 J184:J212 J218:J248 J252:J281 J14:J43 J286:J316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6" tint="0.59999389629810485"/>
  </sheetPr>
  <dimension ref="A1:BJ121"/>
  <sheetViews>
    <sheetView showGridLines="0" showZeros="0" zoomScale="55" zoomScaleNormal="55" workbookViewId="0">
      <pane ySplit="14" topLeftCell="A39" activePane="bottomLeft" state="frozen"/>
      <selection activeCell="D17" sqref="D17"/>
      <selection pane="bottomLeft" activeCell="B2" sqref="B2"/>
    </sheetView>
  </sheetViews>
  <sheetFormatPr baseColWidth="10" defaultColWidth="11.44140625" defaultRowHeight="18.75" customHeight="1" x14ac:dyDescent="0.35"/>
  <cols>
    <col min="1" max="1" width="3.77734375" style="17" customWidth="1"/>
    <col min="2" max="2" width="15.77734375" style="55" bestFit="1" customWidth="1"/>
    <col min="3" max="3" width="14.44140625" style="55" customWidth="1"/>
    <col min="4" max="4" width="53.5546875" style="71" bestFit="1" customWidth="1"/>
    <col min="5" max="5" width="11.77734375" style="55" customWidth="1"/>
    <col min="6" max="35" width="8.5546875" style="55" customWidth="1"/>
    <col min="36" max="36" width="4.44140625" style="17" customWidth="1"/>
    <col min="37" max="48" width="3.5546875" style="55" customWidth="1"/>
    <col min="49" max="49" width="3.5546875" style="17" customWidth="1"/>
    <col min="50" max="52" width="9" style="60" customWidth="1"/>
    <col min="53" max="53" width="3.77734375" style="17" customWidth="1"/>
    <col min="54" max="16384" width="11.44140625" style="17"/>
  </cols>
  <sheetData>
    <row r="1" spans="1:56" ht="24" customHeight="1" thickBot="1" x14ac:dyDescent="0.5">
      <c r="A1" s="457" t="s">
        <v>22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1204">
        <f ca="1">FechaHoy</f>
        <v>46099</v>
      </c>
      <c r="AY1" s="1204"/>
      <c r="AZ1" s="1204"/>
      <c r="BA1" s="457"/>
    </row>
    <row r="2" spans="1:56" ht="18" customHeight="1" x14ac:dyDescent="0.45">
      <c r="A2" s="458"/>
      <c r="B2" s="667" t="str">
        <f>IModulo&amp;" ("&amp;IProfesor&amp;")"</f>
        <v>FPM-it-1-0237 Infra. comunes de teleco en viviendas y edificios (Rafa Sanz)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  <c r="AF2" s="459"/>
      <c r="AG2" s="459"/>
      <c r="AH2" s="459"/>
      <c r="AI2" s="459"/>
      <c r="AJ2" s="459"/>
      <c r="AK2" s="459"/>
      <c r="AL2" s="459"/>
      <c r="AM2" s="459"/>
      <c r="AN2" s="459"/>
      <c r="AO2" s="459"/>
      <c r="AP2" s="459"/>
      <c r="AQ2" s="459"/>
      <c r="AR2" s="459"/>
      <c r="AS2" s="459"/>
      <c r="AT2" s="459"/>
      <c r="AU2" s="459"/>
      <c r="AV2" s="459"/>
      <c r="AW2" s="459"/>
      <c r="AX2" s="1216"/>
      <c r="AY2" s="1216"/>
      <c r="AZ2" s="1216"/>
      <c r="BA2" s="458"/>
    </row>
    <row r="3" spans="1:56" s="65" customFormat="1" ht="152.55000000000001" customHeight="1" x14ac:dyDescent="0.45">
      <c r="A3" s="448"/>
      <c r="B3" s="274"/>
      <c r="C3" s="61"/>
      <c r="D3" s="46"/>
      <c r="E3" s="57" t="s">
        <v>41</v>
      </c>
      <c r="F3" s="275" t="str">
        <f>AlNo01&amp;CHAR(10)&amp;AlAp01</f>
        <v>nom1 --
ap1 --</v>
      </c>
      <c r="G3" s="275" t="str">
        <f>AlNo02&amp;CHAR(10)&amp;AlAp02</f>
        <v>nom2 --
ap2 --</v>
      </c>
      <c r="H3" s="275" t="str">
        <f>AlNo03&amp;CHAR(10)&amp;AlAp03</f>
        <v>nom3 --
ap3 --</v>
      </c>
      <c r="I3" s="275" t="str">
        <f>AlNo04&amp;CHAR(10)&amp;AlAp04</f>
        <v>nom4 --
ap4 --</v>
      </c>
      <c r="J3" s="419" t="str">
        <f>AlNo05&amp;CHAR(10)&amp;AlAp05</f>
        <v>nom5-----
ap5----</v>
      </c>
      <c r="K3" s="275" t="str">
        <f>AlNo06&amp;CHAR(10)&amp;AlAp06</f>
        <v>nom6-----
ap6------</v>
      </c>
      <c r="L3" s="275" t="str">
        <f>AlNo07&amp;CHAR(10)&amp;AlAp07</f>
        <v xml:space="preserve">
</v>
      </c>
      <c r="M3" s="275" t="str">
        <f>AlNo08&amp;CHAR(10)&amp;AlAp08</f>
        <v xml:space="preserve">
</v>
      </c>
      <c r="N3" s="275" t="str">
        <f>AlNo09&amp;CHAR(10)&amp;AlAp09</f>
        <v xml:space="preserve">
</v>
      </c>
      <c r="O3" s="419" t="str">
        <f>AlNo10&amp;CHAR(10)&amp;AlAp10</f>
        <v xml:space="preserve">
</v>
      </c>
      <c r="P3" s="275" t="str">
        <f>AlNo11&amp;CHAR(10)&amp;AlAp11</f>
        <v xml:space="preserve">
</v>
      </c>
      <c r="Q3" s="275" t="str">
        <f>AlNo12&amp;CHAR(10)&amp;AlAp12</f>
        <v xml:space="preserve">
</v>
      </c>
      <c r="R3" s="275" t="str">
        <f>AlNo13&amp;CHAR(10)&amp;AlAp13</f>
        <v xml:space="preserve">
</v>
      </c>
      <c r="S3" s="275" t="str">
        <f>AlNo14&amp;CHAR(10)&amp;AlAp14</f>
        <v xml:space="preserve">
</v>
      </c>
      <c r="T3" s="419" t="str">
        <f>AlNo15&amp;CHAR(10)&amp;AlAp15</f>
        <v xml:space="preserve">
</v>
      </c>
      <c r="U3" s="275" t="str">
        <f>AlNo16&amp;CHAR(10)&amp;AlAp16</f>
        <v xml:space="preserve">
</v>
      </c>
      <c r="V3" s="275" t="str">
        <f>AlNo17&amp;CHAR(10)&amp;AlAp17</f>
        <v xml:space="preserve">
</v>
      </c>
      <c r="W3" s="275" t="str">
        <f>AlNo18&amp;CHAR(10)&amp;AlAp18</f>
        <v xml:space="preserve">
</v>
      </c>
      <c r="X3" s="275" t="str">
        <f>AlNo19&amp;CHAR(10)&amp;AlAp19</f>
        <v xml:space="preserve">
</v>
      </c>
      <c r="Y3" s="419" t="str">
        <f>AlNo20&amp;CHAR(10)&amp;AlAp20</f>
        <v xml:space="preserve">
</v>
      </c>
      <c r="Z3" s="275" t="str">
        <f>AlNo21&amp;CHAR(10)&amp;AlAp21</f>
        <v xml:space="preserve">
</v>
      </c>
      <c r="AA3" s="275" t="str">
        <f>AlNo22&amp;CHAR(10)&amp;AlAp22</f>
        <v xml:space="preserve">
</v>
      </c>
      <c r="AB3" s="275" t="str">
        <f>AlNo23&amp;CHAR(10)&amp;AlAp23</f>
        <v xml:space="preserve">
</v>
      </c>
      <c r="AC3" s="275" t="str">
        <f>AlNo24&amp;CHAR(10)&amp;AlAp24</f>
        <v xml:space="preserve">
</v>
      </c>
      <c r="AD3" s="419" t="str">
        <f>AlNo25&amp;CHAR(10)&amp;AlAp25</f>
        <v xml:space="preserve">
</v>
      </c>
      <c r="AE3" s="275" t="str">
        <f>AlNo26&amp;CHAR(10)&amp;AlAp26</f>
        <v xml:space="preserve">
</v>
      </c>
      <c r="AF3" s="275" t="str">
        <f>AlNo27&amp;CHAR(10)&amp;AlAp27</f>
        <v xml:space="preserve">
</v>
      </c>
      <c r="AG3" s="275" t="str">
        <f>AlNo28&amp;CHAR(10)&amp;AlAp28</f>
        <v xml:space="preserve">
</v>
      </c>
      <c r="AH3" s="275" t="str">
        <f>AlNo29&amp;CHAR(10)&amp;AlAp29</f>
        <v xml:space="preserve">
</v>
      </c>
      <c r="AI3" s="419" t="str">
        <f>AlNo30&amp;CHAR(10)&amp;AlAp30</f>
        <v xml:space="preserve">
</v>
      </c>
      <c r="AJ3" s="62"/>
      <c r="AK3" s="63"/>
      <c r="AL3" s="63"/>
      <c r="AM3" s="63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58"/>
      <c r="AY3" s="58"/>
      <c r="AZ3" s="58"/>
      <c r="BA3" s="448"/>
    </row>
    <row r="4" spans="1:56" s="46" customFormat="1" ht="17.55" customHeight="1" x14ac:dyDescent="0.35">
      <c r="A4" s="218"/>
      <c r="B4" s="218" t="s">
        <v>101</v>
      </c>
      <c r="C4" s="470"/>
      <c r="D4" s="471"/>
      <c r="E4" s="186" t="s">
        <v>32</v>
      </c>
      <c r="F4" s="416" t="str">
        <f>AlCo01</f>
        <v>AN01</v>
      </c>
      <c r="G4" s="416" t="str">
        <f>AlCo02</f>
        <v>AN02</v>
      </c>
      <c r="H4" s="416" t="str">
        <f>AlCo03</f>
        <v>AN03</v>
      </c>
      <c r="I4" s="416" t="str">
        <f>AlCo04</f>
        <v>AN04</v>
      </c>
      <c r="J4" s="417" t="str">
        <f>AlCo05</f>
        <v>AN05</v>
      </c>
      <c r="K4" s="416" t="str">
        <f>AlCo06</f>
        <v>AN06</v>
      </c>
      <c r="L4" s="416" t="str">
        <f>AlCo07</f>
        <v/>
      </c>
      <c r="M4" s="416" t="str">
        <f>AlCo08</f>
        <v/>
      </c>
      <c r="N4" s="416" t="str">
        <f>AlCo09</f>
        <v/>
      </c>
      <c r="O4" s="417" t="str">
        <f>AlCo10</f>
        <v/>
      </c>
      <c r="P4" s="416" t="str">
        <f>AlCo11</f>
        <v/>
      </c>
      <c r="Q4" s="416" t="str">
        <f>AlCo12</f>
        <v/>
      </c>
      <c r="R4" s="416" t="str">
        <f>AlCo13</f>
        <v/>
      </c>
      <c r="S4" s="416" t="str">
        <f>AlCo14</f>
        <v/>
      </c>
      <c r="T4" s="417" t="str">
        <f>AlCo15</f>
        <v/>
      </c>
      <c r="U4" s="416" t="str">
        <f>AlCo16</f>
        <v/>
      </c>
      <c r="V4" s="416" t="str">
        <f>AlCo17</f>
        <v/>
      </c>
      <c r="W4" s="416" t="str">
        <f>AlCo18</f>
        <v/>
      </c>
      <c r="X4" s="416" t="str">
        <f>AlCo19</f>
        <v/>
      </c>
      <c r="Y4" s="417" t="str">
        <f>AlCo20</f>
        <v/>
      </c>
      <c r="Z4" s="416" t="str">
        <f>AlCo21</f>
        <v/>
      </c>
      <c r="AA4" s="416" t="str">
        <f>AlCo22</f>
        <v/>
      </c>
      <c r="AB4" s="416" t="str">
        <f>AlCo23</f>
        <v/>
      </c>
      <c r="AC4" s="416" t="str">
        <f>AlCo24</f>
        <v/>
      </c>
      <c r="AD4" s="417" t="str">
        <f>AlCo25</f>
        <v/>
      </c>
      <c r="AE4" s="416" t="str">
        <f>AlCo26</f>
        <v/>
      </c>
      <c r="AF4" s="416" t="str">
        <f>AlCo27</f>
        <v/>
      </c>
      <c r="AG4" s="416" t="str">
        <f>AlCo28</f>
        <v/>
      </c>
      <c r="AH4" s="416" t="str">
        <f>AlCo29</f>
        <v/>
      </c>
      <c r="AI4" s="417" t="str">
        <f>AlCo30</f>
        <v/>
      </c>
      <c r="BA4" s="218"/>
    </row>
    <row r="5" spans="1:56" s="46" customFormat="1" ht="17.55" customHeight="1" thickBot="1" x14ac:dyDescent="0.5">
      <c r="A5" s="472"/>
      <c r="B5" s="239" t="s">
        <v>207</v>
      </c>
      <c r="C5" s="239" t="s">
        <v>201</v>
      </c>
      <c r="D5" s="240" t="s">
        <v>56</v>
      </c>
      <c r="E5" s="194" t="s">
        <v>40</v>
      </c>
      <c r="F5" s="416" t="str">
        <f>AlEs01</f>
        <v>Alta</v>
      </c>
      <c r="G5" s="416" t="str">
        <f>AlEs02</f>
        <v>Alta</v>
      </c>
      <c r="H5" s="416" t="str">
        <f>AlEs03</f>
        <v>Alta</v>
      </c>
      <c r="I5" s="416" t="str">
        <f>AlEs04</f>
        <v>Alta</v>
      </c>
      <c r="J5" s="417" t="str">
        <f>AlEs05</f>
        <v>Alta</v>
      </c>
      <c r="K5" s="416" t="str">
        <f>AlEs06</f>
        <v>Alta</v>
      </c>
      <c r="L5" s="416">
        <f>AlEs07</f>
        <v>0</v>
      </c>
      <c r="M5" s="416">
        <f>AlEs08</f>
        <v>0</v>
      </c>
      <c r="N5" s="416">
        <f>AlEs09</f>
        <v>0</v>
      </c>
      <c r="O5" s="417">
        <f>AlEs10</f>
        <v>0</v>
      </c>
      <c r="P5" s="416">
        <f>AlEs11</f>
        <v>0</v>
      </c>
      <c r="Q5" s="416">
        <f>AlEs12</f>
        <v>0</v>
      </c>
      <c r="R5" s="416">
        <f>AlEs13</f>
        <v>0</v>
      </c>
      <c r="S5" s="416">
        <f>AlEs14</f>
        <v>0</v>
      </c>
      <c r="T5" s="417">
        <f>AlEs15</f>
        <v>0</v>
      </c>
      <c r="U5" s="416">
        <f>AlEs16</f>
        <v>0</v>
      </c>
      <c r="V5" s="416">
        <f>AlEs17</f>
        <v>0</v>
      </c>
      <c r="W5" s="416">
        <f>AlEs18</f>
        <v>0</v>
      </c>
      <c r="X5" s="416">
        <f>AlEs19</f>
        <v>0</v>
      </c>
      <c r="Y5" s="417">
        <f>AlEs20</f>
        <v>0</v>
      </c>
      <c r="Z5" s="416">
        <f>AlEs21</f>
        <v>0</v>
      </c>
      <c r="AA5" s="416">
        <f>AlEs22</f>
        <v>0</v>
      </c>
      <c r="AB5" s="416">
        <f>AlEs23</f>
        <v>0</v>
      </c>
      <c r="AC5" s="416">
        <f>AlEs24</f>
        <v>0</v>
      </c>
      <c r="AD5" s="417">
        <f>AlEs25</f>
        <v>0</v>
      </c>
      <c r="AE5" s="416">
        <f>AlEs26</f>
        <v>0</v>
      </c>
      <c r="AF5" s="416">
        <f>AlEs27</f>
        <v>0</v>
      </c>
      <c r="AG5" s="416">
        <f>AlEs28</f>
        <v>0</v>
      </c>
      <c r="AH5" s="416">
        <f>AlEs29</f>
        <v>0</v>
      </c>
      <c r="AI5" s="417">
        <f>AlEs30</f>
        <v>0</v>
      </c>
      <c r="BA5" s="472"/>
    </row>
    <row r="6" spans="1:56" s="66" customFormat="1" ht="23.25" customHeight="1" x14ac:dyDescent="0.45">
      <c r="A6" s="472"/>
      <c r="B6" s="96">
        <f>FechaInicio1Tri</f>
        <v>45915</v>
      </c>
      <c r="C6" s="68" t="s">
        <v>200</v>
      </c>
      <c r="D6" s="13" t="str">
        <f>Txt1Tri</f>
        <v>1º Tri.</v>
      </c>
      <c r="E6" s="187">
        <f t="shared" ref="E6:E13" si="0">IFERROR(AVERAGEIFS(F6:AI6,F6:AI6,"&gt;0"),0)</f>
        <v>0</v>
      </c>
      <c r="F6" s="230">
        <f t="shared" ref="F6:AI6" si="1">IFERROR(F$31*PonCEActitud+F$34*PonCEContenidos+F$60*PonCEEjercicios+F$85*PonCEPracticas,"SD")</f>
        <v>0</v>
      </c>
      <c r="G6" s="231">
        <f t="shared" si="1"/>
        <v>0</v>
      </c>
      <c r="H6" s="231">
        <f t="shared" si="1"/>
        <v>0</v>
      </c>
      <c r="I6" s="231">
        <f t="shared" si="1"/>
        <v>0</v>
      </c>
      <c r="J6" s="231">
        <f t="shared" si="1"/>
        <v>0</v>
      </c>
      <c r="K6" s="231">
        <f t="shared" si="1"/>
        <v>0</v>
      </c>
      <c r="L6" s="231">
        <f t="shared" si="1"/>
        <v>0</v>
      </c>
      <c r="M6" s="231">
        <f t="shared" si="1"/>
        <v>0</v>
      </c>
      <c r="N6" s="231">
        <f t="shared" si="1"/>
        <v>0</v>
      </c>
      <c r="O6" s="231">
        <f t="shared" si="1"/>
        <v>0</v>
      </c>
      <c r="P6" s="231">
        <f t="shared" si="1"/>
        <v>0</v>
      </c>
      <c r="Q6" s="231">
        <f t="shared" si="1"/>
        <v>0</v>
      </c>
      <c r="R6" s="231">
        <f t="shared" si="1"/>
        <v>0</v>
      </c>
      <c r="S6" s="231">
        <f t="shared" si="1"/>
        <v>0</v>
      </c>
      <c r="T6" s="231">
        <f t="shared" si="1"/>
        <v>0</v>
      </c>
      <c r="U6" s="231">
        <f t="shared" si="1"/>
        <v>0</v>
      </c>
      <c r="V6" s="231">
        <f t="shared" si="1"/>
        <v>0</v>
      </c>
      <c r="W6" s="231">
        <f t="shared" si="1"/>
        <v>0</v>
      </c>
      <c r="X6" s="231">
        <f t="shared" si="1"/>
        <v>0</v>
      </c>
      <c r="Y6" s="231">
        <f t="shared" si="1"/>
        <v>0</v>
      </c>
      <c r="Z6" s="231">
        <f t="shared" si="1"/>
        <v>0</v>
      </c>
      <c r="AA6" s="231">
        <f t="shared" si="1"/>
        <v>0</v>
      </c>
      <c r="AB6" s="231">
        <f t="shared" si="1"/>
        <v>0</v>
      </c>
      <c r="AC6" s="231">
        <f t="shared" si="1"/>
        <v>0</v>
      </c>
      <c r="AD6" s="231">
        <f t="shared" si="1"/>
        <v>0</v>
      </c>
      <c r="AE6" s="231">
        <f t="shared" si="1"/>
        <v>0</v>
      </c>
      <c r="AF6" s="231">
        <f t="shared" si="1"/>
        <v>0</v>
      </c>
      <c r="AG6" s="231">
        <f t="shared" si="1"/>
        <v>0</v>
      </c>
      <c r="AH6" s="231">
        <f t="shared" si="1"/>
        <v>0</v>
      </c>
      <c r="AI6" s="232">
        <f t="shared" si="1"/>
        <v>0</v>
      </c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67"/>
      <c r="AZ6" s="67"/>
      <c r="BA6" s="472"/>
    </row>
    <row r="7" spans="1:56" s="66" customFormat="1" ht="23.25" customHeight="1" x14ac:dyDescent="0.45">
      <c r="A7" s="472"/>
      <c r="B7" s="96">
        <f>FechaFin1Tri</f>
        <v>45989</v>
      </c>
      <c r="C7" s="68" t="s">
        <v>150</v>
      </c>
      <c r="D7" s="13" t="str">
        <f>Txt1Tri</f>
        <v>1º Tri.</v>
      </c>
      <c r="E7" s="187">
        <f t="shared" si="0"/>
        <v>0</v>
      </c>
      <c r="F7" s="340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2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67"/>
      <c r="AZ7" s="67"/>
      <c r="BA7" s="472"/>
    </row>
    <row r="8" spans="1:56" s="66" customFormat="1" ht="23.25" customHeight="1" x14ac:dyDescent="0.45">
      <c r="A8" s="472"/>
      <c r="B8" s="96">
        <f>FechaInicio2Tri</f>
        <v>45992</v>
      </c>
      <c r="C8" s="69" t="s">
        <v>181</v>
      </c>
      <c r="D8" s="13" t="str">
        <f>Txt2Tri</f>
        <v>2º Tri.</v>
      </c>
      <c r="E8" s="187">
        <f t="shared" si="0"/>
        <v>0</v>
      </c>
      <c r="F8" s="233" t="str">
        <f t="shared" ref="F8:AI8" si="2">IFERROR(F$31*PonCEActitud+F$35*PonCEContenidos+F$61*PonCEEjercicios+F$86*PonCEPracticas,"SD")</f>
        <v>SD</v>
      </c>
      <c r="G8" s="170" t="str">
        <f t="shared" si="2"/>
        <v>SD</v>
      </c>
      <c r="H8" s="170" t="str">
        <f t="shared" si="2"/>
        <v>SD</v>
      </c>
      <c r="I8" s="170" t="str">
        <f t="shared" si="2"/>
        <v>SD</v>
      </c>
      <c r="J8" s="170" t="str">
        <f t="shared" si="2"/>
        <v>SD</v>
      </c>
      <c r="K8" s="170" t="str">
        <f t="shared" si="2"/>
        <v>SD</v>
      </c>
      <c r="L8" s="170" t="str">
        <f t="shared" si="2"/>
        <v>SD</v>
      </c>
      <c r="M8" s="170" t="str">
        <f t="shared" si="2"/>
        <v>SD</v>
      </c>
      <c r="N8" s="170" t="str">
        <f t="shared" si="2"/>
        <v>SD</v>
      </c>
      <c r="O8" s="170" t="str">
        <f t="shared" si="2"/>
        <v>SD</v>
      </c>
      <c r="P8" s="170" t="str">
        <f t="shared" si="2"/>
        <v>SD</v>
      </c>
      <c r="Q8" s="170" t="str">
        <f t="shared" si="2"/>
        <v>SD</v>
      </c>
      <c r="R8" s="170" t="str">
        <f t="shared" si="2"/>
        <v>SD</v>
      </c>
      <c r="S8" s="170" t="str">
        <f t="shared" si="2"/>
        <v>SD</v>
      </c>
      <c r="T8" s="170" t="str">
        <f t="shared" si="2"/>
        <v>SD</v>
      </c>
      <c r="U8" s="170" t="str">
        <f t="shared" si="2"/>
        <v>SD</v>
      </c>
      <c r="V8" s="170" t="str">
        <f t="shared" si="2"/>
        <v>SD</v>
      </c>
      <c r="W8" s="170" t="str">
        <f t="shared" si="2"/>
        <v>SD</v>
      </c>
      <c r="X8" s="170" t="str">
        <f t="shared" si="2"/>
        <v>SD</v>
      </c>
      <c r="Y8" s="170" t="str">
        <f t="shared" si="2"/>
        <v>SD</v>
      </c>
      <c r="Z8" s="170" t="str">
        <f t="shared" si="2"/>
        <v>SD</v>
      </c>
      <c r="AA8" s="170" t="str">
        <f t="shared" si="2"/>
        <v>SD</v>
      </c>
      <c r="AB8" s="170" t="str">
        <f t="shared" si="2"/>
        <v>SD</v>
      </c>
      <c r="AC8" s="170" t="str">
        <f t="shared" si="2"/>
        <v>SD</v>
      </c>
      <c r="AD8" s="170" t="str">
        <f t="shared" si="2"/>
        <v>SD</v>
      </c>
      <c r="AE8" s="170" t="str">
        <f t="shared" si="2"/>
        <v>SD</v>
      </c>
      <c r="AF8" s="170" t="str">
        <f t="shared" si="2"/>
        <v>SD</v>
      </c>
      <c r="AG8" s="170" t="str">
        <f t="shared" si="2"/>
        <v>SD</v>
      </c>
      <c r="AH8" s="170" t="str">
        <f t="shared" si="2"/>
        <v>SD</v>
      </c>
      <c r="AI8" s="234" t="str">
        <f t="shared" si="2"/>
        <v>SD</v>
      </c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67"/>
      <c r="AZ8" s="67"/>
      <c r="BA8" s="472"/>
    </row>
    <row r="9" spans="1:56" s="66" customFormat="1" ht="23.25" customHeight="1" x14ac:dyDescent="0.45">
      <c r="A9" s="472"/>
      <c r="B9" s="96">
        <f>FechaFin2Tri</f>
        <v>46094</v>
      </c>
      <c r="C9" s="69" t="s">
        <v>151</v>
      </c>
      <c r="D9" s="13" t="str">
        <f>Txt2Tri</f>
        <v>2º Tri.</v>
      </c>
      <c r="E9" s="187">
        <f t="shared" si="0"/>
        <v>0</v>
      </c>
      <c r="F9" s="340"/>
      <c r="G9" s="341"/>
      <c r="H9" s="341"/>
      <c r="I9" s="341"/>
      <c r="J9" s="341"/>
      <c r="K9" s="341"/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2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67"/>
      <c r="AZ9" s="67"/>
      <c r="BA9" s="472"/>
    </row>
    <row r="10" spans="1:56" s="66" customFormat="1" ht="23.25" customHeight="1" x14ac:dyDescent="0.45">
      <c r="A10" s="472"/>
      <c r="B10" s="96">
        <f>FechaInicio3Tri</f>
        <v>46097</v>
      </c>
      <c r="C10" s="70" t="s">
        <v>208</v>
      </c>
      <c r="D10" s="13" t="str">
        <f>Txt3Tri</f>
        <v>3º Tri.</v>
      </c>
      <c r="E10" s="187">
        <f t="shared" si="0"/>
        <v>0</v>
      </c>
      <c r="F10" s="233">
        <f t="shared" ref="F10:AI10" si="3">IFERROR(F$31*PonCEActitud+F$36*PonCEContenidos+F$62*PonCEEjercicios+F$87*PonCEPracticas,0)</f>
        <v>0</v>
      </c>
      <c r="G10" s="170">
        <f t="shared" si="3"/>
        <v>0</v>
      </c>
      <c r="H10" s="170">
        <f t="shared" si="3"/>
        <v>0</v>
      </c>
      <c r="I10" s="170">
        <f t="shared" si="3"/>
        <v>0</v>
      </c>
      <c r="J10" s="170">
        <f t="shared" si="3"/>
        <v>0</v>
      </c>
      <c r="K10" s="170">
        <f t="shared" si="3"/>
        <v>0</v>
      </c>
      <c r="L10" s="170">
        <f t="shared" si="3"/>
        <v>0</v>
      </c>
      <c r="M10" s="170">
        <f t="shared" si="3"/>
        <v>0</v>
      </c>
      <c r="N10" s="170">
        <f t="shared" si="3"/>
        <v>0</v>
      </c>
      <c r="O10" s="170">
        <f t="shared" si="3"/>
        <v>0</v>
      </c>
      <c r="P10" s="170">
        <f t="shared" si="3"/>
        <v>0</v>
      </c>
      <c r="Q10" s="170">
        <f t="shared" si="3"/>
        <v>0</v>
      </c>
      <c r="R10" s="170">
        <f t="shared" si="3"/>
        <v>0</v>
      </c>
      <c r="S10" s="170">
        <f t="shared" si="3"/>
        <v>0</v>
      </c>
      <c r="T10" s="170">
        <f t="shared" si="3"/>
        <v>0</v>
      </c>
      <c r="U10" s="170">
        <f t="shared" si="3"/>
        <v>0</v>
      </c>
      <c r="V10" s="170">
        <f t="shared" si="3"/>
        <v>0</v>
      </c>
      <c r="W10" s="170">
        <f t="shared" si="3"/>
        <v>0</v>
      </c>
      <c r="X10" s="170">
        <f t="shared" si="3"/>
        <v>0</v>
      </c>
      <c r="Y10" s="170">
        <f t="shared" si="3"/>
        <v>0</v>
      </c>
      <c r="Z10" s="170">
        <f t="shared" si="3"/>
        <v>0</v>
      </c>
      <c r="AA10" s="170">
        <f t="shared" si="3"/>
        <v>0</v>
      </c>
      <c r="AB10" s="170">
        <f t="shared" si="3"/>
        <v>0</v>
      </c>
      <c r="AC10" s="170">
        <f t="shared" si="3"/>
        <v>0</v>
      </c>
      <c r="AD10" s="170">
        <f t="shared" si="3"/>
        <v>0</v>
      </c>
      <c r="AE10" s="170">
        <f t="shared" si="3"/>
        <v>0</v>
      </c>
      <c r="AF10" s="170">
        <f t="shared" si="3"/>
        <v>0</v>
      </c>
      <c r="AG10" s="170">
        <f t="shared" si="3"/>
        <v>0</v>
      </c>
      <c r="AH10" s="170">
        <f t="shared" si="3"/>
        <v>0</v>
      </c>
      <c r="AI10" s="234">
        <f t="shared" si="3"/>
        <v>0</v>
      </c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67"/>
      <c r="AZ10" s="67"/>
      <c r="BA10" s="472"/>
    </row>
    <row r="11" spans="1:56" s="66" customFormat="1" ht="23.25" customHeight="1" x14ac:dyDescent="0.45">
      <c r="A11" s="472"/>
      <c r="B11" s="96">
        <f>FechaFin3Tri</f>
        <v>46171</v>
      </c>
      <c r="C11" s="70" t="s">
        <v>164</v>
      </c>
      <c r="D11" s="13" t="str">
        <f>Txt3Tri</f>
        <v>3º Tri.</v>
      </c>
      <c r="E11" s="187">
        <f t="shared" si="0"/>
        <v>0</v>
      </c>
      <c r="F11" s="340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2"/>
      <c r="AK11" s="1212" t="str">
        <f>CoRA01</f>
        <v>RA01</v>
      </c>
      <c r="AL11" s="1214" t="str">
        <f>CoRA02</f>
        <v>RA02</v>
      </c>
      <c r="AM11" s="1210" t="str">
        <f>CoRA03</f>
        <v>RA03</v>
      </c>
      <c r="AN11" s="1212" t="str">
        <f>CoRA04</f>
        <v>RA04</v>
      </c>
      <c r="AO11" s="1214" t="str">
        <f>CoRA05</f>
        <v>RA05</v>
      </c>
      <c r="AP11" s="1210" t="str">
        <f>CoRA06</f>
        <v>RA06</v>
      </c>
      <c r="AQ11" s="1212" t="str">
        <f>CoRA07</f>
        <v/>
      </c>
      <c r="AR11" s="1214" t="str">
        <f>CoRA08</f>
        <v/>
      </c>
      <c r="AS11" s="1210" t="str">
        <f>CoRA09</f>
        <v/>
      </c>
      <c r="AT11" s="1212" t="str">
        <f>CoRA10</f>
        <v/>
      </c>
      <c r="AU11" s="1214" t="str">
        <f>CoRA11</f>
        <v/>
      </c>
      <c r="AV11" s="1210" t="str">
        <f>CoRA12</f>
        <v/>
      </c>
      <c r="AW11" s="17"/>
      <c r="AX11" s="559" t="s">
        <v>180</v>
      </c>
      <c r="AY11" s="560" t="s">
        <v>181</v>
      </c>
      <c r="AZ11" s="561" t="s">
        <v>182</v>
      </c>
      <c r="BA11" s="472"/>
    </row>
    <row r="12" spans="1:56" s="66" customFormat="1" ht="23.25" customHeight="1" x14ac:dyDescent="0.45">
      <c r="A12" s="472"/>
      <c r="B12" s="96">
        <f>FechaFin3Tri</f>
        <v>46171</v>
      </c>
      <c r="C12" s="70" t="s">
        <v>189</v>
      </c>
      <c r="D12" s="286" t="s">
        <v>199</v>
      </c>
      <c r="E12" s="187">
        <f t="shared" si="0"/>
        <v>0</v>
      </c>
      <c r="F12" s="235">
        <f t="shared" ref="F12:AI12" si="4">IFERROR(MAXA(Pon1Tri*F6,Pon1Tri*F7)+MAXA(Pon2Tri*F8,Pon2Tri*F9)+MAXA(Pon3Tri*F10,Pon3Tri*F11),0)</f>
        <v>0</v>
      </c>
      <c r="G12" s="229">
        <f t="shared" si="4"/>
        <v>0</v>
      </c>
      <c r="H12" s="229">
        <f t="shared" si="4"/>
        <v>0</v>
      </c>
      <c r="I12" s="229">
        <f t="shared" si="4"/>
        <v>0</v>
      </c>
      <c r="J12" s="229">
        <f t="shared" si="4"/>
        <v>0</v>
      </c>
      <c r="K12" s="229">
        <f t="shared" si="4"/>
        <v>0</v>
      </c>
      <c r="L12" s="229">
        <f t="shared" si="4"/>
        <v>0</v>
      </c>
      <c r="M12" s="229">
        <f t="shared" si="4"/>
        <v>0</v>
      </c>
      <c r="N12" s="229">
        <f t="shared" si="4"/>
        <v>0</v>
      </c>
      <c r="O12" s="229">
        <f t="shared" si="4"/>
        <v>0</v>
      </c>
      <c r="P12" s="229">
        <f t="shared" si="4"/>
        <v>0</v>
      </c>
      <c r="Q12" s="229">
        <f t="shared" si="4"/>
        <v>0</v>
      </c>
      <c r="R12" s="229">
        <f t="shared" si="4"/>
        <v>0</v>
      </c>
      <c r="S12" s="229">
        <f t="shared" si="4"/>
        <v>0</v>
      </c>
      <c r="T12" s="229">
        <f t="shared" si="4"/>
        <v>0</v>
      </c>
      <c r="U12" s="229">
        <f t="shared" si="4"/>
        <v>0</v>
      </c>
      <c r="V12" s="229">
        <f t="shared" si="4"/>
        <v>0</v>
      </c>
      <c r="W12" s="229">
        <f t="shared" si="4"/>
        <v>0</v>
      </c>
      <c r="X12" s="229">
        <f t="shared" si="4"/>
        <v>0</v>
      </c>
      <c r="Y12" s="229">
        <f t="shared" si="4"/>
        <v>0</v>
      </c>
      <c r="Z12" s="229">
        <f t="shared" si="4"/>
        <v>0</v>
      </c>
      <c r="AA12" s="229">
        <f t="shared" si="4"/>
        <v>0</v>
      </c>
      <c r="AB12" s="229">
        <f t="shared" si="4"/>
        <v>0</v>
      </c>
      <c r="AC12" s="229">
        <f t="shared" si="4"/>
        <v>0</v>
      </c>
      <c r="AD12" s="229">
        <f t="shared" si="4"/>
        <v>0</v>
      </c>
      <c r="AE12" s="229">
        <f t="shared" si="4"/>
        <v>0</v>
      </c>
      <c r="AF12" s="229">
        <f t="shared" si="4"/>
        <v>0</v>
      </c>
      <c r="AG12" s="229">
        <f t="shared" si="4"/>
        <v>0</v>
      </c>
      <c r="AH12" s="229">
        <f t="shared" si="4"/>
        <v>0</v>
      </c>
      <c r="AI12" s="236">
        <f t="shared" si="4"/>
        <v>0</v>
      </c>
      <c r="AK12" s="1212"/>
      <c r="AL12" s="1214"/>
      <c r="AM12" s="1210"/>
      <c r="AN12" s="1212"/>
      <c r="AO12" s="1214"/>
      <c r="AP12" s="1210"/>
      <c r="AQ12" s="1212"/>
      <c r="AR12" s="1214"/>
      <c r="AS12" s="1210"/>
      <c r="AT12" s="1212"/>
      <c r="AU12" s="1214"/>
      <c r="AV12" s="1210"/>
      <c r="AW12" s="17"/>
      <c r="AX12" s="359"/>
      <c r="AY12" s="359"/>
      <c r="AZ12" s="792"/>
      <c r="BA12" s="472"/>
    </row>
    <row r="13" spans="1:56" s="66" customFormat="1" ht="23.25" customHeight="1" thickBot="1" x14ac:dyDescent="0.5">
      <c r="A13" s="472"/>
      <c r="B13" s="96">
        <f>FechaFinEEva</f>
        <v>46195</v>
      </c>
      <c r="C13" s="226" t="s">
        <v>171</v>
      </c>
      <c r="D13" s="366" t="str">
        <f>"Extraord. de "&amp;TEXT(FechaInicioEEva,"DD/MM/AAAA")&amp;" a "&amp;TEXT(FechaFinEEva,"DD/MM/AAAA")</f>
        <v>Extraord. de 01/06/2026 a 22/06/2026</v>
      </c>
      <c r="E13" s="187">
        <f t="shared" si="0"/>
        <v>0</v>
      </c>
      <c r="F13" s="343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  <c r="AA13" s="344"/>
      <c r="AB13" s="344"/>
      <c r="AC13" s="344"/>
      <c r="AD13" s="344"/>
      <c r="AE13" s="344"/>
      <c r="AF13" s="344"/>
      <c r="AG13" s="344"/>
      <c r="AH13" s="344"/>
      <c r="AI13" s="345"/>
      <c r="AK13" s="1213"/>
      <c r="AL13" s="1215"/>
      <c r="AM13" s="1211"/>
      <c r="AN13" s="1213"/>
      <c r="AO13" s="1215"/>
      <c r="AP13" s="1211"/>
      <c r="AQ13" s="1213"/>
      <c r="AR13" s="1215"/>
      <c r="AS13" s="1211"/>
      <c r="AT13" s="1213"/>
      <c r="AU13" s="1215"/>
      <c r="AV13" s="1211"/>
      <c r="AW13" s="17"/>
      <c r="AX13" s="576"/>
      <c r="AY13" s="576"/>
      <c r="AZ13" s="577"/>
      <c r="BA13" s="472"/>
    </row>
    <row r="14" spans="1:56" s="66" customFormat="1" ht="23.25" customHeight="1" x14ac:dyDescent="0.45">
      <c r="A14" s="448"/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</row>
    <row r="15" spans="1:56" ht="21" thickBot="1" x14ac:dyDescent="0.4">
      <c r="A15" s="218"/>
      <c r="B15" s="218" t="s">
        <v>25</v>
      </c>
      <c r="C15" s="219"/>
      <c r="D15" s="220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K15" s="63"/>
      <c r="AL15" s="63"/>
      <c r="AM15" s="63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58"/>
      <c r="BA15" s="218"/>
    </row>
    <row r="16" spans="1:56" s="73" customFormat="1" ht="19.8" customHeight="1" thickBot="1" x14ac:dyDescent="0.4">
      <c r="A16" s="218"/>
      <c r="C16" s="74" t="s">
        <v>45</v>
      </c>
      <c r="D16" s="169" t="s">
        <v>25</v>
      </c>
      <c r="E16" s="74" t="s">
        <v>187</v>
      </c>
      <c r="F16" s="249">
        <f t="shared" ref="F16:AI16" si="5">IFERROR(AVERAGEIFS(F17:F28,F17:F28,"&gt;0"),0)</f>
        <v>0</v>
      </c>
      <c r="G16" s="250">
        <f t="shared" si="5"/>
        <v>0</v>
      </c>
      <c r="H16" s="250">
        <f t="shared" si="5"/>
        <v>0</v>
      </c>
      <c r="I16" s="250">
        <f t="shared" si="5"/>
        <v>0</v>
      </c>
      <c r="J16" s="251">
        <f t="shared" si="5"/>
        <v>0</v>
      </c>
      <c r="K16" s="250">
        <f t="shared" si="5"/>
        <v>0</v>
      </c>
      <c r="L16" s="250">
        <f t="shared" si="5"/>
        <v>0</v>
      </c>
      <c r="M16" s="250">
        <f t="shared" si="5"/>
        <v>0</v>
      </c>
      <c r="N16" s="250">
        <f t="shared" si="5"/>
        <v>0</v>
      </c>
      <c r="O16" s="251">
        <f t="shared" si="5"/>
        <v>0</v>
      </c>
      <c r="P16" s="250">
        <f t="shared" si="5"/>
        <v>0</v>
      </c>
      <c r="Q16" s="250">
        <f t="shared" si="5"/>
        <v>0</v>
      </c>
      <c r="R16" s="250">
        <f t="shared" si="5"/>
        <v>0</v>
      </c>
      <c r="S16" s="250">
        <f t="shared" si="5"/>
        <v>0</v>
      </c>
      <c r="T16" s="251">
        <f t="shared" si="5"/>
        <v>0</v>
      </c>
      <c r="U16" s="250">
        <f t="shared" si="5"/>
        <v>0</v>
      </c>
      <c r="V16" s="250">
        <f t="shared" si="5"/>
        <v>0</v>
      </c>
      <c r="W16" s="250">
        <f t="shared" si="5"/>
        <v>0</v>
      </c>
      <c r="X16" s="250">
        <f t="shared" si="5"/>
        <v>0</v>
      </c>
      <c r="Y16" s="251">
        <f t="shared" si="5"/>
        <v>0</v>
      </c>
      <c r="Z16" s="250">
        <f t="shared" si="5"/>
        <v>0</v>
      </c>
      <c r="AA16" s="250">
        <f t="shared" si="5"/>
        <v>0</v>
      </c>
      <c r="AB16" s="250">
        <f t="shared" si="5"/>
        <v>0</v>
      </c>
      <c r="AC16" s="250">
        <f t="shared" si="5"/>
        <v>0</v>
      </c>
      <c r="AD16" s="251">
        <f t="shared" si="5"/>
        <v>0</v>
      </c>
      <c r="AE16" s="250">
        <f t="shared" si="5"/>
        <v>0</v>
      </c>
      <c r="AF16" s="250">
        <f t="shared" si="5"/>
        <v>0</v>
      </c>
      <c r="AG16" s="250">
        <f t="shared" si="5"/>
        <v>0</v>
      </c>
      <c r="AH16" s="250">
        <f t="shared" si="5"/>
        <v>0</v>
      </c>
      <c r="AI16" s="252">
        <f t="shared" si="5"/>
        <v>0</v>
      </c>
      <c r="AJ16" s="7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218"/>
      <c r="BB16" s="15"/>
      <c r="BC16" s="15"/>
      <c r="BD16" s="15"/>
    </row>
    <row r="17" spans="1:62" s="72" customFormat="1" ht="25.5" customHeight="1" x14ac:dyDescent="0.3">
      <c r="A17" s="290"/>
      <c r="C17" s="291" t="str">
        <f>CoRA01</f>
        <v>RA01</v>
      </c>
      <c r="D17" s="71" t="str">
        <f>ReAp01</f>
        <v>RA01 --</v>
      </c>
      <c r="E17" s="150">
        <f t="shared" ref="E17:E28" si="6">IFERROR(AVERAGEIFS(F17:AI17,F17:AI17,"&gt;0"),0)</f>
        <v>0</v>
      </c>
      <c r="F17" s="152">
        <f>(IFERROR((F$31*PonCEActitud+(AVERAGEIF($AK$38:$AK$57,"X",F$38:F$57)*PonCEContenidos)+(AVERAGEIF($AK$63:$AK$82,"X",F$63:F$82)*PonCEEjercicios)+(AVERAGEIF($AK$88:$AK$120,"X",F$88:F$120)*PonCEPracticas))/10,0))</f>
        <v>0</v>
      </c>
      <c r="G17" s="152">
        <f>(IFERROR((G$31*PonCEActitud+(AVERAGEIF($AK$38:$AK$57,"X",G$38:G$57)*PonCEContenidos)+(AVERAGEIF($AK$63:$AK$82,"X",G$63:G$82)*PonCEEjercicios)+(AVERAGEIF($AK$88:$AK$120,"X",G$88:G$120)*PonCEPracticas))/10,0))</f>
        <v>0</v>
      </c>
      <c r="H17" s="152">
        <f>(IFERROR((H$31*PonCEActitud+(AVERAGEIF($AK$38:$AK$57,"X",H$38:H$57)*PonCEContenidos)+(AVERAGEIF($AK$63:$AK$82,"X",H$63:H$82)*PonCEEjercicios)+(AVERAGEIF($AK$88:$AK$120,"X",H$88:H$120)*PonCEPracticas))/10,0))</f>
        <v>0</v>
      </c>
      <c r="I17" s="152">
        <f t="shared" ref="I17:AI17" si="7">(IFERROR((I$31*PonCEActitud+(AVERAGEIF($AK$38:$AK$57,"X",I$38:I$57)*PonCEContenidos)+(AVERAGEIF($AK$63:$AK$82,"X",I$63:I$82)*PonCEEjercicios)+(AVERAGEIF($AK$88:$AK$120,"X",I$88:I$120)*PonCEPracticas))/10,0))</f>
        <v>0</v>
      </c>
      <c r="J17" s="150">
        <f t="shared" si="7"/>
        <v>0</v>
      </c>
      <c r="K17" s="152">
        <f t="shared" si="7"/>
        <v>0</v>
      </c>
      <c r="L17" s="152">
        <f t="shared" si="7"/>
        <v>0</v>
      </c>
      <c r="M17" s="152">
        <f t="shared" si="7"/>
        <v>0</v>
      </c>
      <c r="N17" s="152">
        <f t="shared" si="7"/>
        <v>0</v>
      </c>
      <c r="O17" s="150">
        <f t="shared" si="7"/>
        <v>0</v>
      </c>
      <c r="P17" s="152">
        <f t="shared" si="7"/>
        <v>0</v>
      </c>
      <c r="Q17" s="152">
        <f t="shared" si="7"/>
        <v>0</v>
      </c>
      <c r="R17" s="152">
        <f t="shared" si="7"/>
        <v>0</v>
      </c>
      <c r="S17" s="152">
        <f t="shared" si="7"/>
        <v>0</v>
      </c>
      <c r="T17" s="150">
        <f t="shared" si="7"/>
        <v>0</v>
      </c>
      <c r="U17" s="152">
        <f t="shared" si="7"/>
        <v>0</v>
      </c>
      <c r="V17" s="152">
        <f t="shared" si="7"/>
        <v>0</v>
      </c>
      <c r="W17" s="152">
        <f t="shared" si="7"/>
        <v>0</v>
      </c>
      <c r="X17" s="152">
        <f t="shared" si="7"/>
        <v>0</v>
      </c>
      <c r="Y17" s="150">
        <f t="shared" si="7"/>
        <v>0</v>
      </c>
      <c r="Z17" s="152">
        <f t="shared" si="7"/>
        <v>0</v>
      </c>
      <c r="AA17" s="152">
        <f t="shared" si="7"/>
        <v>0</v>
      </c>
      <c r="AB17" s="152">
        <f t="shared" si="7"/>
        <v>0</v>
      </c>
      <c r="AC17" s="152">
        <f t="shared" si="7"/>
        <v>0</v>
      </c>
      <c r="AD17" s="150">
        <f t="shared" si="7"/>
        <v>0</v>
      </c>
      <c r="AE17" s="152">
        <f t="shared" si="7"/>
        <v>0</v>
      </c>
      <c r="AF17" s="152">
        <f t="shared" si="7"/>
        <v>0</v>
      </c>
      <c r="AG17" s="152">
        <f t="shared" si="7"/>
        <v>0</v>
      </c>
      <c r="AH17" s="152">
        <f t="shared" si="7"/>
        <v>0</v>
      </c>
      <c r="AI17" s="150">
        <f t="shared" si="7"/>
        <v>0</v>
      </c>
      <c r="AJ17" s="76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290"/>
      <c r="BB17" s="15"/>
      <c r="BC17" s="15"/>
      <c r="BD17" s="15"/>
      <c r="BE17" s="292"/>
      <c r="BF17" s="292"/>
      <c r="BG17" s="292"/>
      <c r="BH17" s="292"/>
      <c r="BI17" s="292"/>
      <c r="BJ17" s="292"/>
    </row>
    <row r="18" spans="1:62" s="72" customFormat="1" ht="25.5" customHeight="1" x14ac:dyDescent="0.3">
      <c r="A18" s="290"/>
      <c r="C18" s="291" t="str">
        <f>CoRA02</f>
        <v>RA02</v>
      </c>
      <c r="D18" s="71" t="str">
        <f>ReAp02</f>
        <v>RA02 --</v>
      </c>
      <c r="E18" s="150">
        <f t="shared" si="6"/>
        <v>0</v>
      </c>
      <c r="F18" s="152">
        <f>(IFERROR((F$31*PonCEActitud+(AVERAGEIF($AL$38:$AL$57,"X",F$38:F$57)*PonCEContenidos)+(AVERAGEIF($AL$63:$AL$82,"X",F$63:F$82)*PonCEEjercicios)+(AVERAGEIF($AL$88:$AL$120,"X",F$88:F$120)*PonCEPracticas))/10,0))</f>
        <v>0</v>
      </c>
      <c r="G18" s="152">
        <f>(IFERROR((G$31*PonCEActitud+(AVERAGEIF($AL$38:$AL$57,"X",G$38:G$57)*PonCEContenidos)+(AVERAGEIF($AL$63:$AL$82,"X",G$63:G$82)*PonCEEjercicios)+(AVERAGEIF($AL$88:$AL$120,"X",G$88:G$120)*PonCEPracticas))/10,0))</f>
        <v>0</v>
      </c>
      <c r="H18" s="152">
        <f>(IFERROR((H$31*PonCEActitud+(AVERAGEIF($AL$38:$AL$57,"X",H$38:H$57)*PonCEContenidos)+(AVERAGEIF($AL$63:$AL$82,"X",H$63:H$82)*PonCEEjercicios)+(AVERAGEIF($AL$88:$AL$120,"X",H$88:H$120)*PonCEPracticas))/10,0))</f>
        <v>0</v>
      </c>
      <c r="I18" s="152">
        <f t="shared" ref="I18:AI18" si="8">(IFERROR((I$31*PonCEActitud+(AVERAGEIF($AL$38:$AL$57,"X",I$38:I$57)*PonCEContenidos)+(AVERAGEIF($AL$63:$AL$82,"X",I$63:I$82)*PonCEEjercicios)+(AVERAGEIF($AL$88:$AL$120,"X",I$88:I$120)*PonCEPracticas))/10,0))</f>
        <v>0</v>
      </c>
      <c r="J18" s="150">
        <f t="shared" si="8"/>
        <v>0</v>
      </c>
      <c r="K18" s="152">
        <f t="shared" si="8"/>
        <v>0</v>
      </c>
      <c r="L18" s="152">
        <f t="shared" si="8"/>
        <v>0</v>
      </c>
      <c r="M18" s="152">
        <f t="shared" si="8"/>
        <v>0</v>
      </c>
      <c r="N18" s="152">
        <f t="shared" si="8"/>
        <v>0</v>
      </c>
      <c r="O18" s="150">
        <f t="shared" si="8"/>
        <v>0</v>
      </c>
      <c r="P18" s="152">
        <f t="shared" si="8"/>
        <v>0</v>
      </c>
      <c r="Q18" s="152">
        <f t="shared" si="8"/>
        <v>0</v>
      </c>
      <c r="R18" s="152">
        <f t="shared" si="8"/>
        <v>0</v>
      </c>
      <c r="S18" s="152">
        <f t="shared" si="8"/>
        <v>0</v>
      </c>
      <c r="T18" s="150">
        <f t="shared" si="8"/>
        <v>0</v>
      </c>
      <c r="U18" s="152">
        <f t="shared" si="8"/>
        <v>0</v>
      </c>
      <c r="V18" s="152">
        <f t="shared" si="8"/>
        <v>0</v>
      </c>
      <c r="W18" s="152">
        <f t="shared" si="8"/>
        <v>0</v>
      </c>
      <c r="X18" s="152">
        <f t="shared" si="8"/>
        <v>0</v>
      </c>
      <c r="Y18" s="150">
        <f t="shared" si="8"/>
        <v>0</v>
      </c>
      <c r="Z18" s="152">
        <f t="shared" si="8"/>
        <v>0</v>
      </c>
      <c r="AA18" s="152">
        <f t="shared" si="8"/>
        <v>0</v>
      </c>
      <c r="AB18" s="152">
        <f t="shared" si="8"/>
        <v>0</v>
      </c>
      <c r="AC18" s="152">
        <f t="shared" si="8"/>
        <v>0</v>
      </c>
      <c r="AD18" s="150">
        <f t="shared" si="8"/>
        <v>0</v>
      </c>
      <c r="AE18" s="152">
        <f t="shared" si="8"/>
        <v>0</v>
      </c>
      <c r="AF18" s="152">
        <f t="shared" si="8"/>
        <v>0</v>
      </c>
      <c r="AG18" s="152">
        <f t="shared" si="8"/>
        <v>0</v>
      </c>
      <c r="AH18" s="152">
        <f t="shared" si="8"/>
        <v>0</v>
      </c>
      <c r="AI18" s="150">
        <f t="shared" si="8"/>
        <v>0</v>
      </c>
      <c r="AJ18" s="76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290"/>
      <c r="BB18" s="15"/>
      <c r="BC18" s="15"/>
      <c r="BD18" s="15"/>
    </row>
    <row r="19" spans="1:62" s="72" customFormat="1" ht="25.5" customHeight="1" x14ac:dyDescent="0.3">
      <c r="A19" s="290"/>
      <c r="C19" s="293" t="str">
        <f>CoRA03</f>
        <v>RA03</v>
      </c>
      <c r="D19" s="77" t="str">
        <f>ReAp03</f>
        <v>RA03 --</v>
      </c>
      <c r="E19" s="151">
        <f t="shared" si="6"/>
        <v>0</v>
      </c>
      <c r="F19" s="153">
        <f>(IFERROR((F$31*PonCEActitud+(AVERAGEIF($AM$38:$AM$57,"X",F$38:F$57)*PonCEContenidos)+(AVERAGEIF($AM$63:$AM$82,"X",F$63:F$82)*PonCEEjercicios)+(AVERAGEIF($AM$88:$AM$120,"X",F$88:F$120)*PonCEPracticas))/10,0))</f>
        <v>0</v>
      </c>
      <c r="G19" s="153">
        <f>(IFERROR((G$31*PonCEActitud+(AVERAGEIF($AM$38:$AM$57,"X",G$38:G$57)*PonCEContenidos)+(AVERAGEIF($AM$63:$AM$82,"X",G$63:G$82)*PonCEEjercicios)+(AVERAGEIF($AM$88:$AM$120,"X",G$88:G$120)*PonCEPracticas))/10,0))</f>
        <v>0</v>
      </c>
      <c r="H19" s="153">
        <f>(IFERROR((H$31*PonCEActitud+(AVERAGEIF($AM$38:$AM$57,"X",H$38:H$57)*PonCEContenidos)+(AVERAGEIF($AM$63:$AM$82,"X",H$63:H$82)*PonCEEjercicios)+(AVERAGEIF($AM$88:$AM$120,"X",H$88:H$120)*PonCEPracticas))/10,0))</f>
        <v>0</v>
      </c>
      <c r="I19" s="153">
        <f t="shared" ref="I19:AI19" si="9">(IFERROR((I$31*PonCEActitud+(AVERAGEIF($AM$38:$AM$57,"X",I$38:I$57)*PonCEContenidos)+(AVERAGEIF($AM$63:$AM$82,"X",I$63:I$82)*PonCEEjercicios)+(AVERAGEIF($AM$88:$AM$120,"X",I$88:I$120)*PonCEPracticas))/10,0))</f>
        <v>0</v>
      </c>
      <c r="J19" s="151">
        <f t="shared" si="9"/>
        <v>0</v>
      </c>
      <c r="K19" s="153">
        <f t="shared" si="9"/>
        <v>0</v>
      </c>
      <c r="L19" s="153">
        <f t="shared" si="9"/>
        <v>0</v>
      </c>
      <c r="M19" s="153">
        <f t="shared" si="9"/>
        <v>0</v>
      </c>
      <c r="N19" s="153">
        <f t="shared" si="9"/>
        <v>0</v>
      </c>
      <c r="O19" s="151">
        <f t="shared" si="9"/>
        <v>0</v>
      </c>
      <c r="P19" s="153">
        <f t="shared" si="9"/>
        <v>0</v>
      </c>
      <c r="Q19" s="153">
        <f t="shared" si="9"/>
        <v>0</v>
      </c>
      <c r="R19" s="153">
        <f t="shared" si="9"/>
        <v>0</v>
      </c>
      <c r="S19" s="153">
        <f t="shared" si="9"/>
        <v>0</v>
      </c>
      <c r="T19" s="151">
        <f t="shared" si="9"/>
        <v>0</v>
      </c>
      <c r="U19" s="153">
        <f t="shared" si="9"/>
        <v>0</v>
      </c>
      <c r="V19" s="153">
        <f t="shared" si="9"/>
        <v>0</v>
      </c>
      <c r="W19" s="153">
        <f t="shared" si="9"/>
        <v>0</v>
      </c>
      <c r="X19" s="153">
        <f t="shared" si="9"/>
        <v>0</v>
      </c>
      <c r="Y19" s="151">
        <f t="shared" si="9"/>
        <v>0</v>
      </c>
      <c r="Z19" s="153">
        <f t="shared" si="9"/>
        <v>0</v>
      </c>
      <c r="AA19" s="153">
        <f t="shared" si="9"/>
        <v>0</v>
      </c>
      <c r="AB19" s="153">
        <f t="shared" si="9"/>
        <v>0</v>
      </c>
      <c r="AC19" s="153">
        <f t="shared" si="9"/>
        <v>0</v>
      </c>
      <c r="AD19" s="151">
        <f t="shared" si="9"/>
        <v>0</v>
      </c>
      <c r="AE19" s="153">
        <f t="shared" si="9"/>
        <v>0</v>
      </c>
      <c r="AF19" s="153">
        <f t="shared" si="9"/>
        <v>0</v>
      </c>
      <c r="AG19" s="153">
        <f t="shared" si="9"/>
        <v>0</v>
      </c>
      <c r="AH19" s="153">
        <f t="shared" si="9"/>
        <v>0</v>
      </c>
      <c r="AI19" s="151">
        <f t="shared" si="9"/>
        <v>0</v>
      </c>
      <c r="AJ19" s="76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290"/>
      <c r="BB19" s="15"/>
      <c r="BC19" s="15"/>
      <c r="BD19" s="15"/>
    </row>
    <row r="20" spans="1:62" s="72" customFormat="1" ht="25.5" customHeight="1" x14ac:dyDescent="0.3">
      <c r="A20" s="290"/>
      <c r="C20" s="291" t="str">
        <f>CoRA04</f>
        <v>RA04</v>
      </c>
      <c r="D20" s="71" t="str">
        <f>ReAp04</f>
        <v>RA04 --</v>
      </c>
      <c r="E20" s="150">
        <f t="shared" si="6"/>
        <v>0</v>
      </c>
      <c r="F20" s="152">
        <f>(IFERROR((F$31*PonCEActitud+(AVERAGEIF($AN$38:$AN$57,"X",F$38:F$57)*PonCEContenidos)+(AVERAGEIF($AN$63:$AN$82,"X",F$63:F$82)*PonCEEjercicios)+(AVERAGEIF($AN$88:$AN$120,"X",F$88:F$120)*PonCEPracticas))/10,0))</f>
        <v>0</v>
      </c>
      <c r="G20" s="152">
        <f>(IFERROR((G$31*PonCEActitud+(AVERAGEIF($AN$38:$AN$57,"X",G$38:G$57)*PonCEContenidos)+(AVERAGEIF($AN$63:$AN$82,"X",G$63:G$82)*PonCEEjercicios)+(AVERAGEIF($AN$88:$AN$120,"X",G$88:G$120)*PonCEPracticas))/10,0))</f>
        <v>0</v>
      </c>
      <c r="H20" s="152">
        <f>(IFERROR((H$31*PonCEActitud+(AVERAGEIF($AN$38:$AN$57,"X",H$38:H$57)*PonCEContenidos)+(AVERAGEIF($AN$63:$AN$82,"X",H$63:H$82)*PonCEEjercicios)+(AVERAGEIF($AN$88:$AN$120,"X",H$88:H$120)*PonCEPracticas))/10,0))</f>
        <v>0</v>
      </c>
      <c r="I20" s="152">
        <f t="shared" ref="I20:AI20" si="10">(IFERROR((I$31*PonCEActitud+(AVERAGEIF($AN$38:$AN$57,"X",I$38:I$57)*PonCEContenidos)+(AVERAGEIF($AN$63:$AN$82,"X",I$63:I$82)*PonCEEjercicios)+(AVERAGEIF($AN$88:$AN$120,"X",I$88:I$120)*PonCEPracticas))/10,0))</f>
        <v>0</v>
      </c>
      <c r="J20" s="150">
        <f t="shared" si="10"/>
        <v>0</v>
      </c>
      <c r="K20" s="152">
        <f t="shared" si="10"/>
        <v>0</v>
      </c>
      <c r="L20" s="152">
        <f t="shared" si="10"/>
        <v>0</v>
      </c>
      <c r="M20" s="152">
        <f t="shared" si="10"/>
        <v>0</v>
      </c>
      <c r="N20" s="152">
        <f t="shared" si="10"/>
        <v>0</v>
      </c>
      <c r="O20" s="150">
        <f t="shared" si="10"/>
        <v>0</v>
      </c>
      <c r="P20" s="152">
        <f t="shared" si="10"/>
        <v>0</v>
      </c>
      <c r="Q20" s="152">
        <f t="shared" si="10"/>
        <v>0</v>
      </c>
      <c r="R20" s="152">
        <f t="shared" si="10"/>
        <v>0</v>
      </c>
      <c r="S20" s="152">
        <f t="shared" si="10"/>
        <v>0</v>
      </c>
      <c r="T20" s="150">
        <f t="shared" si="10"/>
        <v>0</v>
      </c>
      <c r="U20" s="152">
        <f t="shared" si="10"/>
        <v>0</v>
      </c>
      <c r="V20" s="152">
        <f t="shared" si="10"/>
        <v>0</v>
      </c>
      <c r="W20" s="152">
        <f t="shared" si="10"/>
        <v>0</v>
      </c>
      <c r="X20" s="152">
        <f t="shared" si="10"/>
        <v>0</v>
      </c>
      <c r="Y20" s="150">
        <f t="shared" si="10"/>
        <v>0</v>
      </c>
      <c r="Z20" s="152">
        <f t="shared" si="10"/>
        <v>0</v>
      </c>
      <c r="AA20" s="152">
        <f t="shared" si="10"/>
        <v>0</v>
      </c>
      <c r="AB20" s="152">
        <f t="shared" si="10"/>
        <v>0</v>
      </c>
      <c r="AC20" s="152">
        <f t="shared" si="10"/>
        <v>0</v>
      </c>
      <c r="AD20" s="150">
        <f t="shared" si="10"/>
        <v>0</v>
      </c>
      <c r="AE20" s="152">
        <f t="shared" si="10"/>
        <v>0</v>
      </c>
      <c r="AF20" s="152">
        <f t="shared" si="10"/>
        <v>0</v>
      </c>
      <c r="AG20" s="152">
        <f t="shared" si="10"/>
        <v>0</v>
      </c>
      <c r="AH20" s="152">
        <f t="shared" si="10"/>
        <v>0</v>
      </c>
      <c r="AI20" s="150">
        <f t="shared" si="10"/>
        <v>0</v>
      </c>
      <c r="AJ20" s="76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290"/>
      <c r="BB20" s="15"/>
      <c r="BC20" s="15"/>
      <c r="BD20" s="15"/>
      <c r="BE20" s="294"/>
      <c r="BF20" s="294"/>
      <c r="BG20" s="294"/>
      <c r="BH20" s="294"/>
      <c r="BI20" s="294"/>
      <c r="BJ20" s="294"/>
    </row>
    <row r="21" spans="1:62" s="72" customFormat="1" ht="25.5" customHeight="1" x14ac:dyDescent="0.3">
      <c r="A21" s="290"/>
      <c r="C21" s="291" t="str">
        <f>CoRA05</f>
        <v>RA05</v>
      </c>
      <c r="D21" s="71" t="str">
        <f>ReAp05</f>
        <v>RA05 --</v>
      </c>
      <c r="E21" s="150">
        <f t="shared" si="6"/>
        <v>0</v>
      </c>
      <c r="F21" s="152">
        <f>(IFERROR((F$31*PonCEActitud+(AVERAGEIF($AO$38:$AO$57,"X",F$38:F$57)*PonCEContenidos)+(AVERAGEIF($AO$63:$AO$82,"X",F$63:F$82)*PonCEEjercicios)+(AVERAGEIF($AO$88:$AO$120,"X",F$88:F$120)*PonCEPracticas))/10,0))</f>
        <v>0</v>
      </c>
      <c r="G21" s="152">
        <f>(IFERROR((G$31*PonCEActitud+(AVERAGEIF($AO$38:$AO$57,"X",G$38:G$57)*PonCEContenidos)+(AVERAGEIF($AO$63:$AO$82,"X",G$63:G$82)*PonCEEjercicios)+(AVERAGEIF($AO$88:$AO$120,"X",G$88:G$120)*PonCEPracticas))/10,0))</f>
        <v>0</v>
      </c>
      <c r="H21" s="152">
        <f>(IFERROR((H$31*PonCEActitud+(AVERAGEIF($AO$38:$AO$57,"X",H$38:H$57)*PonCEContenidos)+(AVERAGEIF($AO$63:$AO$82,"X",H$63:H$82)*PonCEEjercicios)+(AVERAGEIF($AO$88:$AO$120,"X",H$88:H$120)*PonCEPracticas))/10,0))</f>
        <v>0</v>
      </c>
      <c r="I21" s="152">
        <f t="shared" ref="I21:AI21" si="11">(IFERROR((I$31*PonCEActitud+(AVERAGEIF($AO$38:$AO$57,"X",I$38:I$57)*PonCEContenidos)+(AVERAGEIF($AO$63:$AO$82,"X",I$63:I$82)*PonCEEjercicios)+(AVERAGEIF($AO$88:$AO$120,"X",I$88:I$120)*PonCEPracticas))/10,0))</f>
        <v>0</v>
      </c>
      <c r="J21" s="150">
        <f t="shared" si="11"/>
        <v>0</v>
      </c>
      <c r="K21" s="152">
        <f t="shared" si="11"/>
        <v>0</v>
      </c>
      <c r="L21" s="152">
        <f t="shared" si="11"/>
        <v>0</v>
      </c>
      <c r="M21" s="152">
        <f t="shared" si="11"/>
        <v>0</v>
      </c>
      <c r="N21" s="152">
        <f t="shared" si="11"/>
        <v>0</v>
      </c>
      <c r="O21" s="150">
        <f t="shared" si="11"/>
        <v>0</v>
      </c>
      <c r="P21" s="152">
        <f t="shared" si="11"/>
        <v>0</v>
      </c>
      <c r="Q21" s="152">
        <f t="shared" si="11"/>
        <v>0</v>
      </c>
      <c r="R21" s="152">
        <f t="shared" si="11"/>
        <v>0</v>
      </c>
      <c r="S21" s="152">
        <f t="shared" si="11"/>
        <v>0</v>
      </c>
      <c r="T21" s="150">
        <f t="shared" si="11"/>
        <v>0</v>
      </c>
      <c r="U21" s="152">
        <f t="shared" si="11"/>
        <v>0</v>
      </c>
      <c r="V21" s="152">
        <f t="shared" si="11"/>
        <v>0</v>
      </c>
      <c r="W21" s="152">
        <f t="shared" si="11"/>
        <v>0</v>
      </c>
      <c r="X21" s="152">
        <f t="shared" si="11"/>
        <v>0</v>
      </c>
      <c r="Y21" s="150">
        <f t="shared" si="11"/>
        <v>0</v>
      </c>
      <c r="Z21" s="152">
        <f t="shared" si="11"/>
        <v>0</v>
      </c>
      <c r="AA21" s="152">
        <f t="shared" si="11"/>
        <v>0</v>
      </c>
      <c r="AB21" s="152">
        <f t="shared" si="11"/>
        <v>0</v>
      </c>
      <c r="AC21" s="152">
        <f t="shared" si="11"/>
        <v>0</v>
      </c>
      <c r="AD21" s="150">
        <f t="shared" si="11"/>
        <v>0</v>
      </c>
      <c r="AE21" s="152">
        <f t="shared" si="11"/>
        <v>0</v>
      </c>
      <c r="AF21" s="152">
        <f t="shared" si="11"/>
        <v>0</v>
      </c>
      <c r="AG21" s="152">
        <f t="shared" si="11"/>
        <v>0</v>
      </c>
      <c r="AH21" s="152">
        <f t="shared" si="11"/>
        <v>0</v>
      </c>
      <c r="AI21" s="150">
        <f t="shared" si="11"/>
        <v>0</v>
      </c>
      <c r="AJ21" s="76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290"/>
      <c r="BB21" s="15"/>
      <c r="BC21" s="15"/>
      <c r="BD21" s="15"/>
      <c r="BE21" s="294"/>
      <c r="BF21" s="294"/>
      <c r="BG21" s="294"/>
      <c r="BH21" s="294"/>
      <c r="BI21" s="294"/>
      <c r="BJ21" s="294"/>
    </row>
    <row r="22" spans="1:62" s="72" customFormat="1" ht="25.5" customHeight="1" x14ac:dyDescent="0.3">
      <c r="A22" s="290"/>
      <c r="C22" s="293" t="str">
        <f>CoRA06</f>
        <v>RA06</v>
      </c>
      <c r="D22" s="77" t="str">
        <f>ReAp06</f>
        <v>RA06 --</v>
      </c>
      <c r="E22" s="151">
        <f t="shared" si="6"/>
        <v>0</v>
      </c>
      <c r="F22" s="153">
        <f>(IFERROR((F$31*PonCEActitud+(AVERAGEIF($AP$38:$AP$57,"X",F$38:F$57)*PonCEContenidos)+(AVERAGEIF($AP$63:$AP$82,"X",F$63:F$82)*PonCEEjercicios)+(AVERAGEIF($AP$88:$AP$120,"X",F$88:F$120)*PonCEPracticas))/10,0))</f>
        <v>0</v>
      </c>
      <c r="G22" s="153">
        <f>(IFERROR((G$31*PonCEActitud+(AVERAGEIF($AP$38:$AP$57,"X",G$38:G$57)*PonCEContenidos)+(AVERAGEIF($AP$63:$AP$82,"X",G$63:G$82)*PonCEEjercicios)+(AVERAGEIF($AP$88:$AP$120,"X",G$88:G$120)*PonCEPracticas))/10,0))</f>
        <v>0</v>
      </c>
      <c r="H22" s="153">
        <f>(IFERROR((H$31*PonCEActitud+(AVERAGEIF($AP$38:$AP$57,"X",H$38:H$57)*PonCEContenidos)+(AVERAGEIF($AP$63:$AP$82,"X",H$63:H$82)*PonCEEjercicios)+(AVERAGEIF($AP$88:$AP$120,"X",H$88:H$120)*PonCEPracticas))/10,0))</f>
        <v>0</v>
      </c>
      <c r="I22" s="153">
        <f t="shared" ref="I22:AI22" si="12">(IFERROR((I$31*PonCEActitud+(AVERAGEIF($AP$38:$AP$57,"X",I$38:I$57)*PonCEContenidos)+(AVERAGEIF($AP$63:$AP$82,"X",I$63:I$82)*PonCEEjercicios)+(AVERAGEIF($AP$88:$AP$120,"X",I$88:I$120)*PonCEPracticas))/10,0))</f>
        <v>0</v>
      </c>
      <c r="J22" s="151">
        <f t="shared" si="12"/>
        <v>0</v>
      </c>
      <c r="K22" s="153">
        <f t="shared" si="12"/>
        <v>0</v>
      </c>
      <c r="L22" s="153">
        <f t="shared" si="12"/>
        <v>0</v>
      </c>
      <c r="M22" s="153">
        <f t="shared" si="12"/>
        <v>0</v>
      </c>
      <c r="N22" s="153">
        <f t="shared" si="12"/>
        <v>0</v>
      </c>
      <c r="O22" s="151">
        <f t="shared" si="12"/>
        <v>0</v>
      </c>
      <c r="P22" s="153">
        <f t="shared" si="12"/>
        <v>0</v>
      </c>
      <c r="Q22" s="153">
        <f t="shared" si="12"/>
        <v>0</v>
      </c>
      <c r="R22" s="153">
        <f t="shared" si="12"/>
        <v>0</v>
      </c>
      <c r="S22" s="153">
        <f t="shared" si="12"/>
        <v>0</v>
      </c>
      <c r="T22" s="151">
        <f t="shared" si="12"/>
        <v>0</v>
      </c>
      <c r="U22" s="153">
        <f t="shared" si="12"/>
        <v>0</v>
      </c>
      <c r="V22" s="153">
        <f t="shared" si="12"/>
        <v>0</v>
      </c>
      <c r="W22" s="153">
        <f t="shared" si="12"/>
        <v>0</v>
      </c>
      <c r="X22" s="153">
        <f t="shared" si="12"/>
        <v>0</v>
      </c>
      <c r="Y22" s="151">
        <f t="shared" si="12"/>
        <v>0</v>
      </c>
      <c r="Z22" s="153">
        <f t="shared" si="12"/>
        <v>0</v>
      </c>
      <c r="AA22" s="153">
        <f t="shared" si="12"/>
        <v>0</v>
      </c>
      <c r="AB22" s="153">
        <f t="shared" si="12"/>
        <v>0</v>
      </c>
      <c r="AC22" s="153">
        <f t="shared" si="12"/>
        <v>0</v>
      </c>
      <c r="AD22" s="151">
        <f t="shared" si="12"/>
        <v>0</v>
      </c>
      <c r="AE22" s="153">
        <f t="shared" si="12"/>
        <v>0</v>
      </c>
      <c r="AF22" s="153">
        <f t="shared" si="12"/>
        <v>0</v>
      </c>
      <c r="AG22" s="153">
        <f t="shared" si="12"/>
        <v>0</v>
      </c>
      <c r="AH22" s="153">
        <f t="shared" si="12"/>
        <v>0</v>
      </c>
      <c r="AI22" s="151">
        <f t="shared" si="12"/>
        <v>0</v>
      </c>
      <c r="AJ22" s="76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290"/>
      <c r="BB22" s="15"/>
      <c r="BC22" s="15"/>
      <c r="BD22" s="15"/>
      <c r="BE22" s="294"/>
      <c r="BF22" s="294"/>
      <c r="BG22" s="294"/>
      <c r="BH22" s="294"/>
      <c r="BI22" s="294"/>
      <c r="BJ22" s="294"/>
    </row>
    <row r="23" spans="1:62" s="72" customFormat="1" ht="25.5" customHeight="1" x14ac:dyDescent="0.3">
      <c r="A23" s="290"/>
      <c r="C23" s="291" t="str">
        <f>CoRA07</f>
        <v/>
      </c>
      <c r="D23" s="71">
        <f>ReAp07</f>
        <v>0</v>
      </c>
      <c r="E23" s="150">
        <f t="shared" si="6"/>
        <v>0</v>
      </c>
      <c r="F23" s="152">
        <f>(IFERROR((F$31*PonCEActitud+(AVERAGEIF($AQ$38:$AQ$57,"X",F$38:F$57)*PonCEContenidos)+(AVERAGEIF($AQ$63:$AQ$82,"X",F$63:F$82)*PonCEEjercicios)+(AVERAGEIF($AQ$88:$AQ$120,"X",F$88:F$120)*PonCEPracticas))/10,0))</f>
        <v>0</v>
      </c>
      <c r="G23" s="152">
        <f>(IFERROR((G$31*PonCEActitud+(AVERAGEIF($AQ$38:$AQ$57,"X",G$38:G$57)*PonCEContenidos)+(AVERAGEIF($AQ$63:$AQ$82,"X",G$63:G$82)*PonCEEjercicios)+(AVERAGEIF($AQ$88:$AQ$120,"X",G$88:G$120)*PonCEPracticas))/10,0))</f>
        <v>0</v>
      </c>
      <c r="H23" s="152">
        <f>(IFERROR((H$31*PonCEActitud+(AVERAGEIF($AQ$38:$AQ$57,"X",H$38:H$57)*PonCEContenidos)+(AVERAGEIF($AQ$63:$AQ$82,"X",H$63:H$82)*PonCEEjercicios)+(AVERAGEIF($AQ$88:$AQ$120,"X",H$88:H$120)*PonCEPracticas))/10,0))</f>
        <v>0</v>
      </c>
      <c r="I23" s="152">
        <f t="shared" ref="I23:AI23" si="13">(IFERROR((I$31*PonCEActitud+(AVERAGEIF($AQ$38:$AQ$57,"X",I$38:I$57)*PonCEContenidos)+(AVERAGEIF($AQ$63:$AQ$82,"X",I$63:I$82)*PonCEEjercicios)+(AVERAGEIF($AQ$88:$AQ$120,"X",I$88:I$120)*PonCEPracticas))/10,0))</f>
        <v>0</v>
      </c>
      <c r="J23" s="150">
        <f t="shared" si="13"/>
        <v>0</v>
      </c>
      <c r="K23" s="152">
        <f t="shared" si="13"/>
        <v>0</v>
      </c>
      <c r="L23" s="152">
        <f t="shared" si="13"/>
        <v>0</v>
      </c>
      <c r="M23" s="152">
        <f t="shared" si="13"/>
        <v>0</v>
      </c>
      <c r="N23" s="152">
        <f t="shared" si="13"/>
        <v>0</v>
      </c>
      <c r="O23" s="150">
        <f t="shared" si="13"/>
        <v>0</v>
      </c>
      <c r="P23" s="152">
        <f t="shared" si="13"/>
        <v>0</v>
      </c>
      <c r="Q23" s="152">
        <f t="shared" si="13"/>
        <v>0</v>
      </c>
      <c r="R23" s="152">
        <f t="shared" si="13"/>
        <v>0</v>
      </c>
      <c r="S23" s="152">
        <f t="shared" si="13"/>
        <v>0</v>
      </c>
      <c r="T23" s="150">
        <f t="shared" si="13"/>
        <v>0</v>
      </c>
      <c r="U23" s="152">
        <f t="shared" si="13"/>
        <v>0</v>
      </c>
      <c r="V23" s="152">
        <f t="shared" si="13"/>
        <v>0</v>
      </c>
      <c r="W23" s="152">
        <f t="shared" si="13"/>
        <v>0</v>
      </c>
      <c r="X23" s="152">
        <f t="shared" si="13"/>
        <v>0</v>
      </c>
      <c r="Y23" s="150">
        <f t="shared" si="13"/>
        <v>0</v>
      </c>
      <c r="Z23" s="152">
        <f t="shared" si="13"/>
        <v>0</v>
      </c>
      <c r="AA23" s="152">
        <f t="shared" si="13"/>
        <v>0</v>
      </c>
      <c r="AB23" s="152">
        <f t="shared" si="13"/>
        <v>0</v>
      </c>
      <c r="AC23" s="152">
        <f t="shared" si="13"/>
        <v>0</v>
      </c>
      <c r="AD23" s="150">
        <f t="shared" si="13"/>
        <v>0</v>
      </c>
      <c r="AE23" s="152">
        <f t="shared" si="13"/>
        <v>0</v>
      </c>
      <c r="AF23" s="152">
        <f t="shared" si="13"/>
        <v>0</v>
      </c>
      <c r="AG23" s="152">
        <f t="shared" si="13"/>
        <v>0</v>
      </c>
      <c r="AH23" s="152">
        <f t="shared" si="13"/>
        <v>0</v>
      </c>
      <c r="AI23" s="150">
        <f t="shared" si="13"/>
        <v>0</v>
      </c>
      <c r="AJ23" s="76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290"/>
      <c r="BB23" s="15"/>
      <c r="BC23" s="15"/>
      <c r="BD23" s="15"/>
    </row>
    <row r="24" spans="1:62" s="72" customFormat="1" ht="25.5" customHeight="1" x14ac:dyDescent="0.3">
      <c r="A24" s="290"/>
      <c r="C24" s="291" t="str">
        <f>CoRA08</f>
        <v/>
      </c>
      <c r="D24" s="71">
        <f>ReAp08</f>
        <v>0</v>
      </c>
      <c r="E24" s="150">
        <f t="shared" si="6"/>
        <v>0</v>
      </c>
      <c r="F24" s="152">
        <f>(IFERROR((F$31*PonCEActitud+(AVERAGEIF($AR$38:$AR$57,"X",F$38:F$57)*PonCEContenidos)+(AVERAGEIF($AR$63:$AR$82,"X",F$63:F$82)*PonCEEjercicios)+(AVERAGEIF($AR$88:$AR$120,"X",F$88:F$120)*PonCEPracticas))/10,0))</f>
        <v>0</v>
      </c>
      <c r="G24" s="152">
        <f>(IFERROR((G$31*PonCEActitud+(AVERAGEIF($AR$38:$AR$57,"X",G$38:G$57)*PonCEContenidos)+(AVERAGEIF($AR$63:$AR$82,"X",G$63:G$82)*PonCEEjercicios)+(AVERAGEIF($AR$88:$AR$120,"X",G$88:G$120)*PonCEPracticas))/10,0))</f>
        <v>0</v>
      </c>
      <c r="H24" s="152">
        <f>(IFERROR((H$31*PonCEActitud+(AVERAGEIF($AR$38:$AR$57,"X",H$38:H$57)*PonCEContenidos)+(AVERAGEIF($AR$63:$AR$82,"X",H$63:H$82)*PonCEEjercicios)+(AVERAGEIF($AR$88:$AR$120,"X",H$88:H$120)*PonCEPracticas))/10,0))</f>
        <v>0</v>
      </c>
      <c r="I24" s="152">
        <f t="shared" ref="I24:AI24" si="14">(IFERROR((I$31*PonCEActitud+(AVERAGEIF($AR$38:$AR$57,"X",I$38:I$57)*PonCEContenidos)+(AVERAGEIF($AR$63:$AR$82,"X",I$63:I$82)*PonCEEjercicios)+(AVERAGEIF($AR$88:$AR$120,"X",I$88:I$120)*PonCEPracticas))/10,0))</f>
        <v>0</v>
      </c>
      <c r="J24" s="150">
        <f t="shared" si="14"/>
        <v>0</v>
      </c>
      <c r="K24" s="152">
        <f t="shared" si="14"/>
        <v>0</v>
      </c>
      <c r="L24" s="152">
        <f t="shared" si="14"/>
        <v>0</v>
      </c>
      <c r="M24" s="152">
        <f t="shared" si="14"/>
        <v>0</v>
      </c>
      <c r="N24" s="152">
        <f t="shared" si="14"/>
        <v>0</v>
      </c>
      <c r="O24" s="150">
        <f t="shared" si="14"/>
        <v>0</v>
      </c>
      <c r="P24" s="152">
        <f t="shared" si="14"/>
        <v>0</v>
      </c>
      <c r="Q24" s="152">
        <f t="shared" si="14"/>
        <v>0</v>
      </c>
      <c r="R24" s="152">
        <f t="shared" si="14"/>
        <v>0</v>
      </c>
      <c r="S24" s="152">
        <f t="shared" si="14"/>
        <v>0</v>
      </c>
      <c r="T24" s="150">
        <f t="shared" si="14"/>
        <v>0</v>
      </c>
      <c r="U24" s="152">
        <f t="shared" si="14"/>
        <v>0</v>
      </c>
      <c r="V24" s="152">
        <f t="shared" si="14"/>
        <v>0</v>
      </c>
      <c r="W24" s="152">
        <f t="shared" si="14"/>
        <v>0</v>
      </c>
      <c r="X24" s="152">
        <f t="shared" si="14"/>
        <v>0</v>
      </c>
      <c r="Y24" s="150">
        <f t="shared" si="14"/>
        <v>0</v>
      </c>
      <c r="Z24" s="152">
        <f t="shared" si="14"/>
        <v>0</v>
      </c>
      <c r="AA24" s="152">
        <f t="shared" si="14"/>
        <v>0</v>
      </c>
      <c r="AB24" s="152">
        <f t="shared" si="14"/>
        <v>0</v>
      </c>
      <c r="AC24" s="152">
        <f t="shared" si="14"/>
        <v>0</v>
      </c>
      <c r="AD24" s="150">
        <f t="shared" si="14"/>
        <v>0</v>
      </c>
      <c r="AE24" s="152">
        <f t="shared" si="14"/>
        <v>0</v>
      </c>
      <c r="AF24" s="152">
        <f t="shared" si="14"/>
        <v>0</v>
      </c>
      <c r="AG24" s="152">
        <f t="shared" si="14"/>
        <v>0</v>
      </c>
      <c r="AH24" s="152">
        <f t="shared" si="14"/>
        <v>0</v>
      </c>
      <c r="AI24" s="150">
        <f t="shared" si="14"/>
        <v>0</v>
      </c>
      <c r="AJ24" s="76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290"/>
      <c r="BB24" s="15"/>
      <c r="BC24" s="15"/>
      <c r="BD24" s="15"/>
    </row>
    <row r="25" spans="1:62" s="72" customFormat="1" ht="25.5" customHeight="1" x14ac:dyDescent="0.3">
      <c r="A25" s="290"/>
      <c r="C25" s="293" t="str">
        <f>CoRA09</f>
        <v/>
      </c>
      <c r="D25" s="77">
        <f>ReAp09</f>
        <v>0</v>
      </c>
      <c r="E25" s="151">
        <f t="shared" si="6"/>
        <v>0</v>
      </c>
      <c r="F25" s="153">
        <f>(IFERROR((F$31*PonCEActitud+(AVERAGEIF($AS$38:$AS$57,"X",F$38:F$57)*PonCEContenidos)+(AVERAGEIF($AS$63:$AS$82,"X",F$63:F$82)*PonCEEjercicios)+(AVERAGEIF($AS$88:$AS$120,"X",F$88:F$120)*PonCEPracticas))/10,0))</f>
        <v>0</v>
      </c>
      <c r="G25" s="153">
        <f>(IFERROR((G$31*PonCEActitud+(AVERAGEIF($AS$38:$AS$57,"X",G$38:G$57)*PonCEContenidos)+(AVERAGEIF($AS$63:$AS$82,"X",G$63:G$82)*PonCEEjercicios)+(AVERAGEIF($AS$88:$AS$120,"X",G$88:G$120)*PonCEPracticas))/10,0))</f>
        <v>0</v>
      </c>
      <c r="H25" s="153">
        <f>(IFERROR((H$31*PonCEActitud+(AVERAGEIF($AS$38:$AS$57,"X",H$38:H$57)*PonCEContenidos)+(AVERAGEIF($AS$63:$AS$82,"X",H$63:H$82)*PonCEEjercicios)+(AVERAGEIF($AS$88:$AS$120,"X",H$88:H$120)*PonCEPracticas))/10,0))</f>
        <v>0</v>
      </c>
      <c r="I25" s="153">
        <f t="shared" ref="I25:AI25" si="15">(IFERROR((I$31*PonCEActitud+(AVERAGEIF($AS$38:$AS$57,"X",I$38:I$57)*PonCEContenidos)+(AVERAGEIF($AS$63:$AS$82,"X",I$63:I$82)*PonCEEjercicios)+(AVERAGEIF($AS$88:$AS$120,"X",I$88:I$120)*PonCEPracticas))/10,0))</f>
        <v>0</v>
      </c>
      <c r="J25" s="151">
        <f t="shared" si="15"/>
        <v>0</v>
      </c>
      <c r="K25" s="153">
        <f t="shared" si="15"/>
        <v>0</v>
      </c>
      <c r="L25" s="153">
        <f t="shared" si="15"/>
        <v>0</v>
      </c>
      <c r="M25" s="153">
        <f t="shared" si="15"/>
        <v>0</v>
      </c>
      <c r="N25" s="153">
        <f t="shared" si="15"/>
        <v>0</v>
      </c>
      <c r="O25" s="151">
        <f t="shared" si="15"/>
        <v>0</v>
      </c>
      <c r="P25" s="153">
        <f t="shared" si="15"/>
        <v>0</v>
      </c>
      <c r="Q25" s="153">
        <f t="shared" si="15"/>
        <v>0</v>
      </c>
      <c r="R25" s="153">
        <f t="shared" si="15"/>
        <v>0</v>
      </c>
      <c r="S25" s="153">
        <f t="shared" si="15"/>
        <v>0</v>
      </c>
      <c r="T25" s="151">
        <f t="shared" si="15"/>
        <v>0</v>
      </c>
      <c r="U25" s="153">
        <f t="shared" si="15"/>
        <v>0</v>
      </c>
      <c r="V25" s="153">
        <f t="shared" si="15"/>
        <v>0</v>
      </c>
      <c r="W25" s="153">
        <f t="shared" si="15"/>
        <v>0</v>
      </c>
      <c r="X25" s="153">
        <f t="shared" si="15"/>
        <v>0</v>
      </c>
      <c r="Y25" s="151">
        <f t="shared" si="15"/>
        <v>0</v>
      </c>
      <c r="Z25" s="153">
        <f t="shared" si="15"/>
        <v>0</v>
      </c>
      <c r="AA25" s="153">
        <f t="shared" si="15"/>
        <v>0</v>
      </c>
      <c r="AB25" s="153">
        <f t="shared" si="15"/>
        <v>0</v>
      </c>
      <c r="AC25" s="153">
        <f t="shared" si="15"/>
        <v>0</v>
      </c>
      <c r="AD25" s="151">
        <f t="shared" si="15"/>
        <v>0</v>
      </c>
      <c r="AE25" s="153">
        <f t="shared" si="15"/>
        <v>0</v>
      </c>
      <c r="AF25" s="153">
        <f t="shared" si="15"/>
        <v>0</v>
      </c>
      <c r="AG25" s="153">
        <f t="shared" si="15"/>
        <v>0</v>
      </c>
      <c r="AH25" s="153">
        <f t="shared" si="15"/>
        <v>0</v>
      </c>
      <c r="AI25" s="151">
        <f t="shared" si="15"/>
        <v>0</v>
      </c>
      <c r="AJ25" s="76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290"/>
      <c r="BB25" s="15"/>
      <c r="BC25" s="15"/>
      <c r="BD25" s="15"/>
    </row>
    <row r="26" spans="1:62" s="72" customFormat="1" ht="25.5" customHeight="1" x14ac:dyDescent="0.3">
      <c r="A26" s="290"/>
      <c r="C26" s="291" t="str">
        <f>CoRA10</f>
        <v/>
      </c>
      <c r="D26" s="71">
        <f>ReAp10</f>
        <v>0</v>
      </c>
      <c r="E26" s="150">
        <f t="shared" si="6"/>
        <v>0</v>
      </c>
      <c r="F26" s="152">
        <f>(IFERROR((F$31*PonCEActitud+(AVERAGEIF($AT$38:$AT$57,"X",F$38:F$57)*PonCEContenidos)+(AVERAGEIF($AT$63:$AT$82,"X",F$63:F$82)*PonCEEjercicios)+(AVERAGEIF($AT$88:$AT$120,"X",F$88:F$120)*PonCEPracticas))/10,0))</f>
        <v>0</v>
      </c>
      <c r="G26" s="152">
        <f>(IFERROR((G$31*PonCEActitud+(AVERAGEIF($AT$38:$AT$57,"X",G$38:G$57)*PonCEContenidos)+(AVERAGEIF($AT$63:$AT$82,"X",G$63:G$82)*PonCEEjercicios)+(AVERAGEIF($AT$88:$AT$120,"X",G$88:G$120)*PonCEPracticas))/10,0))</f>
        <v>0</v>
      </c>
      <c r="H26" s="152">
        <f>(IFERROR((H$31*PonCEActitud+(AVERAGEIF($AT$38:$AT$57,"X",H$38:H$57)*PonCEContenidos)+(AVERAGEIF($AT$63:$AT$82,"X",H$63:H$82)*PonCEEjercicios)+(AVERAGEIF($AT$88:$AT$120,"X",H$88:H$120)*PonCEPracticas))/10,0))</f>
        <v>0</v>
      </c>
      <c r="I26" s="152">
        <f t="shared" ref="I26:AI26" si="16">(IFERROR((I$31*PonCEActitud+(AVERAGEIF($AT$38:$AT$57,"X",I$38:I$57)*PonCEContenidos)+(AVERAGEIF($AT$63:$AT$82,"X",I$63:I$82)*PonCEEjercicios)+(AVERAGEIF($AT$88:$AT$120,"X",I$88:I$120)*PonCEPracticas))/10,0))</f>
        <v>0</v>
      </c>
      <c r="J26" s="150">
        <f t="shared" si="16"/>
        <v>0</v>
      </c>
      <c r="K26" s="152">
        <f t="shared" si="16"/>
        <v>0</v>
      </c>
      <c r="L26" s="152">
        <f t="shared" si="16"/>
        <v>0</v>
      </c>
      <c r="M26" s="152">
        <f t="shared" si="16"/>
        <v>0</v>
      </c>
      <c r="N26" s="152">
        <f t="shared" si="16"/>
        <v>0</v>
      </c>
      <c r="O26" s="150">
        <f t="shared" si="16"/>
        <v>0</v>
      </c>
      <c r="P26" s="152">
        <f t="shared" si="16"/>
        <v>0</v>
      </c>
      <c r="Q26" s="152">
        <f t="shared" si="16"/>
        <v>0</v>
      </c>
      <c r="R26" s="152">
        <f t="shared" si="16"/>
        <v>0</v>
      </c>
      <c r="S26" s="152">
        <f t="shared" si="16"/>
        <v>0</v>
      </c>
      <c r="T26" s="150">
        <f t="shared" si="16"/>
        <v>0</v>
      </c>
      <c r="U26" s="152">
        <f t="shared" si="16"/>
        <v>0</v>
      </c>
      <c r="V26" s="152">
        <f t="shared" si="16"/>
        <v>0</v>
      </c>
      <c r="W26" s="152">
        <f t="shared" si="16"/>
        <v>0</v>
      </c>
      <c r="X26" s="152">
        <f t="shared" si="16"/>
        <v>0</v>
      </c>
      <c r="Y26" s="150">
        <f t="shared" si="16"/>
        <v>0</v>
      </c>
      <c r="Z26" s="152">
        <f t="shared" si="16"/>
        <v>0</v>
      </c>
      <c r="AA26" s="152">
        <f t="shared" si="16"/>
        <v>0</v>
      </c>
      <c r="AB26" s="152">
        <f t="shared" si="16"/>
        <v>0</v>
      </c>
      <c r="AC26" s="152">
        <f t="shared" si="16"/>
        <v>0</v>
      </c>
      <c r="AD26" s="150">
        <f t="shared" si="16"/>
        <v>0</v>
      </c>
      <c r="AE26" s="152">
        <f t="shared" si="16"/>
        <v>0</v>
      </c>
      <c r="AF26" s="152">
        <f t="shared" si="16"/>
        <v>0</v>
      </c>
      <c r="AG26" s="152">
        <f t="shared" si="16"/>
        <v>0</v>
      </c>
      <c r="AH26" s="152">
        <f t="shared" si="16"/>
        <v>0</v>
      </c>
      <c r="AI26" s="150">
        <f t="shared" si="16"/>
        <v>0</v>
      </c>
      <c r="AJ26" s="76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290"/>
      <c r="BB26" s="15"/>
      <c r="BC26" s="15"/>
      <c r="BD26" s="15"/>
    </row>
    <row r="27" spans="1:62" s="72" customFormat="1" ht="25.5" customHeight="1" x14ac:dyDescent="0.3">
      <c r="A27" s="290"/>
      <c r="C27" s="291" t="str">
        <f>CoRA11</f>
        <v/>
      </c>
      <c r="D27" s="71">
        <f>ReAp11</f>
        <v>0</v>
      </c>
      <c r="E27" s="150">
        <f t="shared" si="6"/>
        <v>0</v>
      </c>
      <c r="F27" s="152">
        <f>(IFERROR((F$31*PonCEActitud+(AVERAGEIF($AU$38:$AU$57,"X",F$38:F$57)*PonCEContenidos)+(AVERAGEIF($AU$63:$AU$82,"X",F$63:F$82)*PonCEEjercicios)+(AVERAGEIF($AU$88:$AU$120,"X",F$88:F$120)*PonCEPracticas))/10,0))</f>
        <v>0</v>
      </c>
      <c r="G27" s="152">
        <f>(IFERROR((G$31*PonCEActitud+(AVERAGEIF($AU$38:$AU$57,"X",G$38:G$57)*PonCEContenidos)+(AVERAGEIF($AU$63:$AU$82,"X",G$63:G$82)*PonCEEjercicios)+(AVERAGEIF($AU$88:$AU$120,"X",G$88:G$120)*PonCEPracticas))/10,0))</f>
        <v>0</v>
      </c>
      <c r="H27" s="152">
        <f>(IFERROR((H$31*PonCEActitud+(AVERAGEIF($AU$38:$AU$57,"X",H$38:H$57)*PonCEContenidos)+(AVERAGEIF($AU$63:$AU$82,"X",H$63:H$82)*PonCEEjercicios)+(AVERAGEIF($AU$88:$AU$120,"X",H$88:H$120)*PonCEPracticas))/10,0))</f>
        <v>0</v>
      </c>
      <c r="I27" s="152">
        <f t="shared" ref="I27:AI27" si="17">(IFERROR((I$31*PonCEActitud+(AVERAGEIF($AU$38:$AU$57,"X",I$38:I$57)*PonCEContenidos)+(AVERAGEIF($AU$63:$AU$82,"X",I$63:I$82)*PonCEEjercicios)+(AVERAGEIF($AU$88:$AU$120,"X",I$88:I$120)*PonCEPracticas))/10,0))</f>
        <v>0</v>
      </c>
      <c r="J27" s="150">
        <f t="shared" si="17"/>
        <v>0</v>
      </c>
      <c r="K27" s="152">
        <f t="shared" si="17"/>
        <v>0</v>
      </c>
      <c r="L27" s="152">
        <f t="shared" si="17"/>
        <v>0</v>
      </c>
      <c r="M27" s="152">
        <f t="shared" si="17"/>
        <v>0</v>
      </c>
      <c r="N27" s="152">
        <f t="shared" si="17"/>
        <v>0</v>
      </c>
      <c r="O27" s="150">
        <f t="shared" si="17"/>
        <v>0</v>
      </c>
      <c r="P27" s="152">
        <f t="shared" si="17"/>
        <v>0</v>
      </c>
      <c r="Q27" s="152">
        <f t="shared" si="17"/>
        <v>0</v>
      </c>
      <c r="R27" s="152">
        <f t="shared" si="17"/>
        <v>0</v>
      </c>
      <c r="S27" s="152">
        <f t="shared" si="17"/>
        <v>0</v>
      </c>
      <c r="T27" s="150">
        <f t="shared" si="17"/>
        <v>0</v>
      </c>
      <c r="U27" s="152">
        <f t="shared" si="17"/>
        <v>0</v>
      </c>
      <c r="V27" s="152">
        <f t="shared" si="17"/>
        <v>0</v>
      </c>
      <c r="W27" s="152">
        <f t="shared" si="17"/>
        <v>0</v>
      </c>
      <c r="X27" s="152">
        <f t="shared" si="17"/>
        <v>0</v>
      </c>
      <c r="Y27" s="150">
        <f t="shared" si="17"/>
        <v>0</v>
      </c>
      <c r="Z27" s="152">
        <f t="shared" si="17"/>
        <v>0</v>
      </c>
      <c r="AA27" s="152">
        <f t="shared" si="17"/>
        <v>0</v>
      </c>
      <c r="AB27" s="152">
        <f t="shared" si="17"/>
        <v>0</v>
      </c>
      <c r="AC27" s="152">
        <f t="shared" si="17"/>
        <v>0</v>
      </c>
      <c r="AD27" s="150">
        <f t="shared" si="17"/>
        <v>0</v>
      </c>
      <c r="AE27" s="152">
        <f t="shared" si="17"/>
        <v>0</v>
      </c>
      <c r="AF27" s="152">
        <f t="shared" si="17"/>
        <v>0</v>
      </c>
      <c r="AG27" s="152">
        <f t="shared" si="17"/>
        <v>0</v>
      </c>
      <c r="AH27" s="152">
        <f t="shared" si="17"/>
        <v>0</v>
      </c>
      <c r="AI27" s="150">
        <f t="shared" si="17"/>
        <v>0</v>
      </c>
      <c r="AJ27" s="76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290"/>
      <c r="BB27" s="15"/>
      <c r="BC27" s="15"/>
      <c r="BD27" s="15"/>
    </row>
    <row r="28" spans="1:62" s="72" customFormat="1" ht="25.5" customHeight="1" x14ac:dyDescent="0.3">
      <c r="A28" s="290"/>
      <c r="C28" s="293" t="str">
        <f>CoRA12</f>
        <v/>
      </c>
      <c r="D28" s="77">
        <f>ReAp12</f>
        <v>0</v>
      </c>
      <c r="E28" s="151">
        <f t="shared" si="6"/>
        <v>0</v>
      </c>
      <c r="F28" s="154">
        <f>(IFERROR((F$31*PonCEActitud+(AVERAGEIF($AV$38:$AV$57,"X",F$38:F$57)*PonCEContenidos)+(AVERAGEIF($AV$63:$AV$82,"X",F$63:F$82)*PonCEEjercicios)+(AVERAGEIF($AV$88:$AV$120,"X",F$88:F$120)*PonCEPracticas))/10,0))</f>
        <v>0</v>
      </c>
      <c r="G28" s="153">
        <f>(IFERROR((G$31*PonCEActitud+(AVERAGEIF($AV$38:$AV$57,"X",G$38:G$57)*PonCEContenidos)+(AVERAGEIF($AV$63:$AV$82,"X",G$63:G$82)*PonCEEjercicios)+(AVERAGEIF($AV$88:$AV$120,"X",G$88:G$120)*PonCEPracticas))/10,0))</f>
        <v>0</v>
      </c>
      <c r="H28" s="153">
        <f>(IFERROR((H$31*PonCEActitud+(AVERAGEIF($AV$38:$AV$57,"X",H$38:H$57)*PonCEContenidos)+(AVERAGEIF($AV$63:$AV$82,"X",H$63:H$82)*PonCEEjercicios)+(AVERAGEIF($AV$88:$AV$120,"X",H$88:H$120)*PonCEPracticas))/10,0))</f>
        <v>0</v>
      </c>
      <c r="I28" s="153">
        <f t="shared" ref="I28:AI28" si="18">(IFERROR((I$31*PonCEActitud+(AVERAGEIF($AV$38:$AV$57,"X",I$38:I$57)*PonCEContenidos)+(AVERAGEIF($AV$63:$AV$82,"X",I$63:I$82)*PonCEEjercicios)+(AVERAGEIF($AV$88:$AV$120,"X",I$88:I$120)*PonCEPracticas))/10,0))</f>
        <v>0</v>
      </c>
      <c r="J28" s="151">
        <f t="shared" si="18"/>
        <v>0</v>
      </c>
      <c r="K28" s="153">
        <f t="shared" si="18"/>
        <v>0</v>
      </c>
      <c r="L28" s="153">
        <f t="shared" si="18"/>
        <v>0</v>
      </c>
      <c r="M28" s="153">
        <f t="shared" si="18"/>
        <v>0</v>
      </c>
      <c r="N28" s="153">
        <f t="shared" si="18"/>
        <v>0</v>
      </c>
      <c r="O28" s="151">
        <f t="shared" si="18"/>
        <v>0</v>
      </c>
      <c r="P28" s="153">
        <f t="shared" si="18"/>
        <v>0</v>
      </c>
      <c r="Q28" s="153">
        <f t="shared" si="18"/>
        <v>0</v>
      </c>
      <c r="R28" s="153">
        <f t="shared" si="18"/>
        <v>0</v>
      </c>
      <c r="S28" s="153">
        <f t="shared" si="18"/>
        <v>0</v>
      </c>
      <c r="T28" s="151">
        <f t="shared" si="18"/>
        <v>0</v>
      </c>
      <c r="U28" s="153">
        <f t="shared" si="18"/>
        <v>0</v>
      </c>
      <c r="V28" s="153">
        <f t="shared" si="18"/>
        <v>0</v>
      </c>
      <c r="W28" s="153">
        <f t="shared" si="18"/>
        <v>0</v>
      </c>
      <c r="X28" s="153">
        <f t="shared" si="18"/>
        <v>0</v>
      </c>
      <c r="Y28" s="151">
        <f t="shared" si="18"/>
        <v>0</v>
      </c>
      <c r="Z28" s="153">
        <f t="shared" si="18"/>
        <v>0</v>
      </c>
      <c r="AA28" s="153">
        <f t="shared" si="18"/>
        <v>0</v>
      </c>
      <c r="AB28" s="153">
        <f t="shared" si="18"/>
        <v>0</v>
      </c>
      <c r="AC28" s="153">
        <f t="shared" si="18"/>
        <v>0</v>
      </c>
      <c r="AD28" s="153">
        <f t="shared" si="18"/>
        <v>0</v>
      </c>
      <c r="AE28" s="154">
        <f t="shared" si="18"/>
        <v>0</v>
      </c>
      <c r="AF28" s="153">
        <f t="shared" si="18"/>
        <v>0</v>
      </c>
      <c r="AG28" s="153">
        <f t="shared" si="18"/>
        <v>0</v>
      </c>
      <c r="AH28" s="153">
        <f t="shared" si="18"/>
        <v>0</v>
      </c>
      <c r="AI28" s="151">
        <f t="shared" si="18"/>
        <v>0</v>
      </c>
      <c r="AJ28" s="76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290"/>
      <c r="BB28" s="15"/>
      <c r="BC28" s="15"/>
      <c r="BD28" s="15"/>
    </row>
    <row r="29" spans="1:62" s="72" customFormat="1" ht="23.25" customHeight="1" x14ac:dyDescent="0.3">
      <c r="C29" s="15"/>
      <c r="D29" s="72" t="s">
        <v>197</v>
      </c>
      <c r="E29" s="466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20"/>
      <c r="AK29" s="420"/>
      <c r="AL29" s="420"/>
      <c r="AM29" s="420"/>
      <c r="AN29" s="420"/>
      <c r="AO29" s="420"/>
      <c r="AP29" s="420"/>
      <c r="AQ29" s="420"/>
      <c r="AR29" s="420"/>
      <c r="AS29" s="420"/>
      <c r="AT29" s="420"/>
      <c r="AU29" s="420"/>
      <c r="AV29" s="420"/>
      <c r="AX29" s="46"/>
      <c r="AY29" s="46"/>
      <c r="AZ29" s="46"/>
    </row>
    <row r="30" spans="1:62" s="66" customFormat="1" ht="21" thickBot="1" x14ac:dyDescent="0.4">
      <c r="A30" s="210"/>
      <c r="B30" s="210" t="s">
        <v>159</v>
      </c>
      <c r="C30" s="211"/>
      <c r="D30" s="212"/>
      <c r="E30" s="465"/>
      <c r="F30" s="465"/>
      <c r="G30" s="465"/>
      <c r="H30" s="465"/>
      <c r="I30" s="465"/>
      <c r="J30" s="465"/>
      <c r="K30" s="465"/>
      <c r="L30" s="465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210"/>
    </row>
    <row r="31" spans="1:62" s="66" customFormat="1" ht="23.25" customHeight="1" thickBot="1" x14ac:dyDescent="0.4">
      <c r="A31" s="210"/>
      <c r="C31" s="555" t="s">
        <v>206</v>
      </c>
      <c r="D31" s="33" t="s">
        <v>163</v>
      </c>
      <c r="E31" s="189" t="s">
        <v>190</v>
      </c>
      <c r="F31" s="346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8"/>
      <c r="AJ31" s="65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X31" s="60"/>
      <c r="AY31" s="60"/>
      <c r="AZ31" s="60"/>
      <c r="BA31" s="210"/>
    </row>
    <row r="32" spans="1:62" s="66" customFormat="1" ht="23.25" customHeight="1" x14ac:dyDescent="0.35">
      <c r="C32" s="61"/>
      <c r="E32" s="56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65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X32" s="60"/>
      <c r="AY32" s="60"/>
      <c r="AZ32" s="60"/>
    </row>
    <row r="33" spans="1:53" s="66" customFormat="1" ht="21" thickBot="1" x14ac:dyDescent="0.4">
      <c r="A33" s="204"/>
      <c r="B33" s="204" t="s">
        <v>160</v>
      </c>
      <c r="C33" s="208"/>
      <c r="D33" s="209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204"/>
    </row>
    <row r="34" spans="1:53" ht="19.8" customHeight="1" x14ac:dyDescent="0.35">
      <c r="A34" s="204"/>
      <c r="B34" s="17"/>
      <c r="C34" s="17"/>
      <c r="D34" s="17"/>
      <c r="E34" s="288" t="s">
        <v>180</v>
      </c>
      <c r="F34" s="195">
        <f>IFERROR(SUMPRODUCT($AX$38:$AX$57,F$38:F$57)/SUM($AX$38:$AX$57),"SD")</f>
        <v>0</v>
      </c>
      <c r="G34" s="196">
        <f>IFERROR(SUMPRODUCT($AX$38:$AX$57,G$38:G$57)/SUM($AX$38:$AX$57),"SD")</f>
        <v>0</v>
      </c>
      <c r="H34" s="196">
        <f>IFERROR(SUMPRODUCT($AX$38:$AX$57,H$38:H$57)/SUM($AX$38:$AX$57),"SD")</f>
        <v>0</v>
      </c>
      <c r="I34" s="196">
        <f t="shared" ref="I34:AI34" si="19">IFERROR(SUMPRODUCT($AX$38:$AX$57,I$38:I$57)/SUM($AX$38:$AX$57),"SD")</f>
        <v>0</v>
      </c>
      <c r="J34" s="196">
        <f t="shared" si="19"/>
        <v>0</v>
      </c>
      <c r="K34" s="196">
        <f t="shared" si="19"/>
        <v>0</v>
      </c>
      <c r="L34" s="196">
        <f t="shared" si="19"/>
        <v>0</v>
      </c>
      <c r="M34" s="196">
        <f t="shared" si="19"/>
        <v>0</v>
      </c>
      <c r="N34" s="196">
        <f t="shared" si="19"/>
        <v>0</v>
      </c>
      <c r="O34" s="196">
        <f t="shared" si="19"/>
        <v>0</v>
      </c>
      <c r="P34" s="196">
        <f t="shared" si="19"/>
        <v>0</v>
      </c>
      <c r="Q34" s="196">
        <f t="shared" si="19"/>
        <v>0</v>
      </c>
      <c r="R34" s="196">
        <f t="shared" si="19"/>
        <v>0</v>
      </c>
      <c r="S34" s="196">
        <f t="shared" si="19"/>
        <v>0</v>
      </c>
      <c r="T34" s="196">
        <f t="shared" si="19"/>
        <v>0</v>
      </c>
      <c r="U34" s="196">
        <f t="shared" si="19"/>
        <v>0</v>
      </c>
      <c r="V34" s="196">
        <f t="shared" si="19"/>
        <v>0</v>
      </c>
      <c r="W34" s="196">
        <f t="shared" si="19"/>
        <v>0</v>
      </c>
      <c r="X34" s="196">
        <f t="shared" si="19"/>
        <v>0</v>
      </c>
      <c r="Y34" s="196">
        <f t="shared" si="19"/>
        <v>0</v>
      </c>
      <c r="Z34" s="196">
        <f t="shared" si="19"/>
        <v>0</v>
      </c>
      <c r="AA34" s="196">
        <f t="shared" si="19"/>
        <v>0</v>
      </c>
      <c r="AB34" s="196">
        <f t="shared" si="19"/>
        <v>0</v>
      </c>
      <c r="AC34" s="196">
        <f t="shared" si="19"/>
        <v>0</v>
      </c>
      <c r="AD34" s="196">
        <f t="shared" si="19"/>
        <v>0</v>
      </c>
      <c r="AE34" s="196">
        <f t="shared" si="19"/>
        <v>0</v>
      </c>
      <c r="AF34" s="196">
        <f t="shared" si="19"/>
        <v>0</v>
      </c>
      <c r="AG34" s="196">
        <f t="shared" si="19"/>
        <v>0</v>
      </c>
      <c r="AH34" s="196">
        <f t="shared" si="19"/>
        <v>0</v>
      </c>
      <c r="AI34" s="197">
        <f t="shared" si="19"/>
        <v>0</v>
      </c>
      <c r="AK34" s="1212" t="str">
        <f>CoRA01</f>
        <v>RA01</v>
      </c>
      <c r="AL34" s="1214" t="str">
        <f>CoRA02</f>
        <v>RA02</v>
      </c>
      <c r="AM34" s="1210" t="str">
        <f>CoRA03</f>
        <v>RA03</v>
      </c>
      <c r="AN34" s="1212" t="str">
        <f>CoRA04</f>
        <v>RA04</v>
      </c>
      <c r="AO34" s="1214" t="str">
        <f>CoRA05</f>
        <v>RA05</v>
      </c>
      <c r="AP34" s="1210" t="str">
        <f>CoRA06</f>
        <v>RA06</v>
      </c>
      <c r="AQ34" s="1212" t="str">
        <f>CoRA07</f>
        <v/>
      </c>
      <c r="AR34" s="1214" t="str">
        <f>CoRA08</f>
        <v/>
      </c>
      <c r="AS34" s="1210" t="str">
        <f>CoRA09</f>
        <v/>
      </c>
      <c r="AT34" s="1212" t="str">
        <f>CoRA10</f>
        <v/>
      </c>
      <c r="AU34" s="1214" t="str">
        <f>CoRA11</f>
        <v/>
      </c>
      <c r="AV34" s="1210" t="str">
        <f>CoRA12</f>
        <v/>
      </c>
      <c r="AX34" s="38" t="s">
        <v>180</v>
      </c>
      <c r="AY34" s="39" t="s">
        <v>181</v>
      </c>
      <c r="AZ34" s="40" t="s">
        <v>182</v>
      </c>
      <c r="BA34" s="204"/>
    </row>
    <row r="35" spans="1:53" ht="19.8" customHeight="1" x14ac:dyDescent="0.35">
      <c r="A35" s="204"/>
      <c r="C35" s="79"/>
      <c r="D35" s="80"/>
      <c r="E35" s="289" t="s">
        <v>181</v>
      </c>
      <c r="F35" s="198">
        <f>IFERROR(SUMPRODUCT($AY$38:$AY$57,F$38:F$57)/SUM($AY$38:$AY$57),"SD")</f>
        <v>0</v>
      </c>
      <c r="G35" s="199">
        <f>IFERROR(SUMPRODUCT($AY$38:$AY$57,G$38:G$57)/SUM($AY$38:$AY$57),"SD")</f>
        <v>0</v>
      </c>
      <c r="H35" s="199">
        <f>IFERROR(SUMPRODUCT($AY$38:$AY$57,H$38:H$57)/SUM($AY$38:$AY$57),"SD")</f>
        <v>0</v>
      </c>
      <c r="I35" s="199">
        <f t="shared" ref="I35:AI35" si="20">IFERROR(SUMPRODUCT($AY$38:$AY$57,I$38:I$57)/SUM($AY$38:$AY$57),"SD")</f>
        <v>0</v>
      </c>
      <c r="J35" s="199">
        <f t="shared" si="20"/>
        <v>0</v>
      </c>
      <c r="K35" s="199">
        <f t="shared" si="20"/>
        <v>0</v>
      </c>
      <c r="L35" s="199">
        <f t="shared" si="20"/>
        <v>0</v>
      </c>
      <c r="M35" s="199">
        <f t="shared" si="20"/>
        <v>0</v>
      </c>
      <c r="N35" s="199">
        <f t="shared" si="20"/>
        <v>0</v>
      </c>
      <c r="O35" s="199">
        <f t="shared" si="20"/>
        <v>0</v>
      </c>
      <c r="P35" s="199">
        <f t="shared" si="20"/>
        <v>0</v>
      </c>
      <c r="Q35" s="199">
        <f t="shared" si="20"/>
        <v>0</v>
      </c>
      <c r="R35" s="199">
        <f t="shared" si="20"/>
        <v>0</v>
      </c>
      <c r="S35" s="199">
        <f t="shared" si="20"/>
        <v>0</v>
      </c>
      <c r="T35" s="199">
        <f t="shared" si="20"/>
        <v>0</v>
      </c>
      <c r="U35" s="199">
        <f t="shared" si="20"/>
        <v>0</v>
      </c>
      <c r="V35" s="199">
        <f t="shared" si="20"/>
        <v>0</v>
      </c>
      <c r="W35" s="199">
        <f t="shared" si="20"/>
        <v>0</v>
      </c>
      <c r="X35" s="199">
        <f t="shared" si="20"/>
        <v>0</v>
      </c>
      <c r="Y35" s="199">
        <f t="shared" si="20"/>
        <v>0</v>
      </c>
      <c r="Z35" s="199">
        <f t="shared" si="20"/>
        <v>0</v>
      </c>
      <c r="AA35" s="199">
        <f t="shared" si="20"/>
        <v>0</v>
      </c>
      <c r="AB35" s="199">
        <f t="shared" si="20"/>
        <v>0</v>
      </c>
      <c r="AC35" s="199">
        <f t="shared" si="20"/>
        <v>0</v>
      </c>
      <c r="AD35" s="199">
        <f t="shared" si="20"/>
        <v>0</v>
      </c>
      <c r="AE35" s="199">
        <f t="shared" si="20"/>
        <v>0</v>
      </c>
      <c r="AF35" s="199">
        <f t="shared" si="20"/>
        <v>0</v>
      </c>
      <c r="AG35" s="199">
        <f t="shared" si="20"/>
        <v>0</v>
      </c>
      <c r="AH35" s="199">
        <f t="shared" si="20"/>
        <v>0</v>
      </c>
      <c r="AI35" s="200">
        <f t="shared" si="20"/>
        <v>0</v>
      </c>
      <c r="AK35" s="1212"/>
      <c r="AL35" s="1214"/>
      <c r="AM35" s="1210"/>
      <c r="AN35" s="1212"/>
      <c r="AO35" s="1214"/>
      <c r="AP35" s="1210"/>
      <c r="AQ35" s="1212"/>
      <c r="AR35" s="1214"/>
      <c r="AS35" s="1210"/>
      <c r="AT35" s="1212"/>
      <c r="AU35" s="1214"/>
      <c r="AV35" s="1210"/>
      <c r="AX35" s="181" t="s">
        <v>127</v>
      </c>
      <c r="AY35" s="181" t="s">
        <v>127</v>
      </c>
      <c r="AZ35" s="182" t="s">
        <v>127</v>
      </c>
      <c r="BA35" s="204"/>
    </row>
    <row r="36" spans="1:53" ht="19.8" customHeight="1" thickBot="1" x14ac:dyDescent="0.4">
      <c r="A36" s="204"/>
      <c r="B36" s="81" t="s">
        <v>57</v>
      </c>
      <c r="C36" s="81" t="s">
        <v>30</v>
      </c>
      <c r="D36" s="82" t="s">
        <v>126</v>
      </c>
      <c r="E36" s="299" t="s">
        <v>182</v>
      </c>
      <c r="F36" s="201" t="str">
        <f>IFERROR(SUMPRODUCT($AZ$38:$AZ$57,F$38:F$57)/SUM($AZ$38:$AZ$57),"SD")</f>
        <v>SD</v>
      </c>
      <c r="G36" s="202" t="str">
        <f>IFERROR(SUMPRODUCT($AZ$38:$AZ$57,G$38:G$57)/SUM($AZ$38:$AZ$57),"SD")</f>
        <v>SD</v>
      </c>
      <c r="H36" s="202" t="str">
        <f>IFERROR(SUMPRODUCT($AZ$38:$AZ$57,H$38:H$57)/SUM($AZ$38:$AZ$57),"SD")</f>
        <v>SD</v>
      </c>
      <c r="I36" s="202" t="str">
        <f t="shared" ref="I36:AI36" si="21">IFERROR(SUMPRODUCT($AZ$38:$AZ$57,I$38:I$57)/SUM($AZ$38:$AZ$57),"SD")</f>
        <v>SD</v>
      </c>
      <c r="J36" s="202" t="str">
        <f t="shared" si="21"/>
        <v>SD</v>
      </c>
      <c r="K36" s="202" t="str">
        <f t="shared" si="21"/>
        <v>SD</v>
      </c>
      <c r="L36" s="202" t="str">
        <f t="shared" si="21"/>
        <v>SD</v>
      </c>
      <c r="M36" s="202" t="str">
        <f t="shared" si="21"/>
        <v>SD</v>
      </c>
      <c r="N36" s="202" t="str">
        <f t="shared" si="21"/>
        <v>SD</v>
      </c>
      <c r="O36" s="202" t="str">
        <f t="shared" si="21"/>
        <v>SD</v>
      </c>
      <c r="P36" s="202" t="str">
        <f t="shared" si="21"/>
        <v>SD</v>
      </c>
      <c r="Q36" s="202" t="str">
        <f t="shared" si="21"/>
        <v>SD</v>
      </c>
      <c r="R36" s="202" t="str">
        <f t="shared" si="21"/>
        <v>SD</v>
      </c>
      <c r="S36" s="202" t="str">
        <f t="shared" si="21"/>
        <v>SD</v>
      </c>
      <c r="T36" s="202" t="str">
        <f t="shared" si="21"/>
        <v>SD</v>
      </c>
      <c r="U36" s="202" t="str">
        <f t="shared" si="21"/>
        <v>SD</v>
      </c>
      <c r="V36" s="202" t="str">
        <f t="shared" si="21"/>
        <v>SD</v>
      </c>
      <c r="W36" s="202" t="str">
        <f t="shared" si="21"/>
        <v>SD</v>
      </c>
      <c r="X36" s="202" t="str">
        <f t="shared" si="21"/>
        <v>SD</v>
      </c>
      <c r="Y36" s="202" t="str">
        <f t="shared" si="21"/>
        <v>SD</v>
      </c>
      <c r="Z36" s="202" t="str">
        <f t="shared" si="21"/>
        <v>SD</v>
      </c>
      <c r="AA36" s="202" t="str">
        <f t="shared" si="21"/>
        <v>SD</v>
      </c>
      <c r="AB36" s="202" t="str">
        <f t="shared" si="21"/>
        <v>SD</v>
      </c>
      <c r="AC36" s="202" t="str">
        <f t="shared" si="21"/>
        <v>SD</v>
      </c>
      <c r="AD36" s="202" t="str">
        <f t="shared" si="21"/>
        <v>SD</v>
      </c>
      <c r="AE36" s="202" t="str">
        <f t="shared" si="21"/>
        <v>SD</v>
      </c>
      <c r="AF36" s="202" t="str">
        <f t="shared" si="21"/>
        <v>SD</v>
      </c>
      <c r="AG36" s="202" t="str">
        <f t="shared" si="21"/>
        <v>SD</v>
      </c>
      <c r="AH36" s="202" t="str">
        <f t="shared" si="21"/>
        <v>SD</v>
      </c>
      <c r="AI36" s="203" t="str">
        <f t="shared" si="21"/>
        <v>SD</v>
      </c>
      <c r="AK36" s="1213"/>
      <c r="AL36" s="1215"/>
      <c r="AM36" s="1211"/>
      <c r="AN36" s="1213"/>
      <c r="AO36" s="1215"/>
      <c r="AP36" s="1211"/>
      <c r="AQ36" s="1213"/>
      <c r="AR36" s="1215"/>
      <c r="AS36" s="1211"/>
      <c r="AT36" s="1213"/>
      <c r="AU36" s="1215"/>
      <c r="AV36" s="1211"/>
      <c r="AX36" s="83">
        <f>COUNTIFS(AX38:AX57,"&gt;0")</f>
        <v>2</v>
      </c>
      <c r="AY36" s="83">
        <f t="shared" ref="AY36:AZ36" si="22">COUNTIFS(AY38:AY57,"&gt;0")</f>
        <v>4</v>
      </c>
      <c r="AZ36" s="84">
        <f t="shared" si="22"/>
        <v>0</v>
      </c>
      <c r="BA36" s="204"/>
    </row>
    <row r="37" spans="1:53" s="13" customFormat="1" ht="21.6" customHeight="1" x14ac:dyDescent="0.35">
      <c r="A37" s="204"/>
      <c r="B37" s="96">
        <f>UDs!F34</f>
        <v>45915</v>
      </c>
      <c r="C37" s="205" t="str">
        <f>Sgmt!B8</f>
        <v>UD00</v>
      </c>
      <c r="D37" s="33" t="str">
        <f>UnDi00</f>
        <v>pw</v>
      </c>
      <c r="E37" s="190" t="s">
        <v>132</v>
      </c>
      <c r="F37" s="467"/>
      <c r="G37" s="467"/>
      <c r="H37" s="467"/>
      <c r="I37" s="467"/>
      <c r="J37" s="467"/>
      <c r="K37" s="468"/>
      <c r="L37" s="467"/>
      <c r="M37" s="467"/>
      <c r="N37" s="467"/>
      <c r="O37" s="467"/>
      <c r="P37" s="468"/>
      <c r="Q37" s="467"/>
      <c r="R37" s="467"/>
      <c r="S37" s="467"/>
      <c r="T37" s="469"/>
      <c r="U37" s="467"/>
      <c r="V37" s="467"/>
      <c r="W37" s="467"/>
      <c r="X37" s="467"/>
      <c r="Y37" s="467"/>
      <c r="Z37" s="468"/>
      <c r="AA37" s="467"/>
      <c r="AB37" s="467"/>
      <c r="AC37" s="467"/>
      <c r="AD37" s="467"/>
      <c r="AE37" s="468"/>
      <c r="AF37" s="467"/>
      <c r="AG37" s="467"/>
      <c r="AH37" s="467"/>
      <c r="AI37" s="469"/>
      <c r="AJ37" s="75"/>
      <c r="AK37" s="85">
        <f>UDs!H34</f>
        <v>0</v>
      </c>
      <c r="AL37" s="15">
        <f>UDs!I34</f>
        <v>0</v>
      </c>
      <c r="AM37" s="48">
        <f>UDs!J34</f>
        <v>0</v>
      </c>
      <c r="AN37" s="15">
        <f>UDs!K34</f>
        <v>0</v>
      </c>
      <c r="AO37" s="15">
        <f>UDs!L34</f>
        <v>0</v>
      </c>
      <c r="AP37" s="48">
        <f>UDs!M34</f>
        <v>0</v>
      </c>
      <c r="AQ37" s="15">
        <f>UDs!N34</f>
        <v>0</v>
      </c>
      <c r="AR37" s="15">
        <f>UDs!O34</f>
        <v>0</v>
      </c>
      <c r="AS37" s="48">
        <f>UDs!P34</f>
        <v>0</v>
      </c>
      <c r="AT37" s="15">
        <f>UDs!Q34</f>
        <v>0</v>
      </c>
      <c r="AU37" s="15">
        <f>UDs!R34</f>
        <v>0</v>
      </c>
      <c r="AV37" s="48">
        <f>UDs!S34</f>
        <v>0</v>
      </c>
      <c r="AX37" s="2"/>
      <c r="AY37" s="2">
        <f t="shared" ref="AY37" si="23">IF(AND(FechaInicio2Tri&lt;=$B37, FechaInicio3Tri&gt;$B37),100%,0%)</f>
        <v>0</v>
      </c>
      <c r="AZ37" s="2">
        <f t="shared" ref="AZ37" si="24">IF(AND(FechaInicio3Tri&lt;=$B37, FechaFinEEva&gt;$B37),100%,0%)</f>
        <v>0</v>
      </c>
      <c r="BA37" s="204"/>
    </row>
    <row r="38" spans="1:53" s="13" customFormat="1" ht="21.6" customHeight="1" x14ac:dyDescent="0.35">
      <c r="A38" s="204"/>
      <c r="B38" s="96">
        <f>UDs!F35</f>
        <v>45916</v>
      </c>
      <c r="C38" s="206" t="str">
        <f>Sgmt!B9</f>
        <v>UD01</v>
      </c>
      <c r="D38" s="33" t="str">
        <f>UnDi01</f>
        <v>ysbu</v>
      </c>
      <c r="E38" s="191">
        <f t="shared" ref="E38:E43" si="25">IFERROR(AVERAGEIFS(F38:AI38,F38:AI38,"&gt;0"),0)</f>
        <v>0</v>
      </c>
      <c r="F38" s="349"/>
      <c r="G38" s="349"/>
      <c r="H38" s="349"/>
      <c r="I38" s="349"/>
      <c r="J38" s="349"/>
      <c r="K38" s="350"/>
      <c r="L38" s="349"/>
      <c r="M38" s="349"/>
      <c r="N38" s="349"/>
      <c r="O38" s="349"/>
      <c r="P38" s="350"/>
      <c r="Q38" s="349"/>
      <c r="R38" s="349"/>
      <c r="S38" s="349"/>
      <c r="T38" s="351"/>
      <c r="U38" s="350"/>
      <c r="V38" s="349"/>
      <c r="W38" s="349"/>
      <c r="X38" s="349"/>
      <c r="Y38" s="349"/>
      <c r="Z38" s="350"/>
      <c r="AA38" s="349"/>
      <c r="AB38" s="349"/>
      <c r="AC38" s="349"/>
      <c r="AD38" s="349"/>
      <c r="AE38" s="350"/>
      <c r="AF38" s="349"/>
      <c r="AG38" s="349"/>
      <c r="AH38" s="349"/>
      <c r="AI38" s="351"/>
      <c r="AJ38" s="75"/>
      <c r="AK38" s="47" t="str">
        <f>UDs!H35</f>
        <v>X</v>
      </c>
      <c r="AL38" s="15">
        <f>UDs!I35</f>
        <v>0</v>
      </c>
      <c r="AM38" s="48">
        <f>UDs!J35</f>
        <v>0</v>
      </c>
      <c r="AN38" s="15">
        <f>UDs!K35</f>
        <v>0</v>
      </c>
      <c r="AO38" s="15">
        <f>UDs!L35</f>
        <v>0</v>
      </c>
      <c r="AP38" s="48">
        <f>UDs!M35</f>
        <v>0</v>
      </c>
      <c r="AQ38" s="15">
        <f>UDs!N35</f>
        <v>0</v>
      </c>
      <c r="AR38" s="15">
        <f>UDs!O35</f>
        <v>0</v>
      </c>
      <c r="AS38" s="48">
        <f>UDs!P35</f>
        <v>0</v>
      </c>
      <c r="AT38" s="15">
        <f>UDs!Q35</f>
        <v>0</v>
      </c>
      <c r="AU38" s="15">
        <f>UDs!R35</f>
        <v>0</v>
      </c>
      <c r="AV38" s="48">
        <f>UDs!S35</f>
        <v>0</v>
      </c>
      <c r="AX38" s="2">
        <f t="shared" ref="AX38:AX57" si="26">IF(AND(FechaInicio1Tri&lt;=$B38, FechaFin1Tri&gt;=$B38),100%,0%)</f>
        <v>1</v>
      </c>
      <c r="AY38" s="2">
        <f t="shared" ref="AY38:AY57" si="27">IF(AND(FechaInicio2Tri&lt;=$B38, FechaFin2Tri&gt;=$B38),100%,0%)</f>
        <v>0</v>
      </c>
      <c r="AZ38" s="2">
        <f t="shared" ref="AZ38:AZ57" si="28">IF(AND(FechaInicio3Tri&lt;=$B38, FechaFin3Tri&gt;=$B38),100%,0%)</f>
        <v>0</v>
      </c>
      <c r="BA38" s="204"/>
    </row>
    <row r="39" spans="1:53" s="13" customFormat="1" ht="21.6" customHeight="1" x14ac:dyDescent="0.35">
      <c r="A39" s="204"/>
      <c r="B39" s="96">
        <f>UDs!F36</f>
        <v>45967</v>
      </c>
      <c r="C39" s="207" t="str">
        <f>Sgmt!B10</f>
        <v>UD02</v>
      </c>
      <c r="D39" s="86" t="str">
        <f>UnDi02</f>
        <v xml:space="preserve">sdfdfasdfdsa </v>
      </c>
      <c r="E39" s="192">
        <f t="shared" si="25"/>
        <v>0</v>
      </c>
      <c r="F39" s="352"/>
      <c r="G39" s="352"/>
      <c r="H39" s="352"/>
      <c r="I39" s="352"/>
      <c r="J39" s="352"/>
      <c r="K39" s="353"/>
      <c r="L39" s="352"/>
      <c r="M39" s="352"/>
      <c r="N39" s="352"/>
      <c r="O39" s="352"/>
      <c r="P39" s="353"/>
      <c r="Q39" s="352"/>
      <c r="R39" s="352"/>
      <c r="S39" s="352"/>
      <c r="T39" s="354"/>
      <c r="U39" s="353"/>
      <c r="V39" s="352"/>
      <c r="W39" s="352"/>
      <c r="X39" s="352"/>
      <c r="Y39" s="352"/>
      <c r="Z39" s="353"/>
      <c r="AA39" s="352"/>
      <c r="AB39" s="352"/>
      <c r="AC39" s="352"/>
      <c r="AD39" s="352"/>
      <c r="AE39" s="353"/>
      <c r="AF39" s="352"/>
      <c r="AG39" s="352"/>
      <c r="AH39" s="352"/>
      <c r="AI39" s="354"/>
      <c r="AJ39" s="75"/>
      <c r="AK39" s="49">
        <f>UDs!H36</f>
        <v>0</v>
      </c>
      <c r="AL39" s="16" t="str">
        <f>UDs!I36</f>
        <v>X</v>
      </c>
      <c r="AM39" s="50" t="str">
        <f>UDs!J36</f>
        <v>X</v>
      </c>
      <c r="AN39" s="16">
        <f>UDs!K36</f>
        <v>0</v>
      </c>
      <c r="AO39" s="16">
        <f>UDs!L36</f>
        <v>0</v>
      </c>
      <c r="AP39" s="50">
        <f>UDs!M36</f>
        <v>0</v>
      </c>
      <c r="AQ39" s="16">
        <f>UDs!N36</f>
        <v>0</v>
      </c>
      <c r="AR39" s="16">
        <f>UDs!O36</f>
        <v>0</v>
      </c>
      <c r="AS39" s="50">
        <f>UDs!P36</f>
        <v>0</v>
      </c>
      <c r="AT39" s="16">
        <f>UDs!Q36</f>
        <v>0</v>
      </c>
      <c r="AU39" s="16">
        <f>UDs!R36</f>
        <v>0</v>
      </c>
      <c r="AV39" s="50">
        <f>UDs!S36</f>
        <v>0</v>
      </c>
      <c r="AX39" s="3">
        <f t="shared" si="26"/>
        <v>1</v>
      </c>
      <c r="AY39" s="3">
        <f t="shared" si="27"/>
        <v>0</v>
      </c>
      <c r="AZ39" s="3">
        <f t="shared" si="28"/>
        <v>0</v>
      </c>
      <c r="BA39" s="204"/>
    </row>
    <row r="40" spans="1:53" s="13" customFormat="1" ht="21.6" customHeight="1" x14ac:dyDescent="0.35">
      <c r="A40" s="204"/>
      <c r="B40" s="96">
        <f>UDs!F37</f>
        <v>46048</v>
      </c>
      <c r="C40" s="206" t="str">
        <f>Sgmt!B11</f>
        <v/>
      </c>
      <c r="D40" s="33">
        <f>UnDi03</f>
        <v>0</v>
      </c>
      <c r="E40" s="191">
        <f t="shared" si="25"/>
        <v>0</v>
      </c>
      <c r="F40" s="349"/>
      <c r="G40" s="349"/>
      <c r="H40" s="349"/>
      <c r="I40" s="349"/>
      <c r="J40" s="349"/>
      <c r="K40" s="350"/>
      <c r="L40" s="349"/>
      <c r="M40" s="349"/>
      <c r="N40" s="349"/>
      <c r="O40" s="349"/>
      <c r="P40" s="350"/>
      <c r="Q40" s="349"/>
      <c r="R40" s="349"/>
      <c r="S40" s="349"/>
      <c r="T40" s="351"/>
      <c r="U40" s="350"/>
      <c r="V40" s="349"/>
      <c r="W40" s="349"/>
      <c r="X40" s="349"/>
      <c r="Y40" s="349"/>
      <c r="Z40" s="350"/>
      <c r="AA40" s="349"/>
      <c r="AB40" s="349"/>
      <c r="AC40" s="349"/>
      <c r="AD40" s="349"/>
      <c r="AE40" s="350"/>
      <c r="AF40" s="349"/>
      <c r="AG40" s="349"/>
      <c r="AH40" s="349"/>
      <c r="AI40" s="351"/>
      <c r="AJ40" s="75"/>
      <c r="AK40" s="47">
        <f>UDs!H37</f>
        <v>0</v>
      </c>
      <c r="AL40" s="15">
        <f>UDs!I37</f>
        <v>0</v>
      </c>
      <c r="AM40" s="48" t="str">
        <f>UDs!J37</f>
        <v>X</v>
      </c>
      <c r="AN40" s="15">
        <f>UDs!K37</f>
        <v>0</v>
      </c>
      <c r="AO40" s="15">
        <f>UDs!L37</f>
        <v>0</v>
      </c>
      <c r="AP40" s="48">
        <f>UDs!M37</f>
        <v>0</v>
      </c>
      <c r="AQ40" s="15">
        <f>UDs!N37</f>
        <v>0</v>
      </c>
      <c r="AR40" s="15">
        <f>UDs!O37</f>
        <v>0</v>
      </c>
      <c r="AS40" s="48">
        <f>UDs!P37</f>
        <v>0</v>
      </c>
      <c r="AT40" s="15">
        <f>UDs!Q37</f>
        <v>0</v>
      </c>
      <c r="AU40" s="15">
        <f>UDs!R37</f>
        <v>0</v>
      </c>
      <c r="AV40" s="48">
        <f>UDs!S37</f>
        <v>0</v>
      </c>
      <c r="AX40" s="2">
        <f t="shared" si="26"/>
        <v>0</v>
      </c>
      <c r="AY40" s="2">
        <f t="shared" si="27"/>
        <v>1</v>
      </c>
      <c r="AZ40" s="2">
        <f t="shared" si="28"/>
        <v>0</v>
      </c>
      <c r="BA40" s="204"/>
    </row>
    <row r="41" spans="1:53" s="13" customFormat="1" ht="21.6" customHeight="1" x14ac:dyDescent="0.35">
      <c r="A41" s="204"/>
      <c r="B41" s="96">
        <f>UDs!F38</f>
        <v>46048</v>
      </c>
      <c r="C41" s="206" t="str">
        <f>Sgmt!B12</f>
        <v/>
      </c>
      <c r="D41" s="33">
        <f>UnDi04</f>
        <v>0</v>
      </c>
      <c r="E41" s="191">
        <f t="shared" si="25"/>
        <v>0</v>
      </c>
      <c r="F41" s="349"/>
      <c r="G41" s="349"/>
      <c r="H41" s="349"/>
      <c r="I41" s="349"/>
      <c r="J41" s="349"/>
      <c r="K41" s="350"/>
      <c r="L41" s="349"/>
      <c r="M41" s="349"/>
      <c r="N41" s="349"/>
      <c r="O41" s="349"/>
      <c r="P41" s="350"/>
      <c r="Q41" s="349"/>
      <c r="R41" s="349"/>
      <c r="S41" s="349"/>
      <c r="T41" s="351"/>
      <c r="U41" s="350"/>
      <c r="V41" s="349"/>
      <c r="W41" s="349"/>
      <c r="X41" s="349"/>
      <c r="Y41" s="349"/>
      <c r="Z41" s="350"/>
      <c r="AA41" s="349"/>
      <c r="AB41" s="349"/>
      <c r="AC41" s="349"/>
      <c r="AD41" s="349"/>
      <c r="AE41" s="350"/>
      <c r="AF41" s="349"/>
      <c r="AG41" s="349"/>
      <c r="AH41" s="349"/>
      <c r="AI41" s="351"/>
      <c r="AJ41" s="75"/>
      <c r="AK41" s="47">
        <f>UDs!H38</f>
        <v>0</v>
      </c>
      <c r="AL41" s="15">
        <f>UDs!I38</f>
        <v>0</v>
      </c>
      <c r="AM41" s="48">
        <f>UDs!J38</f>
        <v>0</v>
      </c>
      <c r="AN41" s="15" t="str">
        <f>UDs!K38</f>
        <v>X</v>
      </c>
      <c r="AO41" s="15">
        <f>UDs!L38</f>
        <v>0</v>
      </c>
      <c r="AP41" s="48">
        <f>UDs!M38</f>
        <v>0</v>
      </c>
      <c r="AQ41" s="15">
        <f>UDs!N38</f>
        <v>0</v>
      </c>
      <c r="AR41" s="15">
        <f>UDs!O38</f>
        <v>0</v>
      </c>
      <c r="AS41" s="48">
        <f>UDs!P38</f>
        <v>0</v>
      </c>
      <c r="AT41" s="15">
        <f>UDs!Q38</f>
        <v>0</v>
      </c>
      <c r="AU41" s="15">
        <f>UDs!R38</f>
        <v>0</v>
      </c>
      <c r="AV41" s="48">
        <f>UDs!S38</f>
        <v>0</v>
      </c>
      <c r="AX41" s="2">
        <f t="shared" si="26"/>
        <v>0</v>
      </c>
      <c r="AY41" s="2">
        <f t="shared" si="27"/>
        <v>1</v>
      </c>
      <c r="AZ41" s="2">
        <f t="shared" si="28"/>
        <v>0</v>
      </c>
      <c r="BA41" s="204"/>
    </row>
    <row r="42" spans="1:53" s="13" customFormat="1" ht="21.6" customHeight="1" x14ac:dyDescent="0.35">
      <c r="A42" s="204"/>
      <c r="B42" s="96">
        <f>UDs!F39</f>
        <v>46048</v>
      </c>
      <c r="C42" s="207" t="str">
        <f>Sgmt!B13</f>
        <v/>
      </c>
      <c r="D42" s="86">
        <f>UnDi05</f>
        <v>0</v>
      </c>
      <c r="E42" s="192">
        <f t="shared" si="25"/>
        <v>0</v>
      </c>
      <c r="F42" s="352"/>
      <c r="G42" s="352"/>
      <c r="H42" s="352"/>
      <c r="I42" s="352"/>
      <c r="J42" s="352"/>
      <c r="K42" s="353"/>
      <c r="L42" s="352"/>
      <c r="M42" s="352"/>
      <c r="N42" s="352"/>
      <c r="O42" s="352"/>
      <c r="P42" s="353"/>
      <c r="Q42" s="352"/>
      <c r="R42" s="352"/>
      <c r="S42" s="352"/>
      <c r="T42" s="354"/>
      <c r="U42" s="353"/>
      <c r="V42" s="352"/>
      <c r="W42" s="352"/>
      <c r="X42" s="352"/>
      <c r="Y42" s="352"/>
      <c r="Z42" s="353"/>
      <c r="AA42" s="352"/>
      <c r="AB42" s="352"/>
      <c r="AC42" s="352"/>
      <c r="AD42" s="352"/>
      <c r="AE42" s="353"/>
      <c r="AF42" s="352"/>
      <c r="AG42" s="352"/>
      <c r="AH42" s="352"/>
      <c r="AI42" s="354"/>
      <c r="AJ42" s="75"/>
      <c r="AK42" s="49">
        <f>UDs!H39</f>
        <v>0</v>
      </c>
      <c r="AL42" s="16">
        <f>UDs!I39</f>
        <v>0</v>
      </c>
      <c r="AM42" s="50">
        <f>UDs!J39</f>
        <v>0</v>
      </c>
      <c r="AN42" s="16">
        <f>UDs!K39</f>
        <v>0</v>
      </c>
      <c r="AO42" s="16" t="str">
        <f>UDs!L39</f>
        <v>X</v>
      </c>
      <c r="AP42" s="50">
        <f>UDs!M39</f>
        <v>0</v>
      </c>
      <c r="AQ42" s="16">
        <f>UDs!N39</f>
        <v>0</v>
      </c>
      <c r="AR42" s="16">
        <f>UDs!O39</f>
        <v>0</v>
      </c>
      <c r="AS42" s="50">
        <f>UDs!P39</f>
        <v>0</v>
      </c>
      <c r="AT42" s="16">
        <f>UDs!Q39</f>
        <v>0</v>
      </c>
      <c r="AU42" s="16">
        <f>UDs!R39</f>
        <v>0</v>
      </c>
      <c r="AV42" s="50">
        <f>UDs!S39</f>
        <v>0</v>
      </c>
      <c r="AX42" s="3">
        <f t="shared" si="26"/>
        <v>0</v>
      </c>
      <c r="AY42" s="3">
        <f t="shared" si="27"/>
        <v>1</v>
      </c>
      <c r="AZ42" s="3">
        <f t="shared" si="28"/>
        <v>0</v>
      </c>
      <c r="BA42" s="204"/>
    </row>
    <row r="43" spans="1:53" s="13" customFormat="1" ht="21.6" customHeight="1" x14ac:dyDescent="0.35">
      <c r="A43" s="204"/>
      <c r="B43" s="96">
        <f>UDs!F40</f>
        <v>46048</v>
      </c>
      <c r="C43" s="206" t="str">
        <f>Sgmt!B14</f>
        <v/>
      </c>
      <c r="D43" s="33">
        <f>UnDi06</f>
        <v>0</v>
      </c>
      <c r="E43" s="191">
        <f t="shared" si="25"/>
        <v>0</v>
      </c>
      <c r="F43" s="349"/>
      <c r="G43" s="349"/>
      <c r="H43" s="349"/>
      <c r="I43" s="349"/>
      <c r="J43" s="349"/>
      <c r="K43" s="350"/>
      <c r="L43" s="349"/>
      <c r="M43" s="349"/>
      <c r="N43" s="349"/>
      <c r="O43" s="349"/>
      <c r="P43" s="350"/>
      <c r="Q43" s="349"/>
      <c r="R43" s="349"/>
      <c r="S43" s="349"/>
      <c r="T43" s="351"/>
      <c r="U43" s="350"/>
      <c r="V43" s="349"/>
      <c r="W43" s="349"/>
      <c r="X43" s="349"/>
      <c r="Y43" s="349"/>
      <c r="Z43" s="350"/>
      <c r="AA43" s="349"/>
      <c r="AB43" s="349"/>
      <c r="AC43" s="349"/>
      <c r="AD43" s="349"/>
      <c r="AE43" s="350"/>
      <c r="AF43" s="349"/>
      <c r="AG43" s="349"/>
      <c r="AH43" s="349"/>
      <c r="AI43" s="351"/>
      <c r="AJ43" s="75"/>
      <c r="AK43" s="47">
        <f>UDs!H40</f>
        <v>0</v>
      </c>
      <c r="AL43" s="15">
        <f>UDs!I40</f>
        <v>0</v>
      </c>
      <c r="AM43" s="48">
        <f>UDs!J40</f>
        <v>0</v>
      </c>
      <c r="AN43" s="15">
        <f>UDs!K40</f>
        <v>0</v>
      </c>
      <c r="AO43" s="15">
        <f>UDs!L40</f>
        <v>0</v>
      </c>
      <c r="AP43" s="48" t="str">
        <f>UDs!M40</f>
        <v>X</v>
      </c>
      <c r="AQ43" s="15">
        <f>UDs!N40</f>
        <v>0</v>
      </c>
      <c r="AR43" s="15">
        <f>UDs!O40</f>
        <v>0</v>
      </c>
      <c r="AS43" s="48">
        <f>UDs!P40</f>
        <v>0</v>
      </c>
      <c r="AT43" s="15">
        <f>UDs!Q40</f>
        <v>0</v>
      </c>
      <c r="AU43" s="15">
        <f>UDs!R40</f>
        <v>0</v>
      </c>
      <c r="AV43" s="48">
        <f>UDs!S40</f>
        <v>0</v>
      </c>
      <c r="AX43" s="2">
        <f t="shared" si="26"/>
        <v>0</v>
      </c>
      <c r="AY43" s="2">
        <f t="shared" si="27"/>
        <v>1</v>
      </c>
      <c r="AZ43" s="2">
        <f t="shared" si="28"/>
        <v>0</v>
      </c>
      <c r="BA43" s="204"/>
    </row>
    <row r="44" spans="1:53" s="13" customFormat="1" ht="21.6" customHeight="1" x14ac:dyDescent="0.35">
      <c r="A44" s="204"/>
      <c r="B44" s="96" t="str">
        <f>UDs!F41</f>
        <v/>
      </c>
      <c r="C44" s="206" t="str">
        <f ca="1">Sgmt!B15</f>
        <v>NoOk</v>
      </c>
      <c r="D44" s="33">
        <f>UnDi07</f>
        <v>0</v>
      </c>
      <c r="E44" s="191">
        <f t="shared" ref="E44:E57" si="29">IFERROR(AVERAGEIFS(F44:AI44,F44:AI44,"&gt;0"),0)</f>
        <v>0</v>
      </c>
      <c r="F44" s="349"/>
      <c r="G44" s="349"/>
      <c r="H44" s="349"/>
      <c r="I44" s="349"/>
      <c r="J44" s="349"/>
      <c r="K44" s="350"/>
      <c r="L44" s="349"/>
      <c r="M44" s="349"/>
      <c r="N44" s="349"/>
      <c r="O44" s="349"/>
      <c r="P44" s="350"/>
      <c r="Q44" s="349"/>
      <c r="R44" s="349"/>
      <c r="S44" s="349"/>
      <c r="T44" s="351"/>
      <c r="U44" s="350"/>
      <c r="V44" s="349"/>
      <c r="W44" s="349"/>
      <c r="X44" s="349"/>
      <c r="Y44" s="349"/>
      <c r="Z44" s="350"/>
      <c r="AA44" s="349"/>
      <c r="AB44" s="349"/>
      <c r="AC44" s="349"/>
      <c r="AD44" s="349"/>
      <c r="AE44" s="350"/>
      <c r="AF44" s="349"/>
      <c r="AG44" s="349"/>
      <c r="AH44" s="349"/>
      <c r="AI44" s="351"/>
      <c r="AJ44" s="75"/>
      <c r="AK44" s="47">
        <f>UDs!H41</f>
        <v>0</v>
      </c>
      <c r="AL44" s="15">
        <f>UDs!I41</f>
        <v>0</v>
      </c>
      <c r="AM44" s="48">
        <f>UDs!J41</f>
        <v>0</v>
      </c>
      <c r="AN44" s="15">
        <f>UDs!K41</f>
        <v>0</v>
      </c>
      <c r="AO44" s="15">
        <f>UDs!L41</f>
        <v>0</v>
      </c>
      <c r="AP44" s="48">
        <f>UDs!M41</f>
        <v>0</v>
      </c>
      <c r="AQ44" s="15">
        <f>UDs!N41</f>
        <v>0</v>
      </c>
      <c r="AR44" s="15">
        <f>UDs!O41</f>
        <v>0</v>
      </c>
      <c r="AS44" s="48">
        <f>UDs!P41</f>
        <v>0</v>
      </c>
      <c r="AT44" s="15">
        <f>UDs!Q41</f>
        <v>0</v>
      </c>
      <c r="AU44" s="15">
        <f>UDs!R41</f>
        <v>0</v>
      </c>
      <c r="AV44" s="48">
        <f>UDs!S41</f>
        <v>0</v>
      </c>
      <c r="AX44" s="2">
        <f t="shared" si="26"/>
        <v>0</v>
      </c>
      <c r="AY44" s="2">
        <f t="shared" si="27"/>
        <v>0</v>
      </c>
      <c r="AZ44" s="2">
        <f t="shared" si="28"/>
        <v>0</v>
      </c>
      <c r="BA44" s="204"/>
    </row>
    <row r="45" spans="1:53" s="13" customFormat="1" ht="21.6" customHeight="1" x14ac:dyDescent="0.35">
      <c r="A45" s="204"/>
      <c r="B45" s="96" t="str">
        <f>UDs!F42</f>
        <v/>
      </c>
      <c r="C45" s="207">
        <f>Sgmt!B16</f>
        <v>0</v>
      </c>
      <c r="D45" s="86">
        <f>UnDi08</f>
        <v>0</v>
      </c>
      <c r="E45" s="192">
        <f t="shared" si="29"/>
        <v>0</v>
      </c>
      <c r="F45" s="352"/>
      <c r="G45" s="352"/>
      <c r="H45" s="352"/>
      <c r="I45" s="352"/>
      <c r="J45" s="352"/>
      <c r="K45" s="353"/>
      <c r="L45" s="352"/>
      <c r="M45" s="352"/>
      <c r="N45" s="352"/>
      <c r="O45" s="352"/>
      <c r="P45" s="353"/>
      <c r="Q45" s="352"/>
      <c r="R45" s="352"/>
      <c r="S45" s="352"/>
      <c r="T45" s="354"/>
      <c r="U45" s="353"/>
      <c r="V45" s="352"/>
      <c r="W45" s="352"/>
      <c r="X45" s="352"/>
      <c r="Y45" s="352"/>
      <c r="Z45" s="353"/>
      <c r="AA45" s="352"/>
      <c r="AB45" s="352"/>
      <c r="AC45" s="352"/>
      <c r="AD45" s="352"/>
      <c r="AE45" s="353"/>
      <c r="AF45" s="352"/>
      <c r="AG45" s="352"/>
      <c r="AH45" s="352"/>
      <c r="AI45" s="354"/>
      <c r="AJ45" s="75"/>
      <c r="AK45" s="49">
        <f>UDs!H42</f>
        <v>0</v>
      </c>
      <c r="AL45" s="16">
        <f>UDs!I42</f>
        <v>0</v>
      </c>
      <c r="AM45" s="50">
        <f>UDs!J42</f>
        <v>0</v>
      </c>
      <c r="AN45" s="16">
        <f>UDs!K42</f>
        <v>0</v>
      </c>
      <c r="AO45" s="16">
        <f>UDs!L42</f>
        <v>0</v>
      </c>
      <c r="AP45" s="50">
        <f>UDs!M42</f>
        <v>0</v>
      </c>
      <c r="AQ45" s="16">
        <f>UDs!N42</f>
        <v>0</v>
      </c>
      <c r="AR45" s="16">
        <f>UDs!O42</f>
        <v>0</v>
      </c>
      <c r="AS45" s="50">
        <f>UDs!P42</f>
        <v>0</v>
      </c>
      <c r="AT45" s="16">
        <f>UDs!Q42</f>
        <v>0</v>
      </c>
      <c r="AU45" s="16">
        <f>UDs!R42</f>
        <v>0</v>
      </c>
      <c r="AV45" s="50">
        <f>UDs!S42</f>
        <v>0</v>
      </c>
      <c r="AX45" s="3">
        <f t="shared" si="26"/>
        <v>0</v>
      </c>
      <c r="AY45" s="3">
        <f t="shared" si="27"/>
        <v>0</v>
      </c>
      <c r="AZ45" s="3">
        <f t="shared" si="28"/>
        <v>0</v>
      </c>
      <c r="BA45" s="204"/>
    </row>
    <row r="46" spans="1:53" s="13" customFormat="1" ht="21.6" customHeight="1" x14ac:dyDescent="0.35">
      <c r="A46" s="204"/>
      <c r="B46" s="96" t="str">
        <f>UDs!F43</f>
        <v/>
      </c>
      <c r="C46" s="206">
        <f>Sgmt!B17</f>
        <v>0</v>
      </c>
      <c r="D46" s="33">
        <f>UnDi09</f>
        <v>0</v>
      </c>
      <c r="E46" s="191">
        <f t="shared" si="29"/>
        <v>0</v>
      </c>
      <c r="F46" s="349"/>
      <c r="G46" s="349"/>
      <c r="H46" s="349"/>
      <c r="I46" s="349"/>
      <c r="J46" s="349"/>
      <c r="K46" s="350"/>
      <c r="L46" s="349"/>
      <c r="M46" s="349"/>
      <c r="N46" s="349"/>
      <c r="O46" s="349"/>
      <c r="P46" s="350"/>
      <c r="Q46" s="349"/>
      <c r="R46" s="349"/>
      <c r="S46" s="349"/>
      <c r="T46" s="351"/>
      <c r="U46" s="350"/>
      <c r="V46" s="349"/>
      <c r="W46" s="349"/>
      <c r="X46" s="349"/>
      <c r="Y46" s="349"/>
      <c r="Z46" s="350"/>
      <c r="AA46" s="349"/>
      <c r="AB46" s="349"/>
      <c r="AC46" s="349"/>
      <c r="AD46" s="349"/>
      <c r="AE46" s="350"/>
      <c r="AF46" s="349"/>
      <c r="AG46" s="349"/>
      <c r="AH46" s="349"/>
      <c r="AI46" s="351"/>
      <c r="AJ46" s="75"/>
      <c r="AK46" s="47">
        <f>UDs!H43</f>
        <v>0</v>
      </c>
      <c r="AL46" s="15">
        <f>UDs!I43</f>
        <v>0</v>
      </c>
      <c r="AM46" s="48">
        <f>UDs!J43</f>
        <v>0</v>
      </c>
      <c r="AN46" s="15">
        <f>UDs!K43</f>
        <v>0</v>
      </c>
      <c r="AO46" s="15">
        <f>UDs!L43</f>
        <v>0</v>
      </c>
      <c r="AP46" s="48">
        <f>UDs!M43</f>
        <v>0</v>
      </c>
      <c r="AQ46" s="15">
        <f>UDs!N43</f>
        <v>0</v>
      </c>
      <c r="AR46" s="15">
        <f>UDs!O43</f>
        <v>0</v>
      </c>
      <c r="AS46" s="48">
        <f>UDs!P43</f>
        <v>0</v>
      </c>
      <c r="AT46" s="15">
        <f>UDs!Q43</f>
        <v>0</v>
      </c>
      <c r="AU46" s="15">
        <f>UDs!R43</f>
        <v>0</v>
      </c>
      <c r="AV46" s="48">
        <f>UDs!S43</f>
        <v>0</v>
      </c>
      <c r="AX46" s="2">
        <f t="shared" si="26"/>
        <v>0</v>
      </c>
      <c r="AY46" s="2">
        <f t="shared" si="27"/>
        <v>0</v>
      </c>
      <c r="AZ46" s="2">
        <f t="shared" si="28"/>
        <v>0</v>
      </c>
      <c r="BA46" s="204"/>
    </row>
    <row r="47" spans="1:53" s="13" customFormat="1" ht="21.6" customHeight="1" x14ac:dyDescent="0.35">
      <c r="A47" s="204"/>
      <c r="B47" s="96" t="str">
        <f>UDs!F44</f>
        <v/>
      </c>
      <c r="C47" s="206">
        <f>Sgmt!B18</f>
        <v>0</v>
      </c>
      <c r="D47" s="33">
        <f>UnDi10</f>
        <v>0</v>
      </c>
      <c r="E47" s="191">
        <f t="shared" si="29"/>
        <v>0</v>
      </c>
      <c r="F47" s="349"/>
      <c r="G47" s="349"/>
      <c r="H47" s="349"/>
      <c r="I47" s="349"/>
      <c r="J47" s="349"/>
      <c r="K47" s="350"/>
      <c r="L47" s="349"/>
      <c r="M47" s="349"/>
      <c r="N47" s="349"/>
      <c r="O47" s="349"/>
      <c r="P47" s="350"/>
      <c r="Q47" s="349"/>
      <c r="R47" s="349"/>
      <c r="S47" s="349"/>
      <c r="T47" s="351"/>
      <c r="U47" s="350"/>
      <c r="V47" s="349"/>
      <c r="W47" s="349"/>
      <c r="X47" s="349"/>
      <c r="Y47" s="349"/>
      <c r="Z47" s="350"/>
      <c r="AA47" s="349"/>
      <c r="AB47" s="349"/>
      <c r="AC47" s="349"/>
      <c r="AD47" s="349"/>
      <c r="AE47" s="350"/>
      <c r="AF47" s="349"/>
      <c r="AG47" s="349"/>
      <c r="AH47" s="349"/>
      <c r="AI47" s="351"/>
      <c r="AJ47" s="75"/>
      <c r="AK47" s="47">
        <f>UDs!H44</f>
        <v>0</v>
      </c>
      <c r="AL47" s="15">
        <f>UDs!I44</f>
        <v>0</v>
      </c>
      <c r="AM47" s="48">
        <f>UDs!J44</f>
        <v>0</v>
      </c>
      <c r="AN47" s="15">
        <f>UDs!K44</f>
        <v>0</v>
      </c>
      <c r="AO47" s="15">
        <f>UDs!L44</f>
        <v>0</v>
      </c>
      <c r="AP47" s="48">
        <f>UDs!M44</f>
        <v>0</v>
      </c>
      <c r="AQ47" s="15">
        <f>UDs!N44</f>
        <v>0</v>
      </c>
      <c r="AR47" s="15">
        <f>UDs!O44</f>
        <v>0</v>
      </c>
      <c r="AS47" s="48">
        <f>UDs!P44</f>
        <v>0</v>
      </c>
      <c r="AT47" s="15">
        <f>UDs!Q44</f>
        <v>0</v>
      </c>
      <c r="AU47" s="15">
        <f>UDs!R44</f>
        <v>0</v>
      </c>
      <c r="AV47" s="48">
        <f>UDs!S44</f>
        <v>0</v>
      </c>
      <c r="AX47" s="2">
        <f t="shared" si="26"/>
        <v>0</v>
      </c>
      <c r="AY47" s="2">
        <f t="shared" si="27"/>
        <v>0</v>
      </c>
      <c r="AZ47" s="2">
        <f t="shared" si="28"/>
        <v>0</v>
      </c>
      <c r="BA47" s="204"/>
    </row>
    <row r="48" spans="1:53" s="13" customFormat="1" ht="21.6" customHeight="1" x14ac:dyDescent="0.35">
      <c r="A48" s="204"/>
      <c r="B48" s="96" t="str">
        <f>UDs!F45</f>
        <v/>
      </c>
      <c r="C48" s="207">
        <f>Sgmt!B19</f>
        <v>0</v>
      </c>
      <c r="D48" s="86">
        <f>UnDi11</f>
        <v>0</v>
      </c>
      <c r="E48" s="192">
        <f t="shared" si="29"/>
        <v>0</v>
      </c>
      <c r="F48" s="352"/>
      <c r="G48" s="352"/>
      <c r="H48" s="352"/>
      <c r="I48" s="352"/>
      <c r="J48" s="352"/>
      <c r="K48" s="353"/>
      <c r="L48" s="352"/>
      <c r="M48" s="352"/>
      <c r="N48" s="352"/>
      <c r="O48" s="352"/>
      <c r="P48" s="353"/>
      <c r="Q48" s="352"/>
      <c r="R48" s="352"/>
      <c r="S48" s="352"/>
      <c r="T48" s="354"/>
      <c r="U48" s="353"/>
      <c r="V48" s="352"/>
      <c r="W48" s="352"/>
      <c r="X48" s="352"/>
      <c r="Y48" s="352"/>
      <c r="Z48" s="353"/>
      <c r="AA48" s="352"/>
      <c r="AB48" s="352"/>
      <c r="AC48" s="352"/>
      <c r="AD48" s="352"/>
      <c r="AE48" s="353"/>
      <c r="AF48" s="352"/>
      <c r="AG48" s="352"/>
      <c r="AH48" s="352"/>
      <c r="AI48" s="354"/>
      <c r="AJ48" s="75"/>
      <c r="AK48" s="49">
        <f>UDs!H45</f>
        <v>0</v>
      </c>
      <c r="AL48" s="16">
        <f>UDs!I45</f>
        <v>0</v>
      </c>
      <c r="AM48" s="50">
        <f>UDs!J45</f>
        <v>0</v>
      </c>
      <c r="AN48" s="16">
        <f>UDs!K45</f>
        <v>0</v>
      </c>
      <c r="AO48" s="16">
        <f>UDs!L45</f>
        <v>0</v>
      </c>
      <c r="AP48" s="50">
        <f>UDs!M45</f>
        <v>0</v>
      </c>
      <c r="AQ48" s="16">
        <f>UDs!N45</f>
        <v>0</v>
      </c>
      <c r="AR48" s="16">
        <f>UDs!O45</f>
        <v>0</v>
      </c>
      <c r="AS48" s="50">
        <f>UDs!P45</f>
        <v>0</v>
      </c>
      <c r="AT48" s="16">
        <f>UDs!Q45</f>
        <v>0</v>
      </c>
      <c r="AU48" s="16">
        <f>UDs!R45</f>
        <v>0</v>
      </c>
      <c r="AV48" s="50">
        <f>UDs!S45</f>
        <v>0</v>
      </c>
      <c r="AX48" s="3">
        <f t="shared" si="26"/>
        <v>0</v>
      </c>
      <c r="AY48" s="3">
        <f t="shared" si="27"/>
        <v>0</v>
      </c>
      <c r="AZ48" s="3">
        <f t="shared" si="28"/>
        <v>0</v>
      </c>
      <c r="BA48" s="204"/>
    </row>
    <row r="49" spans="1:53" s="13" customFormat="1" ht="21.6" customHeight="1" x14ac:dyDescent="0.35">
      <c r="A49" s="204"/>
      <c r="B49" s="96" t="str">
        <f>UDs!F46</f>
        <v/>
      </c>
      <c r="C49" s="206">
        <f>Sgmt!B20</f>
        <v>0</v>
      </c>
      <c r="D49" s="33">
        <f>UnDi12</f>
        <v>0</v>
      </c>
      <c r="E49" s="191">
        <f t="shared" si="29"/>
        <v>0</v>
      </c>
      <c r="F49" s="349"/>
      <c r="G49" s="349"/>
      <c r="H49" s="349"/>
      <c r="I49" s="349"/>
      <c r="J49" s="349"/>
      <c r="K49" s="350"/>
      <c r="L49" s="349"/>
      <c r="M49" s="349"/>
      <c r="N49" s="349"/>
      <c r="O49" s="349"/>
      <c r="P49" s="350"/>
      <c r="Q49" s="349"/>
      <c r="R49" s="349"/>
      <c r="S49" s="349"/>
      <c r="T49" s="351"/>
      <c r="U49" s="350"/>
      <c r="V49" s="349"/>
      <c r="W49" s="349"/>
      <c r="X49" s="349"/>
      <c r="Y49" s="349"/>
      <c r="Z49" s="350"/>
      <c r="AA49" s="349"/>
      <c r="AB49" s="349"/>
      <c r="AC49" s="349"/>
      <c r="AD49" s="349"/>
      <c r="AE49" s="350"/>
      <c r="AF49" s="349"/>
      <c r="AG49" s="349"/>
      <c r="AH49" s="349"/>
      <c r="AI49" s="351"/>
      <c r="AJ49" s="75"/>
      <c r="AK49" s="47">
        <f>UDs!H46</f>
        <v>0</v>
      </c>
      <c r="AL49" s="15">
        <f>UDs!I46</f>
        <v>0</v>
      </c>
      <c r="AM49" s="48">
        <f>UDs!J46</f>
        <v>0</v>
      </c>
      <c r="AN49" s="15">
        <f>UDs!K46</f>
        <v>0</v>
      </c>
      <c r="AO49" s="15">
        <f>UDs!L46</f>
        <v>0</v>
      </c>
      <c r="AP49" s="48">
        <f>UDs!M46</f>
        <v>0</v>
      </c>
      <c r="AQ49" s="15">
        <f>UDs!N46</f>
        <v>0</v>
      </c>
      <c r="AR49" s="15">
        <f>UDs!O46</f>
        <v>0</v>
      </c>
      <c r="AS49" s="48">
        <f>UDs!P46</f>
        <v>0</v>
      </c>
      <c r="AT49" s="15">
        <f>UDs!Q46</f>
        <v>0</v>
      </c>
      <c r="AU49" s="15">
        <f>UDs!R46</f>
        <v>0</v>
      </c>
      <c r="AV49" s="48">
        <f>UDs!S46</f>
        <v>0</v>
      </c>
      <c r="AX49" s="2">
        <f t="shared" si="26"/>
        <v>0</v>
      </c>
      <c r="AY49" s="2">
        <f t="shared" si="27"/>
        <v>0</v>
      </c>
      <c r="AZ49" s="2">
        <f t="shared" si="28"/>
        <v>0</v>
      </c>
      <c r="BA49" s="204"/>
    </row>
    <row r="50" spans="1:53" s="13" customFormat="1" ht="21.6" customHeight="1" x14ac:dyDescent="0.35">
      <c r="A50" s="204"/>
      <c r="B50" s="96" t="str">
        <f>UDs!F47</f>
        <v/>
      </c>
      <c r="C50" s="206">
        <f>Sgmt!B21</f>
        <v>0</v>
      </c>
      <c r="D50" s="33">
        <f>UnDi13</f>
        <v>0</v>
      </c>
      <c r="E50" s="191">
        <f t="shared" si="29"/>
        <v>0</v>
      </c>
      <c r="F50" s="349"/>
      <c r="G50" s="349"/>
      <c r="H50" s="349"/>
      <c r="I50" s="349"/>
      <c r="J50" s="349"/>
      <c r="K50" s="350"/>
      <c r="L50" s="349"/>
      <c r="M50" s="349"/>
      <c r="N50" s="349"/>
      <c r="O50" s="349"/>
      <c r="P50" s="350"/>
      <c r="Q50" s="349"/>
      <c r="R50" s="349"/>
      <c r="S50" s="349"/>
      <c r="T50" s="351"/>
      <c r="U50" s="350"/>
      <c r="V50" s="349"/>
      <c r="W50" s="349"/>
      <c r="X50" s="349"/>
      <c r="Y50" s="349"/>
      <c r="Z50" s="350"/>
      <c r="AA50" s="349"/>
      <c r="AB50" s="349"/>
      <c r="AC50" s="349"/>
      <c r="AD50" s="349"/>
      <c r="AE50" s="350"/>
      <c r="AF50" s="349"/>
      <c r="AG50" s="349"/>
      <c r="AH50" s="349"/>
      <c r="AI50" s="351"/>
      <c r="AJ50" s="75"/>
      <c r="AK50" s="47">
        <f>UDs!H47</f>
        <v>0</v>
      </c>
      <c r="AL50" s="15">
        <f>UDs!I47</f>
        <v>0</v>
      </c>
      <c r="AM50" s="48">
        <f>UDs!J47</f>
        <v>0</v>
      </c>
      <c r="AN50" s="15">
        <f>UDs!K47</f>
        <v>0</v>
      </c>
      <c r="AO50" s="15">
        <f>UDs!L47</f>
        <v>0</v>
      </c>
      <c r="AP50" s="48">
        <f>UDs!M47</f>
        <v>0</v>
      </c>
      <c r="AQ50" s="15">
        <f>UDs!N47</f>
        <v>0</v>
      </c>
      <c r="AR50" s="15">
        <f>UDs!O47</f>
        <v>0</v>
      </c>
      <c r="AS50" s="48">
        <f>UDs!P47</f>
        <v>0</v>
      </c>
      <c r="AT50" s="15">
        <f>UDs!Q47</f>
        <v>0</v>
      </c>
      <c r="AU50" s="15">
        <f>UDs!R47</f>
        <v>0</v>
      </c>
      <c r="AV50" s="48">
        <f>UDs!S47</f>
        <v>0</v>
      </c>
      <c r="AX50" s="2">
        <f t="shared" si="26"/>
        <v>0</v>
      </c>
      <c r="AY50" s="2">
        <f t="shared" si="27"/>
        <v>0</v>
      </c>
      <c r="AZ50" s="2">
        <f t="shared" si="28"/>
        <v>0</v>
      </c>
      <c r="BA50" s="204"/>
    </row>
    <row r="51" spans="1:53" s="13" customFormat="1" ht="21.6" customHeight="1" x14ac:dyDescent="0.35">
      <c r="A51" s="204"/>
      <c r="B51" s="96" t="str">
        <f>UDs!F48</f>
        <v/>
      </c>
      <c r="C51" s="207">
        <f>Sgmt!B22</f>
        <v>0</v>
      </c>
      <c r="D51" s="86">
        <f>UnDi14</f>
        <v>0</v>
      </c>
      <c r="E51" s="192">
        <f t="shared" si="29"/>
        <v>0</v>
      </c>
      <c r="F51" s="352"/>
      <c r="G51" s="352"/>
      <c r="H51" s="352"/>
      <c r="I51" s="352"/>
      <c r="J51" s="352"/>
      <c r="K51" s="353"/>
      <c r="L51" s="352"/>
      <c r="M51" s="352"/>
      <c r="N51" s="352"/>
      <c r="O51" s="352"/>
      <c r="P51" s="353"/>
      <c r="Q51" s="352"/>
      <c r="R51" s="352"/>
      <c r="S51" s="352"/>
      <c r="T51" s="354"/>
      <c r="U51" s="353"/>
      <c r="V51" s="352"/>
      <c r="W51" s="352"/>
      <c r="X51" s="352"/>
      <c r="Y51" s="352"/>
      <c r="Z51" s="353"/>
      <c r="AA51" s="352"/>
      <c r="AB51" s="352"/>
      <c r="AC51" s="352"/>
      <c r="AD51" s="352"/>
      <c r="AE51" s="353"/>
      <c r="AF51" s="352"/>
      <c r="AG51" s="352"/>
      <c r="AH51" s="352"/>
      <c r="AI51" s="354"/>
      <c r="AJ51" s="75"/>
      <c r="AK51" s="49">
        <f>UDs!H48</f>
        <v>0</v>
      </c>
      <c r="AL51" s="16">
        <f>UDs!I48</f>
        <v>0</v>
      </c>
      <c r="AM51" s="50">
        <f>UDs!J48</f>
        <v>0</v>
      </c>
      <c r="AN51" s="16">
        <f>UDs!K48</f>
        <v>0</v>
      </c>
      <c r="AO51" s="16">
        <f>UDs!L48</f>
        <v>0</v>
      </c>
      <c r="AP51" s="50">
        <f>UDs!M48</f>
        <v>0</v>
      </c>
      <c r="AQ51" s="16">
        <f>UDs!N48</f>
        <v>0</v>
      </c>
      <c r="AR51" s="16">
        <f>UDs!O48</f>
        <v>0</v>
      </c>
      <c r="AS51" s="50">
        <f>UDs!P48</f>
        <v>0</v>
      </c>
      <c r="AT51" s="16">
        <f>UDs!Q48</f>
        <v>0</v>
      </c>
      <c r="AU51" s="16">
        <f>UDs!R48</f>
        <v>0</v>
      </c>
      <c r="AV51" s="50">
        <f>UDs!S48</f>
        <v>0</v>
      </c>
      <c r="AX51" s="3">
        <f t="shared" si="26"/>
        <v>0</v>
      </c>
      <c r="AY51" s="3">
        <f t="shared" si="27"/>
        <v>0</v>
      </c>
      <c r="AZ51" s="3">
        <f t="shared" si="28"/>
        <v>0</v>
      </c>
      <c r="BA51" s="204"/>
    </row>
    <row r="52" spans="1:53" s="13" customFormat="1" ht="21.6" customHeight="1" x14ac:dyDescent="0.35">
      <c r="A52" s="204"/>
      <c r="B52" s="96" t="str">
        <f>UDs!F49</f>
        <v/>
      </c>
      <c r="C52" s="206">
        <f>Sgmt!B23</f>
        <v>0</v>
      </c>
      <c r="D52" s="33">
        <f>UnDi15</f>
        <v>0</v>
      </c>
      <c r="E52" s="191">
        <f t="shared" si="29"/>
        <v>0</v>
      </c>
      <c r="F52" s="349"/>
      <c r="G52" s="349"/>
      <c r="H52" s="349"/>
      <c r="I52" s="349"/>
      <c r="J52" s="349"/>
      <c r="K52" s="350"/>
      <c r="L52" s="349"/>
      <c r="M52" s="349"/>
      <c r="N52" s="349"/>
      <c r="O52" s="349"/>
      <c r="P52" s="350"/>
      <c r="Q52" s="349"/>
      <c r="R52" s="349"/>
      <c r="S52" s="349"/>
      <c r="T52" s="351"/>
      <c r="U52" s="350"/>
      <c r="V52" s="349"/>
      <c r="W52" s="349"/>
      <c r="X52" s="349"/>
      <c r="Y52" s="349"/>
      <c r="Z52" s="350"/>
      <c r="AA52" s="349"/>
      <c r="AB52" s="349"/>
      <c r="AC52" s="349"/>
      <c r="AD52" s="349"/>
      <c r="AE52" s="350"/>
      <c r="AF52" s="349"/>
      <c r="AG52" s="349"/>
      <c r="AH52" s="349"/>
      <c r="AI52" s="351"/>
      <c r="AJ52" s="75"/>
      <c r="AK52" s="47">
        <f>UDs!H49</f>
        <v>0</v>
      </c>
      <c r="AL52" s="15">
        <f>UDs!I49</f>
        <v>0</v>
      </c>
      <c r="AM52" s="48">
        <f>UDs!J49</f>
        <v>0</v>
      </c>
      <c r="AN52" s="15">
        <f>UDs!K49</f>
        <v>0</v>
      </c>
      <c r="AO52" s="15">
        <f>UDs!L49</f>
        <v>0</v>
      </c>
      <c r="AP52" s="48">
        <f>UDs!M49</f>
        <v>0</v>
      </c>
      <c r="AQ52" s="15">
        <f>UDs!N49</f>
        <v>0</v>
      </c>
      <c r="AR52" s="15">
        <f>UDs!O49</f>
        <v>0</v>
      </c>
      <c r="AS52" s="48">
        <f>UDs!P49</f>
        <v>0</v>
      </c>
      <c r="AT52" s="15">
        <f>UDs!Q49</f>
        <v>0</v>
      </c>
      <c r="AU52" s="15">
        <f>UDs!R49</f>
        <v>0</v>
      </c>
      <c r="AV52" s="48">
        <f>UDs!S49</f>
        <v>0</v>
      </c>
      <c r="AX52" s="2">
        <f t="shared" si="26"/>
        <v>0</v>
      </c>
      <c r="AY52" s="2">
        <f t="shared" si="27"/>
        <v>0</v>
      </c>
      <c r="AZ52" s="2">
        <f t="shared" si="28"/>
        <v>0</v>
      </c>
      <c r="BA52" s="204"/>
    </row>
    <row r="53" spans="1:53" s="13" customFormat="1" ht="21.6" customHeight="1" x14ac:dyDescent="0.35">
      <c r="A53" s="204"/>
      <c r="B53" s="96" t="str">
        <f>UDs!F50</f>
        <v/>
      </c>
      <c r="C53" s="206">
        <f>Sgmt!B24</f>
        <v>0</v>
      </c>
      <c r="D53" s="33">
        <f>UnDi16</f>
        <v>0</v>
      </c>
      <c r="E53" s="191">
        <f t="shared" si="29"/>
        <v>0</v>
      </c>
      <c r="F53" s="349"/>
      <c r="G53" s="349"/>
      <c r="H53" s="349"/>
      <c r="I53" s="349"/>
      <c r="J53" s="349"/>
      <c r="K53" s="350"/>
      <c r="L53" s="349"/>
      <c r="M53" s="349"/>
      <c r="N53" s="349"/>
      <c r="O53" s="349"/>
      <c r="P53" s="350"/>
      <c r="Q53" s="349"/>
      <c r="R53" s="349"/>
      <c r="S53" s="349"/>
      <c r="T53" s="351"/>
      <c r="U53" s="350"/>
      <c r="V53" s="349"/>
      <c r="W53" s="349"/>
      <c r="X53" s="349"/>
      <c r="Y53" s="349"/>
      <c r="Z53" s="350"/>
      <c r="AA53" s="349"/>
      <c r="AB53" s="349"/>
      <c r="AC53" s="349"/>
      <c r="AD53" s="349"/>
      <c r="AE53" s="350"/>
      <c r="AF53" s="349"/>
      <c r="AG53" s="349"/>
      <c r="AH53" s="349"/>
      <c r="AI53" s="351"/>
      <c r="AJ53" s="75"/>
      <c r="AK53" s="47">
        <f>UDs!H50</f>
        <v>0</v>
      </c>
      <c r="AL53" s="15">
        <f>UDs!I50</f>
        <v>0</v>
      </c>
      <c r="AM53" s="48">
        <f>UDs!J50</f>
        <v>0</v>
      </c>
      <c r="AN53" s="15">
        <f>UDs!K50</f>
        <v>0</v>
      </c>
      <c r="AO53" s="15">
        <f>UDs!L50</f>
        <v>0</v>
      </c>
      <c r="AP53" s="48">
        <f>UDs!M50</f>
        <v>0</v>
      </c>
      <c r="AQ53" s="15">
        <f>UDs!N50</f>
        <v>0</v>
      </c>
      <c r="AR53" s="15">
        <f>UDs!O50</f>
        <v>0</v>
      </c>
      <c r="AS53" s="48">
        <f>UDs!P50</f>
        <v>0</v>
      </c>
      <c r="AT53" s="15">
        <f>UDs!Q50</f>
        <v>0</v>
      </c>
      <c r="AU53" s="15">
        <f>UDs!R50</f>
        <v>0</v>
      </c>
      <c r="AV53" s="48">
        <f>UDs!S50</f>
        <v>0</v>
      </c>
      <c r="AX53" s="2">
        <f t="shared" si="26"/>
        <v>0</v>
      </c>
      <c r="AY53" s="2">
        <f t="shared" si="27"/>
        <v>0</v>
      </c>
      <c r="AZ53" s="2">
        <f t="shared" si="28"/>
        <v>0</v>
      </c>
      <c r="BA53" s="204"/>
    </row>
    <row r="54" spans="1:53" s="13" customFormat="1" ht="21.6" customHeight="1" x14ac:dyDescent="0.35">
      <c r="A54" s="204"/>
      <c r="B54" s="96" t="str">
        <f>UDs!F51</f>
        <v/>
      </c>
      <c r="C54" s="207">
        <f>Sgmt!B25</f>
        <v>0</v>
      </c>
      <c r="D54" s="86">
        <f>UnDi17</f>
        <v>0</v>
      </c>
      <c r="E54" s="192">
        <f t="shared" si="29"/>
        <v>0</v>
      </c>
      <c r="F54" s="352"/>
      <c r="G54" s="352"/>
      <c r="H54" s="352"/>
      <c r="I54" s="352"/>
      <c r="J54" s="352"/>
      <c r="K54" s="353"/>
      <c r="L54" s="352"/>
      <c r="M54" s="352"/>
      <c r="N54" s="352"/>
      <c r="O54" s="352"/>
      <c r="P54" s="353"/>
      <c r="Q54" s="352"/>
      <c r="R54" s="352"/>
      <c r="S54" s="352"/>
      <c r="T54" s="354"/>
      <c r="U54" s="353"/>
      <c r="V54" s="352"/>
      <c r="W54" s="352"/>
      <c r="X54" s="352"/>
      <c r="Y54" s="352"/>
      <c r="Z54" s="353"/>
      <c r="AA54" s="352"/>
      <c r="AB54" s="352"/>
      <c r="AC54" s="352"/>
      <c r="AD54" s="352"/>
      <c r="AE54" s="353"/>
      <c r="AF54" s="352"/>
      <c r="AG54" s="352"/>
      <c r="AH54" s="352"/>
      <c r="AI54" s="354"/>
      <c r="AJ54" s="75"/>
      <c r="AK54" s="49">
        <f>UDs!H51</f>
        <v>0</v>
      </c>
      <c r="AL54" s="16">
        <f>UDs!I51</f>
        <v>0</v>
      </c>
      <c r="AM54" s="50">
        <f>UDs!J51</f>
        <v>0</v>
      </c>
      <c r="AN54" s="16">
        <f>UDs!K51</f>
        <v>0</v>
      </c>
      <c r="AO54" s="16">
        <f>UDs!L51</f>
        <v>0</v>
      </c>
      <c r="AP54" s="50">
        <f>UDs!M51</f>
        <v>0</v>
      </c>
      <c r="AQ54" s="16">
        <f>UDs!N51</f>
        <v>0</v>
      </c>
      <c r="AR54" s="16">
        <f>UDs!O51</f>
        <v>0</v>
      </c>
      <c r="AS54" s="50">
        <f>UDs!P51</f>
        <v>0</v>
      </c>
      <c r="AT54" s="16">
        <f>UDs!Q51</f>
        <v>0</v>
      </c>
      <c r="AU54" s="16">
        <f>UDs!R51</f>
        <v>0</v>
      </c>
      <c r="AV54" s="50">
        <f>UDs!S51</f>
        <v>0</v>
      </c>
      <c r="AX54" s="3">
        <f t="shared" si="26"/>
        <v>0</v>
      </c>
      <c r="AY54" s="3">
        <f t="shared" si="27"/>
        <v>0</v>
      </c>
      <c r="AZ54" s="3">
        <f t="shared" si="28"/>
        <v>0</v>
      </c>
      <c r="BA54" s="204"/>
    </row>
    <row r="55" spans="1:53" s="13" customFormat="1" ht="21.6" customHeight="1" x14ac:dyDescent="0.35">
      <c r="A55" s="204"/>
      <c r="B55" s="96" t="str">
        <f>UDs!F52</f>
        <v/>
      </c>
      <c r="C55" s="206">
        <f>Sgmt!B26</f>
        <v>0</v>
      </c>
      <c r="D55" s="33">
        <f>UnDi18</f>
        <v>0</v>
      </c>
      <c r="E55" s="191">
        <f t="shared" si="29"/>
        <v>0</v>
      </c>
      <c r="F55" s="349"/>
      <c r="G55" s="349"/>
      <c r="H55" s="349"/>
      <c r="I55" s="349"/>
      <c r="J55" s="349"/>
      <c r="K55" s="350"/>
      <c r="L55" s="349"/>
      <c r="M55" s="349"/>
      <c r="N55" s="349"/>
      <c r="O55" s="349"/>
      <c r="P55" s="350"/>
      <c r="Q55" s="349"/>
      <c r="R55" s="349"/>
      <c r="S55" s="349"/>
      <c r="T55" s="351"/>
      <c r="U55" s="350"/>
      <c r="V55" s="349"/>
      <c r="W55" s="349"/>
      <c r="X55" s="349"/>
      <c r="Y55" s="349"/>
      <c r="Z55" s="350"/>
      <c r="AA55" s="349"/>
      <c r="AB55" s="349"/>
      <c r="AC55" s="349"/>
      <c r="AD55" s="349"/>
      <c r="AE55" s="350"/>
      <c r="AF55" s="349"/>
      <c r="AG55" s="349"/>
      <c r="AH55" s="349"/>
      <c r="AI55" s="351"/>
      <c r="AJ55" s="75"/>
      <c r="AK55" s="47">
        <f>UDs!H52</f>
        <v>0</v>
      </c>
      <c r="AL55" s="15">
        <f>UDs!I52</f>
        <v>0</v>
      </c>
      <c r="AM55" s="48">
        <f>UDs!J52</f>
        <v>0</v>
      </c>
      <c r="AN55" s="15">
        <f>UDs!K52</f>
        <v>0</v>
      </c>
      <c r="AO55" s="15">
        <f>UDs!L52</f>
        <v>0</v>
      </c>
      <c r="AP55" s="48">
        <f>UDs!M52</f>
        <v>0</v>
      </c>
      <c r="AQ55" s="15">
        <f>UDs!N52</f>
        <v>0</v>
      </c>
      <c r="AR55" s="15">
        <f>UDs!O52</f>
        <v>0</v>
      </c>
      <c r="AS55" s="48">
        <f>UDs!P52</f>
        <v>0</v>
      </c>
      <c r="AT55" s="15">
        <f>UDs!Q52</f>
        <v>0</v>
      </c>
      <c r="AU55" s="15">
        <f>UDs!R52</f>
        <v>0</v>
      </c>
      <c r="AV55" s="48">
        <f>UDs!S52</f>
        <v>0</v>
      </c>
      <c r="AX55" s="2">
        <f t="shared" si="26"/>
        <v>0</v>
      </c>
      <c r="AY55" s="2">
        <f t="shared" si="27"/>
        <v>0</v>
      </c>
      <c r="AZ55" s="2">
        <f t="shared" si="28"/>
        <v>0</v>
      </c>
      <c r="BA55" s="204"/>
    </row>
    <row r="56" spans="1:53" s="13" customFormat="1" ht="21.6" customHeight="1" x14ac:dyDescent="0.35">
      <c r="A56" s="204"/>
      <c r="B56" s="96" t="str">
        <f>UDs!F53</f>
        <v/>
      </c>
      <c r="C56" s="206">
        <f>Sgmt!B27</f>
        <v>0</v>
      </c>
      <c r="D56" s="33">
        <f>UnDi19</f>
        <v>0</v>
      </c>
      <c r="E56" s="191">
        <f t="shared" si="29"/>
        <v>0</v>
      </c>
      <c r="F56" s="349"/>
      <c r="G56" s="349"/>
      <c r="H56" s="349"/>
      <c r="I56" s="349"/>
      <c r="J56" s="349"/>
      <c r="K56" s="350"/>
      <c r="L56" s="349"/>
      <c r="M56" s="349"/>
      <c r="N56" s="349"/>
      <c r="O56" s="349"/>
      <c r="P56" s="350"/>
      <c r="Q56" s="349"/>
      <c r="R56" s="349"/>
      <c r="S56" s="349"/>
      <c r="T56" s="351"/>
      <c r="U56" s="350"/>
      <c r="V56" s="349"/>
      <c r="W56" s="349"/>
      <c r="X56" s="349"/>
      <c r="Y56" s="349"/>
      <c r="Z56" s="350"/>
      <c r="AA56" s="349"/>
      <c r="AB56" s="349"/>
      <c r="AC56" s="349"/>
      <c r="AD56" s="349"/>
      <c r="AE56" s="350"/>
      <c r="AF56" s="349"/>
      <c r="AG56" s="349"/>
      <c r="AH56" s="349"/>
      <c r="AI56" s="351"/>
      <c r="AJ56" s="75"/>
      <c r="AK56" s="47">
        <f>UDs!H53</f>
        <v>0</v>
      </c>
      <c r="AL56" s="15">
        <f>UDs!I53</f>
        <v>0</v>
      </c>
      <c r="AM56" s="48">
        <f>UDs!J53</f>
        <v>0</v>
      </c>
      <c r="AN56" s="15">
        <f>UDs!K53</f>
        <v>0</v>
      </c>
      <c r="AO56" s="15">
        <f>UDs!L53</f>
        <v>0</v>
      </c>
      <c r="AP56" s="48">
        <f>UDs!M53</f>
        <v>0</v>
      </c>
      <c r="AQ56" s="15">
        <f>UDs!N53</f>
        <v>0</v>
      </c>
      <c r="AR56" s="15">
        <f>UDs!O53</f>
        <v>0</v>
      </c>
      <c r="AS56" s="48">
        <f>UDs!P53</f>
        <v>0</v>
      </c>
      <c r="AT56" s="15">
        <f>UDs!Q53</f>
        <v>0</v>
      </c>
      <c r="AU56" s="15">
        <f>UDs!R53</f>
        <v>0</v>
      </c>
      <c r="AV56" s="48">
        <f>UDs!S53</f>
        <v>0</v>
      </c>
      <c r="AX56" s="2">
        <f t="shared" si="26"/>
        <v>0</v>
      </c>
      <c r="AY56" s="2">
        <f t="shared" si="27"/>
        <v>0</v>
      </c>
      <c r="AZ56" s="2">
        <f t="shared" si="28"/>
        <v>0</v>
      </c>
      <c r="BA56" s="204"/>
    </row>
    <row r="57" spans="1:53" s="13" customFormat="1" ht="21.6" customHeight="1" x14ac:dyDescent="0.35">
      <c r="A57" s="204"/>
      <c r="B57" s="96" t="str">
        <f>UDs!F54</f>
        <v/>
      </c>
      <c r="C57" s="207">
        <f>Sgmt!B28</f>
        <v>0</v>
      </c>
      <c r="D57" s="86">
        <f>UnDi20</f>
        <v>0</v>
      </c>
      <c r="E57" s="192">
        <f t="shared" si="29"/>
        <v>0</v>
      </c>
      <c r="F57" s="352"/>
      <c r="G57" s="352"/>
      <c r="H57" s="352"/>
      <c r="I57" s="352"/>
      <c r="J57" s="352"/>
      <c r="K57" s="353"/>
      <c r="L57" s="352"/>
      <c r="M57" s="352"/>
      <c r="N57" s="352"/>
      <c r="O57" s="352"/>
      <c r="P57" s="353"/>
      <c r="Q57" s="352"/>
      <c r="R57" s="352"/>
      <c r="S57" s="352"/>
      <c r="T57" s="354"/>
      <c r="U57" s="353"/>
      <c r="V57" s="352"/>
      <c r="W57" s="352"/>
      <c r="X57" s="352"/>
      <c r="Y57" s="352"/>
      <c r="Z57" s="353"/>
      <c r="AA57" s="352"/>
      <c r="AB57" s="352"/>
      <c r="AC57" s="352"/>
      <c r="AD57" s="352"/>
      <c r="AE57" s="353"/>
      <c r="AF57" s="352"/>
      <c r="AG57" s="352"/>
      <c r="AH57" s="352"/>
      <c r="AI57" s="354"/>
      <c r="AJ57" s="75"/>
      <c r="AK57" s="49">
        <f>UDs!H54</f>
        <v>0</v>
      </c>
      <c r="AL57" s="16">
        <f>UDs!I54</f>
        <v>0</v>
      </c>
      <c r="AM57" s="50">
        <f>UDs!J54</f>
        <v>0</v>
      </c>
      <c r="AN57" s="16">
        <f>UDs!K54</f>
        <v>0</v>
      </c>
      <c r="AO57" s="16">
        <f>UDs!L54</f>
        <v>0</v>
      </c>
      <c r="AP57" s="50">
        <f>UDs!M54</f>
        <v>0</v>
      </c>
      <c r="AQ57" s="16">
        <f>UDs!N54</f>
        <v>0</v>
      </c>
      <c r="AR57" s="16">
        <f>UDs!O54</f>
        <v>0</v>
      </c>
      <c r="AS57" s="50">
        <f>UDs!P54</f>
        <v>0</v>
      </c>
      <c r="AT57" s="16">
        <f>UDs!Q54</f>
        <v>0</v>
      </c>
      <c r="AU57" s="16">
        <f>UDs!R54</f>
        <v>0</v>
      </c>
      <c r="AV57" s="50">
        <f>UDs!S54</f>
        <v>0</v>
      </c>
      <c r="AX57" s="3">
        <f t="shared" si="26"/>
        <v>0</v>
      </c>
      <c r="AY57" s="3">
        <f t="shared" si="27"/>
        <v>0</v>
      </c>
      <c r="AZ57" s="3">
        <f t="shared" si="28"/>
        <v>0</v>
      </c>
      <c r="BA57" s="204"/>
    </row>
    <row r="58" spans="1:53" ht="21.6" customHeight="1" x14ac:dyDescent="0.3">
      <c r="B58" s="15"/>
      <c r="D58" s="17"/>
      <c r="E58" s="193"/>
      <c r="F58" s="56"/>
      <c r="G58" s="56"/>
      <c r="H58" s="56"/>
      <c r="I58" s="56"/>
      <c r="J58" s="193"/>
      <c r="K58" s="56"/>
      <c r="L58" s="56"/>
      <c r="M58" s="56"/>
      <c r="N58" s="56"/>
      <c r="O58" s="193"/>
      <c r="P58" s="56"/>
      <c r="Q58" s="56"/>
      <c r="R58" s="56"/>
      <c r="S58" s="56"/>
      <c r="T58" s="193"/>
      <c r="U58" s="56"/>
      <c r="V58" s="56"/>
      <c r="W58" s="56"/>
      <c r="X58" s="56"/>
      <c r="Y58" s="193"/>
      <c r="Z58" s="56"/>
      <c r="AA58" s="56"/>
      <c r="AB58" s="56"/>
      <c r="AC58" s="56"/>
      <c r="AD58" s="193"/>
      <c r="AE58" s="56"/>
      <c r="AF58" s="56"/>
      <c r="AG58" s="56"/>
      <c r="AH58" s="193"/>
      <c r="AI58" s="193"/>
      <c r="AJ58" s="88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X58" s="54"/>
      <c r="AY58" s="54"/>
      <c r="AZ58" s="54"/>
    </row>
    <row r="59" spans="1:53" ht="21" thickBot="1" x14ac:dyDescent="0.4">
      <c r="A59" s="204"/>
      <c r="B59" s="204" t="s">
        <v>156</v>
      </c>
      <c r="C59" s="805"/>
      <c r="D59" s="209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213"/>
    </row>
    <row r="60" spans="1:53" ht="20.25" customHeight="1" x14ac:dyDescent="0.35">
      <c r="A60" s="204"/>
      <c r="B60" s="17"/>
      <c r="C60" s="17"/>
      <c r="D60" s="17"/>
      <c r="E60" s="288" t="s">
        <v>180</v>
      </c>
      <c r="F60" s="195">
        <f>IFERROR(SUMPRODUCT($AX$63:$AX$82,F$63:F$82)/SUM($AX$63:$AX$82),"SD")</f>
        <v>0</v>
      </c>
      <c r="G60" s="196">
        <f>IFERROR(SUMPRODUCT($AX$63:$AX$82,G$63:G$82)/SUM($AX$63:$AX$82),"SD")</f>
        <v>0</v>
      </c>
      <c r="H60" s="196">
        <f>IFERROR(SUMPRODUCT($AX$63:$AX$82,H$63:H$82)/SUM($AX$63:$AX$82),"SD")</f>
        <v>0</v>
      </c>
      <c r="I60" s="196">
        <f t="shared" ref="I60:AI60" si="30">IFERROR(SUMPRODUCT($AX$63:$AX$82,I$63:I$82)/SUM($AX$63:$AX$82),"SD")</f>
        <v>0</v>
      </c>
      <c r="J60" s="196">
        <f t="shared" si="30"/>
        <v>0</v>
      </c>
      <c r="K60" s="196">
        <f t="shared" si="30"/>
        <v>0</v>
      </c>
      <c r="L60" s="196">
        <f t="shared" si="30"/>
        <v>0</v>
      </c>
      <c r="M60" s="196">
        <f t="shared" si="30"/>
        <v>0</v>
      </c>
      <c r="N60" s="196">
        <f t="shared" si="30"/>
        <v>0</v>
      </c>
      <c r="O60" s="196">
        <f t="shared" si="30"/>
        <v>0</v>
      </c>
      <c r="P60" s="196">
        <f t="shared" si="30"/>
        <v>0</v>
      </c>
      <c r="Q60" s="196">
        <f t="shared" si="30"/>
        <v>0</v>
      </c>
      <c r="R60" s="196">
        <f t="shared" si="30"/>
        <v>0</v>
      </c>
      <c r="S60" s="196">
        <f t="shared" si="30"/>
        <v>0</v>
      </c>
      <c r="T60" s="196">
        <f t="shared" si="30"/>
        <v>0</v>
      </c>
      <c r="U60" s="196">
        <f t="shared" si="30"/>
        <v>0</v>
      </c>
      <c r="V60" s="196">
        <f t="shared" si="30"/>
        <v>0</v>
      </c>
      <c r="W60" s="196">
        <f t="shared" si="30"/>
        <v>0</v>
      </c>
      <c r="X60" s="196">
        <f t="shared" si="30"/>
        <v>0</v>
      </c>
      <c r="Y60" s="196">
        <f t="shared" si="30"/>
        <v>0</v>
      </c>
      <c r="Z60" s="196">
        <f t="shared" si="30"/>
        <v>0</v>
      </c>
      <c r="AA60" s="196">
        <f t="shared" si="30"/>
        <v>0</v>
      </c>
      <c r="AB60" s="196">
        <f t="shared" si="30"/>
        <v>0</v>
      </c>
      <c r="AC60" s="196">
        <f t="shared" si="30"/>
        <v>0</v>
      </c>
      <c r="AD60" s="196">
        <f t="shared" si="30"/>
        <v>0</v>
      </c>
      <c r="AE60" s="196">
        <f t="shared" si="30"/>
        <v>0</v>
      </c>
      <c r="AF60" s="196">
        <f t="shared" si="30"/>
        <v>0</v>
      </c>
      <c r="AG60" s="196">
        <f t="shared" si="30"/>
        <v>0</v>
      </c>
      <c r="AH60" s="196">
        <f t="shared" si="30"/>
        <v>0</v>
      </c>
      <c r="AI60" s="197">
        <f t="shared" si="30"/>
        <v>0</v>
      </c>
      <c r="AK60" s="1212" t="str">
        <f>CoRA01</f>
        <v>RA01</v>
      </c>
      <c r="AL60" s="1214" t="str">
        <f>CoRA02</f>
        <v>RA02</v>
      </c>
      <c r="AM60" s="1210" t="str">
        <f>CoRA03</f>
        <v>RA03</v>
      </c>
      <c r="AN60" s="1212" t="str">
        <f>CoRA04</f>
        <v>RA04</v>
      </c>
      <c r="AO60" s="1214" t="str">
        <f>CoRA05</f>
        <v>RA05</v>
      </c>
      <c r="AP60" s="1210" t="str">
        <f>CoRA06</f>
        <v>RA06</v>
      </c>
      <c r="AQ60" s="1212" t="str">
        <f>CoRA07</f>
        <v/>
      </c>
      <c r="AR60" s="1214" t="str">
        <f>CoRA08</f>
        <v/>
      </c>
      <c r="AS60" s="1210" t="str">
        <f>CoRA09</f>
        <v/>
      </c>
      <c r="AT60" s="1212" t="str">
        <f>CoRA10</f>
        <v/>
      </c>
      <c r="AU60" s="1214" t="str">
        <f>CoRA11</f>
        <v/>
      </c>
      <c r="AV60" s="1210" t="str">
        <f>CoRA12</f>
        <v/>
      </c>
      <c r="AX60" s="38" t="s">
        <v>180</v>
      </c>
      <c r="AY60" s="39" t="s">
        <v>181</v>
      </c>
      <c r="AZ60" s="40" t="s">
        <v>182</v>
      </c>
      <c r="BA60" s="213"/>
    </row>
    <row r="61" spans="1:53" ht="20.25" customHeight="1" x14ac:dyDescent="0.35">
      <c r="A61" s="204"/>
      <c r="D61" s="80"/>
      <c r="E61" s="289" t="s">
        <v>181</v>
      </c>
      <c r="F61" s="198">
        <f>IFERROR(SUMPRODUCT($AY$63:$AY$82,F$63:F$82)/SUM($AY$63:$AY$82),"SD")</f>
        <v>0</v>
      </c>
      <c r="G61" s="199">
        <f>IFERROR(SUMPRODUCT($AY$63:$AY$82,G$63:G$82)/SUM($AY$63:$AY$82),"SD")</f>
        <v>0</v>
      </c>
      <c r="H61" s="199">
        <f>IFERROR(SUMPRODUCT($AY$63:$AY$82,H$63:H$82)/SUM($AY$63:$AY$82),"SD")</f>
        <v>0</v>
      </c>
      <c r="I61" s="199">
        <f t="shared" ref="I61:AI61" si="31">IFERROR(SUMPRODUCT($AY$63:$AY$82,I$63:I$82)/SUM($AY$63:$AY$82),"SD")</f>
        <v>0</v>
      </c>
      <c r="J61" s="199">
        <f t="shared" si="31"/>
        <v>0</v>
      </c>
      <c r="K61" s="199">
        <f t="shared" si="31"/>
        <v>0</v>
      </c>
      <c r="L61" s="199">
        <f t="shared" si="31"/>
        <v>0</v>
      </c>
      <c r="M61" s="199">
        <f t="shared" si="31"/>
        <v>0</v>
      </c>
      <c r="N61" s="199">
        <f t="shared" si="31"/>
        <v>0</v>
      </c>
      <c r="O61" s="199">
        <f t="shared" si="31"/>
        <v>0</v>
      </c>
      <c r="P61" s="199">
        <f t="shared" si="31"/>
        <v>0</v>
      </c>
      <c r="Q61" s="199">
        <f t="shared" si="31"/>
        <v>0</v>
      </c>
      <c r="R61" s="199">
        <f t="shared" si="31"/>
        <v>0</v>
      </c>
      <c r="S61" s="199">
        <f t="shared" si="31"/>
        <v>0</v>
      </c>
      <c r="T61" s="199">
        <f t="shared" si="31"/>
        <v>0</v>
      </c>
      <c r="U61" s="199">
        <f t="shared" si="31"/>
        <v>0</v>
      </c>
      <c r="V61" s="199">
        <f t="shared" si="31"/>
        <v>0</v>
      </c>
      <c r="W61" s="199">
        <f t="shared" si="31"/>
        <v>0</v>
      </c>
      <c r="X61" s="199">
        <f t="shared" si="31"/>
        <v>0</v>
      </c>
      <c r="Y61" s="199">
        <f t="shared" si="31"/>
        <v>0</v>
      </c>
      <c r="Z61" s="199">
        <f t="shared" si="31"/>
        <v>0</v>
      </c>
      <c r="AA61" s="199">
        <f t="shared" si="31"/>
        <v>0</v>
      </c>
      <c r="AB61" s="199">
        <f t="shared" si="31"/>
        <v>0</v>
      </c>
      <c r="AC61" s="199">
        <f t="shared" si="31"/>
        <v>0</v>
      </c>
      <c r="AD61" s="199">
        <f t="shared" si="31"/>
        <v>0</v>
      </c>
      <c r="AE61" s="199">
        <f t="shared" si="31"/>
        <v>0</v>
      </c>
      <c r="AF61" s="199">
        <f t="shared" si="31"/>
        <v>0</v>
      </c>
      <c r="AG61" s="199">
        <f t="shared" si="31"/>
        <v>0</v>
      </c>
      <c r="AH61" s="199">
        <f t="shared" si="31"/>
        <v>0</v>
      </c>
      <c r="AI61" s="200">
        <f t="shared" si="31"/>
        <v>0</v>
      </c>
      <c r="AK61" s="1212"/>
      <c r="AL61" s="1214"/>
      <c r="AM61" s="1210"/>
      <c r="AN61" s="1212"/>
      <c r="AO61" s="1214"/>
      <c r="AP61" s="1210"/>
      <c r="AQ61" s="1212"/>
      <c r="AR61" s="1214"/>
      <c r="AS61" s="1210"/>
      <c r="AT61" s="1212"/>
      <c r="AU61" s="1214"/>
      <c r="AV61" s="1210"/>
      <c r="AX61" s="181" t="s">
        <v>166</v>
      </c>
      <c r="AY61" s="181" t="s">
        <v>166</v>
      </c>
      <c r="AZ61" s="182" t="s">
        <v>166</v>
      </c>
      <c r="BA61" s="213"/>
    </row>
    <row r="62" spans="1:53" ht="20.25" customHeight="1" thickBot="1" x14ac:dyDescent="0.4">
      <c r="A62" s="204"/>
      <c r="B62" s="81" t="s">
        <v>57</v>
      </c>
      <c r="C62" s="81" t="s">
        <v>30</v>
      </c>
      <c r="D62" s="82" t="s">
        <v>157</v>
      </c>
      <c r="E62" s="299" t="s">
        <v>182</v>
      </c>
      <c r="F62" s="201" t="str">
        <f>IFERROR(SUMPRODUCT($AZ$63:$AZ$82,F$63:F$82)/SUM($AZ$63:$AZ$82),"SD")</f>
        <v>SD</v>
      </c>
      <c r="G62" s="202" t="str">
        <f>IFERROR(SUMPRODUCT($AZ$63:$AZ$82,G$63:G$82)/SUM($AZ$63:$AZ$82),"SD")</f>
        <v>SD</v>
      </c>
      <c r="H62" s="202" t="str">
        <f>IFERROR(SUMPRODUCT($AZ$63:$AZ$82,H$63:H$82)/SUM($AZ$63:$AZ$82),"SD")</f>
        <v>SD</v>
      </c>
      <c r="I62" s="202" t="str">
        <f t="shared" ref="I62:AI62" si="32">IFERROR(SUMPRODUCT($AZ$63:$AZ$82,I$63:I$82)/SUM($AZ$63:$AZ$82),"SD")</f>
        <v>SD</v>
      </c>
      <c r="J62" s="202" t="str">
        <f t="shared" si="32"/>
        <v>SD</v>
      </c>
      <c r="K62" s="202" t="str">
        <f t="shared" si="32"/>
        <v>SD</v>
      </c>
      <c r="L62" s="202" t="str">
        <f t="shared" si="32"/>
        <v>SD</v>
      </c>
      <c r="M62" s="202" t="str">
        <f t="shared" si="32"/>
        <v>SD</v>
      </c>
      <c r="N62" s="202" t="str">
        <f t="shared" si="32"/>
        <v>SD</v>
      </c>
      <c r="O62" s="202" t="str">
        <f t="shared" si="32"/>
        <v>SD</v>
      </c>
      <c r="P62" s="202" t="str">
        <f t="shared" si="32"/>
        <v>SD</v>
      </c>
      <c r="Q62" s="202" t="str">
        <f t="shared" si="32"/>
        <v>SD</v>
      </c>
      <c r="R62" s="202" t="str">
        <f t="shared" si="32"/>
        <v>SD</v>
      </c>
      <c r="S62" s="202" t="str">
        <f t="shared" si="32"/>
        <v>SD</v>
      </c>
      <c r="T62" s="202" t="str">
        <f t="shared" si="32"/>
        <v>SD</v>
      </c>
      <c r="U62" s="202" t="str">
        <f t="shared" si="32"/>
        <v>SD</v>
      </c>
      <c r="V62" s="202" t="str">
        <f t="shared" si="32"/>
        <v>SD</v>
      </c>
      <c r="W62" s="202" t="str">
        <f t="shared" si="32"/>
        <v>SD</v>
      </c>
      <c r="X62" s="202" t="str">
        <f t="shared" si="32"/>
        <v>SD</v>
      </c>
      <c r="Y62" s="202" t="str">
        <f t="shared" si="32"/>
        <v>SD</v>
      </c>
      <c r="Z62" s="202" t="str">
        <f t="shared" si="32"/>
        <v>SD</v>
      </c>
      <c r="AA62" s="202" t="str">
        <f t="shared" si="32"/>
        <v>SD</v>
      </c>
      <c r="AB62" s="202" t="str">
        <f t="shared" si="32"/>
        <v>SD</v>
      </c>
      <c r="AC62" s="202" t="str">
        <f t="shared" si="32"/>
        <v>SD</v>
      </c>
      <c r="AD62" s="202" t="str">
        <f t="shared" si="32"/>
        <v>SD</v>
      </c>
      <c r="AE62" s="202" t="str">
        <f t="shared" si="32"/>
        <v>SD</v>
      </c>
      <c r="AF62" s="202" t="str">
        <f t="shared" si="32"/>
        <v>SD</v>
      </c>
      <c r="AG62" s="202" t="str">
        <f t="shared" si="32"/>
        <v>SD</v>
      </c>
      <c r="AH62" s="202" t="str">
        <f t="shared" si="32"/>
        <v>SD</v>
      </c>
      <c r="AI62" s="203" t="str">
        <f t="shared" si="32"/>
        <v>SD</v>
      </c>
      <c r="AK62" s="1213"/>
      <c r="AL62" s="1215"/>
      <c r="AM62" s="1211"/>
      <c r="AN62" s="1213"/>
      <c r="AO62" s="1215"/>
      <c r="AP62" s="1211"/>
      <c r="AQ62" s="1213"/>
      <c r="AR62" s="1215"/>
      <c r="AS62" s="1211"/>
      <c r="AT62" s="1213"/>
      <c r="AU62" s="1215"/>
      <c r="AV62" s="1211"/>
      <c r="AX62" s="83">
        <f>COUNTIFS(AX63:AX82,"&gt;0")</f>
        <v>2</v>
      </c>
      <c r="AY62" s="83">
        <f t="shared" ref="AY62:AZ62" si="33">COUNTIFS(AY63:AY82,"&gt;0")</f>
        <v>4</v>
      </c>
      <c r="AZ62" s="84">
        <f t="shared" si="33"/>
        <v>0</v>
      </c>
      <c r="BA62" s="213"/>
    </row>
    <row r="63" spans="1:53" s="13" customFormat="1" ht="21.6" customHeight="1" x14ac:dyDescent="0.35">
      <c r="A63" s="204"/>
      <c r="B63" s="96">
        <f>UDs!F35</f>
        <v>45916</v>
      </c>
      <c r="C63" s="205" t="str">
        <f>Sgmt!B9</f>
        <v>UD01</v>
      </c>
      <c r="D63" s="33" t="str">
        <f>UnDi01</f>
        <v>ysbu</v>
      </c>
      <c r="E63" s="191">
        <f t="shared" ref="E63:E82" si="34">IFERROR(AVERAGEIFS(F63:AI63,F63:AI63,"&gt;0"),0)</f>
        <v>0</v>
      </c>
      <c r="F63" s="349"/>
      <c r="G63" s="349"/>
      <c r="H63" s="349"/>
      <c r="I63" s="349"/>
      <c r="J63" s="349"/>
      <c r="K63" s="350"/>
      <c r="L63" s="349"/>
      <c r="M63" s="349"/>
      <c r="N63" s="349"/>
      <c r="O63" s="349"/>
      <c r="P63" s="350"/>
      <c r="Q63" s="349"/>
      <c r="R63" s="349"/>
      <c r="S63" s="349"/>
      <c r="T63" s="351"/>
      <c r="U63" s="350"/>
      <c r="V63" s="349"/>
      <c r="W63" s="349"/>
      <c r="X63" s="349"/>
      <c r="Y63" s="349"/>
      <c r="Z63" s="350"/>
      <c r="AA63" s="349"/>
      <c r="AB63" s="349"/>
      <c r="AC63" s="349"/>
      <c r="AD63" s="349"/>
      <c r="AE63" s="350"/>
      <c r="AF63" s="349"/>
      <c r="AG63" s="349"/>
      <c r="AH63" s="349"/>
      <c r="AI63" s="351"/>
      <c r="AJ63" s="75"/>
      <c r="AK63" s="47" t="str">
        <f>UDs!H35</f>
        <v>X</v>
      </c>
      <c r="AL63" s="15">
        <f>UDs!I35</f>
        <v>0</v>
      </c>
      <c r="AM63" s="48">
        <f>UDs!J35</f>
        <v>0</v>
      </c>
      <c r="AN63" s="15">
        <f>UDs!K35</f>
        <v>0</v>
      </c>
      <c r="AO63" s="15">
        <f>UDs!L35</f>
        <v>0</v>
      </c>
      <c r="AP63" s="48">
        <f>UDs!M35</f>
        <v>0</v>
      </c>
      <c r="AQ63" s="15">
        <f>UDs!N35</f>
        <v>0</v>
      </c>
      <c r="AR63" s="15">
        <f>UDs!O35</f>
        <v>0</v>
      </c>
      <c r="AS63" s="48">
        <f>UDs!P35</f>
        <v>0</v>
      </c>
      <c r="AT63" s="15">
        <f>UDs!Q35</f>
        <v>0</v>
      </c>
      <c r="AU63" s="15">
        <f>UDs!R35</f>
        <v>0</v>
      </c>
      <c r="AV63" s="48">
        <f>UDs!S35</f>
        <v>0</v>
      </c>
      <c r="AX63" s="2">
        <f t="shared" ref="AX63:AX82" si="35">IF(AND(FechaInicio1Tri&lt;=$B63, FechaFin1Tri&gt;=$B63),100%,0%)</f>
        <v>1</v>
      </c>
      <c r="AY63" s="2">
        <f t="shared" ref="AY63:AY82" si="36">IF(AND(FechaInicio2Tri&lt;=$B63, FechaFin2Tri&gt;=$B63),100%,0%)</f>
        <v>0</v>
      </c>
      <c r="AZ63" s="2">
        <f t="shared" ref="AZ63:AZ82" si="37">IF(AND(FechaInicio3Tri&lt;=$B63, FechaFin3Tri&gt;=$B63),100%,0%)</f>
        <v>0</v>
      </c>
      <c r="BA63" s="213"/>
    </row>
    <row r="64" spans="1:53" s="13" customFormat="1" ht="21.6" customHeight="1" x14ac:dyDescent="0.35">
      <c r="A64" s="204"/>
      <c r="B64" s="96">
        <f>UDs!F36</f>
        <v>45967</v>
      </c>
      <c r="C64" s="207" t="str">
        <f>Sgmt!B10</f>
        <v>UD02</v>
      </c>
      <c r="D64" s="86" t="str">
        <f>UnDi02</f>
        <v xml:space="preserve">sdfdfasdfdsa </v>
      </c>
      <c r="E64" s="192">
        <f t="shared" si="34"/>
        <v>0</v>
      </c>
      <c r="F64" s="352"/>
      <c r="G64" s="352"/>
      <c r="H64" s="352"/>
      <c r="I64" s="352"/>
      <c r="J64" s="352"/>
      <c r="K64" s="353"/>
      <c r="L64" s="352"/>
      <c r="M64" s="352"/>
      <c r="N64" s="352"/>
      <c r="O64" s="352"/>
      <c r="P64" s="353"/>
      <c r="Q64" s="352"/>
      <c r="R64" s="352"/>
      <c r="S64" s="352"/>
      <c r="T64" s="354"/>
      <c r="U64" s="353"/>
      <c r="V64" s="352"/>
      <c r="W64" s="352"/>
      <c r="X64" s="352"/>
      <c r="Y64" s="352"/>
      <c r="Z64" s="353"/>
      <c r="AA64" s="352"/>
      <c r="AB64" s="352"/>
      <c r="AC64" s="352"/>
      <c r="AD64" s="352"/>
      <c r="AE64" s="353"/>
      <c r="AF64" s="352"/>
      <c r="AG64" s="352"/>
      <c r="AH64" s="352"/>
      <c r="AI64" s="354"/>
      <c r="AJ64" s="75"/>
      <c r="AK64" s="49">
        <f>UDs!H36</f>
        <v>0</v>
      </c>
      <c r="AL64" s="16" t="str">
        <f>UDs!I36</f>
        <v>X</v>
      </c>
      <c r="AM64" s="50" t="str">
        <f>UDs!J36</f>
        <v>X</v>
      </c>
      <c r="AN64" s="16">
        <f>UDs!K36</f>
        <v>0</v>
      </c>
      <c r="AO64" s="16">
        <f>UDs!L36</f>
        <v>0</v>
      </c>
      <c r="AP64" s="50">
        <f>UDs!M36</f>
        <v>0</v>
      </c>
      <c r="AQ64" s="16">
        <f>UDs!N36</f>
        <v>0</v>
      </c>
      <c r="AR64" s="16">
        <f>UDs!O36</f>
        <v>0</v>
      </c>
      <c r="AS64" s="50">
        <f>UDs!P36</f>
        <v>0</v>
      </c>
      <c r="AT64" s="16">
        <f>UDs!Q36</f>
        <v>0</v>
      </c>
      <c r="AU64" s="16">
        <f>UDs!R36</f>
        <v>0</v>
      </c>
      <c r="AV64" s="50">
        <f>UDs!S36</f>
        <v>0</v>
      </c>
      <c r="AX64" s="3">
        <f t="shared" si="35"/>
        <v>1</v>
      </c>
      <c r="AY64" s="3">
        <f t="shared" si="36"/>
        <v>0</v>
      </c>
      <c r="AZ64" s="3">
        <f t="shared" si="37"/>
        <v>0</v>
      </c>
      <c r="BA64" s="213"/>
    </row>
    <row r="65" spans="1:53" s="13" customFormat="1" ht="21.6" customHeight="1" x14ac:dyDescent="0.35">
      <c r="A65" s="204"/>
      <c r="B65" s="96">
        <f>UDs!F37</f>
        <v>46048</v>
      </c>
      <c r="C65" s="206" t="str">
        <f>Sgmt!B11</f>
        <v/>
      </c>
      <c r="D65" s="33">
        <f>UnDi03</f>
        <v>0</v>
      </c>
      <c r="E65" s="191">
        <f t="shared" si="34"/>
        <v>0</v>
      </c>
      <c r="F65" s="349"/>
      <c r="G65" s="349"/>
      <c r="H65" s="349"/>
      <c r="I65" s="349"/>
      <c r="J65" s="349"/>
      <c r="K65" s="350"/>
      <c r="L65" s="349"/>
      <c r="M65" s="349"/>
      <c r="N65" s="349"/>
      <c r="O65" s="349"/>
      <c r="P65" s="350"/>
      <c r="Q65" s="349"/>
      <c r="R65" s="349"/>
      <c r="S65" s="349"/>
      <c r="T65" s="351"/>
      <c r="U65" s="350"/>
      <c r="V65" s="349"/>
      <c r="W65" s="349"/>
      <c r="X65" s="349"/>
      <c r="Y65" s="349"/>
      <c r="Z65" s="350"/>
      <c r="AA65" s="349"/>
      <c r="AB65" s="349"/>
      <c r="AC65" s="349"/>
      <c r="AD65" s="349"/>
      <c r="AE65" s="350"/>
      <c r="AF65" s="349"/>
      <c r="AG65" s="349"/>
      <c r="AH65" s="349"/>
      <c r="AI65" s="351"/>
      <c r="AJ65" s="75"/>
      <c r="AK65" s="47">
        <f>UDs!H37</f>
        <v>0</v>
      </c>
      <c r="AL65" s="15">
        <f>UDs!I37</f>
        <v>0</v>
      </c>
      <c r="AM65" s="48" t="str">
        <f>UDs!J37</f>
        <v>X</v>
      </c>
      <c r="AN65" s="15">
        <f>UDs!K37</f>
        <v>0</v>
      </c>
      <c r="AO65" s="15">
        <f>UDs!L37</f>
        <v>0</v>
      </c>
      <c r="AP65" s="48">
        <f>UDs!M37</f>
        <v>0</v>
      </c>
      <c r="AQ65" s="15">
        <f>UDs!N37</f>
        <v>0</v>
      </c>
      <c r="AR65" s="15">
        <f>UDs!O37</f>
        <v>0</v>
      </c>
      <c r="AS65" s="48">
        <f>UDs!P37</f>
        <v>0</v>
      </c>
      <c r="AT65" s="15">
        <f>UDs!Q37</f>
        <v>0</v>
      </c>
      <c r="AU65" s="15">
        <f>UDs!R37</f>
        <v>0</v>
      </c>
      <c r="AV65" s="48">
        <f>UDs!S37</f>
        <v>0</v>
      </c>
      <c r="AX65" s="2">
        <f t="shared" si="35"/>
        <v>0</v>
      </c>
      <c r="AY65" s="2">
        <f t="shared" si="36"/>
        <v>1</v>
      </c>
      <c r="AZ65" s="2">
        <f t="shared" si="37"/>
        <v>0</v>
      </c>
      <c r="BA65" s="213"/>
    </row>
    <row r="66" spans="1:53" s="13" customFormat="1" ht="21.6" customHeight="1" x14ac:dyDescent="0.35">
      <c r="A66" s="204"/>
      <c r="B66" s="96">
        <f>UDs!F38</f>
        <v>46048</v>
      </c>
      <c r="C66" s="206" t="str">
        <f>Sgmt!B12</f>
        <v/>
      </c>
      <c r="D66" s="33">
        <f>UnDi04</f>
        <v>0</v>
      </c>
      <c r="E66" s="191">
        <f t="shared" si="34"/>
        <v>0</v>
      </c>
      <c r="F66" s="349"/>
      <c r="G66" s="349"/>
      <c r="H66" s="349"/>
      <c r="I66" s="349"/>
      <c r="J66" s="349"/>
      <c r="K66" s="350"/>
      <c r="L66" s="349"/>
      <c r="M66" s="349"/>
      <c r="N66" s="349"/>
      <c r="O66" s="349"/>
      <c r="P66" s="350"/>
      <c r="Q66" s="349"/>
      <c r="R66" s="349"/>
      <c r="S66" s="349"/>
      <c r="T66" s="351"/>
      <c r="U66" s="350"/>
      <c r="V66" s="349"/>
      <c r="W66" s="349"/>
      <c r="X66" s="349"/>
      <c r="Y66" s="349"/>
      <c r="Z66" s="350"/>
      <c r="AA66" s="349"/>
      <c r="AB66" s="349"/>
      <c r="AC66" s="349"/>
      <c r="AD66" s="349"/>
      <c r="AE66" s="350"/>
      <c r="AF66" s="349"/>
      <c r="AG66" s="349"/>
      <c r="AH66" s="349"/>
      <c r="AI66" s="351"/>
      <c r="AJ66" s="75"/>
      <c r="AK66" s="47">
        <f>UDs!H38</f>
        <v>0</v>
      </c>
      <c r="AL66" s="15">
        <f>UDs!I38</f>
        <v>0</v>
      </c>
      <c r="AM66" s="48">
        <f>UDs!J38</f>
        <v>0</v>
      </c>
      <c r="AN66" s="15" t="str">
        <f>UDs!K38</f>
        <v>X</v>
      </c>
      <c r="AO66" s="15">
        <f>UDs!L38</f>
        <v>0</v>
      </c>
      <c r="AP66" s="48">
        <f>UDs!M38</f>
        <v>0</v>
      </c>
      <c r="AQ66" s="15">
        <f>UDs!N38</f>
        <v>0</v>
      </c>
      <c r="AR66" s="15">
        <f>UDs!O38</f>
        <v>0</v>
      </c>
      <c r="AS66" s="48">
        <f>UDs!P38</f>
        <v>0</v>
      </c>
      <c r="AT66" s="15">
        <f>UDs!Q38</f>
        <v>0</v>
      </c>
      <c r="AU66" s="15">
        <f>UDs!R38</f>
        <v>0</v>
      </c>
      <c r="AV66" s="48">
        <f>UDs!S38</f>
        <v>0</v>
      </c>
      <c r="AX66" s="2">
        <f t="shared" si="35"/>
        <v>0</v>
      </c>
      <c r="AY66" s="2">
        <f t="shared" si="36"/>
        <v>1</v>
      </c>
      <c r="AZ66" s="2">
        <f t="shared" si="37"/>
        <v>0</v>
      </c>
      <c r="BA66" s="213"/>
    </row>
    <row r="67" spans="1:53" s="13" customFormat="1" ht="21.6" customHeight="1" x14ac:dyDescent="0.35">
      <c r="A67" s="204"/>
      <c r="B67" s="96">
        <f>UDs!F39</f>
        <v>46048</v>
      </c>
      <c r="C67" s="207" t="str">
        <f>Sgmt!B13</f>
        <v/>
      </c>
      <c r="D67" s="86">
        <f>UnDi05</f>
        <v>0</v>
      </c>
      <c r="E67" s="192">
        <f t="shared" si="34"/>
        <v>0</v>
      </c>
      <c r="F67" s="352"/>
      <c r="G67" s="352"/>
      <c r="H67" s="352"/>
      <c r="I67" s="352"/>
      <c r="J67" s="352"/>
      <c r="K67" s="353"/>
      <c r="L67" s="352"/>
      <c r="M67" s="352"/>
      <c r="N67" s="352"/>
      <c r="O67" s="352"/>
      <c r="P67" s="353"/>
      <c r="Q67" s="352"/>
      <c r="R67" s="352"/>
      <c r="S67" s="352"/>
      <c r="T67" s="354"/>
      <c r="U67" s="353"/>
      <c r="V67" s="352"/>
      <c r="W67" s="352"/>
      <c r="X67" s="352"/>
      <c r="Y67" s="352"/>
      <c r="Z67" s="353"/>
      <c r="AA67" s="352"/>
      <c r="AB67" s="352"/>
      <c r="AC67" s="352"/>
      <c r="AD67" s="352"/>
      <c r="AE67" s="353"/>
      <c r="AF67" s="352"/>
      <c r="AG67" s="352"/>
      <c r="AH67" s="352"/>
      <c r="AI67" s="354"/>
      <c r="AJ67" s="75"/>
      <c r="AK67" s="49">
        <f>UDs!H39</f>
        <v>0</v>
      </c>
      <c r="AL67" s="16">
        <f>UDs!I39</f>
        <v>0</v>
      </c>
      <c r="AM67" s="50">
        <f>UDs!J39</f>
        <v>0</v>
      </c>
      <c r="AN67" s="16">
        <f>UDs!K39</f>
        <v>0</v>
      </c>
      <c r="AO67" s="16" t="str">
        <f>UDs!L39</f>
        <v>X</v>
      </c>
      <c r="AP67" s="50">
        <f>UDs!M39</f>
        <v>0</v>
      </c>
      <c r="AQ67" s="16">
        <f>UDs!N39</f>
        <v>0</v>
      </c>
      <c r="AR67" s="16">
        <f>UDs!O39</f>
        <v>0</v>
      </c>
      <c r="AS67" s="50">
        <f>UDs!P39</f>
        <v>0</v>
      </c>
      <c r="AT67" s="16">
        <f>UDs!Q39</f>
        <v>0</v>
      </c>
      <c r="AU67" s="16">
        <f>UDs!R39</f>
        <v>0</v>
      </c>
      <c r="AV67" s="50">
        <f>UDs!S39</f>
        <v>0</v>
      </c>
      <c r="AX67" s="3">
        <f t="shared" si="35"/>
        <v>0</v>
      </c>
      <c r="AY67" s="3">
        <f t="shared" si="36"/>
        <v>1</v>
      </c>
      <c r="AZ67" s="3">
        <f t="shared" si="37"/>
        <v>0</v>
      </c>
      <c r="BA67" s="213"/>
    </row>
    <row r="68" spans="1:53" s="13" customFormat="1" ht="21.6" customHeight="1" x14ac:dyDescent="0.35">
      <c r="A68" s="204"/>
      <c r="B68" s="96">
        <f>UDs!F40</f>
        <v>46048</v>
      </c>
      <c r="C68" s="206" t="str">
        <f>Sgmt!B14</f>
        <v/>
      </c>
      <c r="D68" s="33">
        <f>UnDi06</f>
        <v>0</v>
      </c>
      <c r="E68" s="191">
        <f t="shared" si="34"/>
        <v>0</v>
      </c>
      <c r="F68" s="349"/>
      <c r="G68" s="349"/>
      <c r="H68" s="349"/>
      <c r="I68" s="349"/>
      <c r="J68" s="349"/>
      <c r="K68" s="350"/>
      <c r="L68" s="349"/>
      <c r="M68" s="349"/>
      <c r="N68" s="349"/>
      <c r="O68" s="349"/>
      <c r="P68" s="350"/>
      <c r="Q68" s="349"/>
      <c r="R68" s="349"/>
      <c r="S68" s="349"/>
      <c r="T68" s="351"/>
      <c r="U68" s="350"/>
      <c r="V68" s="349"/>
      <c r="W68" s="349"/>
      <c r="X68" s="349"/>
      <c r="Y68" s="349"/>
      <c r="Z68" s="350"/>
      <c r="AA68" s="349"/>
      <c r="AB68" s="349"/>
      <c r="AC68" s="349"/>
      <c r="AD68" s="349"/>
      <c r="AE68" s="350"/>
      <c r="AF68" s="349"/>
      <c r="AG68" s="349"/>
      <c r="AH68" s="349"/>
      <c r="AI68" s="351"/>
      <c r="AJ68" s="75"/>
      <c r="AK68" s="47">
        <f>UDs!H40</f>
        <v>0</v>
      </c>
      <c r="AL68" s="15">
        <f>UDs!I40</f>
        <v>0</v>
      </c>
      <c r="AM68" s="48">
        <f>UDs!J40</f>
        <v>0</v>
      </c>
      <c r="AN68" s="15">
        <f>UDs!K40</f>
        <v>0</v>
      </c>
      <c r="AO68" s="15">
        <f>UDs!L40</f>
        <v>0</v>
      </c>
      <c r="AP68" s="48" t="str">
        <f>UDs!M40</f>
        <v>X</v>
      </c>
      <c r="AQ68" s="15">
        <f>UDs!N40</f>
        <v>0</v>
      </c>
      <c r="AR68" s="15">
        <f>UDs!O40</f>
        <v>0</v>
      </c>
      <c r="AS68" s="48">
        <f>UDs!P40</f>
        <v>0</v>
      </c>
      <c r="AT68" s="15">
        <f>UDs!Q40</f>
        <v>0</v>
      </c>
      <c r="AU68" s="15">
        <f>UDs!R40</f>
        <v>0</v>
      </c>
      <c r="AV68" s="48">
        <f>UDs!S40</f>
        <v>0</v>
      </c>
      <c r="AX68" s="2">
        <f t="shared" si="35"/>
        <v>0</v>
      </c>
      <c r="AY68" s="2">
        <f>IF(AND(FechaInicio2Tri&lt;=$B68, FechaFin2Tri&gt;=$B68),100%,0%)</f>
        <v>1</v>
      </c>
      <c r="AZ68" s="2">
        <f t="shared" si="37"/>
        <v>0</v>
      </c>
      <c r="BA68" s="213"/>
    </row>
    <row r="69" spans="1:53" s="13" customFormat="1" ht="21.6" customHeight="1" x14ac:dyDescent="0.35">
      <c r="A69" s="204"/>
      <c r="B69" s="96" t="str">
        <f>UDs!F41</f>
        <v/>
      </c>
      <c r="C69" s="206" t="str">
        <f ca="1">Sgmt!B15</f>
        <v>NoOk</v>
      </c>
      <c r="D69" s="33">
        <f>UnDi07</f>
        <v>0</v>
      </c>
      <c r="E69" s="191">
        <f t="shared" si="34"/>
        <v>0</v>
      </c>
      <c r="F69" s="349"/>
      <c r="G69" s="349"/>
      <c r="H69" s="349"/>
      <c r="I69" s="349"/>
      <c r="J69" s="349"/>
      <c r="K69" s="350"/>
      <c r="L69" s="349"/>
      <c r="M69" s="349"/>
      <c r="N69" s="349"/>
      <c r="O69" s="349"/>
      <c r="P69" s="350"/>
      <c r="Q69" s="349"/>
      <c r="R69" s="349"/>
      <c r="S69" s="349"/>
      <c r="T69" s="351"/>
      <c r="U69" s="350"/>
      <c r="V69" s="349"/>
      <c r="W69" s="349"/>
      <c r="X69" s="349"/>
      <c r="Y69" s="349"/>
      <c r="Z69" s="350"/>
      <c r="AA69" s="349"/>
      <c r="AB69" s="349"/>
      <c r="AC69" s="349"/>
      <c r="AD69" s="349"/>
      <c r="AE69" s="350"/>
      <c r="AF69" s="349"/>
      <c r="AG69" s="349"/>
      <c r="AH69" s="349"/>
      <c r="AI69" s="351"/>
      <c r="AJ69" s="75"/>
      <c r="AK69" s="47">
        <f>UDs!H41</f>
        <v>0</v>
      </c>
      <c r="AL69" s="15">
        <f>UDs!I41</f>
        <v>0</v>
      </c>
      <c r="AM69" s="48">
        <f>UDs!J41</f>
        <v>0</v>
      </c>
      <c r="AN69" s="15">
        <f>UDs!K41</f>
        <v>0</v>
      </c>
      <c r="AO69" s="15">
        <f>UDs!L41</f>
        <v>0</v>
      </c>
      <c r="AP69" s="48">
        <f>UDs!M41</f>
        <v>0</v>
      </c>
      <c r="AQ69" s="15">
        <f>UDs!N41</f>
        <v>0</v>
      </c>
      <c r="AR69" s="15">
        <f>UDs!O41</f>
        <v>0</v>
      </c>
      <c r="AS69" s="48">
        <f>UDs!P41</f>
        <v>0</v>
      </c>
      <c r="AT69" s="15">
        <f>UDs!Q41</f>
        <v>0</v>
      </c>
      <c r="AU69" s="15">
        <f>UDs!R41</f>
        <v>0</v>
      </c>
      <c r="AV69" s="48">
        <f>UDs!S41</f>
        <v>0</v>
      </c>
      <c r="AX69" s="2">
        <f t="shared" si="35"/>
        <v>0</v>
      </c>
      <c r="AY69" s="2">
        <f t="shared" si="36"/>
        <v>0</v>
      </c>
      <c r="AZ69" s="2">
        <f t="shared" si="37"/>
        <v>0</v>
      </c>
      <c r="BA69" s="213"/>
    </row>
    <row r="70" spans="1:53" s="13" customFormat="1" ht="21.6" customHeight="1" x14ac:dyDescent="0.35">
      <c r="A70" s="204"/>
      <c r="B70" s="96" t="str">
        <f>UDs!F42</f>
        <v/>
      </c>
      <c r="C70" s="207">
        <f>Sgmt!B16</f>
        <v>0</v>
      </c>
      <c r="D70" s="86">
        <f>UnDi08</f>
        <v>0</v>
      </c>
      <c r="E70" s="192">
        <f t="shared" si="34"/>
        <v>0</v>
      </c>
      <c r="F70" s="352"/>
      <c r="G70" s="352"/>
      <c r="H70" s="352"/>
      <c r="I70" s="352"/>
      <c r="J70" s="352"/>
      <c r="K70" s="353"/>
      <c r="L70" s="352"/>
      <c r="M70" s="352"/>
      <c r="N70" s="352"/>
      <c r="O70" s="352"/>
      <c r="P70" s="353"/>
      <c r="Q70" s="352"/>
      <c r="R70" s="352"/>
      <c r="S70" s="352"/>
      <c r="T70" s="354"/>
      <c r="U70" s="353"/>
      <c r="V70" s="352"/>
      <c r="W70" s="352"/>
      <c r="X70" s="352"/>
      <c r="Y70" s="352"/>
      <c r="Z70" s="353"/>
      <c r="AA70" s="352"/>
      <c r="AB70" s="352"/>
      <c r="AC70" s="352"/>
      <c r="AD70" s="352"/>
      <c r="AE70" s="353"/>
      <c r="AF70" s="352"/>
      <c r="AG70" s="352"/>
      <c r="AH70" s="352"/>
      <c r="AI70" s="354"/>
      <c r="AJ70" s="75"/>
      <c r="AK70" s="49">
        <f>UDs!H42</f>
        <v>0</v>
      </c>
      <c r="AL70" s="16">
        <f>UDs!I42</f>
        <v>0</v>
      </c>
      <c r="AM70" s="50">
        <f>UDs!J42</f>
        <v>0</v>
      </c>
      <c r="AN70" s="16">
        <f>UDs!K42</f>
        <v>0</v>
      </c>
      <c r="AO70" s="16">
        <f>UDs!L42</f>
        <v>0</v>
      </c>
      <c r="AP70" s="50">
        <f>UDs!M42</f>
        <v>0</v>
      </c>
      <c r="AQ70" s="16">
        <f>UDs!N42</f>
        <v>0</v>
      </c>
      <c r="AR70" s="16">
        <f>UDs!O42</f>
        <v>0</v>
      </c>
      <c r="AS70" s="50">
        <f>UDs!P42</f>
        <v>0</v>
      </c>
      <c r="AT70" s="16">
        <f>UDs!Q42</f>
        <v>0</v>
      </c>
      <c r="AU70" s="16">
        <f>UDs!R42</f>
        <v>0</v>
      </c>
      <c r="AV70" s="50">
        <f>UDs!S42</f>
        <v>0</v>
      </c>
      <c r="AX70" s="3">
        <f t="shared" si="35"/>
        <v>0</v>
      </c>
      <c r="AY70" s="3">
        <f t="shared" si="36"/>
        <v>0</v>
      </c>
      <c r="AZ70" s="3">
        <f t="shared" si="37"/>
        <v>0</v>
      </c>
      <c r="BA70" s="213"/>
    </row>
    <row r="71" spans="1:53" s="13" customFormat="1" ht="21.6" customHeight="1" x14ac:dyDescent="0.35">
      <c r="A71" s="204"/>
      <c r="B71" s="96" t="str">
        <f>UDs!F43</f>
        <v/>
      </c>
      <c r="C71" s="206">
        <f>Sgmt!B17</f>
        <v>0</v>
      </c>
      <c r="D71" s="33">
        <f>UnDi09</f>
        <v>0</v>
      </c>
      <c r="E71" s="191">
        <f t="shared" si="34"/>
        <v>0</v>
      </c>
      <c r="F71" s="349"/>
      <c r="G71" s="349"/>
      <c r="H71" s="349"/>
      <c r="I71" s="349"/>
      <c r="J71" s="349"/>
      <c r="K71" s="350"/>
      <c r="L71" s="349"/>
      <c r="M71" s="349"/>
      <c r="N71" s="349"/>
      <c r="O71" s="349"/>
      <c r="P71" s="350"/>
      <c r="Q71" s="349"/>
      <c r="R71" s="349"/>
      <c r="S71" s="349"/>
      <c r="T71" s="351"/>
      <c r="U71" s="350"/>
      <c r="V71" s="349"/>
      <c r="W71" s="349"/>
      <c r="X71" s="349"/>
      <c r="Y71" s="349"/>
      <c r="Z71" s="350"/>
      <c r="AA71" s="349"/>
      <c r="AB71" s="349"/>
      <c r="AC71" s="349"/>
      <c r="AD71" s="349"/>
      <c r="AE71" s="350"/>
      <c r="AF71" s="349"/>
      <c r="AG71" s="349"/>
      <c r="AH71" s="349"/>
      <c r="AI71" s="351"/>
      <c r="AJ71" s="75"/>
      <c r="AK71" s="47">
        <f>UDs!H43</f>
        <v>0</v>
      </c>
      <c r="AL71" s="15">
        <f>UDs!I43</f>
        <v>0</v>
      </c>
      <c r="AM71" s="48">
        <f>UDs!J43</f>
        <v>0</v>
      </c>
      <c r="AN71" s="15">
        <f>UDs!K43</f>
        <v>0</v>
      </c>
      <c r="AO71" s="15">
        <f>UDs!L43</f>
        <v>0</v>
      </c>
      <c r="AP71" s="48">
        <f>UDs!M43</f>
        <v>0</v>
      </c>
      <c r="AQ71" s="15">
        <f>UDs!N43</f>
        <v>0</v>
      </c>
      <c r="AR71" s="15">
        <f>UDs!O43</f>
        <v>0</v>
      </c>
      <c r="AS71" s="48">
        <f>UDs!P43</f>
        <v>0</v>
      </c>
      <c r="AT71" s="15">
        <f>UDs!Q43</f>
        <v>0</v>
      </c>
      <c r="AU71" s="15">
        <f>UDs!R43</f>
        <v>0</v>
      </c>
      <c r="AV71" s="48">
        <f>UDs!S43</f>
        <v>0</v>
      </c>
      <c r="AX71" s="2">
        <f t="shared" si="35"/>
        <v>0</v>
      </c>
      <c r="AY71" s="2">
        <f t="shared" si="36"/>
        <v>0</v>
      </c>
      <c r="AZ71" s="2">
        <f t="shared" si="37"/>
        <v>0</v>
      </c>
      <c r="BA71" s="213"/>
    </row>
    <row r="72" spans="1:53" s="13" customFormat="1" ht="21.6" customHeight="1" x14ac:dyDescent="0.35">
      <c r="A72" s="204"/>
      <c r="B72" s="96" t="str">
        <f>UDs!F44</f>
        <v/>
      </c>
      <c r="C72" s="206">
        <f>Sgmt!B18</f>
        <v>0</v>
      </c>
      <c r="D72" s="33">
        <f>UnDi10</f>
        <v>0</v>
      </c>
      <c r="E72" s="191">
        <f t="shared" si="34"/>
        <v>0</v>
      </c>
      <c r="F72" s="349"/>
      <c r="G72" s="349"/>
      <c r="H72" s="349"/>
      <c r="I72" s="349"/>
      <c r="J72" s="349"/>
      <c r="K72" s="350"/>
      <c r="L72" s="349"/>
      <c r="M72" s="349"/>
      <c r="N72" s="349"/>
      <c r="O72" s="349"/>
      <c r="P72" s="350"/>
      <c r="Q72" s="349"/>
      <c r="R72" s="349"/>
      <c r="S72" s="349"/>
      <c r="T72" s="351"/>
      <c r="U72" s="350"/>
      <c r="V72" s="349"/>
      <c r="W72" s="349"/>
      <c r="X72" s="349"/>
      <c r="Y72" s="349"/>
      <c r="Z72" s="350"/>
      <c r="AA72" s="349"/>
      <c r="AB72" s="349"/>
      <c r="AC72" s="349"/>
      <c r="AD72" s="349"/>
      <c r="AE72" s="350"/>
      <c r="AF72" s="349"/>
      <c r="AG72" s="349"/>
      <c r="AH72" s="349"/>
      <c r="AI72" s="351"/>
      <c r="AJ72" s="75"/>
      <c r="AK72" s="47">
        <f>UDs!H44</f>
        <v>0</v>
      </c>
      <c r="AL72" s="15">
        <f>UDs!I44</f>
        <v>0</v>
      </c>
      <c r="AM72" s="48">
        <f>UDs!J44</f>
        <v>0</v>
      </c>
      <c r="AN72" s="15">
        <f>UDs!K44</f>
        <v>0</v>
      </c>
      <c r="AO72" s="15">
        <f>UDs!L44</f>
        <v>0</v>
      </c>
      <c r="AP72" s="48">
        <f>UDs!M44</f>
        <v>0</v>
      </c>
      <c r="AQ72" s="15">
        <f>UDs!N44</f>
        <v>0</v>
      </c>
      <c r="AR72" s="15">
        <f>UDs!O44</f>
        <v>0</v>
      </c>
      <c r="AS72" s="48">
        <f>UDs!P44</f>
        <v>0</v>
      </c>
      <c r="AT72" s="15">
        <f>UDs!Q44</f>
        <v>0</v>
      </c>
      <c r="AU72" s="15">
        <f>UDs!R44</f>
        <v>0</v>
      </c>
      <c r="AV72" s="48">
        <f>UDs!S44</f>
        <v>0</v>
      </c>
      <c r="AX72" s="2">
        <f t="shared" si="35"/>
        <v>0</v>
      </c>
      <c r="AY72" s="2">
        <f t="shared" si="36"/>
        <v>0</v>
      </c>
      <c r="AZ72" s="2">
        <f t="shared" si="37"/>
        <v>0</v>
      </c>
      <c r="BA72" s="213"/>
    </row>
    <row r="73" spans="1:53" s="13" customFormat="1" ht="21.6" customHeight="1" x14ac:dyDescent="0.35">
      <c r="A73" s="204"/>
      <c r="B73" s="96" t="str">
        <f>UDs!F45</f>
        <v/>
      </c>
      <c r="C73" s="207">
        <f>Sgmt!B19</f>
        <v>0</v>
      </c>
      <c r="D73" s="86">
        <f>UnDi11</f>
        <v>0</v>
      </c>
      <c r="E73" s="192">
        <f t="shared" si="34"/>
        <v>0</v>
      </c>
      <c r="F73" s="352"/>
      <c r="G73" s="352"/>
      <c r="H73" s="352"/>
      <c r="I73" s="352"/>
      <c r="J73" s="352"/>
      <c r="K73" s="353"/>
      <c r="L73" s="352"/>
      <c r="M73" s="352"/>
      <c r="N73" s="352"/>
      <c r="O73" s="352"/>
      <c r="P73" s="353"/>
      <c r="Q73" s="352"/>
      <c r="R73" s="352"/>
      <c r="S73" s="352"/>
      <c r="T73" s="354"/>
      <c r="U73" s="353"/>
      <c r="V73" s="352"/>
      <c r="W73" s="352"/>
      <c r="X73" s="352"/>
      <c r="Y73" s="352"/>
      <c r="Z73" s="353"/>
      <c r="AA73" s="352"/>
      <c r="AB73" s="352"/>
      <c r="AC73" s="352"/>
      <c r="AD73" s="352"/>
      <c r="AE73" s="353"/>
      <c r="AF73" s="352"/>
      <c r="AG73" s="352"/>
      <c r="AH73" s="352"/>
      <c r="AI73" s="354"/>
      <c r="AJ73" s="75"/>
      <c r="AK73" s="49">
        <f>UDs!H45</f>
        <v>0</v>
      </c>
      <c r="AL73" s="16">
        <f>UDs!I45</f>
        <v>0</v>
      </c>
      <c r="AM73" s="50">
        <f>UDs!J45</f>
        <v>0</v>
      </c>
      <c r="AN73" s="16">
        <f>UDs!K45</f>
        <v>0</v>
      </c>
      <c r="AO73" s="16">
        <f>UDs!L45</f>
        <v>0</v>
      </c>
      <c r="AP73" s="50">
        <f>UDs!M45</f>
        <v>0</v>
      </c>
      <c r="AQ73" s="16">
        <f>UDs!N45</f>
        <v>0</v>
      </c>
      <c r="AR73" s="16">
        <f>UDs!O45</f>
        <v>0</v>
      </c>
      <c r="AS73" s="50">
        <f>UDs!P45</f>
        <v>0</v>
      </c>
      <c r="AT73" s="16">
        <f>UDs!Q45</f>
        <v>0</v>
      </c>
      <c r="AU73" s="16">
        <f>UDs!R45</f>
        <v>0</v>
      </c>
      <c r="AV73" s="50">
        <f>UDs!S45</f>
        <v>0</v>
      </c>
      <c r="AX73" s="3">
        <f t="shared" si="35"/>
        <v>0</v>
      </c>
      <c r="AY73" s="3">
        <f t="shared" si="36"/>
        <v>0</v>
      </c>
      <c r="AZ73" s="3">
        <f t="shared" si="37"/>
        <v>0</v>
      </c>
      <c r="BA73" s="213"/>
    </row>
    <row r="74" spans="1:53" s="13" customFormat="1" ht="21.6" customHeight="1" x14ac:dyDescent="0.35">
      <c r="A74" s="204"/>
      <c r="B74" s="96" t="str">
        <f>UDs!F46</f>
        <v/>
      </c>
      <c r="C74" s="206">
        <f>Sgmt!B20</f>
        <v>0</v>
      </c>
      <c r="D74" s="33">
        <f>UnDi12</f>
        <v>0</v>
      </c>
      <c r="E74" s="191">
        <f t="shared" si="34"/>
        <v>0</v>
      </c>
      <c r="F74" s="349"/>
      <c r="G74" s="349"/>
      <c r="H74" s="349"/>
      <c r="I74" s="349"/>
      <c r="J74" s="349"/>
      <c r="K74" s="350"/>
      <c r="L74" s="349"/>
      <c r="M74" s="349"/>
      <c r="N74" s="349"/>
      <c r="O74" s="349"/>
      <c r="P74" s="350"/>
      <c r="Q74" s="349"/>
      <c r="R74" s="349"/>
      <c r="S74" s="349"/>
      <c r="T74" s="351"/>
      <c r="U74" s="350"/>
      <c r="V74" s="349"/>
      <c r="W74" s="349"/>
      <c r="X74" s="349"/>
      <c r="Y74" s="349"/>
      <c r="Z74" s="350"/>
      <c r="AA74" s="349"/>
      <c r="AB74" s="349"/>
      <c r="AC74" s="349"/>
      <c r="AD74" s="349"/>
      <c r="AE74" s="350"/>
      <c r="AF74" s="349"/>
      <c r="AG74" s="349"/>
      <c r="AH74" s="349"/>
      <c r="AI74" s="351"/>
      <c r="AJ74" s="75"/>
      <c r="AK74" s="47">
        <f>UDs!H46</f>
        <v>0</v>
      </c>
      <c r="AL74" s="15">
        <f>UDs!I46</f>
        <v>0</v>
      </c>
      <c r="AM74" s="48">
        <f>UDs!J46</f>
        <v>0</v>
      </c>
      <c r="AN74" s="15">
        <f>UDs!K46</f>
        <v>0</v>
      </c>
      <c r="AO74" s="15">
        <f>UDs!L46</f>
        <v>0</v>
      </c>
      <c r="AP74" s="48">
        <f>UDs!M46</f>
        <v>0</v>
      </c>
      <c r="AQ74" s="15">
        <f>UDs!N46</f>
        <v>0</v>
      </c>
      <c r="AR74" s="15">
        <f>UDs!O46</f>
        <v>0</v>
      </c>
      <c r="AS74" s="48">
        <f>UDs!P46</f>
        <v>0</v>
      </c>
      <c r="AT74" s="15">
        <f>UDs!Q46</f>
        <v>0</v>
      </c>
      <c r="AU74" s="15">
        <f>UDs!R46</f>
        <v>0</v>
      </c>
      <c r="AV74" s="48">
        <f>UDs!S46</f>
        <v>0</v>
      </c>
      <c r="AX74" s="2">
        <f t="shared" si="35"/>
        <v>0</v>
      </c>
      <c r="AY74" s="2">
        <f t="shared" si="36"/>
        <v>0</v>
      </c>
      <c r="AZ74" s="2">
        <f t="shared" si="37"/>
        <v>0</v>
      </c>
      <c r="BA74" s="213"/>
    </row>
    <row r="75" spans="1:53" s="13" customFormat="1" ht="21.6" customHeight="1" x14ac:dyDescent="0.35">
      <c r="A75" s="204"/>
      <c r="B75" s="96" t="str">
        <f>UDs!F47</f>
        <v/>
      </c>
      <c r="C75" s="206">
        <f>Sgmt!B21</f>
        <v>0</v>
      </c>
      <c r="D75" s="33">
        <f>UnDi13</f>
        <v>0</v>
      </c>
      <c r="E75" s="191">
        <f t="shared" si="34"/>
        <v>0</v>
      </c>
      <c r="F75" s="349"/>
      <c r="G75" s="349"/>
      <c r="H75" s="349"/>
      <c r="I75" s="349"/>
      <c r="J75" s="349"/>
      <c r="K75" s="350"/>
      <c r="L75" s="349"/>
      <c r="M75" s="349"/>
      <c r="N75" s="349"/>
      <c r="O75" s="349"/>
      <c r="P75" s="350"/>
      <c r="Q75" s="349"/>
      <c r="R75" s="349"/>
      <c r="S75" s="349"/>
      <c r="T75" s="351"/>
      <c r="U75" s="350"/>
      <c r="V75" s="349"/>
      <c r="W75" s="349"/>
      <c r="X75" s="349"/>
      <c r="Y75" s="349"/>
      <c r="Z75" s="350"/>
      <c r="AA75" s="349"/>
      <c r="AB75" s="349"/>
      <c r="AC75" s="349"/>
      <c r="AD75" s="349"/>
      <c r="AE75" s="350"/>
      <c r="AF75" s="349"/>
      <c r="AG75" s="349"/>
      <c r="AH75" s="349"/>
      <c r="AI75" s="351"/>
      <c r="AJ75" s="75"/>
      <c r="AK75" s="47">
        <f>UDs!H47</f>
        <v>0</v>
      </c>
      <c r="AL75" s="15">
        <f>UDs!I47</f>
        <v>0</v>
      </c>
      <c r="AM75" s="48">
        <f>UDs!J47</f>
        <v>0</v>
      </c>
      <c r="AN75" s="15">
        <f>UDs!K47</f>
        <v>0</v>
      </c>
      <c r="AO75" s="15">
        <f>UDs!L47</f>
        <v>0</v>
      </c>
      <c r="AP75" s="48">
        <f>UDs!M47</f>
        <v>0</v>
      </c>
      <c r="AQ75" s="15">
        <f>UDs!N47</f>
        <v>0</v>
      </c>
      <c r="AR75" s="15">
        <f>UDs!O47</f>
        <v>0</v>
      </c>
      <c r="AS75" s="48">
        <f>UDs!P47</f>
        <v>0</v>
      </c>
      <c r="AT75" s="15">
        <f>UDs!Q47</f>
        <v>0</v>
      </c>
      <c r="AU75" s="15">
        <f>UDs!R47</f>
        <v>0</v>
      </c>
      <c r="AV75" s="48">
        <f>UDs!S47</f>
        <v>0</v>
      </c>
      <c r="AX75" s="2">
        <f t="shared" si="35"/>
        <v>0</v>
      </c>
      <c r="AY75" s="2">
        <f t="shared" si="36"/>
        <v>0</v>
      </c>
      <c r="AZ75" s="2">
        <f t="shared" si="37"/>
        <v>0</v>
      </c>
      <c r="BA75" s="213"/>
    </row>
    <row r="76" spans="1:53" s="13" customFormat="1" ht="21.6" customHeight="1" x14ac:dyDescent="0.35">
      <c r="A76" s="204"/>
      <c r="B76" s="96" t="str">
        <f>UDs!F48</f>
        <v/>
      </c>
      <c r="C76" s="207">
        <f>Sgmt!B22</f>
        <v>0</v>
      </c>
      <c r="D76" s="86">
        <f>UnDi14</f>
        <v>0</v>
      </c>
      <c r="E76" s="192">
        <f t="shared" si="34"/>
        <v>0</v>
      </c>
      <c r="F76" s="352"/>
      <c r="G76" s="352"/>
      <c r="H76" s="352"/>
      <c r="I76" s="352"/>
      <c r="J76" s="352"/>
      <c r="K76" s="353"/>
      <c r="L76" s="352"/>
      <c r="M76" s="352"/>
      <c r="N76" s="352"/>
      <c r="O76" s="352"/>
      <c r="P76" s="353"/>
      <c r="Q76" s="352"/>
      <c r="R76" s="352"/>
      <c r="S76" s="352"/>
      <c r="T76" s="354"/>
      <c r="U76" s="353"/>
      <c r="V76" s="352"/>
      <c r="W76" s="352"/>
      <c r="X76" s="352"/>
      <c r="Y76" s="352"/>
      <c r="Z76" s="353"/>
      <c r="AA76" s="352"/>
      <c r="AB76" s="352"/>
      <c r="AC76" s="352"/>
      <c r="AD76" s="352"/>
      <c r="AE76" s="353"/>
      <c r="AF76" s="352"/>
      <c r="AG76" s="352"/>
      <c r="AH76" s="352"/>
      <c r="AI76" s="354"/>
      <c r="AJ76" s="75"/>
      <c r="AK76" s="49">
        <f>UDs!H48</f>
        <v>0</v>
      </c>
      <c r="AL76" s="16">
        <f>UDs!I48</f>
        <v>0</v>
      </c>
      <c r="AM76" s="50">
        <f>UDs!J48</f>
        <v>0</v>
      </c>
      <c r="AN76" s="16">
        <f>UDs!K48</f>
        <v>0</v>
      </c>
      <c r="AO76" s="16">
        <f>UDs!L48</f>
        <v>0</v>
      </c>
      <c r="AP76" s="50">
        <f>UDs!M48</f>
        <v>0</v>
      </c>
      <c r="AQ76" s="16">
        <f>UDs!N48</f>
        <v>0</v>
      </c>
      <c r="AR76" s="16">
        <f>UDs!O48</f>
        <v>0</v>
      </c>
      <c r="AS76" s="50">
        <f>UDs!P48</f>
        <v>0</v>
      </c>
      <c r="AT76" s="16">
        <f>UDs!Q48</f>
        <v>0</v>
      </c>
      <c r="AU76" s="16">
        <f>UDs!R48</f>
        <v>0</v>
      </c>
      <c r="AV76" s="50">
        <f>UDs!S48</f>
        <v>0</v>
      </c>
      <c r="AX76" s="3">
        <f t="shared" si="35"/>
        <v>0</v>
      </c>
      <c r="AY76" s="3">
        <f t="shared" si="36"/>
        <v>0</v>
      </c>
      <c r="AZ76" s="3">
        <f t="shared" si="37"/>
        <v>0</v>
      </c>
      <c r="BA76" s="213"/>
    </row>
    <row r="77" spans="1:53" s="13" customFormat="1" ht="21.6" customHeight="1" x14ac:dyDescent="0.35">
      <c r="A77" s="204"/>
      <c r="B77" s="96" t="str">
        <f>UDs!F49</f>
        <v/>
      </c>
      <c r="C77" s="206">
        <f>Sgmt!B23</f>
        <v>0</v>
      </c>
      <c r="D77" s="33">
        <f>UnDi15</f>
        <v>0</v>
      </c>
      <c r="E77" s="191">
        <f t="shared" si="34"/>
        <v>0</v>
      </c>
      <c r="F77" s="349"/>
      <c r="G77" s="349"/>
      <c r="H77" s="349"/>
      <c r="I77" s="349"/>
      <c r="J77" s="349"/>
      <c r="K77" s="350"/>
      <c r="L77" s="349"/>
      <c r="M77" s="349"/>
      <c r="N77" s="349"/>
      <c r="O77" s="349"/>
      <c r="P77" s="350"/>
      <c r="Q77" s="349"/>
      <c r="R77" s="349"/>
      <c r="S77" s="349"/>
      <c r="T77" s="351"/>
      <c r="U77" s="350"/>
      <c r="V77" s="349"/>
      <c r="W77" s="349"/>
      <c r="X77" s="349"/>
      <c r="Y77" s="349"/>
      <c r="Z77" s="350"/>
      <c r="AA77" s="349"/>
      <c r="AB77" s="349"/>
      <c r="AC77" s="349"/>
      <c r="AD77" s="349"/>
      <c r="AE77" s="350"/>
      <c r="AF77" s="349"/>
      <c r="AG77" s="349"/>
      <c r="AH77" s="349"/>
      <c r="AI77" s="351"/>
      <c r="AJ77" s="75"/>
      <c r="AK77" s="47">
        <f>UDs!H49</f>
        <v>0</v>
      </c>
      <c r="AL77" s="15">
        <f>UDs!I49</f>
        <v>0</v>
      </c>
      <c r="AM77" s="48">
        <f>UDs!J49</f>
        <v>0</v>
      </c>
      <c r="AN77" s="15">
        <f>UDs!K49</f>
        <v>0</v>
      </c>
      <c r="AO77" s="15">
        <f>UDs!L49</f>
        <v>0</v>
      </c>
      <c r="AP77" s="48">
        <f>UDs!M49</f>
        <v>0</v>
      </c>
      <c r="AQ77" s="15">
        <f>UDs!N49</f>
        <v>0</v>
      </c>
      <c r="AR77" s="15">
        <f>UDs!O49</f>
        <v>0</v>
      </c>
      <c r="AS77" s="48">
        <f>UDs!P49</f>
        <v>0</v>
      </c>
      <c r="AT77" s="15">
        <f>UDs!Q49</f>
        <v>0</v>
      </c>
      <c r="AU77" s="15">
        <f>UDs!R49</f>
        <v>0</v>
      </c>
      <c r="AV77" s="48">
        <f>UDs!S49</f>
        <v>0</v>
      </c>
      <c r="AX77" s="2">
        <f t="shared" si="35"/>
        <v>0</v>
      </c>
      <c r="AY77" s="2">
        <f t="shared" si="36"/>
        <v>0</v>
      </c>
      <c r="AZ77" s="2">
        <f t="shared" si="37"/>
        <v>0</v>
      </c>
      <c r="BA77" s="213"/>
    </row>
    <row r="78" spans="1:53" s="13" customFormat="1" ht="21.6" customHeight="1" x14ac:dyDescent="0.35">
      <c r="A78" s="204"/>
      <c r="B78" s="96" t="str">
        <f>UDs!F50</f>
        <v/>
      </c>
      <c r="C78" s="206">
        <f>Sgmt!B24</f>
        <v>0</v>
      </c>
      <c r="D78" s="33">
        <f>UnDi16</f>
        <v>0</v>
      </c>
      <c r="E78" s="191">
        <f t="shared" si="34"/>
        <v>0</v>
      </c>
      <c r="F78" s="349"/>
      <c r="G78" s="349"/>
      <c r="H78" s="349"/>
      <c r="I78" s="349"/>
      <c r="J78" s="349"/>
      <c r="K78" s="350"/>
      <c r="L78" s="349"/>
      <c r="M78" s="349"/>
      <c r="N78" s="349"/>
      <c r="O78" s="349"/>
      <c r="P78" s="350"/>
      <c r="Q78" s="349"/>
      <c r="R78" s="349"/>
      <c r="S78" s="349"/>
      <c r="T78" s="351"/>
      <c r="U78" s="350"/>
      <c r="V78" s="349"/>
      <c r="W78" s="349"/>
      <c r="X78" s="349"/>
      <c r="Y78" s="349"/>
      <c r="Z78" s="350"/>
      <c r="AA78" s="349"/>
      <c r="AB78" s="349"/>
      <c r="AC78" s="349"/>
      <c r="AD78" s="349"/>
      <c r="AE78" s="350"/>
      <c r="AF78" s="349"/>
      <c r="AG78" s="349"/>
      <c r="AH78" s="349"/>
      <c r="AI78" s="351"/>
      <c r="AJ78" s="75"/>
      <c r="AK78" s="47">
        <f>UDs!H50</f>
        <v>0</v>
      </c>
      <c r="AL78" s="15">
        <f>UDs!I50</f>
        <v>0</v>
      </c>
      <c r="AM78" s="48">
        <f>UDs!J50</f>
        <v>0</v>
      </c>
      <c r="AN78" s="15">
        <f>UDs!K50</f>
        <v>0</v>
      </c>
      <c r="AO78" s="15">
        <f>UDs!L50</f>
        <v>0</v>
      </c>
      <c r="AP78" s="48">
        <f>UDs!M50</f>
        <v>0</v>
      </c>
      <c r="AQ78" s="15">
        <f>UDs!N50</f>
        <v>0</v>
      </c>
      <c r="AR78" s="15">
        <f>UDs!O50</f>
        <v>0</v>
      </c>
      <c r="AS78" s="48">
        <f>UDs!P50</f>
        <v>0</v>
      </c>
      <c r="AT78" s="15">
        <f>UDs!Q50</f>
        <v>0</v>
      </c>
      <c r="AU78" s="15">
        <f>UDs!R50</f>
        <v>0</v>
      </c>
      <c r="AV78" s="48">
        <f>UDs!S50</f>
        <v>0</v>
      </c>
      <c r="AX78" s="2">
        <f t="shared" si="35"/>
        <v>0</v>
      </c>
      <c r="AY78" s="2">
        <f t="shared" si="36"/>
        <v>0</v>
      </c>
      <c r="AZ78" s="2">
        <f t="shared" si="37"/>
        <v>0</v>
      </c>
      <c r="BA78" s="213"/>
    </row>
    <row r="79" spans="1:53" s="13" customFormat="1" ht="21.6" customHeight="1" x14ac:dyDescent="0.35">
      <c r="A79" s="204"/>
      <c r="B79" s="96" t="str">
        <f>UDs!F51</f>
        <v/>
      </c>
      <c r="C79" s="207">
        <f>Sgmt!B25</f>
        <v>0</v>
      </c>
      <c r="D79" s="86">
        <f>UnDi17</f>
        <v>0</v>
      </c>
      <c r="E79" s="192">
        <f t="shared" si="34"/>
        <v>0</v>
      </c>
      <c r="F79" s="352"/>
      <c r="G79" s="352"/>
      <c r="H79" s="352"/>
      <c r="I79" s="352"/>
      <c r="J79" s="352"/>
      <c r="K79" s="353"/>
      <c r="L79" s="352"/>
      <c r="M79" s="352"/>
      <c r="N79" s="352"/>
      <c r="O79" s="352"/>
      <c r="P79" s="353"/>
      <c r="Q79" s="352"/>
      <c r="R79" s="352"/>
      <c r="S79" s="352"/>
      <c r="T79" s="354"/>
      <c r="U79" s="353"/>
      <c r="V79" s="352"/>
      <c r="W79" s="352"/>
      <c r="X79" s="352"/>
      <c r="Y79" s="352"/>
      <c r="Z79" s="353"/>
      <c r="AA79" s="352"/>
      <c r="AB79" s="352"/>
      <c r="AC79" s="352"/>
      <c r="AD79" s="352"/>
      <c r="AE79" s="353"/>
      <c r="AF79" s="352"/>
      <c r="AG79" s="352"/>
      <c r="AH79" s="352"/>
      <c r="AI79" s="354"/>
      <c r="AJ79" s="75"/>
      <c r="AK79" s="49">
        <f>UDs!H51</f>
        <v>0</v>
      </c>
      <c r="AL79" s="16">
        <f>UDs!I51</f>
        <v>0</v>
      </c>
      <c r="AM79" s="50">
        <f>UDs!J51</f>
        <v>0</v>
      </c>
      <c r="AN79" s="16">
        <f>UDs!K51</f>
        <v>0</v>
      </c>
      <c r="AO79" s="16">
        <f>UDs!L51</f>
        <v>0</v>
      </c>
      <c r="AP79" s="50">
        <f>UDs!M51</f>
        <v>0</v>
      </c>
      <c r="AQ79" s="16">
        <f>UDs!N51</f>
        <v>0</v>
      </c>
      <c r="AR79" s="16">
        <f>UDs!O51</f>
        <v>0</v>
      </c>
      <c r="AS79" s="50">
        <f>UDs!P51</f>
        <v>0</v>
      </c>
      <c r="AT79" s="16">
        <f>UDs!Q51</f>
        <v>0</v>
      </c>
      <c r="AU79" s="16">
        <f>UDs!R51</f>
        <v>0</v>
      </c>
      <c r="AV79" s="50">
        <f>UDs!S51</f>
        <v>0</v>
      </c>
      <c r="AX79" s="3">
        <f t="shared" si="35"/>
        <v>0</v>
      </c>
      <c r="AY79" s="3">
        <f t="shared" si="36"/>
        <v>0</v>
      </c>
      <c r="AZ79" s="3">
        <f t="shared" si="37"/>
        <v>0</v>
      </c>
      <c r="BA79" s="213"/>
    </row>
    <row r="80" spans="1:53" s="13" customFormat="1" ht="21.6" customHeight="1" x14ac:dyDescent="0.35">
      <c r="A80" s="204"/>
      <c r="B80" s="96" t="str">
        <f>UDs!F52</f>
        <v/>
      </c>
      <c r="C80" s="206">
        <f>Sgmt!B26</f>
        <v>0</v>
      </c>
      <c r="D80" s="33">
        <f>UnDi18</f>
        <v>0</v>
      </c>
      <c r="E80" s="191">
        <f t="shared" si="34"/>
        <v>0</v>
      </c>
      <c r="F80" s="349"/>
      <c r="G80" s="349"/>
      <c r="H80" s="349"/>
      <c r="I80" s="349"/>
      <c r="J80" s="349"/>
      <c r="K80" s="350"/>
      <c r="L80" s="349"/>
      <c r="M80" s="349"/>
      <c r="N80" s="349"/>
      <c r="O80" s="349"/>
      <c r="P80" s="350"/>
      <c r="Q80" s="349"/>
      <c r="R80" s="349"/>
      <c r="S80" s="349"/>
      <c r="T80" s="351"/>
      <c r="U80" s="350"/>
      <c r="V80" s="349"/>
      <c r="W80" s="349"/>
      <c r="X80" s="349"/>
      <c r="Y80" s="349"/>
      <c r="Z80" s="350"/>
      <c r="AA80" s="349"/>
      <c r="AB80" s="349"/>
      <c r="AC80" s="349"/>
      <c r="AD80" s="349"/>
      <c r="AE80" s="350"/>
      <c r="AF80" s="349"/>
      <c r="AG80" s="349"/>
      <c r="AH80" s="349"/>
      <c r="AI80" s="351"/>
      <c r="AJ80" s="75"/>
      <c r="AK80" s="47">
        <f>UDs!H52</f>
        <v>0</v>
      </c>
      <c r="AL80" s="15">
        <f>UDs!I52</f>
        <v>0</v>
      </c>
      <c r="AM80" s="48">
        <f>UDs!J52</f>
        <v>0</v>
      </c>
      <c r="AN80" s="15">
        <f>UDs!K52</f>
        <v>0</v>
      </c>
      <c r="AO80" s="15">
        <f>UDs!L52</f>
        <v>0</v>
      </c>
      <c r="AP80" s="48">
        <f>UDs!M52</f>
        <v>0</v>
      </c>
      <c r="AQ80" s="15">
        <f>UDs!N52</f>
        <v>0</v>
      </c>
      <c r="AR80" s="15">
        <f>UDs!O52</f>
        <v>0</v>
      </c>
      <c r="AS80" s="48">
        <f>UDs!P52</f>
        <v>0</v>
      </c>
      <c r="AT80" s="15">
        <f>UDs!Q52</f>
        <v>0</v>
      </c>
      <c r="AU80" s="15">
        <f>UDs!R52</f>
        <v>0</v>
      </c>
      <c r="AV80" s="48">
        <f>UDs!S52</f>
        <v>0</v>
      </c>
      <c r="AX80" s="2">
        <f t="shared" si="35"/>
        <v>0</v>
      </c>
      <c r="AY80" s="2">
        <f t="shared" si="36"/>
        <v>0</v>
      </c>
      <c r="AZ80" s="2">
        <f t="shared" si="37"/>
        <v>0</v>
      </c>
      <c r="BA80" s="213"/>
    </row>
    <row r="81" spans="1:53" s="13" customFormat="1" ht="21.6" customHeight="1" x14ac:dyDescent="0.35">
      <c r="A81" s="204"/>
      <c r="B81" s="96" t="str">
        <f>UDs!F53</f>
        <v/>
      </c>
      <c r="C81" s="206">
        <f>Sgmt!B27</f>
        <v>0</v>
      </c>
      <c r="D81" s="33">
        <f>UnDi19</f>
        <v>0</v>
      </c>
      <c r="E81" s="191">
        <f t="shared" si="34"/>
        <v>0</v>
      </c>
      <c r="F81" s="349"/>
      <c r="G81" s="349"/>
      <c r="H81" s="349"/>
      <c r="I81" s="349"/>
      <c r="J81" s="349"/>
      <c r="K81" s="350"/>
      <c r="L81" s="349"/>
      <c r="M81" s="349"/>
      <c r="N81" s="349"/>
      <c r="O81" s="349"/>
      <c r="P81" s="350"/>
      <c r="Q81" s="349"/>
      <c r="R81" s="349"/>
      <c r="S81" s="349"/>
      <c r="T81" s="351"/>
      <c r="U81" s="350"/>
      <c r="V81" s="349"/>
      <c r="W81" s="349"/>
      <c r="X81" s="349"/>
      <c r="Y81" s="349"/>
      <c r="Z81" s="350"/>
      <c r="AA81" s="349"/>
      <c r="AB81" s="349"/>
      <c r="AC81" s="349"/>
      <c r="AD81" s="349"/>
      <c r="AE81" s="350"/>
      <c r="AF81" s="349"/>
      <c r="AG81" s="349"/>
      <c r="AH81" s="349"/>
      <c r="AI81" s="351"/>
      <c r="AJ81" s="75"/>
      <c r="AK81" s="47">
        <f>UDs!H53</f>
        <v>0</v>
      </c>
      <c r="AL81" s="15">
        <f>UDs!I53</f>
        <v>0</v>
      </c>
      <c r="AM81" s="48">
        <f>UDs!J53</f>
        <v>0</v>
      </c>
      <c r="AN81" s="15">
        <f>UDs!K53</f>
        <v>0</v>
      </c>
      <c r="AO81" s="15">
        <f>UDs!L53</f>
        <v>0</v>
      </c>
      <c r="AP81" s="48">
        <f>UDs!M53</f>
        <v>0</v>
      </c>
      <c r="AQ81" s="15">
        <f>UDs!N53</f>
        <v>0</v>
      </c>
      <c r="AR81" s="15">
        <f>UDs!O53</f>
        <v>0</v>
      </c>
      <c r="AS81" s="48">
        <f>UDs!P53</f>
        <v>0</v>
      </c>
      <c r="AT81" s="15">
        <f>UDs!Q53</f>
        <v>0</v>
      </c>
      <c r="AU81" s="15">
        <f>UDs!R53</f>
        <v>0</v>
      </c>
      <c r="AV81" s="48">
        <f>UDs!S53</f>
        <v>0</v>
      </c>
      <c r="AX81" s="2">
        <f t="shared" si="35"/>
        <v>0</v>
      </c>
      <c r="AY81" s="2">
        <f t="shared" si="36"/>
        <v>0</v>
      </c>
      <c r="AZ81" s="2">
        <f t="shared" si="37"/>
        <v>0</v>
      </c>
      <c r="BA81" s="213"/>
    </row>
    <row r="82" spans="1:53" s="13" customFormat="1" ht="21.6" customHeight="1" x14ac:dyDescent="0.35">
      <c r="A82" s="204"/>
      <c r="B82" s="96" t="str">
        <f>UDs!F54</f>
        <v/>
      </c>
      <c r="C82" s="207">
        <f>Sgmt!B28</f>
        <v>0</v>
      </c>
      <c r="D82" s="86">
        <f>UnDi20</f>
        <v>0</v>
      </c>
      <c r="E82" s="192">
        <f t="shared" si="34"/>
        <v>0</v>
      </c>
      <c r="F82" s="352"/>
      <c r="G82" s="352"/>
      <c r="H82" s="352"/>
      <c r="I82" s="352"/>
      <c r="J82" s="352"/>
      <c r="K82" s="353"/>
      <c r="L82" s="352"/>
      <c r="M82" s="352"/>
      <c r="N82" s="352"/>
      <c r="O82" s="352"/>
      <c r="P82" s="353"/>
      <c r="Q82" s="352"/>
      <c r="R82" s="352"/>
      <c r="S82" s="352"/>
      <c r="T82" s="354"/>
      <c r="U82" s="353"/>
      <c r="V82" s="352"/>
      <c r="W82" s="352"/>
      <c r="X82" s="352"/>
      <c r="Y82" s="352"/>
      <c r="Z82" s="353"/>
      <c r="AA82" s="352"/>
      <c r="AB82" s="352"/>
      <c r="AC82" s="352"/>
      <c r="AD82" s="352"/>
      <c r="AE82" s="353"/>
      <c r="AF82" s="352"/>
      <c r="AG82" s="352"/>
      <c r="AH82" s="352"/>
      <c r="AI82" s="354"/>
      <c r="AJ82" s="75"/>
      <c r="AK82" s="49">
        <f>UDs!H54</f>
        <v>0</v>
      </c>
      <c r="AL82" s="16">
        <f>UDs!I54</f>
        <v>0</v>
      </c>
      <c r="AM82" s="50">
        <f>UDs!J54</f>
        <v>0</v>
      </c>
      <c r="AN82" s="16">
        <f>UDs!K54</f>
        <v>0</v>
      </c>
      <c r="AO82" s="16">
        <f>UDs!L54</f>
        <v>0</v>
      </c>
      <c r="AP82" s="50">
        <f>UDs!M54</f>
        <v>0</v>
      </c>
      <c r="AQ82" s="16">
        <f>UDs!N54</f>
        <v>0</v>
      </c>
      <c r="AR82" s="16">
        <f>UDs!O54</f>
        <v>0</v>
      </c>
      <c r="AS82" s="50">
        <f>UDs!P54</f>
        <v>0</v>
      </c>
      <c r="AT82" s="16">
        <f>UDs!Q54</f>
        <v>0</v>
      </c>
      <c r="AU82" s="16">
        <f>UDs!R54</f>
        <v>0</v>
      </c>
      <c r="AV82" s="50">
        <f>UDs!S54</f>
        <v>0</v>
      </c>
      <c r="AX82" s="3">
        <f t="shared" si="35"/>
        <v>0</v>
      </c>
      <c r="AY82" s="3">
        <f t="shared" si="36"/>
        <v>0</v>
      </c>
      <c r="AZ82" s="3">
        <f t="shared" si="37"/>
        <v>0</v>
      </c>
      <c r="BA82" s="213"/>
    </row>
    <row r="83" spans="1:53" ht="21.6" customHeight="1" x14ac:dyDescent="0.3">
      <c r="B83" s="15"/>
      <c r="D83" s="17"/>
      <c r="E83" s="193"/>
      <c r="F83" s="56"/>
      <c r="G83" s="56"/>
      <c r="H83" s="56"/>
      <c r="I83" s="56"/>
      <c r="J83" s="193"/>
      <c r="K83" s="56"/>
      <c r="L83" s="56"/>
      <c r="M83" s="56"/>
      <c r="N83" s="56"/>
      <c r="O83" s="193"/>
      <c r="P83" s="56"/>
      <c r="Q83" s="56"/>
      <c r="R83" s="56"/>
      <c r="S83" s="56"/>
      <c r="T83" s="193"/>
      <c r="U83" s="56"/>
      <c r="V83" s="56"/>
      <c r="W83" s="56"/>
      <c r="X83" s="56"/>
      <c r="Y83" s="193"/>
      <c r="Z83" s="56"/>
      <c r="AA83" s="56"/>
      <c r="AB83" s="56"/>
      <c r="AC83" s="56"/>
      <c r="AD83" s="193"/>
      <c r="AE83" s="56"/>
      <c r="AF83" s="56"/>
      <c r="AG83" s="56"/>
      <c r="AH83" s="193"/>
      <c r="AI83" s="193"/>
      <c r="AJ83" s="88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X83" s="54"/>
      <c r="AY83" s="54"/>
      <c r="AZ83" s="54"/>
    </row>
    <row r="84" spans="1:53" ht="21.6" customHeight="1" thickBot="1" x14ac:dyDescent="0.4">
      <c r="A84" s="214"/>
      <c r="B84" s="214" t="s">
        <v>158</v>
      </c>
      <c r="C84" s="215"/>
      <c r="D84" s="215"/>
      <c r="AJ84" s="55"/>
      <c r="AW84" s="55"/>
      <c r="AX84" s="55"/>
      <c r="AY84" s="55"/>
      <c r="AZ84" s="55"/>
      <c r="BA84" s="214"/>
    </row>
    <row r="85" spans="1:53" ht="20.25" customHeight="1" thickBot="1" x14ac:dyDescent="0.4">
      <c r="A85" s="214"/>
      <c r="B85" s="17"/>
      <c r="C85" s="17"/>
      <c r="D85" s="17"/>
      <c r="E85" s="288" t="s">
        <v>180</v>
      </c>
      <c r="F85" s="195">
        <f t="shared" ref="F85:AI85" si="38">IFERROR(SUMPRODUCT($AX$88:$AX$120,F$88:F$120)/SUM($AX$88:$AX$119),"SD")</f>
        <v>0</v>
      </c>
      <c r="G85" s="196">
        <f t="shared" si="38"/>
        <v>0</v>
      </c>
      <c r="H85" s="196">
        <f t="shared" si="38"/>
        <v>0</v>
      </c>
      <c r="I85" s="196">
        <f t="shared" si="38"/>
        <v>0</v>
      </c>
      <c r="J85" s="196">
        <f t="shared" si="38"/>
        <v>0</v>
      </c>
      <c r="K85" s="196">
        <f t="shared" si="38"/>
        <v>0</v>
      </c>
      <c r="L85" s="196">
        <f t="shared" si="38"/>
        <v>0</v>
      </c>
      <c r="M85" s="196">
        <f t="shared" si="38"/>
        <v>0</v>
      </c>
      <c r="N85" s="196">
        <f t="shared" si="38"/>
        <v>0</v>
      </c>
      <c r="O85" s="196">
        <f t="shared" si="38"/>
        <v>0</v>
      </c>
      <c r="P85" s="196">
        <f t="shared" si="38"/>
        <v>0</v>
      </c>
      <c r="Q85" s="196">
        <f t="shared" si="38"/>
        <v>0</v>
      </c>
      <c r="R85" s="196">
        <f t="shared" si="38"/>
        <v>0</v>
      </c>
      <c r="S85" s="196">
        <f t="shared" si="38"/>
        <v>0</v>
      </c>
      <c r="T85" s="196">
        <f t="shared" si="38"/>
        <v>0</v>
      </c>
      <c r="U85" s="196">
        <f t="shared" si="38"/>
        <v>0</v>
      </c>
      <c r="V85" s="196">
        <f t="shared" si="38"/>
        <v>0</v>
      </c>
      <c r="W85" s="196">
        <f t="shared" si="38"/>
        <v>0</v>
      </c>
      <c r="X85" s="196">
        <f t="shared" si="38"/>
        <v>0</v>
      </c>
      <c r="Y85" s="196">
        <f t="shared" si="38"/>
        <v>0</v>
      </c>
      <c r="Z85" s="196">
        <f t="shared" si="38"/>
        <v>0</v>
      </c>
      <c r="AA85" s="196">
        <f t="shared" si="38"/>
        <v>0</v>
      </c>
      <c r="AB85" s="196">
        <f t="shared" si="38"/>
        <v>0</v>
      </c>
      <c r="AC85" s="196">
        <f t="shared" si="38"/>
        <v>0</v>
      </c>
      <c r="AD85" s="196">
        <f t="shared" si="38"/>
        <v>0</v>
      </c>
      <c r="AE85" s="196">
        <f t="shared" si="38"/>
        <v>0</v>
      </c>
      <c r="AF85" s="196">
        <f t="shared" si="38"/>
        <v>0</v>
      </c>
      <c r="AG85" s="196">
        <f t="shared" si="38"/>
        <v>0</v>
      </c>
      <c r="AH85" s="196">
        <f t="shared" si="38"/>
        <v>0</v>
      </c>
      <c r="AI85" s="197">
        <f t="shared" si="38"/>
        <v>0</v>
      </c>
      <c r="AK85" s="1212" t="str">
        <f>CoRA01</f>
        <v>RA01</v>
      </c>
      <c r="AL85" s="1214" t="str">
        <f>CoRA02</f>
        <v>RA02</v>
      </c>
      <c r="AM85" s="1210" t="str">
        <f>CoRA03</f>
        <v>RA03</v>
      </c>
      <c r="AN85" s="1212" t="str">
        <f>CoRA04</f>
        <v>RA04</v>
      </c>
      <c r="AO85" s="1214" t="str">
        <f>CoRA05</f>
        <v>RA05</v>
      </c>
      <c r="AP85" s="1210" t="str">
        <f>CoRA06</f>
        <v>RA06</v>
      </c>
      <c r="AQ85" s="1212" t="str">
        <f>CoRA07</f>
        <v/>
      </c>
      <c r="AR85" s="1214" t="str">
        <f>CoRA08</f>
        <v/>
      </c>
      <c r="AS85" s="1210" t="str">
        <f>CoRA09</f>
        <v/>
      </c>
      <c r="AT85" s="1212" t="str">
        <f>CoRA10</f>
        <v/>
      </c>
      <c r="AU85" s="1214" t="str">
        <f>CoRA11</f>
        <v/>
      </c>
      <c r="AV85" s="1210" t="str">
        <f>CoRA12</f>
        <v/>
      </c>
      <c r="AX85" s="38" t="s">
        <v>180</v>
      </c>
      <c r="AY85" s="39" t="s">
        <v>181</v>
      </c>
      <c r="AZ85" s="40" t="s">
        <v>182</v>
      </c>
      <c r="BA85" s="214"/>
    </row>
    <row r="86" spans="1:53" ht="20.25" customHeight="1" x14ac:dyDescent="0.35">
      <c r="A86" s="214"/>
      <c r="D86" s="80"/>
      <c r="E86" s="289" t="s">
        <v>181</v>
      </c>
      <c r="F86" s="198" t="str">
        <f t="shared" ref="F86:AI86" si="39">IFERROR(SUMPRODUCT($AY$88:$AY$120,F$88:F$120)/SUM($AY$88:$AY$120),"SD")</f>
        <v>SD</v>
      </c>
      <c r="G86" s="199" t="str">
        <f t="shared" si="39"/>
        <v>SD</v>
      </c>
      <c r="H86" s="199" t="str">
        <f t="shared" si="39"/>
        <v>SD</v>
      </c>
      <c r="I86" s="199" t="str">
        <f t="shared" si="39"/>
        <v>SD</v>
      </c>
      <c r="J86" s="199" t="str">
        <f t="shared" si="39"/>
        <v>SD</v>
      </c>
      <c r="K86" s="199" t="str">
        <f t="shared" si="39"/>
        <v>SD</v>
      </c>
      <c r="L86" s="199" t="str">
        <f t="shared" si="39"/>
        <v>SD</v>
      </c>
      <c r="M86" s="199" t="str">
        <f t="shared" si="39"/>
        <v>SD</v>
      </c>
      <c r="N86" s="199" t="str">
        <f t="shared" si="39"/>
        <v>SD</v>
      </c>
      <c r="O86" s="199" t="str">
        <f t="shared" si="39"/>
        <v>SD</v>
      </c>
      <c r="P86" s="199" t="str">
        <f t="shared" si="39"/>
        <v>SD</v>
      </c>
      <c r="Q86" s="199" t="str">
        <f t="shared" si="39"/>
        <v>SD</v>
      </c>
      <c r="R86" s="199" t="str">
        <f t="shared" si="39"/>
        <v>SD</v>
      </c>
      <c r="S86" s="199" t="str">
        <f t="shared" si="39"/>
        <v>SD</v>
      </c>
      <c r="T86" s="199" t="str">
        <f t="shared" si="39"/>
        <v>SD</v>
      </c>
      <c r="U86" s="199" t="str">
        <f t="shared" si="39"/>
        <v>SD</v>
      </c>
      <c r="V86" s="199" t="str">
        <f t="shared" si="39"/>
        <v>SD</v>
      </c>
      <c r="W86" s="199" t="str">
        <f t="shared" si="39"/>
        <v>SD</v>
      </c>
      <c r="X86" s="199" t="str">
        <f t="shared" si="39"/>
        <v>SD</v>
      </c>
      <c r="Y86" s="199" t="str">
        <f t="shared" si="39"/>
        <v>SD</v>
      </c>
      <c r="Z86" s="199" t="str">
        <f t="shared" si="39"/>
        <v>SD</v>
      </c>
      <c r="AA86" s="199" t="str">
        <f t="shared" si="39"/>
        <v>SD</v>
      </c>
      <c r="AB86" s="199" t="str">
        <f t="shared" si="39"/>
        <v>SD</v>
      </c>
      <c r="AC86" s="199" t="str">
        <f t="shared" si="39"/>
        <v>SD</v>
      </c>
      <c r="AD86" s="199" t="str">
        <f t="shared" si="39"/>
        <v>SD</v>
      </c>
      <c r="AE86" s="199" t="str">
        <f t="shared" si="39"/>
        <v>SD</v>
      </c>
      <c r="AF86" s="199" t="str">
        <f t="shared" si="39"/>
        <v>SD</v>
      </c>
      <c r="AG86" s="199" t="str">
        <f t="shared" si="39"/>
        <v>SD</v>
      </c>
      <c r="AH86" s="199" t="str">
        <f t="shared" si="39"/>
        <v>SD</v>
      </c>
      <c r="AI86" s="200" t="str">
        <f t="shared" si="39"/>
        <v>SD</v>
      </c>
      <c r="AK86" s="1212"/>
      <c r="AL86" s="1214"/>
      <c r="AM86" s="1210"/>
      <c r="AN86" s="1212"/>
      <c r="AO86" s="1214"/>
      <c r="AP86" s="1210"/>
      <c r="AQ86" s="1212"/>
      <c r="AR86" s="1214"/>
      <c r="AS86" s="1210"/>
      <c r="AT86" s="1212"/>
      <c r="AU86" s="1214"/>
      <c r="AV86" s="1210"/>
      <c r="AX86" s="183" t="s">
        <v>167</v>
      </c>
      <c r="AY86" s="184" t="s">
        <v>167</v>
      </c>
      <c r="AZ86" s="185" t="s">
        <v>167</v>
      </c>
      <c r="BA86" s="214"/>
    </row>
    <row r="87" spans="1:53" ht="20.25" customHeight="1" thickBot="1" x14ac:dyDescent="0.4">
      <c r="A87" s="214"/>
      <c r="B87" s="81" t="s">
        <v>153</v>
      </c>
      <c r="C87" s="81" t="s">
        <v>128</v>
      </c>
      <c r="D87" s="82" t="s">
        <v>129</v>
      </c>
      <c r="E87" s="299" t="s">
        <v>182</v>
      </c>
      <c r="F87" s="201" t="str">
        <f t="shared" ref="F87:AI87" si="40">IFERROR(SUMPRODUCT($AZ$88:$AZ$120,F$88:F$120)/SUM($AZ$88:$AZ$120),"SD")</f>
        <v>SD</v>
      </c>
      <c r="G87" s="202" t="str">
        <f t="shared" si="40"/>
        <v>SD</v>
      </c>
      <c r="H87" s="202" t="str">
        <f t="shared" si="40"/>
        <v>SD</v>
      </c>
      <c r="I87" s="202" t="str">
        <f t="shared" si="40"/>
        <v>SD</v>
      </c>
      <c r="J87" s="202" t="str">
        <f t="shared" si="40"/>
        <v>SD</v>
      </c>
      <c r="K87" s="202" t="str">
        <f t="shared" si="40"/>
        <v>SD</v>
      </c>
      <c r="L87" s="202" t="str">
        <f t="shared" si="40"/>
        <v>SD</v>
      </c>
      <c r="M87" s="202" t="str">
        <f t="shared" si="40"/>
        <v>SD</v>
      </c>
      <c r="N87" s="202" t="str">
        <f t="shared" si="40"/>
        <v>SD</v>
      </c>
      <c r="O87" s="202" t="str">
        <f t="shared" si="40"/>
        <v>SD</v>
      </c>
      <c r="P87" s="202" t="str">
        <f t="shared" si="40"/>
        <v>SD</v>
      </c>
      <c r="Q87" s="202" t="str">
        <f t="shared" si="40"/>
        <v>SD</v>
      </c>
      <c r="R87" s="202" t="str">
        <f t="shared" si="40"/>
        <v>SD</v>
      </c>
      <c r="S87" s="202" t="str">
        <f t="shared" si="40"/>
        <v>SD</v>
      </c>
      <c r="T87" s="202" t="str">
        <f t="shared" si="40"/>
        <v>SD</v>
      </c>
      <c r="U87" s="202" t="str">
        <f t="shared" si="40"/>
        <v>SD</v>
      </c>
      <c r="V87" s="202" t="str">
        <f t="shared" si="40"/>
        <v>SD</v>
      </c>
      <c r="W87" s="202" t="str">
        <f t="shared" si="40"/>
        <v>SD</v>
      </c>
      <c r="X87" s="202" t="str">
        <f t="shared" si="40"/>
        <v>SD</v>
      </c>
      <c r="Y87" s="202" t="str">
        <f t="shared" si="40"/>
        <v>SD</v>
      </c>
      <c r="Z87" s="202" t="str">
        <f t="shared" si="40"/>
        <v>SD</v>
      </c>
      <c r="AA87" s="202" t="str">
        <f t="shared" si="40"/>
        <v>SD</v>
      </c>
      <c r="AB87" s="202" t="str">
        <f t="shared" si="40"/>
        <v>SD</v>
      </c>
      <c r="AC87" s="202" t="str">
        <f t="shared" si="40"/>
        <v>SD</v>
      </c>
      <c r="AD87" s="202" t="str">
        <f t="shared" si="40"/>
        <v>SD</v>
      </c>
      <c r="AE87" s="202" t="str">
        <f t="shared" si="40"/>
        <v>SD</v>
      </c>
      <c r="AF87" s="202" t="str">
        <f t="shared" si="40"/>
        <v>SD</v>
      </c>
      <c r="AG87" s="202" t="str">
        <f t="shared" si="40"/>
        <v>SD</v>
      </c>
      <c r="AH87" s="202" t="str">
        <f t="shared" si="40"/>
        <v>SD</v>
      </c>
      <c r="AI87" s="203" t="str">
        <f t="shared" si="40"/>
        <v>SD</v>
      </c>
      <c r="AK87" s="1213"/>
      <c r="AL87" s="1215"/>
      <c r="AM87" s="1211"/>
      <c r="AN87" s="1213"/>
      <c r="AO87" s="1215"/>
      <c r="AP87" s="1211"/>
      <c r="AQ87" s="1213"/>
      <c r="AR87" s="1215"/>
      <c r="AS87" s="1211"/>
      <c r="AT87" s="1213"/>
      <c r="AU87" s="1215"/>
      <c r="AV87" s="1211"/>
      <c r="AX87" s="557">
        <f t="shared" ref="AX87:AY87" si="41">COUNTIFS(AX88:AX120,"&gt;0")</f>
        <v>3</v>
      </c>
      <c r="AY87" s="556">
        <f t="shared" si="41"/>
        <v>0</v>
      </c>
      <c r="AZ87" s="558">
        <f>COUNTIFS(AZ88:AZ120,"&gt;0")</f>
        <v>0</v>
      </c>
      <c r="BA87" s="214"/>
    </row>
    <row r="88" spans="1:53" ht="18.75" customHeight="1" x14ac:dyDescent="0.35">
      <c r="A88" s="214"/>
      <c r="B88" s="97">
        <f>UDs!F62</f>
        <v>45916</v>
      </c>
      <c r="C88" s="216" t="str">
        <f>UDs!B62</f>
        <v>Pr01</v>
      </c>
      <c r="D88" s="33" t="str">
        <f>UDs!D62</f>
        <v>aasds</v>
      </c>
      <c r="E88" s="191">
        <f t="shared" ref="E88:E120" si="42">IFERROR(AVERAGEIFS(F88:AI88,F88:AI88,"&gt;0"),0)</f>
        <v>0</v>
      </c>
      <c r="F88" s="336"/>
      <c r="G88" s="336"/>
      <c r="H88" s="336"/>
      <c r="I88" s="336"/>
      <c r="J88" s="336"/>
      <c r="K88" s="355"/>
      <c r="L88" s="336"/>
      <c r="M88" s="336"/>
      <c r="N88" s="336"/>
      <c r="O88" s="336"/>
      <c r="P88" s="355"/>
      <c r="Q88" s="336"/>
      <c r="R88" s="336"/>
      <c r="S88" s="336"/>
      <c r="T88" s="356"/>
      <c r="U88" s="336"/>
      <c r="V88" s="336"/>
      <c r="W88" s="336"/>
      <c r="X88" s="336"/>
      <c r="Y88" s="336"/>
      <c r="Z88" s="355"/>
      <c r="AA88" s="336"/>
      <c r="AB88" s="336"/>
      <c r="AC88" s="336"/>
      <c r="AD88" s="336"/>
      <c r="AE88" s="355"/>
      <c r="AF88" s="336"/>
      <c r="AG88" s="336"/>
      <c r="AH88" s="336"/>
      <c r="AI88" s="356"/>
      <c r="AK88" s="85" t="str">
        <f>UDs!H62</f>
        <v>X</v>
      </c>
      <c r="AL88" s="15">
        <f>UDs!I62</f>
        <v>0</v>
      </c>
      <c r="AM88" s="48">
        <f>UDs!J62</f>
        <v>0</v>
      </c>
      <c r="AN88" s="15">
        <f>UDs!K62</f>
        <v>0</v>
      </c>
      <c r="AO88" s="15">
        <f>UDs!L62</f>
        <v>0</v>
      </c>
      <c r="AP88" s="48">
        <f>UDs!M62</f>
        <v>0</v>
      </c>
      <c r="AQ88" s="15">
        <f>UDs!N62</f>
        <v>0</v>
      </c>
      <c r="AR88" s="15">
        <f>UDs!O62</f>
        <v>0</v>
      </c>
      <c r="AS88" s="48">
        <f>UDs!P62</f>
        <v>0</v>
      </c>
      <c r="AT88" s="15">
        <f>UDs!Q62</f>
        <v>0</v>
      </c>
      <c r="AU88" s="15">
        <f>UDs!R62</f>
        <v>0</v>
      </c>
      <c r="AV88" s="48">
        <f>UDs!S62</f>
        <v>0</v>
      </c>
      <c r="AX88" s="2">
        <f t="shared" ref="AX88:AX120" si="43">IF(AND(FechaInicio1Tri&lt;=$B88, FechaFin1Tri&gt;$B88),100%,0%)</f>
        <v>1</v>
      </c>
      <c r="AY88" s="2">
        <f t="shared" ref="AY88:AY120" si="44">IF(AND(FechaInicio2Tri&lt;=$B88, FechaFin2Tri&gt;$B88),100%,0%)</f>
        <v>0</v>
      </c>
      <c r="AZ88" s="2">
        <f t="shared" ref="AZ88:AZ120" si="45">IF(AND(FechaInicio3Tri&lt;=$B88, FechaFin3Tri&gt;=$B88),100%,0%)</f>
        <v>0</v>
      </c>
      <c r="BA88" s="214"/>
    </row>
    <row r="89" spans="1:53" ht="18.75" customHeight="1" x14ac:dyDescent="0.35">
      <c r="A89" s="214"/>
      <c r="B89" s="97">
        <f>UDs!F63</f>
        <v>45967</v>
      </c>
      <c r="C89" s="216" t="str">
        <f>UDs!B63</f>
        <v>Pr02</v>
      </c>
      <c r="D89" s="33" t="str">
        <f>UDs!D63</f>
        <v>DSDSSDASDA</v>
      </c>
      <c r="E89" s="191">
        <f t="shared" si="42"/>
        <v>0</v>
      </c>
      <c r="F89" s="336"/>
      <c r="G89" s="336"/>
      <c r="H89" s="336"/>
      <c r="I89" s="336"/>
      <c r="J89" s="336"/>
      <c r="K89" s="355"/>
      <c r="L89" s="336"/>
      <c r="M89" s="336"/>
      <c r="N89" s="336"/>
      <c r="O89" s="336"/>
      <c r="P89" s="355"/>
      <c r="Q89" s="336"/>
      <c r="R89" s="336"/>
      <c r="S89" s="336"/>
      <c r="T89" s="356"/>
      <c r="U89" s="355"/>
      <c r="V89" s="336"/>
      <c r="W89" s="336"/>
      <c r="X89" s="336"/>
      <c r="Y89" s="336"/>
      <c r="Z89" s="355"/>
      <c r="AA89" s="336"/>
      <c r="AB89" s="336"/>
      <c r="AC89" s="336"/>
      <c r="AD89" s="336"/>
      <c r="AE89" s="355"/>
      <c r="AF89" s="336"/>
      <c r="AG89" s="336"/>
      <c r="AH89" s="336"/>
      <c r="AI89" s="356"/>
      <c r="AK89" s="47">
        <f>UDs!H63</f>
        <v>0</v>
      </c>
      <c r="AL89" s="15" t="str">
        <f>UDs!I63</f>
        <v>X</v>
      </c>
      <c r="AM89" s="48" t="str">
        <f>UDs!J63</f>
        <v>X</v>
      </c>
      <c r="AN89" s="15">
        <f>UDs!K63</f>
        <v>0</v>
      </c>
      <c r="AO89" s="15">
        <f>UDs!L63</f>
        <v>0</v>
      </c>
      <c r="AP89" s="48">
        <f>UDs!M63</f>
        <v>0</v>
      </c>
      <c r="AQ89" s="15">
        <f>UDs!N63</f>
        <v>0</v>
      </c>
      <c r="AR89" s="15">
        <f>UDs!O63</f>
        <v>0</v>
      </c>
      <c r="AS89" s="48">
        <f>UDs!P63</f>
        <v>0</v>
      </c>
      <c r="AT89" s="15">
        <f>UDs!Q63</f>
        <v>0</v>
      </c>
      <c r="AU89" s="15">
        <f>UDs!R63</f>
        <v>0</v>
      </c>
      <c r="AV89" s="48">
        <f>UDs!S63</f>
        <v>0</v>
      </c>
      <c r="AX89" s="2">
        <f t="shared" si="43"/>
        <v>1</v>
      </c>
      <c r="AY89" s="2">
        <f t="shared" si="44"/>
        <v>0</v>
      </c>
      <c r="AZ89" s="2">
        <f t="shared" si="45"/>
        <v>0</v>
      </c>
      <c r="BA89" s="214"/>
    </row>
    <row r="90" spans="1:53" ht="18.75" customHeight="1" x14ac:dyDescent="0.35">
      <c r="A90" s="214"/>
      <c r="B90" s="97">
        <f>UDs!F64</f>
        <v>45967</v>
      </c>
      <c r="C90" s="217" t="str">
        <f>UDs!B64</f>
        <v>Pr03</v>
      </c>
      <c r="D90" s="86" t="str">
        <f>UDs!D64</f>
        <v xml:space="preserve">jkljkl </v>
      </c>
      <c r="E90" s="192">
        <f t="shared" si="42"/>
        <v>0</v>
      </c>
      <c r="F90" s="337"/>
      <c r="G90" s="337"/>
      <c r="H90" s="337"/>
      <c r="I90" s="337"/>
      <c r="J90" s="337"/>
      <c r="K90" s="357"/>
      <c r="L90" s="337"/>
      <c r="M90" s="337"/>
      <c r="N90" s="337"/>
      <c r="O90" s="337"/>
      <c r="P90" s="357"/>
      <c r="Q90" s="337"/>
      <c r="R90" s="337"/>
      <c r="S90" s="337"/>
      <c r="T90" s="358"/>
      <c r="U90" s="357"/>
      <c r="V90" s="337"/>
      <c r="W90" s="337"/>
      <c r="X90" s="337"/>
      <c r="Y90" s="337"/>
      <c r="Z90" s="357"/>
      <c r="AA90" s="337"/>
      <c r="AB90" s="337"/>
      <c r="AC90" s="337"/>
      <c r="AD90" s="337"/>
      <c r="AE90" s="357"/>
      <c r="AF90" s="337"/>
      <c r="AG90" s="337"/>
      <c r="AH90" s="337"/>
      <c r="AI90" s="358"/>
      <c r="AK90" s="49">
        <f>UDs!H64</f>
        <v>0</v>
      </c>
      <c r="AL90" s="16" t="str">
        <f>UDs!I64</f>
        <v>X</v>
      </c>
      <c r="AM90" s="50" t="str">
        <f>UDs!J64</f>
        <v>X</v>
      </c>
      <c r="AN90" s="16">
        <f>UDs!K64</f>
        <v>0</v>
      </c>
      <c r="AO90" s="16">
        <f>UDs!L64</f>
        <v>0</v>
      </c>
      <c r="AP90" s="50">
        <f>UDs!M64</f>
        <v>0</v>
      </c>
      <c r="AQ90" s="16">
        <f>UDs!N64</f>
        <v>0</v>
      </c>
      <c r="AR90" s="16">
        <f>UDs!O64</f>
        <v>0</v>
      </c>
      <c r="AS90" s="50">
        <f>UDs!P64</f>
        <v>0</v>
      </c>
      <c r="AT90" s="16">
        <f>UDs!Q64</f>
        <v>0</v>
      </c>
      <c r="AU90" s="16">
        <f>UDs!R64</f>
        <v>0</v>
      </c>
      <c r="AV90" s="50">
        <f>UDs!S64</f>
        <v>0</v>
      </c>
      <c r="AX90" s="2">
        <f t="shared" si="43"/>
        <v>1</v>
      </c>
      <c r="AY90" s="2">
        <f t="shared" si="44"/>
        <v>0</v>
      </c>
      <c r="AZ90" s="2">
        <f t="shared" si="45"/>
        <v>0</v>
      </c>
      <c r="BA90" s="214"/>
    </row>
    <row r="91" spans="1:53" ht="18.75" customHeight="1" x14ac:dyDescent="0.35">
      <c r="A91" s="214"/>
      <c r="B91" s="97" t="str">
        <f>UDs!F65</f>
        <v/>
      </c>
      <c r="C91" s="216" t="str">
        <f>UDs!B65</f>
        <v/>
      </c>
      <c r="D91" s="33">
        <f>UDs!D65</f>
        <v>0</v>
      </c>
      <c r="E91" s="191">
        <f t="shared" si="42"/>
        <v>0</v>
      </c>
      <c r="F91" s="336"/>
      <c r="G91" s="336"/>
      <c r="H91" s="336"/>
      <c r="I91" s="336"/>
      <c r="J91" s="336"/>
      <c r="K91" s="355"/>
      <c r="L91" s="336"/>
      <c r="M91" s="336"/>
      <c r="N91" s="336"/>
      <c r="O91" s="336"/>
      <c r="P91" s="355"/>
      <c r="Q91" s="336"/>
      <c r="R91" s="336"/>
      <c r="S91" s="336"/>
      <c r="T91" s="356"/>
      <c r="U91" s="355"/>
      <c r="V91" s="336"/>
      <c r="W91" s="336"/>
      <c r="X91" s="336"/>
      <c r="Y91" s="336"/>
      <c r="Z91" s="355"/>
      <c r="AA91" s="336"/>
      <c r="AB91" s="336"/>
      <c r="AC91" s="336"/>
      <c r="AD91" s="336"/>
      <c r="AE91" s="355"/>
      <c r="AF91" s="336"/>
      <c r="AG91" s="336"/>
      <c r="AH91" s="336"/>
      <c r="AI91" s="356"/>
      <c r="AK91" s="47" t="str">
        <f>UDs!H65</f>
        <v/>
      </c>
      <c r="AL91" s="15" t="str">
        <f>UDs!I65</f>
        <v/>
      </c>
      <c r="AM91" s="48" t="str">
        <f>UDs!J65</f>
        <v/>
      </c>
      <c r="AN91" s="15" t="str">
        <f>UDs!K65</f>
        <v/>
      </c>
      <c r="AO91" s="15" t="str">
        <f>UDs!L65</f>
        <v/>
      </c>
      <c r="AP91" s="48" t="str">
        <f>UDs!M65</f>
        <v/>
      </c>
      <c r="AQ91" s="15" t="str">
        <f>UDs!N65</f>
        <v/>
      </c>
      <c r="AR91" s="15" t="str">
        <f>UDs!O65</f>
        <v/>
      </c>
      <c r="AS91" s="48" t="str">
        <f>UDs!P65</f>
        <v/>
      </c>
      <c r="AT91" s="15" t="str">
        <f>UDs!Q65</f>
        <v/>
      </c>
      <c r="AU91" s="15" t="str">
        <f>UDs!R65</f>
        <v/>
      </c>
      <c r="AV91" s="48" t="str">
        <f>UDs!S65</f>
        <v/>
      </c>
      <c r="AX91" s="171">
        <f t="shared" si="43"/>
        <v>0</v>
      </c>
      <c r="AY91" s="171">
        <f t="shared" si="44"/>
        <v>0</v>
      </c>
      <c r="AZ91" s="171">
        <f t="shared" si="45"/>
        <v>0</v>
      </c>
      <c r="BA91" s="214"/>
    </row>
    <row r="92" spans="1:53" ht="18.75" customHeight="1" x14ac:dyDescent="0.35">
      <c r="A92" s="214"/>
      <c r="B92" s="97" t="str">
        <f>UDs!F66</f>
        <v/>
      </c>
      <c r="C92" s="216" t="str">
        <f>UDs!B66</f>
        <v/>
      </c>
      <c r="D92" s="33">
        <f>UDs!D66</f>
        <v>0</v>
      </c>
      <c r="E92" s="191">
        <f t="shared" si="42"/>
        <v>0</v>
      </c>
      <c r="F92" s="336"/>
      <c r="G92" s="336"/>
      <c r="H92" s="336"/>
      <c r="I92" s="336"/>
      <c r="J92" s="336"/>
      <c r="K92" s="355"/>
      <c r="L92" s="336"/>
      <c r="M92" s="336"/>
      <c r="N92" s="336"/>
      <c r="O92" s="336"/>
      <c r="P92" s="355"/>
      <c r="Q92" s="336"/>
      <c r="R92" s="336"/>
      <c r="S92" s="336"/>
      <c r="T92" s="356"/>
      <c r="U92" s="355"/>
      <c r="V92" s="336"/>
      <c r="W92" s="336"/>
      <c r="X92" s="336"/>
      <c r="Y92" s="336"/>
      <c r="Z92" s="355"/>
      <c r="AA92" s="336"/>
      <c r="AB92" s="336"/>
      <c r="AC92" s="336"/>
      <c r="AD92" s="336"/>
      <c r="AE92" s="355"/>
      <c r="AF92" s="336"/>
      <c r="AG92" s="336"/>
      <c r="AH92" s="336"/>
      <c r="AI92" s="356"/>
      <c r="AK92" s="47" t="str">
        <f>UDs!H66</f>
        <v/>
      </c>
      <c r="AL92" s="15" t="str">
        <f>UDs!I66</f>
        <v/>
      </c>
      <c r="AM92" s="48" t="str">
        <f>UDs!J66</f>
        <v/>
      </c>
      <c r="AN92" s="15" t="str">
        <f>UDs!K66</f>
        <v/>
      </c>
      <c r="AO92" s="15" t="str">
        <f>UDs!L66</f>
        <v/>
      </c>
      <c r="AP92" s="48" t="str">
        <f>UDs!M66</f>
        <v/>
      </c>
      <c r="AQ92" s="15" t="str">
        <f>UDs!N66</f>
        <v/>
      </c>
      <c r="AR92" s="15" t="str">
        <f>UDs!O66</f>
        <v/>
      </c>
      <c r="AS92" s="48" t="str">
        <f>UDs!P66</f>
        <v/>
      </c>
      <c r="AT92" s="15" t="str">
        <f>UDs!Q66</f>
        <v/>
      </c>
      <c r="AU92" s="15" t="str">
        <f>UDs!R66</f>
        <v/>
      </c>
      <c r="AV92" s="48" t="str">
        <f>UDs!S66</f>
        <v/>
      </c>
      <c r="AX92" s="2">
        <f t="shared" si="43"/>
        <v>0</v>
      </c>
      <c r="AY92" s="2">
        <f t="shared" si="44"/>
        <v>0</v>
      </c>
      <c r="AZ92" s="2">
        <f t="shared" si="45"/>
        <v>0</v>
      </c>
      <c r="BA92" s="214"/>
    </row>
    <row r="93" spans="1:53" ht="18.75" customHeight="1" x14ac:dyDescent="0.35">
      <c r="A93" s="214"/>
      <c r="B93" s="97" t="str">
        <f>UDs!F67</f>
        <v/>
      </c>
      <c r="C93" s="217" t="str">
        <f>UDs!B67</f>
        <v/>
      </c>
      <c r="D93" s="86">
        <f>UDs!D67</f>
        <v>0</v>
      </c>
      <c r="E93" s="192">
        <f t="shared" si="42"/>
        <v>0</v>
      </c>
      <c r="F93" s="337"/>
      <c r="G93" s="337"/>
      <c r="H93" s="337"/>
      <c r="I93" s="337"/>
      <c r="J93" s="337"/>
      <c r="K93" s="357"/>
      <c r="L93" s="337"/>
      <c r="M93" s="337"/>
      <c r="N93" s="337"/>
      <c r="O93" s="337"/>
      <c r="P93" s="357"/>
      <c r="Q93" s="337"/>
      <c r="R93" s="337"/>
      <c r="S93" s="337"/>
      <c r="T93" s="358"/>
      <c r="U93" s="357"/>
      <c r="V93" s="337"/>
      <c r="W93" s="337"/>
      <c r="X93" s="337"/>
      <c r="Y93" s="337"/>
      <c r="Z93" s="357"/>
      <c r="AA93" s="337"/>
      <c r="AB93" s="337"/>
      <c r="AC93" s="337"/>
      <c r="AD93" s="337"/>
      <c r="AE93" s="357"/>
      <c r="AF93" s="337"/>
      <c r="AG93" s="337"/>
      <c r="AH93" s="337"/>
      <c r="AI93" s="358"/>
      <c r="AK93" s="49" t="str">
        <f>UDs!H67</f>
        <v/>
      </c>
      <c r="AL93" s="16" t="str">
        <f>UDs!I67</f>
        <v/>
      </c>
      <c r="AM93" s="50" t="str">
        <f>UDs!J67</f>
        <v/>
      </c>
      <c r="AN93" s="16" t="str">
        <f>UDs!K67</f>
        <v/>
      </c>
      <c r="AO93" s="16" t="str">
        <f>UDs!L67</f>
        <v/>
      </c>
      <c r="AP93" s="50" t="str">
        <f>UDs!M67</f>
        <v/>
      </c>
      <c r="AQ93" s="16" t="str">
        <f>UDs!N67</f>
        <v/>
      </c>
      <c r="AR93" s="16" t="str">
        <f>UDs!O67</f>
        <v/>
      </c>
      <c r="AS93" s="50" t="str">
        <f>UDs!P67</f>
        <v/>
      </c>
      <c r="AT93" s="16" t="str">
        <f>UDs!Q67</f>
        <v/>
      </c>
      <c r="AU93" s="16" t="str">
        <f>UDs!R67</f>
        <v/>
      </c>
      <c r="AV93" s="50" t="str">
        <f>UDs!S67</f>
        <v/>
      </c>
      <c r="AX93" s="3">
        <f t="shared" si="43"/>
        <v>0</v>
      </c>
      <c r="AY93" s="3">
        <f t="shared" si="44"/>
        <v>0</v>
      </c>
      <c r="AZ93" s="3">
        <f t="shared" si="45"/>
        <v>0</v>
      </c>
      <c r="BA93" s="214"/>
    </row>
    <row r="94" spans="1:53" ht="18.75" customHeight="1" x14ac:dyDescent="0.35">
      <c r="A94" s="214"/>
      <c r="B94" s="97" t="str">
        <f>UDs!F68</f>
        <v/>
      </c>
      <c r="C94" s="216" t="str">
        <f>UDs!B68</f>
        <v/>
      </c>
      <c r="D94" s="33">
        <f>UDs!D68</f>
        <v>0</v>
      </c>
      <c r="E94" s="191">
        <f t="shared" si="42"/>
        <v>0</v>
      </c>
      <c r="F94" s="336"/>
      <c r="G94" s="336"/>
      <c r="H94" s="336"/>
      <c r="I94" s="336"/>
      <c r="J94" s="336"/>
      <c r="K94" s="355"/>
      <c r="L94" s="336"/>
      <c r="M94" s="336"/>
      <c r="N94" s="336"/>
      <c r="O94" s="336"/>
      <c r="P94" s="355"/>
      <c r="Q94" s="336"/>
      <c r="R94" s="336"/>
      <c r="S94" s="336"/>
      <c r="T94" s="356"/>
      <c r="U94" s="355"/>
      <c r="V94" s="336"/>
      <c r="W94" s="336"/>
      <c r="X94" s="336"/>
      <c r="Y94" s="336"/>
      <c r="Z94" s="355"/>
      <c r="AA94" s="336"/>
      <c r="AB94" s="336"/>
      <c r="AC94" s="336"/>
      <c r="AD94" s="336"/>
      <c r="AE94" s="355"/>
      <c r="AF94" s="336"/>
      <c r="AG94" s="336"/>
      <c r="AH94" s="336"/>
      <c r="AI94" s="356"/>
      <c r="AK94" s="47" t="str">
        <f>UDs!H68</f>
        <v/>
      </c>
      <c r="AL94" s="15" t="str">
        <f>UDs!I68</f>
        <v/>
      </c>
      <c r="AM94" s="48" t="str">
        <f>UDs!J68</f>
        <v/>
      </c>
      <c r="AN94" s="15" t="str">
        <f>UDs!K68</f>
        <v/>
      </c>
      <c r="AO94" s="15" t="str">
        <f>UDs!L68</f>
        <v/>
      </c>
      <c r="AP94" s="48" t="str">
        <f>UDs!M68</f>
        <v/>
      </c>
      <c r="AQ94" s="15" t="str">
        <f>UDs!N68</f>
        <v/>
      </c>
      <c r="AR94" s="15" t="str">
        <f>UDs!O68</f>
        <v/>
      </c>
      <c r="AS94" s="48" t="str">
        <f>UDs!P68</f>
        <v/>
      </c>
      <c r="AT94" s="15" t="str">
        <f>UDs!Q68</f>
        <v/>
      </c>
      <c r="AU94" s="15" t="str">
        <f>UDs!R68</f>
        <v/>
      </c>
      <c r="AV94" s="48" t="str">
        <f>UDs!S68</f>
        <v/>
      </c>
      <c r="AX94" s="2">
        <f t="shared" si="43"/>
        <v>0</v>
      </c>
      <c r="AY94" s="2">
        <f t="shared" si="44"/>
        <v>0</v>
      </c>
      <c r="AZ94" s="2">
        <f t="shared" si="45"/>
        <v>0</v>
      </c>
      <c r="BA94" s="214"/>
    </row>
    <row r="95" spans="1:53" ht="18.75" customHeight="1" x14ac:dyDescent="0.35">
      <c r="A95" s="214"/>
      <c r="B95" s="97" t="str">
        <f>UDs!F69</f>
        <v/>
      </c>
      <c r="C95" s="216" t="str">
        <f>UDs!B69</f>
        <v/>
      </c>
      <c r="D95" s="33">
        <f>UDs!D69</f>
        <v>0</v>
      </c>
      <c r="E95" s="191">
        <f t="shared" si="42"/>
        <v>0</v>
      </c>
      <c r="F95" s="336"/>
      <c r="G95" s="336"/>
      <c r="H95" s="336"/>
      <c r="I95" s="336"/>
      <c r="J95" s="336"/>
      <c r="K95" s="355"/>
      <c r="L95" s="336"/>
      <c r="M95" s="336"/>
      <c r="N95" s="336"/>
      <c r="O95" s="336"/>
      <c r="P95" s="355"/>
      <c r="Q95" s="336"/>
      <c r="R95" s="336"/>
      <c r="S95" s="336"/>
      <c r="T95" s="356"/>
      <c r="U95" s="355"/>
      <c r="V95" s="336"/>
      <c r="W95" s="336"/>
      <c r="X95" s="336"/>
      <c r="Y95" s="336"/>
      <c r="Z95" s="355"/>
      <c r="AA95" s="336"/>
      <c r="AB95" s="336"/>
      <c r="AC95" s="336"/>
      <c r="AD95" s="336"/>
      <c r="AE95" s="355"/>
      <c r="AF95" s="336"/>
      <c r="AG95" s="336"/>
      <c r="AH95" s="336"/>
      <c r="AI95" s="356"/>
      <c r="AK95" s="47" t="str">
        <f>UDs!H69</f>
        <v/>
      </c>
      <c r="AL95" s="15" t="str">
        <f>UDs!I69</f>
        <v/>
      </c>
      <c r="AM95" s="48" t="str">
        <f>UDs!J69</f>
        <v/>
      </c>
      <c r="AN95" s="15" t="str">
        <f>UDs!K69</f>
        <v/>
      </c>
      <c r="AO95" s="15" t="str">
        <f>UDs!L69</f>
        <v/>
      </c>
      <c r="AP95" s="48" t="str">
        <f>UDs!M69</f>
        <v/>
      </c>
      <c r="AQ95" s="15" t="str">
        <f>UDs!N69</f>
        <v/>
      </c>
      <c r="AR95" s="15" t="str">
        <f>UDs!O69</f>
        <v/>
      </c>
      <c r="AS95" s="48" t="str">
        <f>UDs!P69</f>
        <v/>
      </c>
      <c r="AT95" s="15" t="str">
        <f>UDs!Q69</f>
        <v/>
      </c>
      <c r="AU95" s="15" t="str">
        <f>UDs!R69</f>
        <v/>
      </c>
      <c r="AV95" s="48" t="str">
        <f>UDs!S69</f>
        <v/>
      </c>
      <c r="AX95" s="2">
        <f t="shared" si="43"/>
        <v>0</v>
      </c>
      <c r="AY95" s="2">
        <f t="shared" si="44"/>
        <v>0</v>
      </c>
      <c r="AZ95" s="2">
        <f t="shared" si="45"/>
        <v>0</v>
      </c>
      <c r="BA95" s="214"/>
    </row>
    <row r="96" spans="1:53" ht="18.75" customHeight="1" x14ac:dyDescent="0.35">
      <c r="A96" s="214"/>
      <c r="B96" s="97" t="str">
        <f>UDs!F70</f>
        <v/>
      </c>
      <c r="C96" s="217" t="str">
        <f>UDs!B70</f>
        <v/>
      </c>
      <c r="D96" s="86">
        <f>UDs!D70</f>
        <v>0</v>
      </c>
      <c r="E96" s="192">
        <f t="shared" si="42"/>
        <v>0</v>
      </c>
      <c r="F96" s="337"/>
      <c r="G96" s="337"/>
      <c r="H96" s="337"/>
      <c r="I96" s="337"/>
      <c r="J96" s="337"/>
      <c r="K96" s="357"/>
      <c r="L96" s="337"/>
      <c r="M96" s="337"/>
      <c r="N96" s="337"/>
      <c r="O96" s="337"/>
      <c r="P96" s="357"/>
      <c r="Q96" s="337"/>
      <c r="R96" s="337"/>
      <c r="S96" s="337"/>
      <c r="T96" s="358"/>
      <c r="U96" s="357"/>
      <c r="V96" s="337"/>
      <c r="W96" s="337"/>
      <c r="X96" s="337"/>
      <c r="Y96" s="337"/>
      <c r="Z96" s="357"/>
      <c r="AA96" s="337"/>
      <c r="AB96" s="337"/>
      <c r="AC96" s="337"/>
      <c r="AD96" s="337"/>
      <c r="AE96" s="357"/>
      <c r="AF96" s="337"/>
      <c r="AG96" s="337"/>
      <c r="AH96" s="337"/>
      <c r="AI96" s="358"/>
      <c r="AK96" s="49" t="str">
        <f>UDs!H70</f>
        <v/>
      </c>
      <c r="AL96" s="16" t="str">
        <f>UDs!I70</f>
        <v/>
      </c>
      <c r="AM96" s="50" t="str">
        <f>UDs!J70</f>
        <v/>
      </c>
      <c r="AN96" s="16" t="str">
        <f>UDs!K70</f>
        <v/>
      </c>
      <c r="AO96" s="16" t="str">
        <f>UDs!L70</f>
        <v/>
      </c>
      <c r="AP96" s="50" t="str">
        <f>UDs!M70</f>
        <v/>
      </c>
      <c r="AQ96" s="16" t="str">
        <f>UDs!N70</f>
        <v/>
      </c>
      <c r="AR96" s="16" t="str">
        <f>UDs!O70</f>
        <v/>
      </c>
      <c r="AS96" s="50" t="str">
        <f>UDs!P70</f>
        <v/>
      </c>
      <c r="AT96" s="16" t="str">
        <f>UDs!Q70</f>
        <v/>
      </c>
      <c r="AU96" s="16" t="str">
        <f>UDs!R70</f>
        <v/>
      </c>
      <c r="AV96" s="50" t="str">
        <f>UDs!S70</f>
        <v/>
      </c>
      <c r="AX96" s="2">
        <f t="shared" si="43"/>
        <v>0</v>
      </c>
      <c r="AY96" s="2">
        <f t="shared" si="44"/>
        <v>0</v>
      </c>
      <c r="AZ96" s="2">
        <f t="shared" si="45"/>
        <v>0</v>
      </c>
      <c r="BA96" s="214"/>
    </row>
    <row r="97" spans="1:53" ht="18.75" customHeight="1" x14ac:dyDescent="0.35">
      <c r="A97" s="214"/>
      <c r="B97" s="97" t="str">
        <f>UDs!F71</f>
        <v/>
      </c>
      <c r="C97" s="216" t="str">
        <f>UDs!B71</f>
        <v/>
      </c>
      <c r="D97" s="33">
        <f>UDs!D71</f>
        <v>0</v>
      </c>
      <c r="E97" s="191">
        <f t="shared" si="42"/>
        <v>0</v>
      </c>
      <c r="F97" s="336"/>
      <c r="G97" s="336"/>
      <c r="H97" s="336"/>
      <c r="I97" s="336"/>
      <c r="J97" s="336"/>
      <c r="K97" s="355"/>
      <c r="L97" s="336"/>
      <c r="M97" s="336"/>
      <c r="N97" s="336"/>
      <c r="O97" s="336"/>
      <c r="P97" s="355"/>
      <c r="Q97" s="336"/>
      <c r="R97" s="336"/>
      <c r="S97" s="336"/>
      <c r="T97" s="356"/>
      <c r="U97" s="355"/>
      <c r="V97" s="336"/>
      <c r="W97" s="336"/>
      <c r="X97" s="336"/>
      <c r="Y97" s="336"/>
      <c r="Z97" s="355"/>
      <c r="AA97" s="336"/>
      <c r="AB97" s="336"/>
      <c r="AC97" s="336"/>
      <c r="AD97" s="336"/>
      <c r="AE97" s="355"/>
      <c r="AF97" s="336"/>
      <c r="AG97" s="336"/>
      <c r="AH97" s="336"/>
      <c r="AI97" s="356"/>
      <c r="AK97" s="47" t="str">
        <f>UDs!H71</f>
        <v/>
      </c>
      <c r="AL97" s="15" t="str">
        <f>UDs!I71</f>
        <v/>
      </c>
      <c r="AM97" s="48" t="str">
        <f>UDs!J71</f>
        <v/>
      </c>
      <c r="AN97" s="15" t="str">
        <f>UDs!K71</f>
        <v/>
      </c>
      <c r="AO97" s="15" t="str">
        <f>UDs!L71</f>
        <v/>
      </c>
      <c r="AP97" s="48" t="str">
        <f>UDs!M71</f>
        <v/>
      </c>
      <c r="AQ97" s="15" t="str">
        <f>UDs!N71</f>
        <v/>
      </c>
      <c r="AR97" s="15" t="str">
        <f>UDs!O71</f>
        <v/>
      </c>
      <c r="AS97" s="48" t="str">
        <f>UDs!P71</f>
        <v/>
      </c>
      <c r="AT97" s="15" t="str">
        <f>UDs!Q71</f>
        <v/>
      </c>
      <c r="AU97" s="15" t="str">
        <f>UDs!R71</f>
        <v/>
      </c>
      <c r="AV97" s="48" t="str">
        <f>UDs!S71</f>
        <v/>
      </c>
      <c r="AX97" s="171">
        <f t="shared" si="43"/>
        <v>0</v>
      </c>
      <c r="AY97" s="171">
        <f t="shared" si="44"/>
        <v>0</v>
      </c>
      <c r="AZ97" s="171">
        <f t="shared" si="45"/>
        <v>0</v>
      </c>
      <c r="BA97" s="214"/>
    </row>
    <row r="98" spans="1:53" ht="18.75" customHeight="1" x14ac:dyDescent="0.35">
      <c r="A98" s="214"/>
      <c r="B98" s="97" t="str">
        <f>UDs!F72</f>
        <v/>
      </c>
      <c r="C98" s="216" t="str">
        <f>UDs!B72</f>
        <v/>
      </c>
      <c r="D98" s="33">
        <f>UDs!D72</f>
        <v>0</v>
      </c>
      <c r="E98" s="191">
        <f t="shared" si="42"/>
        <v>0</v>
      </c>
      <c r="F98" s="336"/>
      <c r="G98" s="336"/>
      <c r="H98" s="336"/>
      <c r="I98" s="336"/>
      <c r="J98" s="336"/>
      <c r="K98" s="355"/>
      <c r="L98" s="336"/>
      <c r="M98" s="336"/>
      <c r="N98" s="336"/>
      <c r="O98" s="336"/>
      <c r="P98" s="355"/>
      <c r="Q98" s="336"/>
      <c r="R98" s="336"/>
      <c r="S98" s="336"/>
      <c r="T98" s="356"/>
      <c r="U98" s="355"/>
      <c r="V98" s="336"/>
      <c r="W98" s="336"/>
      <c r="X98" s="336"/>
      <c r="Y98" s="336"/>
      <c r="Z98" s="355"/>
      <c r="AA98" s="336"/>
      <c r="AB98" s="336"/>
      <c r="AC98" s="336"/>
      <c r="AD98" s="336"/>
      <c r="AE98" s="355"/>
      <c r="AF98" s="336"/>
      <c r="AG98" s="336"/>
      <c r="AH98" s="336"/>
      <c r="AI98" s="356"/>
      <c r="AK98" s="47" t="str">
        <f>UDs!H72</f>
        <v/>
      </c>
      <c r="AL98" s="15" t="str">
        <f>UDs!I72</f>
        <v/>
      </c>
      <c r="AM98" s="48" t="str">
        <f>UDs!J72</f>
        <v/>
      </c>
      <c r="AN98" s="15" t="str">
        <f>UDs!K72</f>
        <v/>
      </c>
      <c r="AO98" s="15" t="str">
        <f>UDs!L72</f>
        <v/>
      </c>
      <c r="AP98" s="48" t="str">
        <f>UDs!M72</f>
        <v/>
      </c>
      <c r="AQ98" s="15" t="str">
        <f>UDs!N72</f>
        <v/>
      </c>
      <c r="AR98" s="15" t="str">
        <f>UDs!O72</f>
        <v/>
      </c>
      <c r="AS98" s="48" t="str">
        <f>UDs!P72</f>
        <v/>
      </c>
      <c r="AT98" s="15" t="str">
        <f>UDs!Q72</f>
        <v/>
      </c>
      <c r="AU98" s="15" t="str">
        <f>UDs!R72</f>
        <v/>
      </c>
      <c r="AV98" s="48" t="str">
        <f>UDs!S72</f>
        <v/>
      </c>
      <c r="AX98" s="2">
        <f t="shared" si="43"/>
        <v>0</v>
      </c>
      <c r="AY98" s="2">
        <f t="shared" si="44"/>
        <v>0</v>
      </c>
      <c r="AZ98" s="2">
        <f t="shared" si="45"/>
        <v>0</v>
      </c>
      <c r="BA98" s="214"/>
    </row>
    <row r="99" spans="1:53" ht="18.75" customHeight="1" x14ac:dyDescent="0.35">
      <c r="A99" s="214"/>
      <c r="B99" s="97" t="str">
        <f>UDs!F73</f>
        <v/>
      </c>
      <c r="C99" s="217" t="str">
        <f>UDs!B73</f>
        <v/>
      </c>
      <c r="D99" s="86">
        <f>UDs!D73</f>
        <v>0</v>
      </c>
      <c r="E99" s="192">
        <f t="shared" si="42"/>
        <v>0</v>
      </c>
      <c r="F99" s="337"/>
      <c r="G99" s="337"/>
      <c r="H99" s="337"/>
      <c r="I99" s="337"/>
      <c r="J99" s="337"/>
      <c r="K99" s="357"/>
      <c r="L99" s="337"/>
      <c r="M99" s="337"/>
      <c r="N99" s="337"/>
      <c r="O99" s="337"/>
      <c r="P99" s="357"/>
      <c r="Q99" s="337"/>
      <c r="R99" s="337"/>
      <c r="S99" s="337"/>
      <c r="T99" s="358"/>
      <c r="U99" s="357"/>
      <c r="V99" s="337"/>
      <c r="W99" s="337"/>
      <c r="X99" s="337"/>
      <c r="Y99" s="337"/>
      <c r="Z99" s="357"/>
      <c r="AA99" s="337"/>
      <c r="AB99" s="337"/>
      <c r="AC99" s="337"/>
      <c r="AD99" s="337"/>
      <c r="AE99" s="357"/>
      <c r="AF99" s="337"/>
      <c r="AG99" s="337"/>
      <c r="AH99" s="337"/>
      <c r="AI99" s="358"/>
      <c r="AK99" s="49" t="str">
        <f>UDs!H73</f>
        <v/>
      </c>
      <c r="AL99" s="16" t="str">
        <f>UDs!I73</f>
        <v/>
      </c>
      <c r="AM99" s="50" t="str">
        <f>UDs!J73</f>
        <v/>
      </c>
      <c r="AN99" s="16" t="str">
        <f>UDs!K73</f>
        <v/>
      </c>
      <c r="AO99" s="16" t="str">
        <f>UDs!L73</f>
        <v/>
      </c>
      <c r="AP99" s="50" t="str">
        <f>UDs!M73</f>
        <v/>
      </c>
      <c r="AQ99" s="16" t="str">
        <f>UDs!N73</f>
        <v/>
      </c>
      <c r="AR99" s="16" t="str">
        <f>UDs!O73</f>
        <v/>
      </c>
      <c r="AS99" s="50" t="str">
        <f>UDs!P73</f>
        <v/>
      </c>
      <c r="AT99" s="16" t="str">
        <f>UDs!Q73</f>
        <v/>
      </c>
      <c r="AU99" s="16" t="str">
        <f>UDs!R73</f>
        <v/>
      </c>
      <c r="AV99" s="50" t="str">
        <f>UDs!S73</f>
        <v/>
      </c>
      <c r="AX99" s="3">
        <f t="shared" si="43"/>
        <v>0</v>
      </c>
      <c r="AY99" s="3">
        <f t="shared" si="44"/>
        <v>0</v>
      </c>
      <c r="AZ99" s="3">
        <f t="shared" si="45"/>
        <v>0</v>
      </c>
      <c r="BA99" s="214"/>
    </row>
    <row r="100" spans="1:53" ht="18.75" customHeight="1" x14ac:dyDescent="0.35">
      <c r="A100" s="214"/>
      <c r="B100" s="97" t="str">
        <f>UDs!F74</f>
        <v/>
      </c>
      <c r="C100" s="216" t="str">
        <f>UDs!B74</f>
        <v/>
      </c>
      <c r="D100" s="33">
        <f>UDs!D74</f>
        <v>0</v>
      </c>
      <c r="E100" s="191">
        <f t="shared" si="42"/>
        <v>0</v>
      </c>
      <c r="F100" s="336"/>
      <c r="G100" s="336"/>
      <c r="H100" s="336"/>
      <c r="I100" s="336"/>
      <c r="J100" s="336"/>
      <c r="K100" s="355"/>
      <c r="L100" s="336"/>
      <c r="M100" s="336"/>
      <c r="N100" s="336"/>
      <c r="O100" s="336"/>
      <c r="P100" s="355"/>
      <c r="Q100" s="336"/>
      <c r="R100" s="336"/>
      <c r="S100" s="336"/>
      <c r="T100" s="356"/>
      <c r="U100" s="355"/>
      <c r="V100" s="336"/>
      <c r="W100" s="336"/>
      <c r="X100" s="336"/>
      <c r="Y100" s="336"/>
      <c r="Z100" s="355"/>
      <c r="AA100" s="336"/>
      <c r="AB100" s="336"/>
      <c r="AC100" s="336"/>
      <c r="AD100" s="336"/>
      <c r="AE100" s="355"/>
      <c r="AF100" s="336"/>
      <c r="AG100" s="336"/>
      <c r="AH100" s="336"/>
      <c r="AI100" s="356"/>
      <c r="AK100" s="47" t="str">
        <f>UDs!H74</f>
        <v/>
      </c>
      <c r="AL100" s="15" t="str">
        <f>UDs!I74</f>
        <v/>
      </c>
      <c r="AM100" s="48" t="str">
        <f>UDs!J74</f>
        <v/>
      </c>
      <c r="AN100" s="15" t="str">
        <f>UDs!K74</f>
        <v/>
      </c>
      <c r="AO100" s="15" t="str">
        <f>UDs!L74</f>
        <v/>
      </c>
      <c r="AP100" s="48" t="str">
        <f>UDs!M74</f>
        <v/>
      </c>
      <c r="AQ100" s="15" t="str">
        <f>UDs!N74</f>
        <v/>
      </c>
      <c r="AR100" s="15" t="str">
        <f>UDs!O74</f>
        <v/>
      </c>
      <c r="AS100" s="48" t="str">
        <f>UDs!P74</f>
        <v/>
      </c>
      <c r="AT100" s="15" t="str">
        <f>UDs!Q74</f>
        <v/>
      </c>
      <c r="AU100" s="15" t="str">
        <f>UDs!R74</f>
        <v/>
      </c>
      <c r="AV100" s="48" t="str">
        <f>UDs!S74</f>
        <v/>
      </c>
      <c r="AX100" s="2">
        <f t="shared" si="43"/>
        <v>0</v>
      </c>
      <c r="AY100" s="2">
        <f t="shared" si="44"/>
        <v>0</v>
      </c>
      <c r="AZ100" s="2">
        <f t="shared" si="45"/>
        <v>0</v>
      </c>
      <c r="BA100" s="214"/>
    </row>
    <row r="101" spans="1:53" ht="18.75" customHeight="1" x14ac:dyDescent="0.35">
      <c r="A101" s="214"/>
      <c r="B101" s="97" t="str">
        <f>UDs!F75</f>
        <v/>
      </c>
      <c r="C101" s="216" t="str">
        <f>UDs!B75</f>
        <v/>
      </c>
      <c r="D101" s="33">
        <f>UDs!D75</f>
        <v>0</v>
      </c>
      <c r="E101" s="191">
        <f t="shared" si="42"/>
        <v>0</v>
      </c>
      <c r="F101" s="336"/>
      <c r="G101" s="336"/>
      <c r="H101" s="336"/>
      <c r="I101" s="336"/>
      <c r="J101" s="336"/>
      <c r="K101" s="355"/>
      <c r="L101" s="336"/>
      <c r="M101" s="336"/>
      <c r="N101" s="336"/>
      <c r="O101" s="336"/>
      <c r="P101" s="355"/>
      <c r="Q101" s="336"/>
      <c r="R101" s="336"/>
      <c r="S101" s="336"/>
      <c r="T101" s="356"/>
      <c r="U101" s="355"/>
      <c r="V101" s="336"/>
      <c r="W101" s="336"/>
      <c r="X101" s="336"/>
      <c r="Y101" s="336"/>
      <c r="Z101" s="355"/>
      <c r="AA101" s="336"/>
      <c r="AB101" s="336"/>
      <c r="AC101" s="336"/>
      <c r="AD101" s="336"/>
      <c r="AE101" s="355"/>
      <c r="AF101" s="336"/>
      <c r="AG101" s="336"/>
      <c r="AH101" s="336"/>
      <c r="AI101" s="356"/>
      <c r="AK101" s="47" t="str">
        <f>UDs!H75</f>
        <v/>
      </c>
      <c r="AL101" s="15" t="str">
        <f>UDs!I75</f>
        <v/>
      </c>
      <c r="AM101" s="48" t="str">
        <f>UDs!J75</f>
        <v/>
      </c>
      <c r="AN101" s="15" t="str">
        <f>UDs!K75</f>
        <v/>
      </c>
      <c r="AO101" s="15" t="str">
        <f>UDs!L75</f>
        <v/>
      </c>
      <c r="AP101" s="48" t="str">
        <f>UDs!M75</f>
        <v/>
      </c>
      <c r="AQ101" s="15" t="str">
        <f>UDs!N75</f>
        <v/>
      </c>
      <c r="AR101" s="15" t="str">
        <f>UDs!O75</f>
        <v/>
      </c>
      <c r="AS101" s="48" t="str">
        <f>UDs!P75</f>
        <v/>
      </c>
      <c r="AT101" s="15" t="str">
        <f>UDs!Q75</f>
        <v/>
      </c>
      <c r="AU101" s="15" t="str">
        <f>UDs!R75</f>
        <v/>
      </c>
      <c r="AV101" s="48" t="str">
        <f>UDs!S75</f>
        <v/>
      </c>
      <c r="AX101" s="2">
        <f t="shared" si="43"/>
        <v>0</v>
      </c>
      <c r="AY101" s="2">
        <f t="shared" si="44"/>
        <v>0</v>
      </c>
      <c r="AZ101" s="2">
        <f t="shared" si="45"/>
        <v>0</v>
      </c>
      <c r="BA101" s="214"/>
    </row>
    <row r="102" spans="1:53" ht="18.75" customHeight="1" x14ac:dyDescent="0.35">
      <c r="A102" s="214"/>
      <c r="B102" s="97" t="str">
        <f>UDs!F76</f>
        <v/>
      </c>
      <c r="C102" s="217" t="str">
        <f>UDs!B76</f>
        <v/>
      </c>
      <c r="D102" s="86">
        <f>UDs!D76</f>
        <v>0</v>
      </c>
      <c r="E102" s="192">
        <f t="shared" si="42"/>
        <v>0</v>
      </c>
      <c r="F102" s="337"/>
      <c r="G102" s="337"/>
      <c r="H102" s="337"/>
      <c r="I102" s="337"/>
      <c r="J102" s="337"/>
      <c r="K102" s="357"/>
      <c r="L102" s="337"/>
      <c r="M102" s="337"/>
      <c r="N102" s="337"/>
      <c r="O102" s="337"/>
      <c r="P102" s="357"/>
      <c r="Q102" s="337"/>
      <c r="R102" s="337"/>
      <c r="S102" s="337"/>
      <c r="T102" s="358"/>
      <c r="U102" s="357"/>
      <c r="V102" s="337"/>
      <c r="W102" s="337"/>
      <c r="X102" s="337"/>
      <c r="Y102" s="337"/>
      <c r="Z102" s="357"/>
      <c r="AA102" s="337"/>
      <c r="AB102" s="337"/>
      <c r="AC102" s="337"/>
      <c r="AD102" s="337"/>
      <c r="AE102" s="357"/>
      <c r="AF102" s="337"/>
      <c r="AG102" s="337"/>
      <c r="AH102" s="337"/>
      <c r="AI102" s="358"/>
      <c r="AK102" s="49" t="str">
        <f>UDs!H76</f>
        <v/>
      </c>
      <c r="AL102" s="16" t="str">
        <f>UDs!I76</f>
        <v/>
      </c>
      <c r="AM102" s="50" t="str">
        <f>UDs!J76</f>
        <v/>
      </c>
      <c r="AN102" s="16" t="str">
        <f>UDs!K76</f>
        <v/>
      </c>
      <c r="AO102" s="16" t="str">
        <f>UDs!L76</f>
        <v/>
      </c>
      <c r="AP102" s="50" t="str">
        <f>UDs!M76</f>
        <v/>
      </c>
      <c r="AQ102" s="16" t="str">
        <f>UDs!N76</f>
        <v/>
      </c>
      <c r="AR102" s="16" t="str">
        <f>UDs!O76</f>
        <v/>
      </c>
      <c r="AS102" s="50" t="str">
        <f>UDs!P76</f>
        <v/>
      </c>
      <c r="AT102" s="16" t="str">
        <f>UDs!Q76</f>
        <v/>
      </c>
      <c r="AU102" s="16" t="str">
        <f>UDs!R76</f>
        <v/>
      </c>
      <c r="AV102" s="50" t="str">
        <f>UDs!S76</f>
        <v/>
      </c>
      <c r="AX102" s="2">
        <f t="shared" si="43"/>
        <v>0</v>
      </c>
      <c r="AY102" s="2">
        <f t="shared" si="44"/>
        <v>0</v>
      </c>
      <c r="AZ102" s="2">
        <f t="shared" si="45"/>
        <v>0</v>
      </c>
      <c r="BA102" s="214"/>
    </row>
    <row r="103" spans="1:53" ht="18.75" customHeight="1" x14ac:dyDescent="0.35">
      <c r="A103" s="214"/>
      <c r="B103" s="97" t="str">
        <f>UDs!F77</f>
        <v/>
      </c>
      <c r="C103" s="216" t="str">
        <f>UDs!B77</f>
        <v/>
      </c>
      <c r="D103" s="33">
        <f>UDs!D77</f>
        <v>0</v>
      </c>
      <c r="E103" s="191">
        <f t="shared" si="42"/>
        <v>0</v>
      </c>
      <c r="F103" s="336"/>
      <c r="G103" s="336"/>
      <c r="H103" s="336"/>
      <c r="I103" s="336"/>
      <c r="J103" s="336"/>
      <c r="K103" s="355"/>
      <c r="L103" s="336"/>
      <c r="M103" s="336"/>
      <c r="N103" s="336"/>
      <c r="O103" s="336"/>
      <c r="P103" s="355"/>
      <c r="Q103" s="336"/>
      <c r="R103" s="336"/>
      <c r="S103" s="336"/>
      <c r="T103" s="356"/>
      <c r="U103" s="355"/>
      <c r="V103" s="336"/>
      <c r="W103" s="336"/>
      <c r="X103" s="336"/>
      <c r="Y103" s="336"/>
      <c r="Z103" s="355"/>
      <c r="AA103" s="336"/>
      <c r="AB103" s="336"/>
      <c r="AC103" s="336"/>
      <c r="AD103" s="336"/>
      <c r="AE103" s="355"/>
      <c r="AF103" s="336"/>
      <c r="AG103" s="336"/>
      <c r="AH103" s="336"/>
      <c r="AI103" s="356"/>
      <c r="AK103" s="47" t="str">
        <f>UDs!H77</f>
        <v/>
      </c>
      <c r="AL103" s="15" t="str">
        <f>UDs!I77</f>
        <v/>
      </c>
      <c r="AM103" s="48" t="str">
        <f>UDs!J77</f>
        <v/>
      </c>
      <c r="AN103" s="15" t="str">
        <f>UDs!K77</f>
        <v/>
      </c>
      <c r="AO103" s="15" t="str">
        <f>UDs!L77</f>
        <v/>
      </c>
      <c r="AP103" s="48" t="str">
        <f>UDs!M77</f>
        <v/>
      </c>
      <c r="AQ103" s="15" t="str">
        <f>UDs!N77</f>
        <v/>
      </c>
      <c r="AR103" s="15" t="str">
        <f>UDs!O77</f>
        <v/>
      </c>
      <c r="AS103" s="48" t="str">
        <f>UDs!P77</f>
        <v/>
      </c>
      <c r="AT103" s="15" t="str">
        <f>UDs!Q77</f>
        <v/>
      </c>
      <c r="AU103" s="15" t="str">
        <f>UDs!R77</f>
        <v/>
      </c>
      <c r="AV103" s="48" t="str">
        <f>UDs!S77</f>
        <v/>
      </c>
      <c r="AX103" s="171">
        <f t="shared" si="43"/>
        <v>0</v>
      </c>
      <c r="AY103" s="171">
        <f t="shared" si="44"/>
        <v>0</v>
      </c>
      <c r="AZ103" s="171">
        <f t="shared" si="45"/>
        <v>0</v>
      </c>
      <c r="BA103" s="214"/>
    </row>
    <row r="104" spans="1:53" ht="18.75" customHeight="1" x14ac:dyDescent="0.35">
      <c r="A104" s="214"/>
      <c r="B104" s="97" t="str">
        <f>UDs!F78</f>
        <v/>
      </c>
      <c r="C104" s="216" t="str">
        <f>UDs!B78</f>
        <v/>
      </c>
      <c r="D104" s="33">
        <f>UDs!D78</f>
        <v>0</v>
      </c>
      <c r="E104" s="191">
        <f t="shared" si="42"/>
        <v>0</v>
      </c>
      <c r="F104" s="336"/>
      <c r="G104" s="336"/>
      <c r="H104" s="336"/>
      <c r="I104" s="336"/>
      <c r="J104" s="336"/>
      <c r="K104" s="355"/>
      <c r="L104" s="336"/>
      <c r="M104" s="336"/>
      <c r="N104" s="336"/>
      <c r="O104" s="336"/>
      <c r="P104" s="355"/>
      <c r="Q104" s="336"/>
      <c r="R104" s="336"/>
      <c r="S104" s="336"/>
      <c r="T104" s="356"/>
      <c r="U104" s="355"/>
      <c r="V104" s="336"/>
      <c r="W104" s="336"/>
      <c r="X104" s="336"/>
      <c r="Y104" s="336"/>
      <c r="Z104" s="355"/>
      <c r="AA104" s="336"/>
      <c r="AB104" s="336"/>
      <c r="AC104" s="336"/>
      <c r="AD104" s="336"/>
      <c r="AE104" s="355"/>
      <c r="AF104" s="336"/>
      <c r="AG104" s="336"/>
      <c r="AH104" s="336"/>
      <c r="AI104" s="356"/>
      <c r="AK104" s="47" t="str">
        <f>UDs!H78</f>
        <v/>
      </c>
      <c r="AL104" s="15" t="str">
        <f>UDs!I78</f>
        <v/>
      </c>
      <c r="AM104" s="48" t="str">
        <f>UDs!J78</f>
        <v/>
      </c>
      <c r="AN104" s="15" t="str">
        <f>UDs!K78</f>
        <v/>
      </c>
      <c r="AO104" s="15" t="str">
        <f>UDs!L78</f>
        <v/>
      </c>
      <c r="AP104" s="48" t="str">
        <f>UDs!M78</f>
        <v/>
      </c>
      <c r="AQ104" s="15" t="str">
        <f>UDs!N78</f>
        <v/>
      </c>
      <c r="AR104" s="15" t="str">
        <f>UDs!O78</f>
        <v/>
      </c>
      <c r="AS104" s="48" t="str">
        <f>UDs!P78</f>
        <v/>
      </c>
      <c r="AT104" s="15" t="str">
        <f>UDs!Q78</f>
        <v/>
      </c>
      <c r="AU104" s="15" t="str">
        <f>UDs!R78</f>
        <v/>
      </c>
      <c r="AV104" s="48" t="str">
        <f>UDs!S78</f>
        <v/>
      </c>
      <c r="AX104" s="2">
        <f t="shared" si="43"/>
        <v>0</v>
      </c>
      <c r="AY104" s="2">
        <f t="shared" si="44"/>
        <v>0</v>
      </c>
      <c r="AZ104" s="2">
        <f t="shared" si="45"/>
        <v>0</v>
      </c>
      <c r="BA104" s="214"/>
    </row>
    <row r="105" spans="1:53" ht="18.75" customHeight="1" x14ac:dyDescent="0.35">
      <c r="A105" s="214"/>
      <c r="B105" s="97" t="str">
        <f>UDs!F79</f>
        <v/>
      </c>
      <c r="C105" s="217" t="str">
        <f>UDs!B79</f>
        <v/>
      </c>
      <c r="D105" s="86">
        <f>UDs!D79</f>
        <v>0</v>
      </c>
      <c r="E105" s="192">
        <f t="shared" si="42"/>
        <v>0</v>
      </c>
      <c r="F105" s="337"/>
      <c r="G105" s="337"/>
      <c r="H105" s="337"/>
      <c r="I105" s="337"/>
      <c r="J105" s="337"/>
      <c r="K105" s="357"/>
      <c r="L105" s="337"/>
      <c r="M105" s="337"/>
      <c r="N105" s="337"/>
      <c r="O105" s="337"/>
      <c r="P105" s="357"/>
      <c r="Q105" s="337"/>
      <c r="R105" s="337"/>
      <c r="S105" s="337"/>
      <c r="T105" s="358"/>
      <c r="U105" s="357"/>
      <c r="V105" s="337"/>
      <c r="W105" s="337"/>
      <c r="X105" s="337"/>
      <c r="Y105" s="337"/>
      <c r="Z105" s="357"/>
      <c r="AA105" s="337"/>
      <c r="AB105" s="337"/>
      <c r="AC105" s="337"/>
      <c r="AD105" s="337"/>
      <c r="AE105" s="357"/>
      <c r="AF105" s="337"/>
      <c r="AG105" s="337"/>
      <c r="AH105" s="337"/>
      <c r="AI105" s="358"/>
      <c r="AK105" s="49" t="str">
        <f>UDs!H79</f>
        <v/>
      </c>
      <c r="AL105" s="16" t="str">
        <f>UDs!I79</f>
        <v/>
      </c>
      <c r="AM105" s="50" t="str">
        <f>UDs!J79</f>
        <v/>
      </c>
      <c r="AN105" s="16" t="str">
        <f>UDs!K79</f>
        <v/>
      </c>
      <c r="AO105" s="16" t="str">
        <f>UDs!L79</f>
        <v/>
      </c>
      <c r="AP105" s="50" t="str">
        <f>UDs!M79</f>
        <v/>
      </c>
      <c r="AQ105" s="16" t="str">
        <f>UDs!N79</f>
        <v/>
      </c>
      <c r="AR105" s="16" t="str">
        <f>UDs!O79</f>
        <v/>
      </c>
      <c r="AS105" s="50" t="str">
        <f>UDs!P79</f>
        <v/>
      </c>
      <c r="AT105" s="16" t="str">
        <f>UDs!Q79</f>
        <v/>
      </c>
      <c r="AU105" s="16" t="str">
        <f>UDs!R79</f>
        <v/>
      </c>
      <c r="AV105" s="50" t="str">
        <f>UDs!S79</f>
        <v/>
      </c>
      <c r="AX105" s="3">
        <f t="shared" si="43"/>
        <v>0</v>
      </c>
      <c r="AY105" s="3">
        <f t="shared" si="44"/>
        <v>0</v>
      </c>
      <c r="AZ105" s="3">
        <f t="shared" si="45"/>
        <v>0</v>
      </c>
      <c r="BA105" s="214"/>
    </row>
    <row r="106" spans="1:53" ht="18.75" customHeight="1" x14ac:dyDescent="0.35">
      <c r="A106" s="214"/>
      <c r="B106" s="97" t="str">
        <f>UDs!F80</f>
        <v/>
      </c>
      <c r="C106" s="216" t="str">
        <f>UDs!B80</f>
        <v/>
      </c>
      <c r="D106" s="33">
        <f>UDs!D80</f>
        <v>0</v>
      </c>
      <c r="E106" s="191">
        <f t="shared" si="42"/>
        <v>0</v>
      </c>
      <c r="F106" s="336"/>
      <c r="G106" s="336"/>
      <c r="H106" s="336"/>
      <c r="I106" s="336"/>
      <c r="J106" s="336"/>
      <c r="K106" s="355"/>
      <c r="L106" s="336"/>
      <c r="M106" s="336"/>
      <c r="N106" s="336"/>
      <c r="O106" s="336"/>
      <c r="P106" s="355"/>
      <c r="Q106" s="336"/>
      <c r="R106" s="336"/>
      <c r="S106" s="336"/>
      <c r="T106" s="356"/>
      <c r="U106" s="355"/>
      <c r="V106" s="336"/>
      <c r="W106" s="336"/>
      <c r="X106" s="336"/>
      <c r="Y106" s="336"/>
      <c r="Z106" s="355"/>
      <c r="AA106" s="336"/>
      <c r="AB106" s="336"/>
      <c r="AC106" s="336"/>
      <c r="AD106" s="336"/>
      <c r="AE106" s="355"/>
      <c r="AF106" s="336"/>
      <c r="AG106" s="336"/>
      <c r="AH106" s="336"/>
      <c r="AI106" s="356"/>
      <c r="AK106" s="47" t="str">
        <f>UDs!H80</f>
        <v/>
      </c>
      <c r="AL106" s="15" t="str">
        <f>UDs!I80</f>
        <v/>
      </c>
      <c r="AM106" s="48" t="str">
        <f>UDs!J80</f>
        <v/>
      </c>
      <c r="AN106" s="15" t="str">
        <f>UDs!K80</f>
        <v/>
      </c>
      <c r="AO106" s="15" t="str">
        <f>UDs!L80</f>
        <v/>
      </c>
      <c r="AP106" s="48" t="str">
        <f>UDs!M80</f>
        <v/>
      </c>
      <c r="AQ106" s="15" t="str">
        <f>UDs!N80</f>
        <v/>
      </c>
      <c r="AR106" s="15" t="str">
        <f>UDs!O80</f>
        <v/>
      </c>
      <c r="AS106" s="48" t="str">
        <f>UDs!P80</f>
        <v/>
      </c>
      <c r="AT106" s="15" t="str">
        <f>UDs!Q80</f>
        <v/>
      </c>
      <c r="AU106" s="15" t="str">
        <f>UDs!R80</f>
        <v/>
      </c>
      <c r="AV106" s="48" t="str">
        <f>UDs!S80</f>
        <v/>
      </c>
      <c r="AX106" s="2">
        <f t="shared" si="43"/>
        <v>0</v>
      </c>
      <c r="AY106" s="2">
        <f t="shared" si="44"/>
        <v>0</v>
      </c>
      <c r="AZ106" s="2">
        <f t="shared" si="45"/>
        <v>0</v>
      </c>
      <c r="BA106" s="214"/>
    </row>
    <row r="107" spans="1:53" ht="18.75" customHeight="1" x14ac:dyDescent="0.35">
      <c r="A107" s="214"/>
      <c r="B107" s="97" t="str">
        <f>UDs!F81</f>
        <v/>
      </c>
      <c r="C107" s="216" t="str">
        <f>UDs!B81</f>
        <v/>
      </c>
      <c r="D107" s="33">
        <f>UDs!D81</f>
        <v>0</v>
      </c>
      <c r="E107" s="191">
        <f t="shared" si="42"/>
        <v>0</v>
      </c>
      <c r="F107" s="336"/>
      <c r="G107" s="336"/>
      <c r="H107" s="336"/>
      <c r="I107" s="336"/>
      <c r="J107" s="336"/>
      <c r="K107" s="355"/>
      <c r="L107" s="336"/>
      <c r="M107" s="336"/>
      <c r="N107" s="336"/>
      <c r="O107" s="336"/>
      <c r="P107" s="355"/>
      <c r="Q107" s="336"/>
      <c r="R107" s="336"/>
      <c r="S107" s="336"/>
      <c r="T107" s="356"/>
      <c r="U107" s="355"/>
      <c r="V107" s="336"/>
      <c r="W107" s="336"/>
      <c r="X107" s="336"/>
      <c r="Y107" s="336"/>
      <c r="Z107" s="355"/>
      <c r="AA107" s="336"/>
      <c r="AB107" s="336"/>
      <c r="AC107" s="336"/>
      <c r="AD107" s="336"/>
      <c r="AE107" s="355"/>
      <c r="AF107" s="336"/>
      <c r="AG107" s="336"/>
      <c r="AH107" s="336"/>
      <c r="AI107" s="356"/>
      <c r="AK107" s="47" t="str">
        <f>UDs!H81</f>
        <v/>
      </c>
      <c r="AL107" s="15" t="str">
        <f>UDs!I81</f>
        <v/>
      </c>
      <c r="AM107" s="48" t="str">
        <f>UDs!J81</f>
        <v/>
      </c>
      <c r="AN107" s="15" t="str">
        <f>UDs!K81</f>
        <v/>
      </c>
      <c r="AO107" s="15" t="str">
        <f>UDs!L81</f>
        <v/>
      </c>
      <c r="AP107" s="48" t="str">
        <f>UDs!M81</f>
        <v/>
      </c>
      <c r="AQ107" s="15" t="str">
        <f>UDs!N81</f>
        <v/>
      </c>
      <c r="AR107" s="15" t="str">
        <f>UDs!O81</f>
        <v/>
      </c>
      <c r="AS107" s="48" t="str">
        <f>UDs!P81</f>
        <v/>
      </c>
      <c r="AT107" s="15" t="str">
        <f>UDs!Q81</f>
        <v/>
      </c>
      <c r="AU107" s="15" t="str">
        <f>UDs!R81</f>
        <v/>
      </c>
      <c r="AV107" s="48" t="str">
        <f>UDs!S81</f>
        <v/>
      </c>
      <c r="AX107" s="2">
        <f t="shared" si="43"/>
        <v>0</v>
      </c>
      <c r="AY107" s="2">
        <f t="shared" si="44"/>
        <v>0</v>
      </c>
      <c r="AZ107" s="2">
        <f t="shared" si="45"/>
        <v>0</v>
      </c>
      <c r="BA107" s="214"/>
    </row>
    <row r="108" spans="1:53" ht="18.75" customHeight="1" x14ac:dyDescent="0.35">
      <c r="A108" s="214"/>
      <c r="B108" s="97" t="str">
        <f>UDs!F82</f>
        <v/>
      </c>
      <c r="C108" s="217" t="str">
        <f>UDs!B82</f>
        <v/>
      </c>
      <c r="D108" s="86">
        <f>UDs!D82</f>
        <v>0</v>
      </c>
      <c r="E108" s="192">
        <f t="shared" si="42"/>
        <v>0</v>
      </c>
      <c r="F108" s="337"/>
      <c r="G108" s="337"/>
      <c r="H108" s="337"/>
      <c r="I108" s="337"/>
      <c r="J108" s="337"/>
      <c r="K108" s="357"/>
      <c r="L108" s="337"/>
      <c r="M108" s="337"/>
      <c r="N108" s="337"/>
      <c r="O108" s="337"/>
      <c r="P108" s="357"/>
      <c r="Q108" s="337"/>
      <c r="R108" s="337"/>
      <c r="S108" s="337"/>
      <c r="T108" s="358"/>
      <c r="U108" s="357"/>
      <c r="V108" s="337"/>
      <c r="W108" s="337"/>
      <c r="X108" s="337"/>
      <c r="Y108" s="337"/>
      <c r="Z108" s="357"/>
      <c r="AA108" s="337"/>
      <c r="AB108" s="337"/>
      <c r="AC108" s="337"/>
      <c r="AD108" s="337"/>
      <c r="AE108" s="357"/>
      <c r="AF108" s="337"/>
      <c r="AG108" s="337"/>
      <c r="AH108" s="337"/>
      <c r="AI108" s="358"/>
      <c r="AK108" s="49" t="str">
        <f>UDs!H82</f>
        <v/>
      </c>
      <c r="AL108" s="16" t="str">
        <f>UDs!I82</f>
        <v/>
      </c>
      <c r="AM108" s="50" t="str">
        <f>UDs!J82</f>
        <v/>
      </c>
      <c r="AN108" s="16" t="str">
        <f>UDs!K82</f>
        <v/>
      </c>
      <c r="AO108" s="16" t="str">
        <f>UDs!L82</f>
        <v/>
      </c>
      <c r="AP108" s="50" t="str">
        <f>UDs!M82</f>
        <v/>
      </c>
      <c r="AQ108" s="16" t="str">
        <f>UDs!N82</f>
        <v/>
      </c>
      <c r="AR108" s="16" t="str">
        <f>UDs!O82</f>
        <v/>
      </c>
      <c r="AS108" s="50" t="str">
        <f>UDs!P82</f>
        <v/>
      </c>
      <c r="AT108" s="16" t="str">
        <f>UDs!Q82</f>
        <v/>
      </c>
      <c r="AU108" s="16" t="str">
        <f>UDs!R82</f>
        <v/>
      </c>
      <c r="AV108" s="50" t="str">
        <f>UDs!S82</f>
        <v/>
      </c>
      <c r="AX108" s="2">
        <f t="shared" si="43"/>
        <v>0</v>
      </c>
      <c r="AY108" s="2">
        <f t="shared" si="44"/>
        <v>0</v>
      </c>
      <c r="AZ108" s="2">
        <f t="shared" si="45"/>
        <v>0</v>
      </c>
      <c r="BA108" s="214"/>
    </row>
    <row r="109" spans="1:53" ht="18.75" customHeight="1" x14ac:dyDescent="0.35">
      <c r="A109" s="214"/>
      <c r="B109" s="97" t="str">
        <f>UDs!F83</f>
        <v/>
      </c>
      <c r="C109" s="216" t="str">
        <f>UDs!B83</f>
        <v/>
      </c>
      <c r="D109" s="33">
        <f>UDs!D83</f>
        <v>0</v>
      </c>
      <c r="E109" s="191">
        <f t="shared" si="42"/>
        <v>0</v>
      </c>
      <c r="F109" s="336"/>
      <c r="G109" s="336"/>
      <c r="H109" s="336"/>
      <c r="I109" s="336"/>
      <c r="J109" s="336"/>
      <c r="K109" s="355"/>
      <c r="L109" s="336"/>
      <c r="M109" s="336"/>
      <c r="N109" s="336"/>
      <c r="O109" s="336"/>
      <c r="P109" s="355"/>
      <c r="Q109" s="336"/>
      <c r="R109" s="336"/>
      <c r="S109" s="336"/>
      <c r="T109" s="356"/>
      <c r="U109" s="355"/>
      <c r="V109" s="336"/>
      <c r="W109" s="336"/>
      <c r="X109" s="336"/>
      <c r="Y109" s="336"/>
      <c r="Z109" s="355"/>
      <c r="AA109" s="336"/>
      <c r="AB109" s="336"/>
      <c r="AC109" s="336"/>
      <c r="AD109" s="336"/>
      <c r="AE109" s="355"/>
      <c r="AF109" s="336"/>
      <c r="AG109" s="336"/>
      <c r="AH109" s="336"/>
      <c r="AI109" s="356"/>
      <c r="AK109" s="47" t="str">
        <f>UDs!H83</f>
        <v/>
      </c>
      <c r="AL109" s="15" t="str">
        <f>UDs!I83</f>
        <v/>
      </c>
      <c r="AM109" s="48" t="str">
        <f>UDs!J83</f>
        <v/>
      </c>
      <c r="AN109" s="15" t="str">
        <f>UDs!K83</f>
        <v/>
      </c>
      <c r="AO109" s="15" t="str">
        <f>UDs!L83</f>
        <v/>
      </c>
      <c r="AP109" s="48" t="str">
        <f>UDs!M83</f>
        <v/>
      </c>
      <c r="AQ109" s="15" t="str">
        <f>UDs!N83</f>
        <v/>
      </c>
      <c r="AR109" s="15" t="str">
        <f>UDs!O83</f>
        <v/>
      </c>
      <c r="AS109" s="48" t="str">
        <f>UDs!P83</f>
        <v/>
      </c>
      <c r="AT109" s="15" t="str">
        <f>UDs!Q83</f>
        <v/>
      </c>
      <c r="AU109" s="15" t="str">
        <f>UDs!R83</f>
        <v/>
      </c>
      <c r="AV109" s="48" t="str">
        <f>UDs!S83</f>
        <v/>
      </c>
      <c r="AX109" s="171">
        <f t="shared" si="43"/>
        <v>0</v>
      </c>
      <c r="AY109" s="171">
        <f t="shared" si="44"/>
        <v>0</v>
      </c>
      <c r="AZ109" s="171">
        <f t="shared" si="45"/>
        <v>0</v>
      </c>
      <c r="BA109" s="214"/>
    </row>
    <row r="110" spans="1:53" ht="18.75" customHeight="1" x14ac:dyDescent="0.35">
      <c r="A110" s="214"/>
      <c r="B110" s="97" t="str">
        <f>UDs!F84</f>
        <v/>
      </c>
      <c r="C110" s="216" t="str">
        <f>UDs!B84</f>
        <v/>
      </c>
      <c r="D110" s="33">
        <f>UDs!D84</f>
        <v>0</v>
      </c>
      <c r="E110" s="191">
        <f t="shared" si="42"/>
        <v>0</v>
      </c>
      <c r="F110" s="336"/>
      <c r="G110" s="336"/>
      <c r="H110" s="336"/>
      <c r="I110" s="336"/>
      <c r="J110" s="336"/>
      <c r="K110" s="355"/>
      <c r="L110" s="336"/>
      <c r="M110" s="336"/>
      <c r="N110" s="336"/>
      <c r="O110" s="336"/>
      <c r="P110" s="355"/>
      <c r="Q110" s="336"/>
      <c r="R110" s="336"/>
      <c r="S110" s="336"/>
      <c r="T110" s="356"/>
      <c r="U110" s="355"/>
      <c r="V110" s="336"/>
      <c r="W110" s="336"/>
      <c r="X110" s="336"/>
      <c r="Y110" s="336"/>
      <c r="Z110" s="355"/>
      <c r="AA110" s="336"/>
      <c r="AB110" s="336"/>
      <c r="AC110" s="336"/>
      <c r="AD110" s="336"/>
      <c r="AE110" s="355"/>
      <c r="AF110" s="336"/>
      <c r="AG110" s="336"/>
      <c r="AH110" s="336"/>
      <c r="AI110" s="356"/>
      <c r="AK110" s="47" t="str">
        <f>UDs!H84</f>
        <v/>
      </c>
      <c r="AL110" s="15" t="str">
        <f>UDs!I84</f>
        <v/>
      </c>
      <c r="AM110" s="48" t="str">
        <f>UDs!J84</f>
        <v/>
      </c>
      <c r="AN110" s="15" t="str">
        <f>UDs!K84</f>
        <v/>
      </c>
      <c r="AO110" s="15" t="str">
        <f>UDs!L84</f>
        <v/>
      </c>
      <c r="AP110" s="48" t="str">
        <f>UDs!M84</f>
        <v/>
      </c>
      <c r="AQ110" s="15" t="str">
        <f>UDs!N84</f>
        <v/>
      </c>
      <c r="AR110" s="15" t="str">
        <f>UDs!O84</f>
        <v/>
      </c>
      <c r="AS110" s="48" t="str">
        <f>UDs!P84</f>
        <v/>
      </c>
      <c r="AT110" s="15" t="str">
        <f>UDs!Q84</f>
        <v/>
      </c>
      <c r="AU110" s="15" t="str">
        <f>UDs!R84</f>
        <v/>
      </c>
      <c r="AV110" s="48" t="str">
        <f>UDs!S84</f>
        <v/>
      </c>
      <c r="AX110" s="2">
        <f t="shared" si="43"/>
        <v>0</v>
      </c>
      <c r="AY110" s="2">
        <f t="shared" si="44"/>
        <v>0</v>
      </c>
      <c r="AZ110" s="2">
        <f t="shared" si="45"/>
        <v>0</v>
      </c>
      <c r="BA110" s="214"/>
    </row>
    <row r="111" spans="1:53" ht="18.75" customHeight="1" x14ac:dyDescent="0.35">
      <c r="A111" s="214"/>
      <c r="B111" s="97" t="str">
        <f>UDs!F85</f>
        <v/>
      </c>
      <c r="C111" s="217" t="str">
        <f>UDs!B85</f>
        <v/>
      </c>
      <c r="D111" s="86">
        <f>UDs!D85</f>
        <v>0</v>
      </c>
      <c r="E111" s="192">
        <f t="shared" si="42"/>
        <v>0</v>
      </c>
      <c r="F111" s="337"/>
      <c r="G111" s="337"/>
      <c r="H111" s="337"/>
      <c r="I111" s="337"/>
      <c r="J111" s="337"/>
      <c r="K111" s="357"/>
      <c r="L111" s="337"/>
      <c r="M111" s="337"/>
      <c r="N111" s="337"/>
      <c r="O111" s="337"/>
      <c r="P111" s="357"/>
      <c r="Q111" s="337"/>
      <c r="R111" s="337"/>
      <c r="S111" s="337"/>
      <c r="T111" s="358"/>
      <c r="U111" s="357"/>
      <c r="V111" s="337"/>
      <c r="W111" s="337"/>
      <c r="X111" s="337"/>
      <c r="Y111" s="337"/>
      <c r="Z111" s="357"/>
      <c r="AA111" s="337"/>
      <c r="AB111" s="337"/>
      <c r="AC111" s="337"/>
      <c r="AD111" s="337"/>
      <c r="AE111" s="357"/>
      <c r="AF111" s="337"/>
      <c r="AG111" s="337"/>
      <c r="AH111" s="337"/>
      <c r="AI111" s="358"/>
      <c r="AK111" s="49" t="str">
        <f>UDs!H85</f>
        <v/>
      </c>
      <c r="AL111" s="16" t="str">
        <f>UDs!I85</f>
        <v/>
      </c>
      <c r="AM111" s="50" t="str">
        <f>UDs!J85</f>
        <v/>
      </c>
      <c r="AN111" s="16" t="str">
        <f>UDs!K85</f>
        <v/>
      </c>
      <c r="AO111" s="16" t="str">
        <f>UDs!L85</f>
        <v/>
      </c>
      <c r="AP111" s="50" t="str">
        <f>UDs!M85</f>
        <v/>
      </c>
      <c r="AQ111" s="16" t="str">
        <f>UDs!N85</f>
        <v/>
      </c>
      <c r="AR111" s="16" t="str">
        <f>UDs!O85</f>
        <v/>
      </c>
      <c r="AS111" s="50" t="str">
        <f>UDs!P85</f>
        <v/>
      </c>
      <c r="AT111" s="16" t="str">
        <f>UDs!Q85</f>
        <v/>
      </c>
      <c r="AU111" s="16" t="str">
        <f>UDs!R85</f>
        <v/>
      </c>
      <c r="AV111" s="50" t="str">
        <f>UDs!S85</f>
        <v/>
      </c>
      <c r="AX111" s="3">
        <f t="shared" si="43"/>
        <v>0</v>
      </c>
      <c r="AY111" s="3">
        <f t="shared" si="44"/>
        <v>0</v>
      </c>
      <c r="AZ111" s="3">
        <f t="shared" si="45"/>
        <v>0</v>
      </c>
      <c r="BA111" s="214"/>
    </row>
    <row r="112" spans="1:53" ht="18.75" customHeight="1" x14ac:dyDescent="0.35">
      <c r="A112" s="214"/>
      <c r="B112" s="97" t="str">
        <f>UDs!F86</f>
        <v/>
      </c>
      <c r="C112" s="216" t="str">
        <f>UDs!B86</f>
        <v/>
      </c>
      <c r="D112" s="33">
        <f>UDs!D86</f>
        <v>0</v>
      </c>
      <c r="E112" s="191">
        <f t="shared" si="42"/>
        <v>0</v>
      </c>
      <c r="F112" s="336"/>
      <c r="G112" s="336"/>
      <c r="H112" s="336"/>
      <c r="I112" s="336"/>
      <c r="J112" s="336"/>
      <c r="K112" s="355"/>
      <c r="L112" s="336"/>
      <c r="M112" s="336"/>
      <c r="N112" s="336"/>
      <c r="O112" s="336"/>
      <c r="P112" s="355"/>
      <c r="Q112" s="336"/>
      <c r="R112" s="336"/>
      <c r="S112" s="336"/>
      <c r="T112" s="356"/>
      <c r="U112" s="355"/>
      <c r="V112" s="336"/>
      <c r="W112" s="336"/>
      <c r="X112" s="336"/>
      <c r="Y112" s="336"/>
      <c r="Z112" s="355"/>
      <c r="AA112" s="336"/>
      <c r="AB112" s="336"/>
      <c r="AC112" s="336"/>
      <c r="AD112" s="336"/>
      <c r="AE112" s="355"/>
      <c r="AF112" s="336"/>
      <c r="AG112" s="336"/>
      <c r="AH112" s="336"/>
      <c r="AI112" s="356"/>
      <c r="AK112" s="47" t="str">
        <f>UDs!H86</f>
        <v/>
      </c>
      <c r="AL112" s="15" t="str">
        <f>UDs!I86</f>
        <v/>
      </c>
      <c r="AM112" s="48" t="str">
        <f>UDs!J86</f>
        <v/>
      </c>
      <c r="AN112" s="15" t="str">
        <f>UDs!K86</f>
        <v/>
      </c>
      <c r="AO112" s="15" t="str">
        <f>UDs!L86</f>
        <v/>
      </c>
      <c r="AP112" s="48" t="str">
        <f>UDs!M86</f>
        <v/>
      </c>
      <c r="AQ112" s="15" t="str">
        <f>UDs!N86</f>
        <v/>
      </c>
      <c r="AR112" s="15" t="str">
        <f>UDs!O86</f>
        <v/>
      </c>
      <c r="AS112" s="48" t="str">
        <f>UDs!P86</f>
        <v/>
      </c>
      <c r="AT112" s="15" t="str">
        <f>UDs!Q86</f>
        <v/>
      </c>
      <c r="AU112" s="15" t="str">
        <f>UDs!R86</f>
        <v/>
      </c>
      <c r="AV112" s="48" t="str">
        <f>UDs!S86</f>
        <v/>
      </c>
      <c r="AX112" s="2">
        <f t="shared" si="43"/>
        <v>0</v>
      </c>
      <c r="AY112" s="2">
        <f t="shared" si="44"/>
        <v>0</v>
      </c>
      <c r="AZ112" s="2">
        <f t="shared" si="45"/>
        <v>0</v>
      </c>
      <c r="BA112" s="214"/>
    </row>
    <row r="113" spans="1:53" ht="18.75" customHeight="1" x14ac:dyDescent="0.35">
      <c r="A113" s="214"/>
      <c r="B113" s="97" t="str">
        <f>UDs!F87</f>
        <v/>
      </c>
      <c r="C113" s="216" t="str">
        <f>UDs!B87</f>
        <v/>
      </c>
      <c r="D113" s="33">
        <f>UDs!D87</f>
        <v>0</v>
      </c>
      <c r="E113" s="191">
        <f t="shared" si="42"/>
        <v>0</v>
      </c>
      <c r="F113" s="336"/>
      <c r="G113" s="336"/>
      <c r="H113" s="336"/>
      <c r="I113" s="336"/>
      <c r="J113" s="336"/>
      <c r="K113" s="355"/>
      <c r="L113" s="336"/>
      <c r="M113" s="336"/>
      <c r="N113" s="336"/>
      <c r="O113" s="336"/>
      <c r="P113" s="355"/>
      <c r="Q113" s="336"/>
      <c r="R113" s="336"/>
      <c r="S113" s="336"/>
      <c r="T113" s="356"/>
      <c r="U113" s="355"/>
      <c r="V113" s="336"/>
      <c r="W113" s="336"/>
      <c r="X113" s="336"/>
      <c r="Y113" s="336"/>
      <c r="Z113" s="355"/>
      <c r="AA113" s="336"/>
      <c r="AB113" s="336"/>
      <c r="AC113" s="336"/>
      <c r="AD113" s="336"/>
      <c r="AE113" s="355"/>
      <c r="AF113" s="336"/>
      <c r="AG113" s="336"/>
      <c r="AH113" s="336"/>
      <c r="AI113" s="356"/>
      <c r="AK113" s="47" t="str">
        <f>UDs!H87</f>
        <v/>
      </c>
      <c r="AL113" s="15" t="str">
        <f>UDs!I87</f>
        <v/>
      </c>
      <c r="AM113" s="48" t="str">
        <f>UDs!J87</f>
        <v/>
      </c>
      <c r="AN113" s="15" t="str">
        <f>UDs!K87</f>
        <v/>
      </c>
      <c r="AO113" s="15" t="str">
        <f>UDs!L87</f>
        <v/>
      </c>
      <c r="AP113" s="48" t="str">
        <f>UDs!M87</f>
        <v/>
      </c>
      <c r="AQ113" s="15" t="str">
        <f>UDs!N87</f>
        <v/>
      </c>
      <c r="AR113" s="15" t="str">
        <f>UDs!O87</f>
        <v/>
      </c>
      <c r="AS113" s="48" t="str">
        <f>UDs!P87</f>
        <v/>
      </c>
      <c r="AT113" s="15" t="str">
        <f>UDs!Q87</f>
        <v/>
      </c>
      <c r="AU113" s="15" t="str">
        <f>UDs!R87</f>
        <v/>
      </c>
      <c r="AV113" s="48" t="str">
        <f>UDs!S87</f>
        <v/>
      </c>
      <c r="AX113" s="2">
        <f t="shared" si="43"/>
        <v>0</v>
      </c>
      <c r="AY113" s="2">
        <f t="shared" si="44"/>
        <v>0</v>
      </c>
      <c r="AZ113" s="2">
        <f t="shared" si="45"/>
        <v>0</v>
      </c>
      <c r="BA113" s="214"/>
    </row>
    <row r="114" spans="1:53" ht="18.75" customHeight="1" x14ac:dyDescent="0.35">
      <c r="A114" s="214"/>
      <c r="B114" s="97" t="str">
        <f>UDs!F88</f>
        <v/>
      </c>
      <c r="C114" s="217" t="str">
        <f>UDs!B88</f>
        <v/>
      </c>
      <c r="D114" s="86">
        <f>UDs!D88</f>
        <v>0</v>
      </c>
      <c r="E114" s="192">
        <f t="shared" si="42"/>
        <v>0</v>
      </c>
      <c r="F114" s="337"/>
      <c r="G114" s="337"/>
      <c r="H114" s="337"/>
      <c r="I114" s="337"/>
      <c r="J114" s="337"/>
      <c r="K114" s="357"/>
      <c r="L114" s="337"/>
      <c r="M114" s="337"/>
      <c r="N114" s="337"/>
      <c r="O114" s="337"/>
      <c r="P114" s="357"/>
      <c r="Q114" s="337"/>
      <c r="R114" s="337"/>
      <c r="S114" s="337"/>
      <c r="T114" s="358"/>
      <c r="U114" s="357"/>
      <c r="V114" s="337"/>
      <c r="W114" s="337"/>
      <c r="X114" s="337"/>
      <c r="Y114" s="337"/>
      <c r="Z114" s="357"/>
      <c r="AA114" s="337"/>
      <c r="AB114" s="337"/>
      <c r="AC114" s="337"/>
      <c r="AD114" s="337"/>
      <c r="AE114" s="357"/>
      <c r="AF114" s="337"/>
      <c r="AG114" s="337"/>
      <c r="AH114" s="337"/>
      <c r="AI114" s="358"/>
      <c r="AK114" s="49" t="str">
        <f>UDs!H88</f>
        <v/>
      </c>
      <c r="AL114" s="16" t="str">
        <f>UDs!I88</f>
        <v/>
      </c>
      <c r="AM114" s="50" t="str">
        <f>UDs!J88</f>
        <v/>
      </c>
      <c r="AN114" s="16" t="str">
        <f>UDs!K88</f>
        <v/>
      </c>
      <c r="AO114" s="16" t="str">
        <f>UDs!L88</f>
        <v/>
      </c>
      <c r="AP114" s="50" t="str">
        <f>UDs!M88</f>
        <v/>
      </c>
      <c r="AQ114" s="16" t="str">
        <f>UDs!N88</f>
        <v/>
      </c>
      <c r="AR114" s="16" t="str">
        <f>UDs!O88</f>
        <v/>
      </c>
      <c r="AS114" s="50" t="str">
        <f>UDs!P88</f>
        <v/>
      </c>
      <c r="AT114" s="16" t="str">
        <f>UDs!Q88</f>
        <v/>
      </c>
      <c r="AU114" s="16" t="str">
        <f>UDs!R88</f>
        <v/>
      </c>
      <c r="AV114" s="50" t="str">
        <f>UDs!S88</f>
        <v/>
      </c>
      <c r="AX114" s="2">
        <f t="shared" si="43"/>
        <v>0</v>
      </c>
      <c r="AY114" s="2">
        <f t="shared" si="44"/>
        <v>0</v>
      </c>
      <c r="AZ114" s="2">
        <f t="shared" si="45"/>
        <v>0</v>
      </c>
      <c r="BA114" s="214"/>
    </row>
    <row r="115" spans="1:53" ht="18.75" customHeight="1" x14ac:dyDescent="0.35">
      <c r="A115" s="214"/>
      <c r="B115" s="97" t="str">
        <f>UDs!F89</f>
        <v/>
      </c>
      <c r="C115" s="216" t="str">
        <f>UDs!B89</f>
        <v/>
      </c>
      <c r="D115" s="33">
        <f>UDs!D89</f>
        <v>0</v>
      </c>
      <c r="E115" s="191">
        <f t="shared" si="42"/>
        <v>0</v>
      </c>
      <c r="F115" s="336"/>
      <c r="G115" s="336"/>
      <c r="H115" s="336"/>
      <c r="I115" s="336"/>
      <c r="J115" s="336"/>
      <c r="K115" s="355"/>
      <c r="L115" s="336"/>
      <c r="M115" s="336"/>
      <c r="N115" s="336"/>
      <c r="O115" s="336"/>
      <c r="P115" s="355"/>
      <c r="Q115" s="336"/>
      <c r="R115" s="336"/>
      <c r="S115" s="336"/>
      <c r="T115" s="356"/>
      <c r="U115" s="355"/>
      <c r="V115" s="336"/>
      <c r="W115" s="336"/>
      <c r="X115" s="336"/>
      <c r="Y115" s="336"/>
      <c r="Z115" s="355"/>
      <c r="AA115" s="336"/>
      <c r="AB115" s="336"/>
      <c r="AC115" s="336"/>
      <c r="AD115" s="336"/>
      <c r="AE115" s="355"/>
      <c r="AF115" s="336"/>
      <c r="AG115" s="336"/>
      <c r="AH115" s="336"/>
      <c r="AI115" s="356"/>
      <c r="AK115" s="47" t="str">
        <f>UDs!H89</f>
        <v/>
      </c>
      <c r="AL115" s="15" t="str">
        <f>UDs!I89</f>
        <v/>
      </c>
      <c r="AM115" s="48" t="str">
        <f>UDs!J89</f>
        <v/>
      </c>
      <c r="AN115" s="15" t="str">
        <f>UDs!K89</f>
        <v/>
      </c>
      <c r="AO115" s="15" t="str">
        <f>UDs!L89</f>
        <v/>
      </c>
      <c r="AP115" s="48" t="str">
        <f>UDs!M89</f>
        <v/>
      </c>
      <c r="AQ115" s="15" t="str">
        <f>UDs!N89</f>
        <v/>
      </c>
      <c r="AR115" s="15" t="str">
        <f>UDs!O89</f>
        <v/>
      </c>
      <c r="AS115" s="48" t="str">
        <f>UDs!P89</f>
        <v/>
      </c>
      <c r="AT115" s="15" t="str">
        <f>UDs!Q89</f>
        <v/>
      </c>
      <c r="AU115" s="15" t="str">
        <f>UDs!R89</f>
        <v/>
      </c>
      <c r="AV115" s="48" t="str">
        <f>UDs!S89</f>
        <v/>
      </c>
      <c r="AX115" s="171">
        <f t="shared" si="43"/>
        <v>0</v>
      </c>
      <c r="AY115" s="171">
        <f t="shared" si="44"/>
        <v>0</v>
      </c>
      <c r="AZ115" s="171">
        <f t="shared" si="45"/>
        <v>0</v>
      </c>
      <c r="BA115" s="214"/>
    </row>
    <row r="116" spans="1:53" ht="18.75" customHeight="1" x14ac:dyDescent="0.35">
      <c r="A116" s="214"/>
      <c r="B116" s="97" t="str">
        <f>UDs!F90</f>
        <v/>
      </c>
      <c r="C116" s="216" t="str">
        <f>UDs!B90</f>
        <v/>
      </c>
      <c r="D116" s="33">
        <f>UDs!D90</f>
        <v>0</v>
      </c>
      <c r="E116" s="191">
        <f t="shared" si="42"/>
        <v>0</v>
      </c>
      <c r="F116" s="336"/>
      <c r="G116" s="336"/>
      <c r="H116" s="336"/>
      <c r="I116" s="336"/>
      <c r="J116" s="336"/>
      <c r="K116" s="355"/>
      <c r="L116" s="336"/>
      <c r="M116" s="336"/>
      <c r="N116" s="336"/>
      <c r="O116" s="336"/>
      <c r="P116" s="355"/>
      <c r="Q116" s="336"/>
      <c r="R116" s="336"/>
      <c r="S116" s="336"/>
      <c r="T116" s="356"/>
      <c r="U116" s="355"/>
      <c r="V116" s="336"/>
      <c r="W116" s="336"/>
      <c r="X116" s="336"/>
      <c r="Y116" s="336"/>
      <c r="Z116" s="355"/>
      <c r="AA116" s="336"/>
      <c r="AB116" s="336"/>
      <c r="AC116" s="336"/>
      <c r="AD116" s="336"/>
      <c r="AE116" s="355"/>
      <c r="AF116" s="336"/>
      <c r="AG116" s="336"/>
      <c r="AH116" s="336"/>
      <c r="AI116" s="356"/>
      <c r="AK116" s="47" t="str">
        <f>UDs!H90</f>
        <v/>
      </c>
      <c r="AL116" s="15" t="str">
        <f>UDs!I90</f>
        <v/>
      </c>
      <c r="AM116" s="48" t="str">
        <f>UDs!J90</f>
        <v/>
      </c>
      <c r="AN116" s="15" t="str">
        <f>UDs!K90</f>
        <v/>
      </c>
      <c r="AO116" s="15" t="str">
        <f>UDs!L90</f>
        <v/>
      </c>
      <c r="AP116" s="48" t="str">
        <f>UDs!M90</f>
        <v/>
      </c>
      <c r="AQ116" s="15" t="str">
        <f>UDs!N90</f>
        <v/>
      </c>
      <c r="AR116" s="15" t="str">
        <f>UDs!O90</f>
        <v/>
      </c>
      <c r="AS116" s="48" t="str">
        <f>UDs!P90</f>
        <v/>
      </c>
      <c r="AT116" s="15" t="str">
        <f>UDs!Q90</f>
        <v/>
      </c>
      <c r="AU116" s="15" t="str">
        <f>UDs!R90</f>
        <v/>
      </c>
      <c r="AV116" s="48" t="str">
        <f>UDs!S90</f>
        <v/>
      </c>
      <c r="AX116" s="2">
        <f t="shared" si="43"/>
        <v>0</v>
      </c>
      <c r="AY116" s="2">
        <f t="shared" si="44"/>
        <v>0</v>
      </c>
      <c r="AZ116" s="2">
        <f t="shared" si="45"/>
        <v>0</v>
      </c>
      <c r="BA116" s="214"/>
    </row>
    <row r="117" spans="1:53" ht="18.75" customHeight="1" x14ac:dyDescent="0.35">
      <c r="A117" s="214"/>
      <c r="B117" s="97" t="str">
        <f>UDs!F91</f>
        <v/>
      </c>
      <c r="C117" s="217" t="str">
        <f>UDs!B91</f>
        <v/>
      </c>
      <c r="D117" s="86">
        <f>UDs!D91</f>
        <v>0</v>
      </c>
      <c r="E117" s="192">
        <f t="shared" si="42"/>
        <v>0</v>
      </c>
      <c r="F117" s="337"/>
      <c r="G117" s="337"/>
      <c r="H117" s="337"/>
      <c r="I117" s="337"/>
      <c r="J117" s="337"/>
      <c r="K117" s="357"/>
      <c r="L117" s="337"/>
      <c r="M117" s="337"/>
      <c r="N117" s="337"/>
      <c r="O117" s="337"/>
      <c r="P117" s="357"/>
      <c r="Q117" s="337"/>
      <c r="R117" s="337"/>
      <c r="S117" s="337"/>
      <c r="T117" s="358"/>
      <c r="U117" s="357"/>
      <c r="V117" s="337"/>
      <c r="W117" s="337"/>
      <c r="X117" s="337"/>
      <c r="Y117" s="337"/>
      <c r="Z117" s="357"/>
      <c r="AA117" s="337"/>
      <c r="AB117" s="337"/>
      <c r="AC117" s="337"/>
      <c r="AD117" s="337"/>
      <c r="AE117" s="357"/>
      <c r="AF117" s="337"/>
      <c r="AG117" s="337"/>
      <c r="AH117" s="337"/>
      <c r="AI117" s="358"/>
      <c r="AK117" s="49" t="str">
        <f>UDs!H91</f>
        <v/>
      </c>
      <c r="AL117" s="16" t="str">
        <f>UDs!I91</f>
        <v/>
      </c>
      <c r="AM117" s="50" t="str">
        <f>UDs!J91</f>
        <v/>
      </c>
      <c r="AN117" s="16" t="str">
        <f>UDs!K91</f>
        <v/>
      </c>
      <c r="AO117" s="16" t="str">
        <f>UDs!L91</f>
        <v/>
      </c>
      <c r="AP117" s="50" t="str">
        <f>UDs!M91</f>
        <v/>
      </c>
      <c r="AQ117" s="16" t="str">
        <f>UDs!N91</f>
        <v/>
      </c>
      <c r="AR117" s="16" t="str">
        <f>UDs!O91</f>
        <v/>
      </c>
      <c r="AS117" s="50" t="str">
        <f>UDs!P91</f>
        <v/>
      </c>
      <c r="AT117" s="16" t="str">
        <f>UDs!Q91</f>
        <v/>
      </c>
      <c r="AU117" s="16" t="str">
        <f>UDs!R91</f>
        <v/>
      </c>
      <c r="AV117" s="50" t="str">
        <f>UDs!S91</f>
        <v/>
      </c>
      <c r="AX117" s="3">
        <f t="shared" si="43"/>
        <v>0</v>
      </c>
      <c r="AY117" s="3">
        <f t="shared" si="44"/>
        <v>0</v>
      </c>
      <c r="AZ117" s="3">
        <f t="shared" si="45"/>
        <v>0</v>
      </c>
      <c r="BA117" s="214"/>
    </row>
    <row r="118" spans="1:53" ht="18.75" customHeight="1" x14ac:dyDescent="0.35">
      <c r="A118" s="214"/>
      <c r="B118" s="97" t="str">
        <f>UDs!F92</f>
        <v/>
      </c>
      <c r="C118" s="216" t="str">
        <f>UDs!B92</f>
        <v/>
      </c>
      <c r="D118" s="33">
        <f>UDs!D92</f>
        <v>0</v>
      </c>
      <c r="E118" s="191">
        <f t="shared" si="42"/>
        <v>0</v>
      </c>
      <c r="F118" s="336"/>
      <c r="G118" s="336"/>
      <c r="H118" s="336"/>
      <c r="I118" s="336"/>
      <c r="J118" s="336"/>
      <c r="K118" s="355"/>
      <c r="L118" s="336"/>
      <c r="M118" s="336"/>
      <c r="N118" s="336"/>
      <c r="O118" s="336"/>
      <c r="P118" s="355"/>
      <c r="Q118" s="336"/>
      <c r="R118" s="336"/>
      <c r="S118" s="336"/>
      <c r="T118" s="356"/>
      <c r="U118" s="355"/>
      <c r="V118" s="336"/>
      <c r="W118" s="336"/>
      <c r="X118" s="336"/>
      <c r="Y118" s="336"/>
      <c r="Z118" s="355"/>
      <c r="AA118" s="336"/>
      <c r="AB118" s="336"/>
      <c r="AC118" s="336"/>
      <c r="AD118" s="336"/>
      <c r="AE118" s="355"/>
      <c r="AF118" s="336"/>
      <c r="AG118" s="336"/>
      <c r="AH118" s="336"/>
      <c r="AI118" s="356"/>
      <c r="AK118" s="89" t="str">
        <f>UDs!H92</f>
        <v/>
      </c>
      <c r="AL118" s="90" t="str">
        <f>UDs!I92</f>
        <v/>
      </c>
      <c r="AM118" s="91" t="str">
        <f>UDs!J92</f>
        <v/>
      </c>
      <c r="AN118" s="90" t="str">
        <f>UDs!K92</f>
        <v/>
      </c>
      <c r="AO118" s="90" t="str">
        <f>UDs!L92</f>
        <v/>
      </c>
      <c r="AP118" s="90" t="str">
        <f>UDs!M92</f>
        <v/>
      </c>
      <c r="AQ118" s="89" t="str">
        <f>UDs!N92</f>
        <v/>
      </c>
      <c r="AR118" s="90" t="str">
        <f>UDs!O92</f>
        <v/>
      </c>
      <c r="AS118" s="91" t="str">
        <f>UDs!P92</f>
        <v/>
      </c>
      <c r="AT118" s="89" t="str">
        <f>UDs!Q92</f>
        <v/>
      </c>
      <c r="AU118" s="90" t="str">
        <f>UDs!R92</f>
        <v/>
      </c>
      <c r="AV118" s="91" t="str">
        <f>UDs!S92</f>
        <v/>
      </c>
      <c r="AX118" s="172">
        <f t="shared" si="43"/>
        <v>0</v>
      </c>
      <c r="AY118" s="171">
        <f t="shared" si="44"/>
        <v>0</v>
      </c>
      <c r="AZ118" s="173">
        <f t="shared" si="45"/>
        <v>0</v>
      </c>
      <c r="BA118" s="214"/>
    </row>
    <row r="119" spans="1:53" ht="18.75" customHeight="1" x14ac:dyDescent="0.35">
      <c r="A119" s="214"/>
      <c r="B119" s="97" t="str">
        <f>UDs!F93</f>
        <v/>
      </c>
      <c r="C119" s="216" t="str">
        <f>UDs!B93</f>
        <v/>
      </c>
      <c r="D119" s="33">
        <f>UDs!D93</f>
        <v>0</v>
      </c>
      <c r="E119" s="191">
        <f t="shared" si="42"/>
        <v>0</v>
      </c>
      <c r="F119" s="336"/>
      <c r="G119" s="336"/>
      <c r="H119" s="336"/>
      <c r="I119" s="336"/>
      <c r="J119" s="336"/>
      <c r="K119" s="355"/>
      <c r="L119" s="336"/>
      <c r="M119" s="336"/>
      <c r="N119" s="336"/>
      <c r="O119" s="336"/>
      <c r="P119" s="355"/>
      <c r="Q119" s="336"/>
      <c r="R119" s="336"/>
      <c r="S119" s="336"/>
      <c r="T119" s="356"/>
      <c r="U119" s="355"/>
      <c r="V119" s="336"/>
      <c r="W119" s="336"/>
      <c r="X119" s="336"/>
      <c r="Y119" s="336"/>
      <c r="Z119" s="355"/>
      <c r="AA119" s="336"/>
      <c r="AB119" s="336"/>
      <c r="AC119" s="336"/>
      <c r="AD119" s="336"/>
      <c r="AE119" s="355"/>
      <c r="AF119" s="336"/>
      <c r="AG119" s="336"/>
      <c r="AH119" s="336"/>
      <c r="AI119" s="356"/>
      <c r="AK119" s="92" t="str">
        <f>UDs!H93</f>
        <v/>
      </c>
      <c r="AL119" s="55" t="str">
        <f>UDs!I93</f>
        <v/>
      </c>
      <c r="AM119" s="93" t="str">
        <f>UDs!J93</f>
        <v/>
      </c>
      <c r="AN119" s="55" t="str">
        <f>UDs!K93</f>
        <v/>
      </c>
      <c r="AO119" s="55" t="str">
        <f>UDs!L93</f>
        <v/>
      </c>
      <c r="AP119" s="55" t="str">
        <f>UDs!M93</f>
        <v/>
      </c>
      <c r="AQ119" s="92" t="str">
        <f>UDs!N93</f>
        <v/>
      </c>
      <c r="AR119" s="55" t="str">
        <f>UDs!O93</f>
        <v/>
      </c>
      <c r="AS119" s="93" t="str">
        <f>UDs!P93</f>
        <v/>
      </c>
      <c r="AT119" s="92" t="str">
        <f>UDs!Q93</f>
        <v/>
      </c>
      <c r="AU119" s="55" t="str">
        <f>UDs!R93</f>
        <v/>
      </c>
      <c r="AV119" s="93" t="str">
        <f>UDs!S93</f>
        <v/>
      </c>
      <c r="AX119" s="174">
        <f t="shared" si="43"/>
        <v>0</v>
      </c>
      <c r="AY119" s="2">
        <f t="shared" si="44"/>
        <v>0</v>
      </c>
      <c r="AZ119" s="175">
        <f t="shared" si="45"/>
        <v>0</v>
      </c>
      <c r="BA119" s="214"/>
    </row>
    <row r="120" spans="1:53" ht="18.75" customHeight="1" x14ac:dyDescent="0.35">
      <c r="A120" s="214"/>
      <c r="B120" s="97" t="str">
        <f>UDs!F94</f>
        <v/>
      </c>
      <c r="C120" s="217" t="str">
        <f>UDs!B94</f>
        <v/>
      </c>
      <c r="D120" s="86">
        <f>UDs!D94</f>
        <v>0</v>
      </c>
      <c r="E120" s="192">
        <f t="shared" si="42"/>
        <v>0</v>
      </c>
      <c r="F120" s="337"/>
      <c r="G120" s="337"/>
      <c r="H120" s="337"/>
      <c r="I120" s="337"/>
      <c r="J120" s="337"/>
      <c r="K120" s="357"/>
      <c r="L120" s="337"/>
      <c r="M120" s="337"/>
      <c r="N120" s="337"/>
      <c r="O120" s="337"/>
      <c r="P120" s="357"/>
      <c r="Q120" s="337"/>
      <c r="R120" s="337"/>
      <c r="S120" s="337"/>
      <c r="T120" s="358"/>
      <c r="U120" s="357"/>
      <c r="V120" s="337"/>
      <c r="W120" s="337"/>
      <c r="X120" s="337"/>
      <c r="Y120" s="337"/>
      <c r="Z120" s="357"/>
      <c r="AA120" s="337"/>
      <c r="AB120" s="337"/>
      <c r="AC120" s="337"/>
      <c r="AD120" s="337"/>
      <c r="AE120" s="357"/>
      <c r="AF120" s="337"/>
      <c r="AG120" s="337"/>
      <c r="AH120" s="337"/>
      <c r="AI120" s="358"/>
      <c r="AK120" s="94" t="str">
        <f>UDs!H94</f>
        <v/>
      </c>
      <c r="AL120" s="59" t="str">
        <f>UDs!I94</f>
        <v/>
      </c>
      <c r="AM120" s="95" t="str">
        <f>UDs!J94</f>
        <v/>
      </c>
      <c r="AN120" s="59" t="str">
        <f>UDs!K94</f>
        <v/>
      </c>
      <c r="AO120" s="59" t="str">
        <f>UDs!L94</f>
        <v/>
      </c>
      <c r="AP120" s="59" t="str">
        <f>UDs!M94</f>
        <v/>
      </c>
      <c r="AQ120" s="94" t="str">
        <f>UDs!N94</f>
        <v/>
      </c>
      <c r="AR120" s="59" t="str">
        <f>UDs!O94</f>
        <v/>
      </c>
      <c r="AS120" s="95" t="str">
        <f>UDs!P94</f>
        <v/>
      </c>
      <c r="AT120" s="94" t="str">
        <f>UDs!Q94</f>
        <v/>
      </c>
      <c r="AU120" s="59" t="str">
        <f>UDs!R94</f>
        <v/>
      </c>
      <c r="AV120" s="95" t="str">
        <f>UDs!S94</f>
        <v/>
      </c>
      <c r="AX120" s="176">
        <f t="shared" si="43"/>
        <v>0</v>
      </c>
      <c r="AY120" s="3">
        <f t="shared" si="44"/>
        <v>0</v>
      </c>
      <c r="AZ120" s="177">
        <f t="shared" si="45"/>
        <v>0</v>
      </c>
      <c r="BA120" s="214"/>
    </row>
    <row r="121" spans="1:53" ht="18.75" customHeight="1" thickBot="1" x14ac:dyDescent="0.5">
      <c r="A121" s="457"/>
      <c r="B121" s="457"/>
      <c r="C121" s="457"/>
      <c r="D121" s="457"/>
      <c r="E121" s="457"/>
      <c r="F121" s="457"/>
      <c r="G121" s="457"/>
      <c r="H121" s="457"/>
      <c r="I121" s="457"/>
      <c r="J121" s="457"/>
      <c r="K121" s="457"/>
      <c r="L121" s="457"/>
      <c r="M121" s="457"/>
      <c r="N121" s="457"/>
      <c r="O121" s="457"/>
      <c r="P121" s="457"/>
      <c r="Q121" s="457"/>
      <c r="R121" s="457"/>
      <c r="S121" s="457"/>
      <c r="T121" s="457"/>
      <c r="U121" s="457"/>
      <c r="V121" s="457"/>
      <c r="W121" s="457"/>
      <c r="X121" s="457"/>
      <c r="Y121" s="457"/>
      <c r="Z121" s="457"/>
      <c r="AA121" s="457"/>
      <c r="AB121" s="457"/>
      <c r="AC121" s="457"/>
      <c r="AD121" s="457"/>
      <c r="AE121" s="457"/>
      <c r="AF121" s="457"/>
      <c r="AG121" s="457"/>
      <c r="AH121" s="457"/>
      <c r="AI121" s="457"/>
      <c r="AJ121" s="457"/>
      <c r="AK121" s="457"/>
      <c r="AL121" s="457"/>
      <c r="AM121" s="457"/>
      <c r="AN121" s="457"/>
      <c r="AO121" s="457"/>
      <c r="AP121" s="457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1" t="str">
        <f>IModulo&amp;" ("&amp;IProfesor&amp;")"</f>
        <v>FPM-it-1-0237 Infra. comunes de teleco en viviendas y edificios (Rafa Sanz)</v>
      </c>
      <c r="BA121" s="457"/>
    </row>
  </sheetData>
  <dataConsolidate/>
  <customSheetViews>
    <customSheetView guid="{BEE73D72-37A1-4B7A-85D2-C39E053A4017}" scale="55" showGridLines="0" zeroValues="0">
      <pane ySplit="14" topLeftCell="A96" activePane="bottomLeft" state="frozen"/>
      <selection pane="bottomLeft" activeCell="G4" sqref="G4"/>
      <pageMargins left="0.7" right="0.7" top="0.75" bottom="0.75" header="0.3" footer="0.3"/>
      <pageSetup paperSize="9" orientation="portrait" r:id="rId1"/>
    </customSheetView>
    <customSheetView guid="{81A05B8F-D3E4-4CEB-B8F2-C34A1F15FDB9}" scale="55" showGridLines="0" zeroValues="0">
      <pane ySplit="14" topLeftCell="A96" activePane="bottomLeft" state="frozen"/>
      <selection pane="bottomLeft" activeCell="G4" sqref="G4"/>
      <pageMargins left="0.7" right="0.7" top="0.75" bottom="0.75" header="0.3" footer="0.3"/>
      <pageSetup paperSize="9" orientation="portrait" r:id="rId2"/>
    </customSheetView>
    <customSheetView guid="{079ED3F8-D23E-413F-B7FA-1C4A43A9CEAB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3"/>
    </customSheetView>
    <customSheetView guid="{BBFF7A3C-7579-4BB0-AAA9-66CE11DC0C92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4"/>
    </customSheetView>
    <customSheetView guid="{386B8780-5573-460C-A780-6C59BEFB4DBF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5"/>
    </customSheetView>
    <customSheetView guid="{748451F5-A0F3-420F-846E-9497A6A574EF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6"/>
    </customSheetView>
  </customSheetViews>
  <mergeCells count="50">
    <mergeCell ref="AX1:AZ1"/>
    <mergeCell ref="AX2:AZ2"/>
    <mergeCell ref="AR11:AR13"/>
    <mergeCell ref="AS11:AS13"/>
    <mergeCell ref="AT11:AT13"/>
    <mergeCell ref="AU11:AU13"/>
    <mergeCell ref="AV11:AV13"/>
    <mergeCell ref="AV60:AV62"/>
    <mergeCell ref="AQ60:AQ62"/>
    <mergeCell ref="AR60:AR62"/>
    <mergeCell ref="AS60:AS62"/>
    <mergeCell ref="AT60:AT62"/>
    <mergeCell ref="AU60:AU62"/>
    <mergeCell ref="AL60:AL62"/>
    <mergeCell ref="AM60:AM62"/>
    <mergeCell ref="AN60:AN62"/>
    <mergeCell ref="AO60:AO62"/>
    <mergeCell ref="AP60:AP62"/>
    <mergeCell ref="AK34:AK36"/>
    <mergeCell ref="AL34:AL36"/>
    <mergeCell ref="AM34:AM36"/>
    <mergeCell ref="AN34:AN36"/>
    <mergeCell ref="AO34:AO36"/>
    <mergeCell ref="AT34:AT36"/>
    <mergeCell ref="AU34:AU36"/>
    <mergeCell ref="AK11:AK13"/>
    <mergeCell ref="AL11:AL13"/>
    <mergeCell ref="AV85:AV87"/>
    <mergeCell ref="AP85:AP87"/>
    <mergeCell ref="AQ85:AQ87"/>
    <mergeCell ref="AR85:AR87"/>
    <mergeCell ref="AS85:AS87"/>
    <mergeCell ref="AT85:AT87"/>
    <mergeCell ref="AV34:AV36"/>
    <mergeCell ref="AK60:AK62"/>
    <mergeCell ref="AP34:AP36"/>
    <mergeCell ref="AQ34:AQ36"/>
    <mergeCell ref="AR34:AR36"/>
    <mergeCell ref="AS34:AS36"/>
    <mergeCell ref="AU85:AU87"/>
    <mergeCell ref="AK85:AK87"/>
    <mergeCell ref="AL85:AL87"/>
    <mergeCell ref="AM85:AM87"/>
    <mergeCell ref="AN85:AN87"/>
    <mergeCell ref="AO85:AO87"/>
    <mergeCell ref="AM11:AM13"/>
    <mergeCell ref="AN11:AN13"/>
    <mergeCell ref="AO11:AO13"/>
    <mergeCell ref="AP11:AP13"/>
    <mergeCell ref="AQ11:AQ13"/>
  </mergeCells>
  <phoneticPr fontId="6" type="noConversion"/>
  <conditionalFormatting sqref="E17:E28">
    <cfRule type="colorScale" priority="3">
      <colorScale>
        <cfvo type="percent" val="0"/>
        <cfvo type="percent" val="50"/>
        <cfvo type="percent" val="100"/>
        <color theme="0"/>
        <color rgb="FFFFEB84"/>
        <color rgb="FF63BE7B"/>
      </colorScale>
    </cfRule>
  </conditionalFormatting>
  <conditionalFormatting sqref="F3:AI120">
    <cfRule type="expression" dxfId="26" priority="1">
      <formula>F$5&lt;&gt;"Alta"</formula>
    </cfRule>
  </conditionalFormatting>
  <conditionalFormatting sqref="F6:AI6 F8:AI8 F10:AI10">
    <cfRule type="colorScale" priority="8">
      <colorScale>
        <cfvo type="num" val="1"/>
        <cfvo type="num" val="5"/>
        <cfvo type="num" val="10"/>
        <color theme="0"/>
        <color rgb="FFFFEB84"/>
        <color rgb="FF63BE7B"/>
      </colorScale>
    </cfRule>
  </conditionalFormatting>
  <conditionalFormatting sqref="F16:AI16">
    <cfRule type="colorScale" priority="4">
      <colorScale>
        <cfvo type="percent" val="0"/>
        <cfvo type="percentile" val="50"/>
        <cfvo type="percent" val="100"/>
        <color theme="0"/>
        <color rgb="FFFFEB84"/>
        <color rgb="FF63BE7B"/>
      </colorScale>
    </cfRule>
  </conditionalFormatting>
  <conditionalFormatting sqref="F17:AI28">
    <cfRule type="colorScale" priority="7">
      <colorScale>
        <cfvo type="percent" val="0"/>
        <cfvo type="percent" val="50"/>
        <cfvo type="percent" val="100"/>
        <color theme="0"/>
        <color rgb="FFFFEB84"/>
        <color rgb="FF63BE7B"/>
      </colorScale>
    </cfRule>
  </conditionalFormatting>
  <conditionalFormatting sqref="F34:AI36">
    <cfRule type="colorScale" priority="5">
      <colorScale>
        <cfvo type="num" val="1"/>
        <cfvo type="num" val="5"/>
        <cfvo type="num" val="10"/>
        <color theme="0"/>
        <color rgb="FFFFEB84"/>
        <color rgb="FF63BE7B"/>
      </colorScale>
    </cfRule>
  </conditionalFormatting>
  <dataValidations count="1">
    <dataValidation type="decimal" allowBlank="1" showInputMessage="1" showErrorMessage="1" sqref="F31:AI31 F7:AI7 F89:F106 F9:AI9 F37:AI57 F63:F71 F11:AI11 F13:AI13" xr:uid="{00000000-0002-0000-0100-000000000000}">
      <formula1>0</formula1>
      <formula2>10</formula2>
    </dataValidation>
  </dataValidations>
  <pageMargins left="0.7" right="0.7" top="0.75" bottom="0.75" header="0.3" footer="0.3"/>
  <pageSetup paperSize="9"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theme="0"/>
    <pageSetUpPr autoPageBreaks="0"/>
  </sheetPr>
  <dimension ref="A1:AD36"/>
  <sheetViews>
    <sheetView showGridLines="0" showZeros="0" view="pageBreakPreview" zoomScale="85" zoomScaleNormal="70" zoomScaleSheetLayoutView="85" workbookViewId="0">
      <pane ySplit="5" topLeftCell="A6" activePane="bottomLeft" state="frozen"/>
      <selection activeCell="D17" sqref="D17"/>
      <selection pane="bottomLeft" activeCell="C4" sqref="C4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9.77734375" style="109" customWidth="1"/>
    <col min="5" max="15" width="10" style="17" customWidth="1"/>
    <col min="16" max="22" width="10" style="113" customWidth="1"/>
    <col min="23" max="29" width="10" style="17" customWidth="1"/>
    <col min="30" max="30" width="3.44140625" style="17" customWidth="1"/>
    <col min="31" max="16384" width="11.44140625" style="17"/>
  </cols>
  <sheetData>
    <row r="1" spans="1:30" ht="24" customHeight="1" thickBot="1" x14ac:dyDescent="0.5">
      <c r="A1" s="457" t="s">
        <v>327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1204">
        <f ca="1">FechaHoy</f>
        <v>46099</v>
      </c>
      <c r="AB1" s="1204"/>
      <c r="AC1" s="1204"/>
      <c r="AD1" s="457"/>
    </row>
    <row r="2" spans="1:30" s="1085" customFormat="1" ht="24.45" customHeight="1" thickBot="1" x14ac:dyDescent="0.35">
      <c r="A2" s="1082"/>
      <c r="B2" s="225" t="str">
        <f>IModulo&amp;" ("&amp;IProfesor&amp;")"</f>
        <v>FPM-it-1-0237 Infra. comunes de teleco en viviendas y edificios (Rafa Sanz)</v>
      </c>
      <c r="C2" s="1083"/>
      <c r="D2" s="1084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3"/>
      <c r="T2" s="1083"/>
      <c r="U2" s="1083"/>
      <c r="V2" s="1083"/>
      <c r="AD2" s="1082"/>
    </row>
    <row r="3" spans="1:30" ht="18" customHeight="1" x14ac:dyDescent="0.45">
      <c r="A3" s="448"/>
      <c r="B3" s="448"/>
      <c r="D3" s="273" t="s">
        <v>178</v>
      </c>
      <c r="E3" s="110" t="s">
        <v>219</v>
      </c>
      <c r="F3" s="110"/>
      <c r="G3" s="9"/>
      <c r="H3" s="9"/>
      <c r="I3" s="9"/>
      <c r="J3" s="9"/>
      <c r="K3" s="9"/>
      <c r="L3" s="9"/>
      <c r="M3" s="9"/>
      <c r="N3" s="9"/>
      <c r="O3" s="9"/>
      <c r="P3" s="228" t="s">
        <v>25</v>
      </c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448"/>
    </row>
    <row r="4" spans="1:30" s="13" customFormat="1" ht="16.2" thickBot="1" x14ac:dyDescent="0.35">
      <c r="C4" s="261" t="s">
        <v>179</v>
      </c>
      <c r="D4" s="362">
        <f>Almnd!$C$34</f>
        <v>6</v>
      </c>
      <c r="E4" s="363" t="s">
        <v>215</v>
      </c>
      <c r="F4" s="38"/>
      <c r="G4" s="38"/>
      <c r="H4" s="360" t="s">
        <v>216</v>
      </c>
      <c r="I4" s="227"/>
      <c r="J4" s="39"/>
      <c r="K4" s="364" t="s">
        <v>217</v>
      </c>
      <c r="L4" s="40"/>
      <c r="M4" s="40"/>
      <c r="N4" s="364" t="s">
        <v>189</v>
      </c>
      <c r="O4" s="410" t="s">
        <v>171</v>
      </c>
      <c r="P4" s="579" t="s">
        <v>186</v>
      </c>
      <c r="Q4" s="462" t="s">
        <v>203</v>
      </c>
      <c r="R4" s="562">
        <f>PonRA01</f>
        <v>0.15</v>
      </c>
      <c r="S4" s="563">
        <f>PonRA02</f>
        <v>0.2</v>
      </c>
      <c r="T4" s="563">
        <f>PonRA03</f>
        <v>0.2</v>
      </c>
      <c r="U4" s="562">
        <f t="shared" ref="U4:AC4" si="0">PonRA01</f>
        <v>0.15</v>
      </c>
      <c r="V4" s="563">
        <f t="shared" si="0"/>
        <v>0.15</v>
      </c>
      <c r="W4" s="564">
        <f t="shared" si="0"/>
        <v>0.15</v>
      </c>
      <c r="X4" s="565">
        <f t="shared" si="0"/>
        <v>0.15</v>
      </c>
      <c r="Y4" s="564">
        <f t="shared" si="0"/>
        <v>0.15</v>
      </c>
      <c r="Z4" s="564">
        <f t="shared" si="0"/>
        <v>0.15</v>
      </c>
      <c r="AA4" s="565">
        <f t="shared" si="0"/>
        <v>0.15</v>
      </c>
      <c r="AB4" s="564">
        <f t="shared" si="0"/>
        <v>0.15</v>
      </c>
      <c r="AC4" s="564">
        <f t="shared" si="0"/>
        <v>0.15</v>
      </c>
    </row>
    <row r="5" spans="1:30" s="13" customFormat="1" ht="16.2" thickBot="1" x14ac:dyDescent="0.35">
      <c r="B5" s="46" t="s">
        <v>312</v>
      </c>
      <c r="C5" s="306" t="s">
        <v>311</v>
      </c>
      <c r="D5" s="305" t="s">
        <v>40</v>
      </c>
      <c r="E5" s="361" t="s">
        <v>214</v>
      </c>
      <c r="F5" s="305" t="s">
        <v>150</v>
      </c>
      <c r="G5" s="315" t="s">
        <v>55</v>
      </c>
      <c r="H5" s="361" t="s">
        <v>218</v>
      </c>
      <c r="I5" s="305" t="s">
        <v>151</v>
      </c>
      <c r="J5" s="315" t="s">
        <v>55</v>
      </c>
      <c r="K5" s="361" t="s">
        <v>208</v>
      </c>
      <c r="L5" s="305" t="s">
        <v>164</v>
      </c>
      <c r="M5" s="315" t="s">
        <v>55</v>
      </c>
      <c r="N5" s="361" t="s">
        <v>170</v>
      </c>
      <c r="O5" s="361" t="s">
        <v>171</v>
      </c>
      <c r="P5" s="411" t="s">
        <v>33</v>
      </c>
      <c r="Q5" s="463" t="s">
        <v>161</v>
      </c>
      <c r="R5" s="316" t="str">
        <f>CoRA01</f>
        <v>RA01</v>
      </c>
      <c r="S5" s="317" t="str">
        <f>CoRA02</f>
        <v>RA02</v>
      </c>
      <c r="T5" s="317" t="str">
        <f>CoRA03</f>
        <v>RA03</v>
      </c>
      <c r="U5" s="316" t="str">
        <f>CoRA04</f>
        <v>RA04</v>
      </c>
      <c r="V5" s="317" t="str">
        <f>CoRA05</f>
        <v>RA05</v>
      </c>
      <c r="W5" s="317" t="str">
        <f>CoRA06</f>
        <v>RA06</v>
      </c>
      <c r="X5" s="316" t="str">
        <f>CoRA07</f>
        <v/>
      </c>
      <c r="Y5" s="317" t="str">
        <f>CoRA08</f>
        <v/>
      </c>
      <c r="Z5" s="317" t="str">
        <f>CoRA09</f>
        <v/>
      </c>
      <c r="AA5" s="316" t="str">
        <f>CoRA10</f>
        <v/>
      </c>
      <c r="AB5" s="317" t="str">
        <f>CoRA11</f>
        <v/>
      </c>
      <c r="AC5" s="318" t="str">
        <f>CoRA12</f>
        <v/>
      </c>
    </row>
    <row r="6" spans="1:30" s="13" customFormat="1" ht="22.35" customHeight="1" x14ac:dyDescent="0.3">
      <c r="B6" s="801" t="str">
        <f>AlCo01</f>
        <v>AN01</v>
      </c>
      <c r="C6" s="616" t="str">
        <f>AlNo01&amp;CHAR(32)&amp;AlAp01</f>
        <v>nom1 -- ap1 --</v>
      </c>
      <c r="D6" s="111" t="str">
        <f>AlEs01</f>
        <v>Alta</v>
      </c>
      <c r="E6" s="414">
        <f>EvCnt!$F6</f>
        <v>0</v>
      </c>
      <c r="F6" s="414">
        <f>EvCnt!$F7</f>
        <v>0</v>
      </c>
      <c r="G6" s="414">
        <f ca="1">Flts!$L7</f>
        <v>0</v>
      </c>
      <c r="H6" s="414" t="str">
        <f>EvCnt!$F8</f>
        <v>SD</v>
      </c>
      <c r="I6" s="414">
        <f>EvCnt!$F9</f>
        <v>0</v>
      </c>
      <c r="J6" s="414">
        <f ca="1">Flts!$L8</f>
        <v>0</v>
      </c>
      <c r="K6" s="414">
        <f>EvCnt!$F10</f>
        <v>0</v>
      </c>
      <c r="L6" s="414">
        <f>EvCnt!$F11</f>
        <v>0</v>
      </c>
      <c r="M6" s="414">
        <f ca="1">Flts!$L9</f>
        <v>0</v>
      </c>
      <c r="N6" s="414">
        <f>EvCnt!$F12</f>
        <v>0</v>
      </c>
      <c r="O6" s="414">
        <f>EvCnt!$F13</f>
        <v>0</v>
      </c>
      <c r="P6" s="412">
        <f t="shared" ref="P6:P35" si="1">IFERROR(IF(D6="Alta",(AVERAGEIFS(R6:AC6,R6:AC6,"&gt;0")),0),0)</f>
        <v>0</v>
      </c>
      <c r="Q6" s="412">
        <f t="shared" ref="Q6:Q35" si="2">IF(D6="Alta",SUMPRODUCT($R$4:$AC$4,$R6:$AC6),0)</f>
        <v>0</v>
      </c>
      <c r="R6" s="241">
        <f>IFERROR(EvCnt!$F$17/10,0)</f>
        <v>0</v>
      </c>
      <c r="S6" s="242">
        <f>IFERROR(EvCnt!$F$18/10,0)</f>
        <v>0</v>
      </c>
      <c r="T6" s="242">
        <f>IFERROR(EvCnt!$F$19/10,0)</f>
        <v>0</v>
      </c>
      <c r="U6" s="241">
        <f>IFERROR(EvCnt!$F$20/10,0)</f>
        <v>0</v>
      </c>
      <c r="V6" s="242">
        <f>IFERROR(EvCnt!$F$21/10,0)</f>
        <v>0</v>
      </c>
      <c r="W6" s="152">
        <f>IFERROR(EvCnt!$F$22/10,0)</f>
        <v>0</v>
      </c>
      <c r="X6" s="243">
        <f>IFERROR(EvCnt!$F$23/10,0)</f>
        <v>0</v>
      </c>
      <c r="Y6" s="152">
        <f>IFERROR(EvCnt!$F$24/10,0)</f>
        <v>0</v>
      </c>
      <c r="Z6" s="152">
        <f>IFERROR(EvCnt!$F$25/10,0)</f>
        <v>0</v>
      </c>
      <c r="AA6" s="243">
        <f>IFERROR(EvCnt!$F$26/10,0)</f>
        <v>0</v>
      </c>
      <c r="AB6" s="152">
        <f>IFERROR(EvCnt!$F$27/10,0)</f>
        <v>0</v>
      </c>
      <c r="AC6" s="152">
        <f>IFERROR(EvCnt!$F$28/10,0)</f>
        <v>0</v>
      </c>
    </row>
    <row r="7" spans="1:30" s="13" customFormat="1" ht="22.35" customHeight="1" x14ac:dyDescent="0.3">
      <c r="B7" s="801" t="str">
        <f>AlCo02</f>
        <v>AN02</v>
      </c>
      <c r="C7" s="616" t="str">
        <f>AlNo02&amp;CHAR(32)&amp;AlAp02</f>
        <v>nom2 -- ap2 --</v>
      </c>
      <c r="D7" s="111" t="str">
        <f>AlEs02</f>
        <v>Alta</v>
      </c>
      <c r="E7" s="414">
        <f>EvCnt!$G6</f>
        <v>0</v>
      </c>
      <c r="F7" s="414">
        <f>EvCnt!$G7</f>
        <v>0</v>
      </c>
      <c r="G7" s="414">
        <f ca="1">Flts!$M7</f>
        <v>0</v>
      </c>
      <c r="H7" s="414" t="str">
        <f>EvCnt!$G8</f>
        <v>SD</v>
      </c>
      <c r="I7" s="414">
        <f>EvCnt!$G9</f>
        <v>0</v>
      </c>
      <c r="J7" s="414">
        <f ca="1">Flts!$M8</f>
        <v>0</v>
      </c>
      <c r="K7" s="414">
        <f>EvCnt!$G10</f>
        <v>0</v>
      </c>
      <c r="L7" s="414">
        <f>EvCnt!$G11</f>
        <v>0</v>
      </c>
      <c r="M7" s="414">
        <f ca="1">Flts!$M9</f>
        <v>0</v>
      </c>
      <c r="N7" s="414">
        <f>EvCnt!$G12</f>
        <v>0</v>
      </c>
      <c r="O7" s="414">
        <f>EvCnt!$G13</f>
        <v>0</v>
      </c>
      <c r="P7" s="412">
        <f t="shared" si="1"/>
        <v>0</v>
      </c>
      <c r="Q7" s="412">
        <f t="shared" si="2"/>
        <v>0</v>
      </c>
      <c r="R7" s="241">
        <f>IFERROR(EvCnt!$G$17/10,0)</f>
        <v>0</v>
      </c>
      <c r="S7" s="242">
        <f>IFERROR(EvCnt!$G$18/10,0)</f>
        <v>0</v>
      </c>
      <c r="T7" s="242">
        <f>IFERROR(EvCnt!$G$19/10,0)</f>
        <v>0</v>
      </c>
      <c r="U7" s="241">
        <f>IFERROR(EvCnt!$G$20/10,0)</f>
        <v>0</v>
      </c>
      <c r="V7" s="242">
        <f>IFERROR(EvCnt!$G$21/10,0)</f>
        <v>0</v>
      </c>
      <c r="W7" s="152">
        <f>IFERROR(EvCnt!$G$22/10,0)</f>
        <v>0</v>
      </c>
      <c r="X7" s="243">
        <f>IFERROR(EvCnt!$G$23/10,0)</f>
        <v>0</v>
      </c>
      <c r="Y7" s="152">
        <f>IFERROR(EvCnt!$G$24/10,0)</f>
        <v>0</v>
      </c>
      <c r="Z7" s="152">
        <f>IFERROR(EvCnt!$G$25/10,0)</f>
        <v>0</v>
      </c>
      <c r="AA7" s="243">
        <f>IFERROR(EvCnt!$G$26/10,0)</f>
        <v>0</v>
      </c>
      <c r="AB7" s="152">
        <f>IFERROR(EvCnt!$G$27/10,0)</f>
        <v>0</v>
      </c>
      <c r="AC7" s="152">
        <f>IFERROR(EvCnt!$G$28/10,0)</f>
        <v>0</v>
      </c>
    </row>
    <row r="8" spans="1:30" s="13" customFormat="1" ht="22.35" customHeight="1" x14ac:dyDescent="0.3">
      <c r="B8" s="801" t="str">
        <f>AlCo03</f>
        <v>AN03</v>
      </c>
      <c r="C8" s="616" t="str">
        <f>AlNo03&amp;CHAR(32)&amp;AlAp03</f>
        <v>nom3 -- ap3 --</v>
      </c>
      <c r="D8" s="111" t="str">
        <f>AlEs03</f>
        <v>Alta</v>
      </c>
      <c r="E8" s="414">
        <f>EvCnt!$H6</f>
        <v>0</v>
      </c>
      <c r="F8" s="414">
        <f>EvCnt!$H7</f>
        <v>0</v>
      </c>
      <c r="G8" s="414">
        <f ca="1">Flts!$N7</f>
        <v>0</v>
      </c>
      <c r="H8" s="414" t="str">
        <f>EvCnt!$H8</f>
        <v>SD</v>
      </c>
      <c r="I8" s="414">
        <f>EvCnt!$H9</f>
        <v>0</v>
      </c>
      <c r="J8" s="414">
        <f ca="1">Flts!$N8</f>
        <v>0</v>
      </c>
      <c r="K8" s="414">
        <f>EvCnt!$H10</f>
        <v>0</v>
      </c>
      <c r="L8" s="414">
        <f>EvCnt!$H11</f>
        <v>0</v>
      </c>
      <c r="M8" s="414">
        <f ca="1">Flts!$N9</f>
        <v>0</v>
      </c>
      <c r="N8" s="414">
        <f>EvCnt!$H12</f>
        <v>0</v>
      </c>
      <c r="O8" s="414">
        <f>EvCnt!$H13</f>
        <v>0</v>
      </c>
      <c r="P8" s="412">
        <f t="shared" si="1"/>
        <v>0</v>
      </c>
      <c r="Q8" s="412">
        <f t="shared" si="2"/>
        <v>0</v>
      </c>
      <c r="R8" s="241">
        <f>IFERROR(EvCnt!$H17/10,0)</f>
        <v>0</v>
      </c>
      <c r="S8" s="242">
        <f>IFERROR(EvCnt!$H18/10,0)</f>
        <v>0</v>
      </c>
      <c r="T8" s="242">
        <f>IFERROR(EvCnt!$H19/10,0)</f>
        <v>0</v>
      </c>
      <c r="U8" s="241">
        <f>IFERROR(EvCnt!$H20/10,0)</f>
        <v>0</v>
      </c>
      <c r="V8" s="242">
        <f>IFERROR(EvCnt!$H21/10,0)</f>
        <v>0</v>
      </c>
      <c r="W8" s="152">
        <f>IFERROR(EvCnt!$H22/10,0)</f>
        <v>0</v>
      </c>
      <c r="X8" s="243">
        <f>IFERROR(EvCnt!$H23/10,0)</f>
        <v>0</v>
      </c>
      <c r="Y8" s="152">
        <f>IFERROR(EvCnt!$H24/10,0)</f>
        <v>0</v>
      </c>
      <c r="Z8" s="152">
        <f>IFERROR(EvCnt!$H25/10,0)</f>
        <v>0</v>
      </c>
      <c r="AA8" s="243">
        <f>IFERROR(EvCnt!$H26/10,0)</f>
        <v>0</v>
      </c>
      <c r="AB8" s="152">
        <f>IFERROR(EvCnt!$H27/10,0)</f>
        <v>0</v>
      </c>
      <c r="AC8" s="152">
        <f>IFERROR(EvCnt!$H28/10,0)</f>
        <v>0</v>
      </c>
    </row>
    <row r="9" spans="1:30" s="13" customFormat="1" ht="22.35" customHeight="1" x14ac:dyDescent="0.3">
      <c r="B9" s="801" t="str">
        <f>AlCo04</f>
        <v>AN04</v>
      </c>
      <c r="C9" s="616" t="str">
        <f>AlNo04&amp;CHAR(32)&amp;AlAp04</f>
        <v>nom4 -- ap4 --</v>
      </c>
      <c r="D9" s="111" t="str">
        <f>AlEs04</f>
        <v>Alta</v>
      </c>
      <c r="E9" s="414">
        <f>EvCnt!$I6</f>
        <v>0</v>
      </c>
      <c r="F9" s="414">
        <f>EvCnt!$I7</f>
        <v>0</v>
      </c>
      <c r="G9" s="414">
        <f ca="1">Flts!$O7</f>
        <v>0</v>
      </c>
      <c r="H9" s="414" t="str">
        <f>EvCnt!$I8</f>
        <v>SD</v>
      </c>
      <c r="I9" s="414">
        <f>EvCnt!$I9</f>
        <v>0</v>
      </c>
      <c r="J9" s="414">
        <f ca="1">Flts!$O8</f>
        <v>0</v>
      </c>
      <c r="K9" s="414">
        <f>EvCnt!$I10</f>
        <v>0</v>
      </c>
      <c r="L9" s="414">
        <f>EvCnt!$I11</f>
        <v>0</v>
      </c>
      <c r="M9" s="414">
        <f ca="1">Flts!$O9</f>
        <v>0</v>
      </c>
      <c r="N9" s="414">
        <f>EvCnt!$I12</f>
        <v>0</v>
      </c>
      <c r="O9" s="414">
        <f>EvCnt!$I13</f>
        <v>0</v>
      </c>
      <c r="P9" s="412">
        <f t="shared" si="1"/>
        <v>0</v>
      </c>
      <c r="Q9" s="412">
        <f t="shared" si="2"/>
        <v>0</v>
      </c>
      <c r="R9" s="241">
        <f>IFERROR(EvCnt!$I17/10,0)</f>
        <v>0</v>
      </c>
      <c r="S9" s="242">
        <f>IFERROR(EvCnt!$I18/10,0)</f>
        <v>0</v>
      </c>
      <c r="T9" s="242">
        <f>IFERROR(EvCnt!$I19/10,0)</f>
        <v>0</v>
      </c>
      <c r="U9" s="241">
        <f>IFERROR(EvCnt!$I20/10,0)</f>
        <v>0</v>
      </c>
      <c r="V9" s="242">
        <f>IFERROR(EvCnt!$I21/10,0)</f>
        <v>0</v>
      </c>
      <c r="W9" s="152">
        <f>IFERROR(EvCnt!$I22/10,0)</f>
        <v>0</v>
      </c>
      <c r="X9" s="243">
        <f>IFERROR(EvCnt!$I23/10,0)</f>
        <v>0</v>
      </c>
      <c r="Y9" s="152">
        <f>IFERROR(EvCnt!$I24/10,0)</f>
        <v>0</v>
      </c>
      <c r="Z9" s="152">
        <f>IFERROR(EvCnt!$I25/10,0)</f>
        <v>0</v>
      </c>
      <c r="AA9" s="243">
        <f>IFERROR(EvCnt!$I26/10,0)</f>
        <v>0</v>
      </c>
      <c r="AB9" s="152">
        <f>IFERROR(EvCnt!$I27/10,0)</f>
        <v>0</v>
      </c>
      <c r="AC9" s="152">
        <f>IFERROR(EvCnt!$I28/10,0)</f>
        <v>0</v>
      </c>
    </row>
    <row r="10" spans="1:30" s="13" customFormat="1" ht="22.35" customHeight="1" x14ac:dyDescent="0.3">
      <c r="B10" s="802" t="str">
        <f>AlCo05</f>
        <v>AN05</v>
      </c>
      <c r="C10" s="900" t="str">
        <f>AlNo05&amp;CHAR(32)&amp;AlAp05</f>
        <v>nom5----- ap5----</v>
      </c>
      <c r="D10" s="112" t="str">
        <f>AlEs05</f>
        <v>Alta</v>
      </c>
      <c r="E10" s="415">
        <f>EvCnt!$J6</f>
        <v>0</v>
      </c>
      <c r="F10" s="415">
        <f>EvCnt!$J7</f>
        <v>0</v>
      </c>
      <c r="G10" s="415">
        <f ca="1">Flts!$P7</f>
        <v>0</v>
      </c>
      <c r="H10" s="415" t="str">
        <f>EvCnt!$J8</f>
        <v>SD</v>
      </c>
      <c r="I10" s="415">
        <f>EvCnt!$J9</f>
        <v>0</v>
      </c>
      <c r="J10" s="415">
        <f ca="1">Flts!$P8</f>
        <v>0</v>
      </c>
      <c r="K10" s="415">
        <f>EvCnt!$J10</f>
        <v>0</v>
      </c>
      <c r="L10" s="415">
        <f>EvCnt!$J11</f>
        <v>0</v>
      </c>
      <c r="M10" s="415">
        <f ca="1">Flts!$P9</f>
        <v>0</v>
      </c>
      <c r="N10" s="415">
        <f>EvCnt!$J12</f>
        <v>0</v>
      </c>
      <c r="O10" s="415">
        <f>EvCnt!$J13</f>
        <v>0</v>
      </c>
      <c r="P10" s="413">
        <f t="shared" si="1"/>
        <v>0</v>
      </c>
      <c r="Q10" s="464">
        <f t="shared" si="2"/>
        <v>0</v>
      </c>
      <c r="R10" s="244">
        <f>IFERROR(EvCnt!$J17/10,0)</f>
        <v>0</v>
      </c>
      <c r="S10" s="245">
        <f>IFERROR(EvCnt!$J18/10,0)</f>
        <v>0</v>
      </c>
      <c r="T10" s="245">
        <f>IFERROR(EvCnt!$J19/10,0)</f>
        <v>0</v>
      </c>
      <c r="U10" s="244">
        <f>IFERROR(EvCnt!$J20/10,0)</f>
        <v>0</v>
      </c>
      <c r="V10" s="245">
        <f>IFERROR(EvCnt!$J21/10,0)</f>
        <v>0</v>
      </c>
      <c r="W10" s="153">
        <f>IFERROR(EvCnt!$J22/10,0)</f>
        <v>0</v>
      </c>
      <c r="X10" s="154">
        <f>IFERROR(EvCnt!$J23/10,0)</f>
        <v>0</v>
      </c>
      <c r="Y10" s="153">
        <f>IFERROR(EvCnt!$J24/10,0)</f>
        <v>0</v>
      </c>
      <c r="Z10" s="153">
        <f>IFERROR(EvCnt!$J25/10,0)</f>
        <v>0</v>
      </c>
      <c r="AA10" s="154">
        <f>IFERROR(EvCnt!$J26/10,0)</f>
        <v>0</v>
      </c>
      <c r="AB10" s="153">
        <f>IFERROR(EvCnt!$J27/10,0)</f>
        <v>0</v>
      </c>
      <c r="AC10" s="153">
        <f>IFERROR(EvCnt!$J28/10,0)</f>
        <v>0</v>
      </c>
    </row>
    <row r="11" spans="1:30" s="13" customFormat="1" ht="22.35" customHeight="1" x14ac:dyDescent="0.3">
      <c r="B11" s="801" t="str">
        <f>AlCo06</f>
        <v>AN06</v>
      </c>
      <c r="C11" s="616" t="str">
        <f>AlNo06&amp;CHAR(32)&amp;AlAp06</f>
        <v>nom6----- ap6------</v>
      </c>
      <c r="D11" s="111" t="str">
        <f>AlEs06</f>
        <v>Alta</v>
      </c>
      <c r="E11" s="414">
        <f>EvCnt!$K6</f>
        <v>0</v>
      </c>
      <c r="F11" s="414">
        <f>EvCnt!$K7</f>
        <v>0</v>
      </c>
      <c r="G11" s="414">
        <f ca="1">Flts!$Q7</f>
        <v>0</v>
      </c>
      <c r="H11" s="414" t="str">
        <f>EvCnt!$K8</f>
        <v>SD</v>
      </c>
      <c r="I11" s="414">
        <f>EvCnt!$K9</f>
        <v>0</v>
      </c>
      <c r="J11" s="414">
        <f ca="1">Flts!$Q8</f>
        <v>0</v>
      </c>
      <c r="K11" s="414">
        <f>EvCnt!$K10</f>
        <v>0</v>
      </c>
      <c r="L11" s="414">
        <f>EvCnt!$K11</f>
        <v>0</v>
      </c>
      <c r="M11" s="414">
        <f ca="1">Flts!$Q9</f>
        <v>0</v>
      </c>
      <c r="N11" s="414">
        <f>EvCnt!$K12</f>
        <v>0</v>
      </c>
      <c r="O11" s="414">
        <f>EvCnt!$K13</f>
        <v>0</v>
      </c>
      <c r="P11" s="412">
        <f t="shared" si="1"/>
        <v>0</v>
      </c>
      <c r="Q11" s="412">
        <f t="shared" si="2"/>
        <v>0</v>
      </c>
      <c r="R11" s="241">
        <f>IFERROR(EvCnt!$K17/10,0)</f>
        <v>0</v>
      </c>
      <c r="S11" s="242">
        <f>IFERROR(EvCnt!$K18/10,0)</f>
        <v>0</v>
      </c>
      <c r="T11" s="242">
        <f>IFERROR(EvCnt!$K19/10,0)</f>
        <v>0</v>
      </c>
      <c r="U11" s="241">
        <f>IFERROR(EvCnt!$K20/10,0)</f>
        <v>0</v>
      </c>
      <c r="V11" s="242">
        <f>IFERROR(EvCnt!$K21/10,0)</f>
        <v>0</v>
      </c>
      <c r="W11" s="152">
        <f>IFERROR(EvCnt!$K22/10,0)</f>
        <v>0</v>
      </c>
      <c r="X11" s="243">
        <f>IFERROR(EvCnt!$K23/10,0)</f>
        <v>0</v>
      </c>
      <c r="Y11" s="152">
        <f>IFERROR(EvCnt!$K24/10,0)</f>
        <v>0</v>
      </c>
      <c r="Z11" s="152">
        <f>IFERROR(EvCnt!$K25/10,0)</f>
        <v>0</v>
      </c>
      <c r="AA11" s="243">
        <f>IFERROR(EvCnt!$K26/10,0)</f>
        <v>0</v>
      </c>
      <c r="AB11" s="152">
        <f>IFERROR(EvCnt!$K27/10,0)</f>
        <v>0</v>
      </c>
      <c r="AC11" s="152">
        <f>IFERROR(EvCnt!$K28/10,0)</f>
        <v>0</v>
      </c>
    </row>
    <row r="12" spans="1:30" s="13" customFormat="1" ht="22.35" customHeight="1" x14ac:dyDescent="0.3">
      <c r="B12" s="801" t="str">
        <f>AlCo07</f>
        <v/>
      </c>
      <c r="C12" s="616" t="str">
        <f>AlNo07&amp;CHAR(32)&amp;AlAp07</f>
        <v xml:space="preserve"> </v>
      </c>
      <c r="D12" s="111">
        <f>AlEs07</f>
        <v>0</v>
      </c>
      <c r="E12" s="414">
        <f>EvCnt!$L6</f>
        <v>0</v>
      </c>
      <c r="F12" s="414">
        <f>EvCnt!$L7</f>
        <v>0</v>
      </c>
      <c r="G12" s="414">
        <f ca="1">Flts!$R7</f>
        <v>0</v>
      </c>
      <c r="H12" s="414" t="str">
        <f>EvCnt!$L8</f>
        <v>SD</v>
      </c>
      <c r="I12" s="414">
        <f>EvCnt!$L9</f>
        <v>0</v>
      </c>
      <c r="J12" s="414">
        <f ca="1">Flts!$R8</f>
        <v>0</v>
      </c>
      <c r="K12" s="414">
        <f>EvCnt!$L10</f>
        <v>0</v>
      </c>
      <c r="L12" s="414">
        <f>EvCnt!$L11</f>
        <v>0</v>
      </c>
      <c r="M12" s="414">
        <f ca="1">Flts!$R9</f>
        <v>0</v>
      </c>
      <c r="N12" s="414">
        <f>EvCnt!$L12</f>
        <v>0</v>
      </c>
      <c r="O12" s="414">
        <f>EvCnt!$L13</f>
        <v>0</v>
      </c>
      <c r="P12" s="412">
        <f t="shared" si="1"/>
        <v>0</v>
      </c>
      <c r="Q12" s="412">
        <f t="shared" si="2"/>
        <v>0</v>
      </c>
      <c r="R12" s="241">
        <f>IFERROR(EvCnt!$L17/10,0)</f>
        <v>0</v>
      </c>
      <c r="S12" s="242">
        <f>IFERROR(EvCnt!$L18/10,0)</f>
        <v>0</v>
      </c>
      <c r="T12" s="242">
        <f>IFERROR(EvCnt!$L19/10,0)</f>
        <v>0</v>
      </c>
      <c r="U12" s="241">
        <f>IFERROR(EvCnt!$L20/10,0)</f>
        <v>0</v>
      </c>
      <c r="V12" s="242">
        <f>IFERROR(EvCnt!$L21/10,0)</f>
        <v>0</v>
      </c>
      <c r="W12" s="152">
        <f>IFERROR(EvCnt!$L22/10,0)</f>
        <v>0</v>
      </c>
      <c r="X12" s="243">
        <f>IFERROR(EvCnt!$L23/10,0)</f>
        <v>0</v>
      </c>
      <c r="Y12" s="152">
        <f>IFERROR(EvCnt!$L24/10,0)</f>
        <v>0</v>
      </c>
      <c r="Z12" s="152">
        <f>IFERROR(EvCnt!$L25/10,0)</f>
        <v>0</v>
      </c>
      <c r="AA12" s="243">
        <f>IFERROR(EvCnt!$L26/10,0)</f>
        <v>0</v>
      </c>
      <c r="AB12" s="152">
        <f>IFERROR(EvCnt!$L27/10,0)</f>
        <v>0</v>
      </c>
      <c r="AC12" s="152">
        <f>IFERROR(EvCnt!$L28/10,0)</f>
        <v>0</v>
      </c>
    </row>
    <row r="13" spans="1:30" s="13" customFormat="1" ht="22.35" customHeight="1" x14ac:dyDescent="0.3">
      <c r="B13" s="801" t="str">
        <f>AlCo08</f>
        <v/>
      </c>
      <c r="C13" s="616" t="str">
        <f>AlNo08&amp;CHAR(32)&amp;AlAp08</f>
        <v xml:space="preserve"> </v>
      </c>
      <c r="D13" s="111">
        <f>AlEs08</f>
        <v>0</v>
      </c>
      <c r="E13" s="414">
        <f>EvCnt!$M6</f>
        <v>0</v>
      </c>
      <c r="F13" s="414">
        <f>EvCnt!$M7</f>
        <v>0</v>
      </c>
      <c r="G13" s="414">
        <f ca="1">Flts!$S7</f>
        <v>0</v>
      </c>
      <c r="H13" s="414" t="str">
        <f>EvCnt!$M8</f>
        <v>SD</v>
      </c>
      <c r="I13" s="414">
        <f>EvCnt!$M9</f>
        <v>0</v>
      </c>
      <c r="J13" s="414">
        <f ca="1">Flts!$S8</f>
        <v>0</v>
      </c>
      <c r="K13" s="414">
        <f>EvCnt!$M10</f>
        <v>0</v>
      </c>
      <c r="L13" s="414">
        <f>EvCnt!$M11</f>
        <v>0</v>
      </c>
      <c r="M13" s="414">
        <f ca="1">Flts!$S9</f>
        <v>0</v>
      </c>
      <c r="N13" s="414">
        <f>EvCnt!$M12</f>
        <v>0</v>
      </c>
      <c r="O13" s="414">
        <f>EvCnt!$M13</f>
        <v>0</v>
      </c>
      <c r="P13" s="412">
        <f t="shared" si="1"/>
        <v>0</v>
      </c>
      <c r="Q13" s="412">
        <f t="shared" si="2"/>
        <v>0</v>
      </c>
      <c r="R13" s="241">
        <f>IFERROR(EvCnt!$M17/10,0)</f>
        <v>0</v>
      </c>
      <c r="S13" s="242">
        <f>IFERROR(EvCnt!$M18/10,0)</f>
        <v>0</v>
      </c>
      <c r="T13" s="242">
        <f>IFERROR(EvCnt!$M19/10,0)</f>
        <v>0</v>
      </c>
      <c r="U13" s="241">
        <f>IFERROR(EvCnt!$M20/10,0)</f>
        <v>0</v>
      </c>
      <c r="V13" s="242">
        <f>IFERROR(EvCnt!$M21/10,0)</f>
        <v>0</v>
      </c>
      <c r="W13" s="152">
        <f>IFERROR(EvCnt!$M22/10,0)</f>
        <v>0</v>
      </c>
      <c r="X13" s="243">
        <f>IFERROR(EvCnt!$M23/10,0)</f>
        <v>0</v>
      </c>
      <c r="Y13" s="152">
        <f>IFERROR(EvCnt!$M24/10,0)</f>
        <v>0</v>
      </c>
      <c r="Z13" s="152">
        <f>IFERROR(EvCnt!$M25/10,0)</f>
        <v>0</v>
      </c>
      <c r="AA13" s="243">
        <f>IFERROR(EvCnt!$M26/10,0)</f>
        <v>0</v>
      </c>
      <c r="AB13" s="152">
        <f>IFERROR(EvCnt!$M27/10,0)</f>
        <v>0</v>
      </c>
      <c r="AC13" s="152">
        <f>IFERROR(EvCnt!$M28/10,0)</f>
        <v>0</v>
      </c>
    </row>
    <row r="14" spans="1:30" s="13" customFormat="1" ht="22.35" customHeight="1" x14ac:dyDescent="0.3">
      <c r="B14" s="801" t="str">
        <f>AlCo09</f>
        <v/>
      </c>
      <c r="C14" s="616" t="str">
        <f>AlNo09&amp;CHAR(32)&amp;AlAp09</f>
        <v xml:space="preserve"> </v>
      </c>
      <c r="D14" s="111">
        <f>AlEs09</f>
        <v>0</v>
      </c>
      <c r="E14" s="414">
        <f>EvCnt!$N6</f>
        <v>0</v>
      </c>
      <c r="F14" s="414">
        <f>EvCnt!$N7</f>
        <v>0</v>
      </c>
      <c r="G14" s="414">
        <f ca="1">Flts!$T7</f>
        <v>0</v>
      </c>
      <c r="H14" s="414" t="str">
        <f>EvCnt!$N8</f>
        <v>SD</v>
      </c>
      <c r="I14" s="414">
        <f>EvCnt!$N9</f>
        <v>0</v>
      </c>
      <c r="J14" s="414">
        <f ca="1">Flts!$T8</f>
        <v>0</v>
      </c>
      <c r="K14" s="414">
        <f>EvCnt!$N10</f>
        <v>0</v>
      </c>
      <c r="L14" s="414">
        <f>EvCnt!$N11</f>
        <v>0</v>
      </c>
      <c r="M14" s="414">
        <f ca="1">Flts!$T9</f>
        <v>0</v>
      </c>
      <c r="N14" s="414">
        <f>EvCnt!$N12</f>
        <v>0</v>
      </c>
      <c r="O14" s="414">
        <f>EvCnt!$N13</f>
        <v>0</v>
      </c>
      <c r="P14" s="412">
        <f t="shared" si="1"/>
        <v>0</v>
      </c>
      <c r="Q14" s="412">
        <f t="shared" si="2"/>
        <v>0</v>
      </c>
      <c r="R14" s="241">
        <f>IFERROR(EvCnt!$N17/10,0)</f>
        <v>0</v>
      </c>
      <c r="S14" s="242">
        <f>IFERROR(EvCnt!$N18/10,0)</f>
        <v>0</v>
      </c>
      <c r="T14" s="242">
        <f>IFERROR(EvCnt!$N19/10,0)</f>
        <v>0</v>
      </c>
      <c r="U14" s="241">
        <f>IFERROR(EvCnt!$N20/10,0)</f>
        <v>0</v>
      </c>
      <c r="V14" s="242">
        <f>IFERROR(EvCnt!$N21/10,0)</f>
        <v>0</v>
      </c>
      <c r="W14" s="152">
        <f>IFERROR(EvCnt!$N22/10,0)</f>
        <v>0</v>
      </c>
      <c r="X14" s="243">
        <f>IFERROR(EvCnt!$N23/10,0)</f>
        <v>0</v>
      </c>
      <c r="Y14" s="152">
        <f>IFERROR(EvCnt!$N24/10,0)</f>
        <v>0</v>
      </c>
      <c r="Z14" s="152">
        <f>IFERROR(EvCnt!$N25/10,0)</f>
        <v>0</v>
      </c>
      <c r="AA14" s="243">
        <f>IFERROR(EvCnt!$N26/10,0)</f>
        <v>0</v>
      </c>
      <c r="AB14" s="152">
        <f>IFERROR(EvCnt!$N27/10,0)</f>
        <v>0</v>
      </c>
      <c r="AC14" s="152">
        <f>IFERROR(EvCnt!$N28/10,0)</f>
        <v>0</v>
      </c>
    </row>
    <row r="15" spans="1:30" s="13" customFormat="1" ht="22.35" customHeight="1" x14ac:dyDescent="0.3">
      <c r="B15" s="802" t="str">
        <f>AlCo10</f>
        <v/>
      </c>
      <c r="C15" s="900" t="str">
        <f>AlNo10&amp;CHAR(32)&amp;AlAp10</f>
        <v xml:space="preserve"> </v>
      </c>
      <c r="D15" s="112">
        <f>AlEs10</f>
        <v>0</v>
      </c>
      <c r="E15" s="415">
        <f>EvCnt!$O6</f>
        <v>0</v>
      </c>
      <c r="F15" s="415">
        <f>EvCnt!$O7</f>
        <v>0</v>
      </c>
      <c r="G15" s="415">
        <f ca="1">Flts!$U7</f>
        <v>0</v>
      </c>
      <c r="H15" s="415" t="str">
        <f>EvCnt!$O8</f>
        <v>SD</v>
      </c>
      <c r="I15" s="415">
        <f>EvCnt!$O9</f>
        <v>0</v>
      </c>
      <c r="J15" s="415">
        <f ca="1">Flts!$U8</f>
        <v>0</v>
      </c>
      <c r="K15" s="415">
        <f>EvCnt!$O10</f>
        <v>0</v>
      </c>
      <c r="L15" s="415">
        <f>EvCnt!$O11</f>
        <v>0</v>
      </c>
      <c r="M15" s="415">
        <f ca="1">Flts!$U9</f>
        <v>0</v>
      </c>
      <c r="N15" s="415">
        <f>EvCnt!$O12</f>
        <v>0</v>
      </c>
      <c r="O15" s="415">
        <f>EvCnt!$O13</f>
        <v>0</v>
      </c>
      <c r="P15" s="413">
        <f t="shared" si="1"/>
        <v>0</v>
      </c>
      <c r="Q15" s="464">
        <f t="shared" si="2"/>
        <v>0</v>
      </c>
      <c r="R15" s="244">
        <f>IFERROR(EvCnt!$O17/10,0)</f>
        <v>0</v>
      </c>
      <c r="S15" s="245">
        <f>IFERROR(EvCnt!$O18/10,0)</f>
        <v>0</v>
      </c>
      <c r="T15" s="245">
        <f>IFERROR(EvCnt!$O19/10,0)</f>
        <v>0</v>
      </c>
      <c r="U15" s="244">
        <f>IFERROR(EvCnt!$O20/10,0)</f>
        <v>0</v>
      </c>
      <c r="V15" s="245">
        <f>IFERROR(EvCnt!$O21/10,0)</f>
        <v>0</v>
      </c>
      <c r="W15" s="153">
        <f>IFERROR(EvCnt!$O22/10,0)</f>
        <v>0</v>
      </c>
      <c r="X15" s="154">
        <f>IFERROR(EvCnt!$O23/10,0)</f>
        <v>0</v>
      </c>
      <c r="Y15" s="153">
        <f>IFERROR(EvCnt!$O24/10,0)</f>
        <v>0</v>
      </c>
      <c r="Z15" s="153">
        <f>IFERROR(EvCnt!$O25/10,0)</f>
        <v>0</v>
      </c>
      <c r="AA15" s="154">
        <f>IFERROR(EvCnt!$O26/10,0)</f>
        <v>0</v>
      </c>
      <c r="AB15" s="153">
        <f>IFERROR(EvCnt!$O27/10,0)</f>
        <v>0</v>
      </c>
      <c r="AC15" s="153">
        <f>IFERROR(EvCnt!$O28/10,0)</f>
        <v>0</v>
      </c>
    </row>
    <row r="16" spans="1:30" s="13" customFormat="1" ht="22.35" customHeight="1" x14ac:dyDescent="0.3">
      <c r="B16" s="801" t="str">
        <f>AlCo11</f>
        <v/>
      </c>
      <c r="C16" s="616" t="str">
        <f>AlNo11&amp;CHAR(32)&amp;AlAp11</f>
        <v xml:space="preserve"> </v>
      </c>
      <c r="D16" s="111">
        <f>AlEs11</f>
        <v>0</v>
      </c>
      <c r="E16" s="414">
        <f>EvCnt!$P6</f>
        <v>0</v>
      </c>
      <c r="F16" s="414">
        <f>EvCnt!$P7</f>
        <v>0</v>
      </c>
      <c r="G16" s="414">
        <f ca="1">Flts!$V7</f>
        <v>0</v>
      </c>
      <c r="H16" s="414" t="str">
        <f>EvCnt!$P8</f>
        <v>SD</v>
      </c>
      <c r="I16" s="414">
        <f>EvCnt!$P9</f>
        <v>0</v>
      </c>
      <c r="J16" s="414">
        <f ca="1">Flts!$V8</f>
        <v>0</v>
      </c>
      <c r="K16" s="414">
        <f>EvCnt!$P10</f>
        <v>0</v>
      </c>
      <c r="L16" s="414">
        <f>EvCnt!$P11</f>
        <v>0</v>
      </c>
      <c r="M16" s="414">
        <f ca="1">Flts!$V9</f>
        <v>0</v>
      </c>
      <c r="N16" s="414">
        <f>EvCnt!$P12</f>
        <v>0</v>
      </c>
      <c r="O16" s="414">
        <f>EvCnt!$P13</f>
        <v>0</v>
      </c>
      <c r="P16" s="412">
        <f t="shared" si="1"/>
        <v>0</v>
      </c>
      <c r="Q16" s="412">
        <f t="shared" si="2"/>
        <v>0</v>
      </c>
      <c r="R16" s="241">
        <f>IFERROR(EvCnt!$P17/10,0)</f>
        <v>0</v>
      </c>
      <c r="S16" s="242">
        <f>IFERROR(EvCnt!$P18/10,0)</f>
        <v>0</v>
      </c>
      <c r="T16" s="242">
        <f>IFERROR(EvCnt!$P19/10,0)</f>
        <v>0</v>
      </c>
      <c r="U16" s="241">
        <f>IFERROR(EvCnt!$P20/10,0)</f>
        <v>0</v>
      </c>
      <c r="V16" s="242">
        <f>IFERROR(EvCnt!$P21/10,0)</f>
        <v>0</v>
      </c>
      <c r="W16" s="152">
        <f>IFERROR(EvCnt!$P22/10,0)</f>
        <v>0</v>
      </c>
      <c r="X16" s="243">
        <f>IFERROR(EvCnt!$P23/10,0)</f>
        <v>0</v>
      </c>
      <c r="Y16" s="152">
        <f>IFERROR(EvCnt!$P24/10,0)</f>
        <v>0</v>
      </c>
      <c r="Z16" s="152">
        <f>IFERROR(EvCnt!$P25/10,0)</f>
        <v>0</v>
      </c>
      <c r="AA16" s="243">
        <f>IFERROR(EvCnt!$P26/10,0)</f>
        <v>0</v>
      </c>
      <c r="AB16" s="152">
        <f>IFERROR(EvCnt!$P27/10,0)</f>
        <v>0</v>
      </c>
      <c r="AC16" s="152">
        <f>IFERROR(EvCnt!$P28/10,0)</f>
        <v>0</v>
      </c>
    </row>
    <row r="17" spans="2:29" s="13" customFormat="1" ht="22.35" customHeight="1" x14ac:dyDescent="0.3">
      <c r="B17" s="801" t="str">
        <f>AlCo12</f>
        <v/>
      </c>
      <c r="C17" s="616" t="str">
        <f>AlNo12&amp;CHAR(32)&amp;AlAp12</f>
        <v xml:space="preserve"> </v>
      </c>
      <c r="D17" s="111">
        <f>AlEs12</f>
        <v>0</v>
      </c>
      <c r="E17" s="414">
        <f>EvCnt!$Q6</f>
        <v>0</v>
      </c>
      <c r="F17" s="414">
        <f>EvCnt!$Q7</f>
        <v>0</v>
      </c>
      <c r="G17" s="414">
        <f ca="1">Flts!$W7</f>
        <v>0</v>
      </c>
      <c r="H17" s="414" t="str">
        <f>EvCnt!$Q8</f>
        <v>SD</v>
      </c>
      <c r="I17" s="414">
        <f>EvCnt!$Q9</f>
        <v>0</v>
      </c>
      <c r="J17" s="414">
        <f ca="1">Flts!$W8</f>
        <v>0</v>
      </c>
      <c r="K17" s="414">
        <f>EvCnt!$Q10</f>
        <v>0</v>
      </c>
      <c r="L17" s="414">
        <f>EvCnt!$Q11</f>
        <v>0</v>
      </c>
      <c r="M17" s="414">
        <f ca="1">Flts!$W9</f>
        <v>0</v>
      </c>
      <c r="N17" s="414">
        <f>EvCnt!$Q12</f>
        <v>0</v>
      </c>
      <c r="O17" s="414">
        <f>EvCnt!$Q13</f>
        <v>0</v>
      </c>
      <c r="P17" s="412">
        <f t="shared" si="1"/>
        <v>0</v>
      </c>
      <c r="Q17" s="412">
        <f t="shared" si="2"/>
        <v>0</v>
      </c>
      <c r="R17" s="241">
        <f>IFERROR(EvCnt!$Q17/10,0)</f>
        <v>0</v>
      </c>
      <c r="S17" s="242">
        <f>IFERROR(EvCnt!$Q18/10,0)</f>
        <v>0</v>
      </c>
      <c r="T17" s="242">
        <f>IFERROR(EvCnt!$Q19/10,0)</f>
        <v>0</v>
      </c>
      <c r="U17" s="241">
        <f>IFERROR(EvCnt!$Q20/10,0)</f>
        <v>0</v>
      </c>
      <c r="V17" s="242">
        <f>IFERROR(EvCnt!$Q21/10,0)</f>
        <v>0</v>
      </c>
      <c r="W17" s="152">
        <f>IFERROR(EvCnt!$Q22/10,0)</f>
        <v>0</v>
      </c>
      <c r="X17" s="243">
        <f>IFERROR(EvCnt!$Q23/10,0)</f>
        <v>0</v>
      </c>
      <c r="Y17" s="152">
        <f>IFERROR(EvCnt!$Q24/10,0)</f>
        <v>0</v>
      </c>
      <c r="Z17" s="152">
        <f>IFERROR(EvCnt!$Q25/10,0)</f>
        <v>0</v>
      </c>
      <c r="AA17" s="243">
        <f>IFERROR(EvCnt!$Q26/10,0)</f>
        <v>0</v>
      </c>
      <c r="AB17" s="152">
        <f>IFERROR(EvCnt!$Q27/10,0)</f>
        <v>0</v>
      </c>
      <c r="AC17" s="152">
        <f>IFERROR(EvCnt!$Q28/10,0)</f>
        <v>0</v>
      </c>
    </row>
    <row r="18" spans="2:29" s="13" customFormat="1" ht="22.35" customHeight="1" x14ac:dyDescent="0.3">
      <c r="B18" s="801" t="str">
        <f>AlCo13</f>
        <v/>
      </c>
      <c r="C18" s="616" t="str">
        <f>AlNo13&amp;CHAR(32)&amp;AlAp13</f>
        <v xml:space="preserve"> </v>
      </c>
      <c r="D18" s="111">
        <f>AlEs13</f>
        <v>0</v>
      </c>
      <c r="E18" s="414">
        <f>EvCnt!$R6</f>
        <v>0</v>
      </c>
      <c r="F18" s="414">
        <f>EvCnt!$R7</f>
        <v>0</v>
      </c>
      <c r="G18" s="414">
        <f ca="1">Flts!$X7</f>
        <v>0</v>
      </c>
      <c r="H18" s="414" t="str">
        <f>EvCnt!$R8</f>
        <v>SD</v>
      </c>
      <c r="I18" s="414">
        <f>EvCnt!$R9</f>
        <v>0</v>
      </c>
      <c r="J18" s="414">
        <f ca="1">Flts!$X8</f>
        <v>0</v>
      </c>
      <c r="K18" s="414">
        <f>EvCnt!$R10</f>
        <v>0</v>
      </c>
      <c r="L18" s="414">
        <f>EvCnt!$R11</f>
        <v>0</v>
      </c>
      <c r="M18" s="414">
        <f ca="1">Flts!$X9</f>
        <v>0</v>
      </c>
      <c r="N18" s="414">
        <f>EvCnt!$R12</f>
        <v>0</v>
      </c>
      <c r="O18" s="414">
        <f>EvCnt!$R13</f>
        <v>0</v>
      </c>
      <c r="P18" s="412">
        <f t="shared" si="1"/>
        <v>0</v>
      </c>
      <c r="Q18" s="412">
        <f t="shared" si="2"/>
        <v>0</v>
      </c>
      <c r="R18" s="241">
        <f>IFERROR(EvCnt!$R17/10,0)</f>
        <v>0</v>
      </c>
      <c r="S18" s="242">
        <f>IFERROR(EvCnt!$R18/10,0)</f>
        <v>0</v>
      </c>
      <c r="T18" s="242">
        <f>IFERROR(EvCnt!$R19/10,0)</f>
        <v>0</v>
      </c>
      <c r="U18" s="241">
        <f>IFERROR(EvCnt!$R20/10,0)</f>
        <v>0</v>
      </c>
      <c r="V18" s="242">
        <f>IFERROR(EvCnt!$R21/10,0)</f>
        <v>0</v>
      </c>
      <c r="W18" s="152">
        <f>IFERROR(EvCnt!$R22/10,0)</f>
        <v>0</v>
      </c>
      <c r="X18" s="243">
        <f>IFERROR(EvCnt!$R23/10,0)</f>
        <v>0</v>
      </c>
      <c r="Y18" s="152">
        <f>IFERROR(EvCnt!$R24/10,0)</f>
        <v>0</v>
      </c>
      <c r="Z18" s="152">
        <f>IFERROR(EvCnt!$R25/10,0)</f>
        <v>0</v>
      </c>
      <c r="AA18" s="243">
        <f>IFERROR(EvCnt!$R26/10,0)</f>
        <v>0</v>
      </c>
      <c r="AB18" s="152">
        <f>IFERROR(EvCnt!$R27/10,0)</f>
        <v>0</v>
      </c>
      <c r="AC18" s="152">
        <f>IFERROR(EvCnt!$R28/10,0)</f>
        <v>0</v>
      </c>
    </row>
    <row r="19" spans="2:29" s="13" customFormat="1" ht="22.35" customHeight="1" x14ac:dyDescent="0.3">
      <c r="B19" s="801" t="str">
        <f>AlCo14</f>
        <v/>
      </c>
      <c r="C19" s="616" t="str">
        <f>AlNo14&amp;CHAR(32)&amp;AlAp14</f>
        <v xml:space="preserve"> </v>
      </c>
      <c r="D19" s="111">
        <f>AlEs14</f>
        <v>0</v>
      </c>
      <c r="E19" s="414">
        <f>EvCnt!$S6</f>
        <v>0</v>
      </c>
      <c r="F19" s="414">
        <f>EvCnt!$S7</f>
        <v>0</v>
      </c>
      <c r="G19" s="414">
        <f ca="1">Flts!$Y7</f>
        <v>0</v>
      </c>
      <c r="H19" s="414" t="str">
        <f>EvCnt!$S8</f>
        <v>SD</v>
      </c>
      <c r="I19" s="414">
        <f>EvCnt!$S9</f>
        <v>0</v>
      </c>
      <c r="J19" s="414">
        <f ca="1">Flts!$Y8</f>
        <v>0</v>
      </c>
      <c r="K19" s="414">
        <f>EvCnt!$S10</f>
        <v>0</v>
      </c>
      <c r="L19" s="414">
        <f>EvCnt!$S11</f>
        <v>0</v>
      </c>
      <c r="M19" s="414">
        <f ca="1">Flts!$Y9</f>
        <v>0</v>
      </c>
      <c r="N19" s="414">
        <f>EvCnt!$S12</f>
        <v>0</v>
      </c>
      <c r="O19" s="414">
        <f>EvCnt!$S13</f>
        <v>0</v>
      </c>
      <c r="P19" s="412">
        <f t="shared" si="1"/>
        <v>0</v>
      </c>
      <c r="Q19" s="412">
        <f t="shared" si="2"/>
        <v>0</v>
      </c>
      <c r="R19" s="241">
        <f>IFERROR(EvCnt!$S17/10,0)</f>
        <v>0</v>
      </c>
      <c r="S19" s="242">
        <f>IFERROR(EvCnt!$S18/10,0)</f>
        <v>0</v>
      </c>
      <c r="T19" s="242">
        <f>IFERROR(EvCnt!$S19/10,0)</f>
        <v>0</v>
      </c>
      <c r="U19" s="241">
        <f>IFERROR(EvCnt!$S20/10,0)</f>
        <v>0</v>
      </c>
      <c r="V19" s="242">
        <f>IFERROR(EvCnt!$S21/10,0)</f>
        <v>0</v>
      </c>
      <c r="W19" s="152">
        <f>IFERROR(EvCnt!$S22/10,0)</f>
        <v>0</v>
      </c>
      <c r="X19" s="243">
        <f>IFERROR(EvCnt!$S23/10,0)</f>
        <v>0</v>
      </c>
      <c r="Y19" s="152">
        <f>IFERROR(EvCnt!$S24/10,0)</f>
        <v>0</v>
      </c>
      <c r="Z19" s="152">
        <f>IFERROR(EvCnt!$S25/10,0)</f>
        <v>0</v>
      </c>
      <c r="AA19" s="243">
        <f>IFERROR(EvCnt!$S26/10,0)</f>
        <v>0</v>
      </c>
      <c r="AB19" s="152">
        <f>IFERROR(EvCnt!$S27/10,0)</f>
        <v>0</v>
      </c>
      <c r="AC19" s="152">
        <f>IFERROR(EvCnt!$S28/10,0)</f>
        <v>0</v>
      </c>
    </row>
    <row r="20" spans="2:29" s="13" customFormat="1" ht="22.35" customHeight="1" x14ac:dyDescent="0.3">
      <c r="B20" s="802" t="str">
        <f>AlCo15</f>
        <v/>
      </c>
      <c r="C20" s="900" t="str">
        <f>AlNo15&amp;CHAR(32)&amp;AlAp15</f>
        <v xml:space="preserve"> </v>
      </c>
      <c r="D20" s="112">
        <f>AlEs15</f>
        <v>0</v>
      </c>
      <c r="E20" s="415">
        <f>EvCnt!$T6</f>
        <v>0</v>
      </c>
      <c r="F20" s="415">
        <f>EvCnt!$T7</f>
        <v>0</v>
      </c>
      <c r="G20" s="415">
        <f ca="1">Flts!$Z7</f>
        <v>0</v>
      </c>
      <c r="H20" s="415" t="str">
        <f>EvCnt!$T8</f>
        <v>SD</v>
      </c>
      <c r="I20" s="415">
        <f>EvCnt!$T9</f>
        <v>0</v>
      </c>
      <c r="J20" s="415">
        <f ca="1">Flts!$Z8</f>
        <v>0</v>
      </c>
      <c r="K20" s="415">
        <f>EvCnt!$T10</f>
        <v>0</v>
      </c>
      <c r="L20" s="415">
        <f>EvCnt!$T11</f>
        <v>0</v>
      </c>
      <c r="M20" s="415">
        <f ca="1">Flts!$Z9</f>
        <v>0</v>
      </c>
      <c r="N20" s="415">
        <f>EvCnt!$T12</f>
        <v>0</v>
      </c>
      <c r="O20" s="415">
        <f>EvCnt!$T13</f>
        <v>0</v>
      </c>
      <c r="P20" s="413">
        <f t="shared" si="1"/>
        <v>0</v>
      </c>
      <c r="Q20" s="464">
        <f t="shared" si="2"/>
        <v>0</v>
      </c>
      <c r="R20" s="244">
        <f>IFERROR(EvCnt!$T17/10,0)</f>
        <v>0</v>
      </c>
      <c r="S20" s="245">
        <f>IFERROR(EvCnt!$T18/10,0)</f>
        <v>0</v>
      </c>
      <c r="T20" s="245">
        <f>IFERROR(EvCnt!$T19/10,0)</f>
        <v>0</v>
      </c>
      <c r="U20" s="244">
        <f>IFERROR(EvCnt!$T20/10,0)</f>
        <v>0</v>
      </c>
      <c r="V20" s="245">
        <f>IFERROR(EvCnt!$T21/10,0)</f>
        <v>0</v>
      </c>
      <c r="W20" s="153">
        <f>IFERROR(EvCnt!$T22/10,0)</f>
        <v>0</v>
      </c>
      <c r="X20" s="154">
        <f>IFERROR(EvCnt!$T23/10,0)</f>
        <v>0</v>
      </c>
      <c r="Y20" s="153">
        <f>IFERROR(EvCnt!$T24/10,0)</f>
        <v>0</v>
      </c>
      <c r="Z20" s="153">
        <f>IFERROR(EvCnt!$T25/10,0)</f>
        <v>0</v>
      </c>
      <c r="AA20" s="154">
        <f>IFERROR(EvCnt!$T26/10,0)</f>
        <v>0</v>
      </c>
      <c r="AB20" s="153">
        <f>IFERROR(EvCnt!$T27/10,0)</f>
        <v>0</v>
      </c>
      <c r="AC20" s="153">
        <f>IFERROR(EvCnt!$T28/10,0)</f>
        <v>0</v>
      </c>
    </row>
    <row r="21" spans="2:29" s="13" customFormat="1" ht="22.35" customHeight="1" x14ac:dyDescent="0.3">
      <c r="B21" s="801" t="str">
        <f>AlCo16</f>
        <v/>
      </c>
      <c r="C21" s="616" t="str">
        <f>AlNo16&amp;CHAR(32)&amp;AlAp16</f>
        <v xml:space="preserve"> </v>
      </c>
      <c r="D21" s="111">
        <f>AlEs16</f>
        <v>0</v>
      </c>
      <c r="E21" s="414">
        <f>EvCnt!$U6</f>
        <v>0</v>
      </c>
      <c r="F21" s="414">
        <f>EvCnt!$U7</f>
        <v>0</v>
      </c>
      <c r="G21" s="414">
        <f ca="1">Flts!$AA7</f>
        <v>0</v>
      </c>
      <c r="H21" s="414" t="str">
        <f>EvCnt!$U8</f>
        <v>SD</v>
      </c>
      <c r="I21" s="414">
        <f>EvCnt!$U9</f>
        <v>0</v>
      </c>
      <c r="J21" s="414">
        <f ca="1">Flts!$AA8</f>
        <v>0</v>
      </c>
      <c r="K21" s="414">
        <f>EvCnt!$U10</f>
        <v>0</v>
      </c>
      <c r="L21" s="414">
        <f>EvCnt!$U11</f>
        <v>0</v>
      </c>
      <c r="M21" s="414">
        <f ca="1">Flts!$AA9</f>
        <v>0</v>
      </c>
      <c r="N21" s="414">
        <f>EvCnt!$U12</f>
        <v>0</v>
      </c>
      <c r="O21" s="414">
        <f>EvCnt!$U13</f>
        <v>0</v>
      </c>
      <c r="P21" s="412">
        <f t="shared" si="1"/>
        <v>0</v>
      </c>
      <c r="Q21" s="412">
        <f t="shared" si="2"/>
        <v>0</v>
      </c>
      <c r="R21" s="241">
        <f>IFERROR(EvCnt!$U17/10,0)</f>
        <v>0</v>
      </c>
      <c r="S21" s="242">
        <f>IFERROR(EvCnt!$U18/10,0)</f>
        <v>0</v>
      </c>
      <c r="T21" s="242">
        <f>IFERROR(EvCnt!$U19/10,0)</f>
        <v>0</v>
      </c>
      <c r="U21" s="241">
        <f>IFERROR(EvCnt!$U20/10,0)</f>
        <v>0</v>
      </c>
      <c r="V21" s="242">
        <f>IFERROR(EvCnt!$U21/10,0)</f>
        <v>0</v>
      </c>
      <c r="W21" s="152">
        <f>IFERROR(EvCnt!$U22/10,0)</f>
        <v>0</v>
      </c>
      <c r="X21" s="243">
        <f>IFERROR(EvCnt!$U23/10,0)</f>
        <v>0</v>
      </c>
      <c r="Y21" s="152">
        <f>IFERROR(EvCnt!$U24/10,0)</f>
        <v>0</v>
      </c>
      <c r="Z21" s="152">
        <f>IFERROR(EvCnt!$U25/10,0)</f>
        <v>0</v>
      </c>
      <c r="AA21" s="243">
        <f>IFERROR(EvCnt!$U26/10,0)</f>
        <v>0</v>
      </c>
      <c r="AB21" s="152">
        <f>IFERROR(EvCnt!$U27/10,0)</f>
        <v>0</v>
      </c>
      <c r="AC21" s="152">
        <f>IFERROR(EvCnt!$U28/10,0)</f>
        <v>0</v>
      </c>
    </row>
    <row r="22" spans="2:29" s="13" customFormat="1" ht="22.35" customHeight="1" x14ac:dyDescent="0.3">
      <c r="B22" s="801" t="str">
        <f>AlCo17</f>
        <v/>
      </c>
      <c r="C22" s="616" t="str">
        <f>AlNo17&amp;CHAR(32)&amp;AlAp17</f>
        <v xml:space="preserve"> </v>
      </c>
      <c r="D22" s="111">
        <f>AlEs17</f>
        <v>0</v>
      </c>
      <c r="E22" s="414">
        <f>EvCnt!$V6</f>
        <v>0</v>
      </c>
      <c r="F22" s="414">
        <f>EvCnt!$V7</f>
        <v>0</v>
      </c>
      <c r="G22" s="414">
        <f ca="1">Flts!$AB7</f>
        <v>0</v>
      </c>
      <c r="H22" s="414" t="str">
        <f>EvCnt!$V8</f>
        <v>SD</v>
      </c>
      <c r="I22" s="414">
        <f>EvCnt!$V9</f>
        <v>0</v>
      </c>
      <c r="J22" s="414">
        <f ca="1">Flts!$AB8</f>
        <v>0</v>
      </c>
      <c r="K22" s="414">
        <f>EvCnt!$V10</f>
        <v>0</v>
      </c>
      <c r="L22" s="414">
        <f>EvCnt!$V11</f>
        <v>0</v>
      </c>
      <c r="M22" s="414">
        <f ca="1">Flts!$AB9</f>
        <v>0</v>
      </c>
      <c r="N22" s="414">
        <f>EvCnt!$V12</f>
        <v>0</v>
      </c>
      <c r="O22" s="414">
        <f>EvCnt!$V13</f>
        <v>0</v>
      </c>
      <c r="P22" s="412">
        <f t="shared" si="1"/>
        <v>0</v>
      </c>
      <c r="Q22" s="412">
        <f t="shared" si="2"/>
        <v>0</v>
      </c>
      <c r="R22" s="241">
        <f>IFERROR(EvCnt!$V17/10,0)</f>
        <v>0</v>
      </c>
      <c r="S22" s="242">
        <f>IFERROR(EvCnt!$V18/10,0)</f>
        <v>0</v>
      </c>
      <c r="T22" s="242">
        <f>IFERROR(EvCnt!$V19/10,0)</f>
        <v>0</v>
      </c>
      <c r="U22" s="241">
        <f>IFERROR(EvCnt!$V20/10,0)</f>
        <v>0</v>
      </c>
      <c r="V22" s="242">
        <f>IFERROR(EvCnt!$V21/10,0)</f>
        <v>0</v>
      </c>
      <c r="W22" s="152">
        <f>IFERROR(EvCnt!$V22/10,0)</f>
        <v>0</v>
      </c>
      <c r="X22" s="243">
        <f>IFERROR(EvCnt!$V23/10,0)</f>
        <v>0</v>
      </c>
      <c r="Y22" s="152">
        <f>IFERROR(EvCnt!$V24/10,0)</f>
        <v>0</v>
      </c>
      <c r="Z22" s="152">
        <f>IFERROR(EvCnt!$V25/10,0)</f>
        <v>0</v>
      </c>
      <c r="AA22" s="243">
        <f>IFERROR(EvCnt!$V26/10,0)</f>
        <v>0</v>
      </c>
      <c r="AB22" s="152">
        <f>IFERROR(EvCnt!$V27/10,0)</f>
        <v>0</v>
      </c>
      <c r="AC22" s="152">
        <f>IFERROR(EvCnt!$V28/10,0)</f>
        <v>0</v>
      </c>
    </row>
    <row r="23" spans="2:29" s="13" customFormat="1" ht="22.35" customHeight="1" x14ac:dyDescent="0.3">
      <c r="B23" s="801" t="str">
        <f>AlCo18</f>
        <v/>
      </c>
      <c r="C23" s="616" t="str">
        <f>AlNo18&amp;CHAR(32)&amp;AlAp18</f>
        <v xml:space="preserve"> </v>
      </c>
      <c r="D23" s="111">
        <f>AlEs18</f>
        <v>0</v>
      </c>
      <c r="E23" s="414">
        <f>EvCnt!$W6</f>
        <v>0</v>
      </c>
      <c r="F23" s="414">
        <f>EvCnt!$W7</f>
        <v>0</v>
      </c>
      <c r="G23" s="414">
        <f ca="1">Flts!$AC7</f>
        <v>0</v>
      </c>
      <c r="H23" s="414" t="str">
        <f>EvCnt!$W8</f>
        <v>SD</v>
      </c>
      <c r="I23" s="414">
        <f>EvCnt!$W9</f>
        <v>0</v>
      </c>
      <c r="J23" s="414">
        <f ca="1">Flts!$AC8</f>
        <v>0</v>
      </c>
      <c r="K23" s="414">
        <f>EvCnt!$W10</f>
        <v>0</v>
      </c>
      <c r="L23" s="414">
        <f>EvCnt!$W11</f>
        <v>0</v>
      </c>
      <c r="M23" s="414">
        <f ca="1">Flts!$AC9</f>
        <v>0</v>
      </c>
      <c r="N23" s="414">
        <f>EvCnt!$W12</f>
        <v>0</v>
      </c>
      <c r="O23" s="414">
        <f>EvCnt!$W13</f>
        <v>0</v>
      </c>
      <c r="P23" s="412">
        <f t="shared" si="1"/>
        <v>0</v>
      </c>
      <c r="Q23" s="412">
        <f t="shared" si="2"/>
        <v>0</v>
      </c>
      <c r="R23" s="241">
        <f>IFERROR(EvCnt!$W17/10,0)</f>
        <v>0</v>
      </c>
      <c r="S23" s="242">
        <f>IFERROR(EvCnt!$W18/10,0)</f>
        <v>0</v>
      </c>
      <c r="T23" s="242">
        <f>IFERROR(EvCnt!$W19/10,0)</f>
        <v>0</v>
      </c>
      <c r="U23" s="241">
        <f>IFERROR(EvCnt!$W20/10,0)</f>
        <v>0</v>
      </c>
      <c r="V23" s="242">
        <f>IFERROR(EvCnt!$W21/10,0)</f>
        <v>0</v>
      </c>
      <c r="W23" s="152">
        <f>IFERROR(EvCnt!$W22/10,0)</f>
        <v>0</v>
      </c>
      <c r="X23" s="243">
        <f>IFERROR(EvCnt!$W23/10,0)</f>
        <v>0</v>
      </c>
      <c r="Y23" s="152">
        <f>IFERROR(EvCnt!$W24/10,0)</f>
        <v>0</v>
      </c>
      <c r="Z23" s="152">
        <f>IFERROR(EvCnt!$W25/10,0)</f>
        <v>0</v>
      </c>
      <c r="AA23" s="243">
        <f>IFERROR(EvCnt!$W26/10,0)</f>
        <v>0</v>
      </c>
      <c r="AB23" s="152">
        <f>IFERROR(EvCnt!$W27/10,0)</f>
        <v>0</v>
      </c>
      <c r="AC23" s="152">
        <f>IFERROR(EvCnt!$W28/10,0)</f>
        <v>0</v>
      </c>
    </row>
    <row r="24" spans="2:29" s="13" customFormat="1" ht="22.35" customHeight="1" x14ac:dyDescent="0.3">
      <c r="B24" s="801" t="str">
        <f>AlCo19</f>
        <v/>
      </c>
      <c r="C24" s="616" t="str">
        <f>AlNo19&amp;CHAR(32)&amp;AlAp19</f>
        <v xml:space="preserve"> </v>
      </c>
      <c r="D24" s="111">
        <f>AlEs19</f>
        <v>0</v>
      </c>
      <c r="E24" s="414">
        <f>EvCnt!$X6</f>
        <v>0</v>
      </c>
      <c r="F24" s="414">
        <f>EvCnt!$X7</f>
        <v>0</v>
      </c>
      <c r="G24" s="414">
        <f ca="1">Flts!$AD7</f>
        <v>0</v>
      </c>
      <c r="H24" s="414" t="str">
        <f>EvCnt!$X8</f>
        <v>SD</v>
      </c>
      <c r="I24" s="414">
        <f>EvCnt!$X9</f>
        <v>0</v>
      </c>
      <c r="J24" s="414">
        <f ca="1">Flts!$AD8</f>
        <v>0</v>
      </c>
      <c r="K24" s="414">
        <f>EvCnt!$X10</f>
        <v>0</v>
      </c>
      <c r="L24" s="414">
        <f>EvCnt!$X11</f>
        <v>0</v>
      </c>
      <c r="M24" s="414">
        <f ca="1">Flts!$AD9</f>
        <v>0</v>
      </c>
      <c r="N24" s="414">
        <f>EvCnt!$X12</f>
        <v>0</v>
      </c>
      <c r="O24" s="414">
        <f>EvCnt!$X13</f>
        <v>0</v>
      </c>
      <c r="P24" s="412">
        <f t="shared" si="1"/>
        <v>0</v>
      </c>
      <c r="Q24" s="412">
        <f t="shared" si="2"/>
        <v>0</v>
      </c>
      <c r="R24" s="241">
        <f>IFERROR(EvCnt!$X17/10,0)</f>
        <v>0</v>
      </c>
      <c r="S24" s="242">
        <f>IFERROR(EvCnt!$X18/10,0)</f>
        <v>0</v>
      </c>
      <c r="T24" s="242">
        <f>IFERROR(EvCnt!$X19/10,0)</f>
        <v>0</v>
      </c>
      <c r="U24" s="241">
        <f>IFERROR(EvCnt!$X20/10,0)</f>
        <v>0</v>
      </c>
      <c r="V24" s="242">
        <f>IFERROR(EvCnt!$X21/10,0)</f>
        <v>0</v>
      </c>
      <c r="W24" s="152">
        <f>IFERROR(EvCnt!$X22/10,0)</f>
        <v>0</v>
      </c>
      <c r="X24" s="243">
        <f>IFERROR(EvCnt!$X23/10,0)</f>
        <v>0</v>
      </c>
      <c r="Y24" s="152">
        <f>IFERROR(EvCnt!$X24/10,0)</f>
        <v>0</v>
      </c>
      <c r="Z24" s="152">
        <f>IFERROR(EvCnt!$X25/10,0)</f>
        <v>0</v>
      </c>
      <c r="AA24" s="243">
        <f>IFERROR(EvCnt!$X26/10,0)</f>
        <v>0</v>
      </c>
      <c r="AB24" s="152">
        <f>IFERROR(EvCnt!$X27/10,0)</f>
        <v>0</v>
      </c>
      <c r="AC24" s="152">
        <f>IFERROR(EvCnt!$X28/10,0)</f>
        <v>0</v>
      </c>
    </row>
    <row r="25" spans="2:29" s="13" customFormat="1" ht="22.35" customHeight="1" x14ac:dyDescent="0.3">
      <c r="B25" s="802" t="str">
        <f>AlCo20</f>
        <v/>
      </c>
      <c r="C25" s="900" t="str">
        <f>AlNo20&amp;CHAR(32)&amp;AlAp20</f>
        <v xml:space="preserve"> </v>
      </c>
      <c r="D25" s="112">
        <f>AlEs20</f>
        <v>0</v>
      </c>
      <c r="E25" s="415">
        <f>EvCnt!$Y6</f>
        <v>0</v>
      </c>
      <c r="F25" s="415">
        <f>EvCnt!$Y7</f>
        <v>0</v>
      </c>
      <c r="G25" s="754">
        <f ca="1">Flts!$AE7</f>
        <v>0</v>
      </c>
      <c r="H25" s="754" t="str">
        <f>EvCnt!$Y8</f>
        <v>SD</v>
      </c>
      <c r="I25" s="415">
        <f>EvCnt!$Y9</f>
        <v>0</v>
      </c>
      <c r="J25" s="415">
        <f ca="1">Flts!$AE8</f>
        <v>0</v>
      </c>
      <c r="K25" s="415">
        <f>EvCnt!$Y10</f>
        <v>0</v>
      </c>
      <c r="L25" s="415">
        <f>EvCnt!$Y11</f>
        <v>0</v>
      </c>
      <c r="M25" s="415">
        <f ca="1">Flts!$AE9</f>
        <v>0</v>
      </c>
      <c r="N25" s="415">
        <f>EvCnt!$Y12</f>
        <v>0</v>
      </c>
      <c r="O25" s="415">
        <f>EvCnt!$Y13</f>
        <v>0</v>
      </c>
      <c r="P25" s="413">
        <f t="shared" si="1"/>
        <v>0</v>
      </c>
      <c r="Q25" s="464">
        <f t="shared" si="2"/>
        <v>0</v>
      </c>
      <c r="R25" s="244">
        <f>IFERROR(EvCnt!$Y17/10,0)</f>
        <v>0</v>
      </c>
      <c r="S25" s="245">
        <f>IFERROR(EvCnt!$Y18/10,0)</f>
        <v>0</v>
      </c>
      <c r="T25" s="245">
        <f>IFERROR(EvCnt!$Y19/10,0)</f>
        <v>0</v>
      </c>
      <c r="U25" s="244">
        <f>IFERROR(EvCnt!$Y20/10,0)</f>
        <v>0</v>
      </c>
      <c r="V25" s="245">
        <f>IFERROR(EvCnt!$Y21/10,0)</f>
        <v>0</v>
      </c>
      <c r="W25" s="153">
        <f>IFERROR(EvCnt!$Y22/10,0)</f>
        <v>0</v>
      </c>
      <c r="X25" s="154">
        <f>IFERROR(EvCnt!$Y23/10,0)</f>
        <v>0</v>
      </c>
      <c r="Y25" s="153">
        <f>IFERROR(EvCnt!$Y24/10,0)</f>
        <v>0</v>
      </c>
      <c r="Z25" s="153">
        <f>IFERROR(EvCnt!$Y25/10,0)</f>
        <v>0</v>
      </c>
      <c r="AA25" s="154">
        <f>IFERROR(EvCnt!$Y26/10,0)</f>
        <v>0</v>
      </c>
      <c r="AB25" s="153">
        <f>IFERROR(EvCnt!$Y27/10,0)</f>
        <v>0</v>
      </c>
      <c r="AC25" s="153">
        <f>IFERROR(EvCnt!$Y28/10,0)</f>
        <v>0</v>
      </c>
    </row>
    <row r="26" spans="2:29" s="13" customFormat="1" ht="22.35" customHeight="1" x14ac:dyDescent="0.3">
      <c r="B26" s="801" t="str">
        <f>AlCo21</f>
        <v/>
      </c>
      <c r="C26" s="616" t="str">
        <f>AlNo21&amp;CHAR(32)&amp;AlAp21</f>
        <v xml:space="preserve"> </v>
      </c>
      <c r="D26" s="111">
        <f>AlEs21</f>
        <v>0</v>
      </c>
      <c r="E26" s="414">
        <f>EvCnt!$Z6</f>
        <v>0</v>
      </c>
      <c r="F26" s="414">
        <f>EvCnt!$Z7</f>
        <v>0</v>
      </c>
      <c r="G26" s="755">
        <f ca="1">Flts!$AF7</f>
        <v>0</v>
      </c>
      <c r="H26" s="755" t="str">
        <f>EvCnt!$Z8</f>
        <v>SD</v>
      </c>
      <c r="I26" s="414">
        <f>EvCnt!$Z9</f>
        <v>0</v>
      </c>
      <c r="J26" s="414">
        <f ca="1">Flts!$AF8</f>
        <v>0</v>
      </c>
      <c r="K26" s="414">
        <f>EvCnt!$Z10</f>
        <v>0</v>
      </c>
      <c r="L26" s="414">
        <f>EvCnt!$Z11</f>
        <v>0</v>
      </c>
      <c r="M26" s="414">
        <f ca="1">Flts!$AF9</f>
        <v>0</v>
      </c>
      <c r="N26" s="414">
        <f>EvCnt!$Z12</f>
        <v>0</v>
      </c>
      <c r="O26" s="414">
        <f>EvCnt!$Z13</f>
        <v>0</v>
      </c>
      <c r="P26" s="412">
        <f t="shared" si="1"/>
        <v>0</v>
      </c>
      <c r="Q26" s="412">
        <f t="shared" si="2"/>
        <v>0</v>
      </c>
      <c r="R26" s="241">
        <f>IFERROR(EvCnt!$Z17/10,0)</f>
        <v>0</v>
      </c>
      <c r="S26" s="242">
        <f>IFERROR(EvCnt!$Z18/10,0)</f>
        <v>0</v>
      </c>
      <c r="T26" s="242">
        <f>IFERROR(EvCnt!$Z19/10,0)</f>
        <v>0</v>
      </c>
      <c r="U26" s="241">
        <f>IFERROR(EvCnt!$Z20/10,0)</f>
        <v>0</v>
      </c>
      <c r="V26" s="242">
        <f>IFERROR(EvCnt!$Z21/10,0)</f>
        <v>0</v>
      </c>
      <c r="W26" s="152">
        <f>IFERROR(EvCnt!$Z22/10,0)</f>
        <v>0</v>
      </c>
      <c r="X26" s="243">
        <f>IFERROR(EvCnt!$Z23/10,0)</f>
        <v>0</v>
      </c>
      <c r="Y26" s="152">
        <f>IFERROR(EvCnt!$Z24/10,0)</f>
        <v>0</v>
      </c>
      <c r="Z26" s="152">
        <f>IFERROR(EvCnt!$Z25/10,0)</f>
        <v>0</v>
      </c>
      <c r="AA26" s="243">
        <f>IFERROR(EvCnt!$Z26/10,0)</f>
        <v>0</v>
      </c>
      <c r="AB26" s="152">
        <f>IFERROR(EvCnt!$Z27/10,0)</f>
        <v>0</v>
      </c>
      <c r="AC26" s="152">
        <f>IFERROR(EvCnt!$Z28/10,0)</f>
        <v>0</v>
      </c>
    </row>
    <row r="27" spans="2:29" s="13" customFormat="1" ht="22.35" customHeight="1" x14ac:dyDescent="0.3">
      <c r="B27" s="801" t="str">
        <f>AlCo22</f>
        <v/>
      </c>
      <c r="C27" s="616" t="str">
        <f>AlNo22&amp;CHAR(32)&amp;AlAp22</f>
        <v xml:space="preserve"> </v>
      </c>
      <c r="D27" s="111">
        <f>AlEs22</f>
        <v>0</v>
      </c>
      <c r="E27" s="414">
        <f>EvCnt!$AA6</f>
        <v>0</v>
      </c>
      <c r="F27" s="414">
        <f>EvCnt!$AA7</f>
        <v>0</v>
      </c>
      <c r="G27" s="755">
        <f ca="1">Flts!$AG7</f>
        <v>0</v>
      </c>
      <c r="H27" s="755" t="str">
        <f>EvCnt!$AA8</f>
        <v>SD</v>
      </c>
      <c r="I27" s="414">
        <f>EvCnt!$AA9</f>
        <v>0</v>
      </c>
      <c r="J27" s="414">
        <f ca="1">Flts!$AG8</f>
        <v>0</v>
      </c>
      <c r="K27" s="414">
        <f>EvCnt!$AA10</f>
        <v>0</v>
      </c>
      <c r="L27" s="414">
        <f>EvCnt!$AA11</f>
        <v>0</v>
      </c>
      <c r="M27" s="414">
        <f ca="1">Flts!$AG9</f>
        <v>0</v>
      </c>
      <c r="N27" s="414">
        <f>EvCnt!$AA12</f>
        <v>0</v>
      </c>
      <c r="O27" s="414">
        <f>EvCnt!$AA13</f>
        <v>0</v>
      </c>
      <c r="P27" s="412">
        <f t="shared" si="1"/>
        <v>0</v>
      </c>
      <c r="Q27" s="412">
        <f t="shared" si="2"/>
        <v>0</v>
      </c>
      <c r="R27" s="241">
        <f>IFERROR(EvCnt!$AA17/10,0)</f>
        <v>0</v>
      </c>
      <c r="S27" s="242">
        <f>IFERROR(EvCnt!$AA18/10,0)</f>
        <v>0</v>
      </c>
      <c r="T27" s="242">
        <f>IFERROR(EvCnt!$AA19/10,0)</f>
        <v>0</v>
      </c>
      <c r="U27" s="241">
        <f>IFERROR(EvCnt!$AA20/10,0)</f>
        <v>0</v>
      </c>
      <c r="V27" s="242">
        <f>IFERROR(EvCnt!$AA21/10,0)</f>
        <v>0</v>
      </c>
      <c r="W27" s="152">
        <f>IFERROR(EvCnt!$AA22/10,0)</f>
        <v>0</v>
      </c>
      <c r="X27" s="243">
        <f>IFERROR(EvCnt!$AA23/10,0)</f>
        <v>0</v>
      </c>
      <c r="Y27" s="152">
        <f>IFERROR(EvCnt!$AA24/10,0)</f>
        <v>0</v>
      </c>
      <c r="Z27" s="152">
        <f>IFERROR(EvCnt!$AA25/10,0)</f>
        <v>0</v>
      </c>
      <c r="AA27" s="243">
        <f>IFERROR(EvCnt!$AA26/10,0)</f>
        <v>0</v>
      </c>
      <c r="AB27" s="152">
        <f>IFERROR(EvCnt!$AA27/10,0)</f>
        <v>0</v>
      </c>
      <c r="AC27" s="152">
        <f>IFERROR(EvCnt!$AA28/10,0)</f>
        <v>0</v>
      </c>
    </row>
    <row r="28" spans="2:29" s="13" customFormat="1" ht="22.35" customHeight="1" x14ac:dyDescent="0.3">
      <c r="B28" s="801" t="str">
        <f>AlCo23</f>
        <v/>
      </c>
      <c r="C28" s="616" t="str">
        <f>AlNo23&amp;CHAR(32)&amp;AlAp23</f>
        <v xml:space="preserve"> </v>
      </c>
      <c r="D28" s="111">
        <f>AlEs23</f>
        <v>0</v>
      </c>
      <c r="E28" s="414">
        <f>EvCnt!$AB6</f>
        <v>0</v>
      </c>
      <c r="F28" s="414">
        <f>EvCnt!$AB7</f>
        <v>0</v>
      </c>
      <c r="G28" s="414">
        <f ca="1">Flts!$AH7</f>
        <v>0</v>
      </c>
      <c r="H28" s="414" t="str">
        <f>EvCnt!$AB8</f>
        <v>SD</v>
      </c>
      <c r="I28" s="414">
        <f>EvCnt!$AB9</f>
        <v>0</v>
      </c>
      <c r="J28" s="414">
        <f ca="1">Flts!$AH8</f>
        <v>0</v>
      </c>
      <c r="K28" s="414">
        <f>EvCnt!$AB10</f>
        <v>0</v>
      </c>
      <c r="L28" s="414">
        <f>EvCnt!$AB11</f>
        <v>0</v>
      </c>
      <c r="M28" s="414">
        <f ca="1">Flts!$AH9</f>
        <v>0</v>
      </c>
      <c r="N28" s="414">
        <f>EvCnt!$AB12</f>
        <v>0</v>
      </c>
      <c r="O28" s="414">
        <f>EvCnt!$AB13</f>
        <v>0</v>
      </c>
      <c r="P28" s="412">
        <f t="shared" si="1"/>
        <v>0</v>
      </c>
      <c r="Q28" s="412">
        <f t="shared" si="2"/>
        <v>0</v>
      </c>
      <c r="R28" s="241">
        <f>IFERROR(EvCnt!$AB17/10,0)</f>
        <v>0</v>
      </c>
      <c r="S28" s="242">
        <f>IFERROR(EvCnt!$AB18/10,0)</f>
        <v>0</v>
      </c>
      <c r="T28" s="242">
        <f>IFERROR(EvCnt!$AB19/10,0)</f>
        <v>0</v>
      </c>
      <c r="U28" s="241">
        <f>IFERROR(EvCnt!$AB20/10,0)</f>
        <v>0</v>
      </c>
      <c r="V28" s="242">
        <f>IFERROR(EvCnt!$AB21/10,0)</f>
        <v>0</v>
      </c>
      <c r="W28" s="152">
        <f>IFERROR(EvCnt!$AB22/10,0)</f>
        <v>0</v>
      </c>
      <c r="X28" s="243">
        <f>IFERROR(EvCnt!$AB23/10,0)</f>
        <v>0</v>
      </c>
      <c r="Y28" s="152">
        <f>IFERROR(EvCnt!$AB24/10,0)</f>
        <v>0</v>
      </c>
      <c r="Z28" s="152">
        <f>IFERROR(EvCnt!$AB25/10,0)</f>
        <v>0</v>
      </c>
      <c r="AA28" s="243">
        <f>IFERROR(EvCnt!$AB26/10,0)</f>
        <v>0</v>
      </c>
      <c r="AB28" s="152">
        <f>IFERROR(EvCnt!$AB27/10,0)</f>
        <v>0</v>
      </c>
      <c r="AC28" s="152">
        <f>IFERROR(EvCnt!$AB28/10,0)</f>
        <v>0</v>
      </c>
    </row>
    <row r="29" spans="2:29" s="13" customFormat="1" ht="22.35" customHeight="1" x14ac:dyDescent="0.3">
      <c r="B29" s="801" t="str">
        <f>AlCo24</f>
        <v/>
      </c>
      <c r="C29" s="616" t="str">
        <f>AlNo24&amp;CHAR(32)&amp;AlAp24</f>
        <v xml:space="preserve"> </v>
      </c>
      <c r="D29" s="111">
        <f>AlEs24</f>
        <v>0</v>
      </c>
      <c r="E29" s="414">
        <f>EvCnt!$AC6</f>
        <v>0</v>
      </c>
      <c r="F29" s="414">
        <f>EvCnt!$AC7</f>
        <v>0</v>
      </c>
      <c r="G29" s="414">
        <f ca="1">Flts!$AI7</f>
        <v>0</v>
      </c>
      <c r="H29" s="414" t="str">
        <f>EvCnt!$AC8</f>
        <v>SD</v>
      </c>
      <c r="I29" s="414">
        <f>EvCnt!$AC9</f>
        <v>0</v>
      </c>
      <c r="J29" s="414">
        <f ca="1">Flts!$AI8</f>
        <v>0</v>
      </c>
      <c r="K29" s="414">
        <f>EvCnt!$AC10</f>
        <v>0</v>
      </c>
      <c r="L29" s="414">
        <f>EvCnt!$AC11</f>
        <v>0</v>
      </c>
      <c r="M29" s="414">
        <f ca="1">Flts!$AI9</f>
        <v>0</v>
      </c>
      <c r="N29" s="414">
        <f>EvCnt!$AC12</f>
        <v>0</v>
      </c>
      <c r="O29" s="414">
        <f>EvCnt!$AC13</f>
        <v>0</v>
      </c>
      <c r="P29" s="412">
        <f t="shared" si="1"/>
        <v>0</v>
      </c>
      <c r="Q29" s="412">
        <f t="shared" si="2"/>
        <v>0</v>
      </c>
      <c r="R29" s="241">
        <f>IFERROR(EvCnt!$AC17/10,0)</f>
        <v>0</v>
      </c>
      <c r="S29" s="242">
        <f>IFERROR(EvCnt!$AC18/10,0)</f>
        <v>0</v>
      </c>
      <c r="T29" s="242">
        <f>IFERROR(EvCnt!$AC19/10,0)</f>
        <v>0</v>
      </c>
      <c r="U29" s="241">
        <f>IFERROR(EvCnt!$AC20/10,0)</f>
        <v>0</v>
      </c>
      <c r="V29" s="242">
        <f>IFERROR(EvCnt!$AC21/10,0)</f>
        <v>0</v>
      </c>
      <c r="W29" s="152">
        <f>IFERROR(EvCnt!$AC22/10,0)</f>
        <v>0</v>
      </c>
      <c r="X29" s="243">
        <f>IFERROR(EvCnt!$AC23/10,0)</f>
        <v>0</v>
      </c>
      <c r="Y29" s="152">
        <f>IFERROR(EvCnt!$AC24/10,0)</f>
        <v>0</v>
      </c>
      <c r="Z29" s="152">
        <f>IFERROR(EvCnt!$AC25/10,0)</f>
        <v>0</v>
      </c>
      <c r="AA29" s="243">
        <f>IFERROR(EvCnt!$AC26/10,0)</f>
        <v>0</v>
      </c>
      <c r="AB29" s="152">
        <f>IFERROR(EvCnt!$AC27/10,0)</f>
        <v>0</v>
      </c>
      <c r="AC29" s="152">
        <f>IFERROR(EvCnt!$AC28/10,0)</f>
        <v>0</v>
      </c>
    </row>
    <row r="30" spans="2:29" s="13" customFormat="1" ht="22.35" customHeight="1" x14ac:dyDescent="0.3">
      <c r="B30" s="802" t="str">
        <f>AlCo25</f>
        <v/>
      </c>
      <c r="C30" s="900" t="str">
        <f>AlNo25&amp;CHAR(32)&amp;AlAp25</f>
        <v xml:space="preserve"> </v>
      </c>
      <c r="D30" s="112">
        <f>AlEs25</f>
        <v>0</v>
      </c>
      <c r="E30" s="415">
        <f>EvCnt!$AD6</f>
        <v>0</v>
      </c>
      <c r="F30" s="415">
        <f>EvCnt!$AD7</f>
        <v>0</v>
      </c>
      <c r="G30" s="415">
        <f ca="1">Flts!$AJ7</f>
        <v>0</v>
      </c>
      <c r="H30" s="415" t="str">
        <f>EvCnt!$AD8</f>
        <v>SD</v>
      </c>
      <c r="I30" s="415">
        <f>EvCnt!$AD9</f>
        <v>0</v>
      </c>
      <c r="J30" s="415">
        <f ca="1">Flts!$AJ8</f>
        <v>0</v>
      </c>
      <c r="K30" s="415">
        <f>EvCnt!$AD10</f>
        <v>0</v>
      </c>
      <c r="L30" s="415">
        <f>EvCnt!$AD11</f>
        <v>0</v>
      </c>
      <c r="M30" s="415">
        <f ca="1">Flts!$AJ9</f>
        <v>0</v>
      </c>
      <c r="N30" s="415">
        <f>EvCnt!$AD12</f>
        <v>0</v>
      </c>
      <c r="O30" s="415">
        <f>EvCnt!$AD13</f>
        <v>0</v>
      </c>
      <c r="P30" s="413">
        <f t="shared" si="1"/>
        <v>0</v>
      </c>
      <c r="Q30" s="464">
        <f t="shared" si="2"/>
        <v>0</v>
      </c>
      <c r="R30" s="244">
        <f>IFERROR(EvCnt!$AD17/10,0)</f>
        <v>0</v>
      </c>
      <c r="S30" s="245">
        <f>IFERROR(EvCnt!$AD18/10,0)</f>
        <v>0</v>
      </c>
      <c r="T30" s="245">
        <f>IFERROR(EvCnt!$AD19/10,0)</f>
        <v>0</v>
      </c>
      <c r="U30" s="244">
        <f>IFERROR(EvCnt!$AD20/10,0)</f>
        <v>0</v>
      </c>
      <c r="V30" s="245">
        <f>IFERROR(EvCnt!$AD21/10,0)</f>
        <v>0</v>
      </c>
      <c r="W30" s="153">
        <f>IFERROR(EvCnt!$AD22/10,0)</f>
        <v>0</v>
      </c>
      <c r="X30" s="154">
        <f>IFERROR(EvCnt!$AD23/10,0)</f>
        <v>0</v>
      </c>
      <c r="Y30" s="153">
        <f>IFERROR(EvCnt!$AD24/10,0)</f>
        <v>0</v>
      </c>
      <c r="Z30" s="153">
        <f>IFERROR(EvCnt!$AD25/10,0)</f>
        <v>0</v>
      </c>
      <c r="AA30" s="154">
        <f>IFERROR(EvCnt!$AD26/10,0)</f>
        <v>0</v>
      </c>
      <c r="AB30" s="153">
        <f>IFERROR(EvCnt!$AD27/10,0)</f>
        <v>0</v>
      </c>
      <c r="AC30" s="153">
        <f>IFERROR(EvCnt!$AD28/10,0)</f>
        <v>0</v>
      </c>
    </row>
    <row r="31" spans="2:29" s="13" customFormat="1" ht="22.35" customHeight="1" x14ac:dyDescent="0.3">
      <c r="B31" s="801" t="str">
        <f>AlCo26</f>
        <v/>
      </c>
      <c r="C31" s="616" t="str">
        <f>AlNo26&amp;CHAR(32)&amp;AlAp26</f>
        <v xml:space="preserve"> </v>
      </c>
      <c r="D31" s="111">
        <f>AlEs26</f>
        <v>0</v>
      </c>
      <c r="E31" s="414">
        <f>EvCnt!$AE6</f>
        <v>0</v>
      </c>
      <c r="F31" s="414">
        <f>EvCnt!$AE7</f>
        <v>0</v>
      </c>
      <c r="G31" s="414">
        <f ca="1">Flts!$AK7</f>
        <v>0</v>
      </c>
      <c r="H31" s="414" t="str">
        <f>EvCnt!$AE8</f>
        <v>SD</v>
      </c>
      <c r="I31" s="414">
        <f>EvCnt!$AE9</f>
        <v>0</v>
      </c>
      <c r="J31" s="414">
        <f ca="1">Flts!$AK8</f>
        <v>0</v>
      </c>
      <c r="K31" s="414">
        <f>EvCnt!$AE10</f>
        <v>0</v>
      </c>
      <c r="L31" s="414">
        <f>EvCnt!$AE11</f>
        <v>0</v>
      </c>
      <c r="M31" s="414">
        <f ca="1">Flts!$AK9</f>
        <v>0</v>
      </c>
      <c r="N31" s="414">
        <f>EvCnt!$AE12</f>
        <v>0</v>
      </c>
      <c r="O31" s="414">
        <f>EvCnt!$AE13</f>
        <v>0</v>
      </c>
      <c r="P31" s="412">
        <f t="shared" si="1"/>
        <v>0</v>
      </c>
      <c r="Q31" s="412">
        <f t="shared" si="2"/>
        <v>0</v>
      </c>
      <c r="R31" s="241">
        <f>IFERROR(EvCnt!$AE17/10,0)</f>
        <v>0</v>
      </c>
      <c r="S31" s="242">
        <f>IFERROR(EvCnt!$AE18/10,0)</f>
        <v>0</v>
      </c>
      <c r="T31" s="242">
        <f>IFERROR(EvCnt!$AE19/10,0)</f>
        <v>0</v>
      </c>
      <c r="U31" s="241">
        <f>IFERROR(EvCnt!$AE20/10,0)</f>
        <v>0</v>
      </c>
      <c r="V31" s="242">
        <f>IFERROR(EvCnt!$AE21/10,0)</f>
        <v>0</v>
      </c>
      <c r="W31" s="152">
        <f>IFERROR(EvCnt!$AE22/10,0)</f>
        <v>0</v>
      </c>
      <c r="X31" s="243">
        <f>IFERROR(EvCnt!$AE23/10,0)</f>
        <v>0</v>
      </c>
      <c r="Y31" s="152">
        <f>IFERROR(EvCnt!$AE24/10,0)</f>
        <v>0</v>
      </c>
      <c r="Z31" s="152">
        <f>IFERROR(EvCnt!$AE25/10,0)</f>
        <v>0</v>
      </c>
      <c r="AA31" s="243">
        <f>IFERROR(EvCnt!$AE26/10,0)</f>
        <v>0</v>
      </c>
      <c r="AB31" s="152">
        <f>IFERROR(EvCnt!$AE27/10,0)</f>
        <v>0</v>
      </c>
      <c r="AC31" s="152">
        <f>IFERROR(EvCnt!$AE28/10,0)</f>
        <v>0</v>
      </c>
    </row>
    <row r="32" spans="2:29" s="13" customFormat="1" ht="22.35" customHeight="1" x14ac:dyDescent="0.3">
      <c r="B32" s="801" t="str">
        <f>AlCo27</f>
        <v/>
      </c>
      <c r="C32" s="616" t="str">
        <f>AlNo27&amp;CHAR(32)&amp;AlAp27</f>
        <v xml:space="preserve"> </v>
      </c>
      <c r="D32" s="111">
        <f>AlEs27</f>
        <v>0</v>
      </c>
      <c r="E32" s="414">
        <f>EvCnt!$AF6</f>
        <v>0</v>
      </c>
      <c r="F32" s="414">
        <f>EvCnt!$AF7</f>
        <v>0</v>
      </c>
      <c r="G32" s="414">
        <f ca="1">Flts!$AL7</f>
        <v>0</v>
      </c>
      <c r="H32" s="414" t="str">
        <f>EvCnt!$AF8</f>
        <v>SD</v>
      </c>
      <c r="I32" s="414">
        <f>EvCnt!$AF9</f>
        <v>0</v>
      </c>
      <c r="J32" s="414">
        <f ca="1">Flts!$AL8</f>
        <v>0</v>
      </c>
      <c r="K32" s="414">
        <f>EvCnt!$AF10</f>
        <v>0</v>
      </c>
      <c r="L32" s="414">
        <f>EvCnt!$AF11</f>
        <v>0</v>
      </c>
      <c r="M32" s="414">
        <f ca="1">Flts!$AL9</f>
        <v>0</v>
      </c>
      <c r="N32" s="414">
        <f>EvCnt!$AF12</f>
        <v>0</v>
      </c>
      <c r="O32" s="414">
        <f>EvCnt!$AF13</f>
        <v>0</v>
      </c>
      <c r="P32" s="412">
        <f t="shared" si="1"/>
        <v>0</v>
      </c>
      <c r="Q32" s="412">
        <f t="shared" si="2"/>
        <v>0</v>
      </c>
      <c r="R32" s="241">
        <f>IFERROR(EvCnt!$AF17/10,0)</f>
        <v>0</v>
      </c>
      <c r="S32" s="242">
        <f>IFERROR(EvCnt!$AF18/10,0)</f>
        <v>0</v>
      </c>
      <c r="T32" s="242">
        <f>IFERROR(EvCnt!$AF19/10,0)</f>
        <v>0</v>
      </c>
      <c r="U32" s="241">
        <f>IFERROR(EvCnt!$AF20/10,0)</f>
        <v>0</v>
      </c>
      <c r="V32" s="242">
        <f>IFERROR(EvCnt!$AF21/10,0)</f>
        <v>0</v>
      </c>
      <c r="W32" s="152">
        <f>IFERROR(EvCnt!$AF22/10,0)</f>
        <v>0</v>
      </c>
      <c r="X32" s="243">
        <f>IFERROR(EvCnt!$AF23/10,0)</f>
        <v>0</v>
      </c>
      <c r="Y32" s="152">
        <f>IFERROR(EvCnt!$AF24/10,0)</f>
        <v>0</v>
      </c>
      <c r="Z32" s="152">
        <f>IFERROR(EvCnt!$AF25/10,0)</f>
        <v>0</v>
      </c>
      <c r="AA32" s="243">
        <f>IFERROR(EvCnt!$AF26/10,0)</f>
        <v>0</v>
      </c>
      <c r="AB32" s="152">
        <f>IFERROR(EvCnt!$AF27/10,0)</f>
        <v>0</v>
      </c>
      <c r="AC32" s="152">
        <f>IFERROR(EvCnt!$AF28/10,0)</f>
        <v>0</v>
      </c>
    </row>
    <row r="33" spans="1:30" s="13" customFormat="1" ht="22.35" customHeight="1" x14ac:dyDescent="0.3">
      <c r="B33" s="801" t="str">
        <f>AlCo28</f>
        <v/>
      </c>
      <c r="C33" s="616" t="str">
        <f>AlNo28&amp;CHAR(32)&amp;AlAp28</f>
        <v xml:space="preserve"> </v>
      </c>
      <c r="D33" s="111">
        <f>AlEs28</f>
        <v>0</v>
      </c>
      <c r="E33" s="414">
        <f>EvCnt!$AG6</f>
        <v>0</v>
      </c>
      <c r="F33" s="414">
        <f>EvCnt!$AG7</f>
        <v>0</v>
      </c>
      <c r="G33" s="414">
        <f ca="1">Flts!$AM7</f>
        <v>0</v>
      </c>
      <c r="H33" s="414" t="str">
        <f>EvCnt!$AG8</f>
        <v>SD</v>
      </c>
      <c r="I33" s="414">
        <f>EvCnt!$AG9</f>
        <v>0</v>
      </c>
      <c r="J33" s="414">
        <f ca="1">Flts!$AM8</f>
        <v>0</v>
      </c>
      <c r="K33" s="414">
        <f>EvCnt!$AG10</f>
        <v>0</v>
      </c>
      <c r="L33" s="414">
        <f>EvCnt!$AG11</f>
        <v>0</v>
      </c>
      <c r="M33" s="414">
        <f ca="1">Flts!$AM9</f>
        <v>0</v>
      </c>
      <c r="N33" s="414">
        <f>EvCnt!$AG12</f>
        <v>0</v>
      </c>
      <c r="O33" s="414">
        <f>EvCnt!$AG13</f>
        <v>0</v>
      </c>
      <c r="P33" s="412">
        <f t="shared" si="1"/>
        <v>0</v>
      </c>
      <c r="Q33" s="412">
        <f t="shared" si="2"/>
        <v>0</v>
      </c>
      <c r="R33" s="241">
        <f>IFERROR(EvCnt!$AG17/10,0)</f>
        <v>0</v>
      </c>
      <c r="S33" s="242">
        <f>IFERROR(EvCnt!$AG18/10,0)</f>
        <v>0</v>
      </c>
      <c r="T33" s="242">
        <f>IFERROR(EvCnt!$AG19/10,0)</f>
        <v>0</v>
      </c>
      <c r="U33" s="241">
        <f>IFERROR(EvCnt!$AG20/10,0)</f>
        <v>0</v>
      </c>
      <c r="V33" s="242">
        <f>IFERROR(EvCnt!$AG21/10,0)</f>
        <v>0</v>
      </c>
      <c r="W33" s="152">
        <f>IFERROR(EvCnt!$AG22/10,0)</f>
        <v>0</v>
      </c>
      <c r="X33" s="243">
        <f>IFERROR(EvCnt!$AG23/10,0)</f>
        <v>0</v>
      </c>
      <c r="Y33" s="152">
        <f>IFERROR(EvCnt!$AG24/10,0)</f>
        <v>0</v>
      </c>
      <c r="Z33" s="152">
        <f>IFERROR(EvCnt!$AG25/10,0)</f>
        <v>0</v>
      </c>
      <c r="AA33" s="243">
        <f>IFERROR(EvCnt!$AG26/10,0)</f>
        <v>0</v>
      </c>
      <c r="AB33" s="152">
        <f>IFERROR(EvCnt!$AG27/10,0)</f>
        <v>0</v>
      </c>
      <c r="AC33" s="152">
        <f>IFERROR(EvCnt!$AG28/10,0)</f>
        <v>0</v>
      </c>
    </row>
    <row r="34" spans="1:30" s="13" customFormat="1" ht="22.35" customHeight="1" x14ac:dyDescent="0.3">
      <c r="B34" s="801" t="str">
        <f>AlCo29</f>
        <v/>
      </c>
      <c r="C34" s="616" t="str">
        <f>AlNo29&amp;CHAR(32)&amp;AlAp29</f>
        <v xml:space="preserve"> </v>
      </c>
      <c r="D34" s="111">
        <f>AlEs29</f>
        <v>0</v>
      </c>
      <c r="E34" s="414">
        <f>EvCnt!$AH6</f>
        <v>0</v>
      </c>
      <c r="F34" s="414">
        <f>EvCnt!$AH7</f>
        <v>0</v>
      </c>
      <c r="G34" s="414">
        <f ca="1">Flts!$AN7</f>
        <v>0</v>
      </c>
      <c r="H34" s="414" t="str">
        <f>EvCnt!$AH8</f>
        <v>SD</v>
      </c>
      <c r="I34" s="414">
        <f>EvCnt!$AH9</f>
        <v>0</v>
      </c>
      <c r="J34" s="414">
        <f ca="1">Flts!$AN8</f>
        <v>0</v>
      </c>
      <c r="K34" s="414">
        <f>EvCnt!$AH10</f>
        <v>0</v>
      </c>
      <c r="L34" s="414">
        <f>EvCnt!$AH11</f>
        <v>0</v>
      </c>
      <c r="M34" s="414">
        <f ca="1">Flts!$AN9</f>
        <v>0</v>
      </c>
      <c r="N34" s="414">
        <f>EvCnt!$AH12</f>
        <v>0</v>
      </c>
      <c r="O34" s="414">
        <f>EvCnt!$AH13</f>
        <v>0</v>
      </c>
      <c r="P34" s="412">
        <f t="shared" si="1"/>
        <v>0</v>
      </c>
      <c r="Q34" s="412">
        <f t="shared" si="2"/>
        <v>0</v>
      </c>
      <c r="R34" s="241">
        <f>IFERROR(EvCnt!$AH17/10,0)</f>
        <v>0</v>
      </c>
      <c r="S34" s="242">
        <f>IFERROR(EvCnt!$AH18/10,0)</f>
        <v>0</v>
      </c>
      <c r="T34" s="242">
        <f>IFERROR(EvCnt!$AH19/10,0)</f>
        <v>0</v>
      </c>
      <c r="U34" s="241">
        <f>IFERROR(EvCnt!$AH20/10,0)</f>
        <v>0</v>
      </c>
      <c r="V34" s="242">
        <f>IFERROR(EvCnt!$AH21/10,0)</f>
        <v>0</v>
      </c>
      <c r="W34" s="152">
        <f>IFERROR(EvCnt!$AH22/10,0)</f>
        <v>0</v>
      </c>
      <c r="X34" s="243">
        <f>IFERROR(EvCnt!$AH23/10,0)</f>
        <v>0</v>
      </c>
      <c r="Y34" s="152">
        <f>IFERROR(EvCnt!$AH24/10,0)</f>
        <v>0</v>
      </c>
      <c r="Z34" s="152">
        <f>IFERROR(EvCnt!$AH25/10,0)</f>
        <v>0</v>
      </c>
      <c r="AA34" s="243">
        <f>IFERROR(EvCnt!$AH26/10,0)</f>
        <v>0</v>
      </c>
      <c r="AB34" s="152">
        <f>IFERROR(EvCnt!$AH27/10,0)</f>
        <v>0</v>
      </c>
      <c r="AC34" s="152">
        <f>IFERROR(EvCnt!$AH28/10,0)</f>
        <v>0</v>
      </c>
    </row>
    <row r="35" spans="1:30" s="13" customFormat="1" ht="22.35" customHeight="1" x14ac:dyDescent="0.3">
      <c r="B35" s="802" t="str">
        <f>AlCo30</f>
        <v/>
      </c>
      <c r="C35" s="900" t="str">
        <f>AlNo30&amp;CHAR(32)&amp;AlAp30</f>
        <v xml:space="preserve"> </v>
      </c>
      <c r="D35" s="112">
        <f>AlEs30</f>
        <v>0</v>
      </c>
      <c r="E35" s="415">
        <f>EvCnt!$AI6</f>
        <v>0</v>
      </c>
      <c r="F35" s="415">
        <f>EvCnt!$AI7</f>
        <v>0</v>
      </c>
      <c r="G35" s="415">
        <f ca="1">Flts!$AO7</f>
        <v>0</v>
      </c>
      <c r="H35" s="415" t="str">
        <f>EvCnt!$AI8</f>
        <v>SD</v>
      </c>
      <c r="I35" s="415">
        <f>EvCnt!$AI9</f>
        <v>0</v>
      </c>
      <c r="J35" s="415">
        <f ca="1">Flts!$AO8</f>
        <v>0</v>
      </c>
      <c r="K35" s="415">
        <f>EvCnt!$AI10</f>
        <v>0</v>
      </c>
      <c r="L35" s="415">
        <f>EvCnt!$AI11</f>
        <v>0</v>
      </c>
      <c r="M35" s="415">
        <f ca="1">Flts!$AO9</f>
        <v>0</v>
      </c>
      <c r="N35" s="415">
        <f>EvCnt!$AI12</f>
        <v>0</v>
      </c>
      <c r="O35" s="415">
        <f>EvCnt!$AI13</f>
        <v>0</v>
      </c>
      <c r="P35" s="413">
        <f t="shared" si="1"/>
        <v>0</v>
      </c>
      <c r="Q35" s="464">
        <f t="shared" si="2"/>
        <v>0</v>
      </c>
      <c r="R35" s="244">
        <f>IFERROR(EvCnt!$AI17/10,0)</f>
        <v>0</v>
      </c>
      <c r="S35" s="245">
        <f>IFERROR(EvCnt!$AI18/10,0)</f>
        <v>0</v>
      </c>
      <c r="T35" s="245">
        <f>IFERROR(EvCnt!$AI19/10,0)</f>
        <v>0</v>
      </c>
      <c r="U35" s="244">
        <f>IFERROR(EvCnt!$AI20/10,0)</f>
        <v>0</v>
      </c>
      <c r="V35" s="245">
        <f>IFERROR(EvCnt!$AI21/10,0)</f>
        <v>0</v>
      </c>
      <c r="W35" s="153">
        <f>IFERROR(EvCnt!$AI22/10,0)</f>
        <v>0</v>
      </c>
      <c r="X35" s="154">
        <f>IFERROR(EvCnt!$AI23/10,0)</f>
        <v>0</v>
      </c>
      <c r="Y35" s="153">
        <f>IFERROR(EvCnt!$AI24/10,0)</f>
        <v>0</v>
      </c>
      <c r="Z35" s="153">
        <f>IFERROR(EvCnt!$AI25/10,0)</f>
        <v>0</v>
      </c>
      <c r="AA35" s="154">
        <f>IFERROR(EvCnt!$AI26/10,0)</f>
        <v>0</v>
      </c>
      <c r="AB35" s="153">
        <f>IFERROR(EvCnt!$AI27/10,0)</f>
        <v>0</v>
      </c>
      <c r="AC35" s="153">
        <f>IFERROR(EvCnt!$AI28/10,0)</f>
        <v>0</v>
      </c>
    </row>
    <row r="36" spans="1:30" ht="18.75" customHeight="1" thickBot="1" x14ac:dyDescent="0.5">
      <c r="A36" s="457"/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  <c r="X36" s="457"/>
      <c r="Y36" s="457"/>
      <c r="Z36" s="457"/>
      <c r="AA36" s="457"/>
      <c r="AB36" s="457"/>
      <c r="AC36" s="461" t="str">
        <f>IModulo&amp;" ("&amp;IProfesor&amp;")"</f>
        <v>FPM-it-1-0237 Infra. comunes de teleco en viviendas y edificios (Rafa Sanz)</v>
      </c>
      <c r="AD36" s="457"/>
    </row>
  </sheetData>
  <autoFilter ref="C5:AC36" xr:uid="{00000000-0009-0000-0000-000002000000}"/>
  <customSheetViews>
    <customSheetView guid="{BEE73D72-37A1-4B7A-85D2-C39E053A4017}" scale="70" showPageBreaks="1" zeroValues="0" printArea="1" showAutoFilter="1">
      <pane ySplit="5" topLeftCell="A6" activePane="bottomLeft" state="frozen"/>
      <selection pane="bottomLeft" activeCell="AB36" sqref="A1:AB36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1"/>
      <autoFilter ref="B5:AB36" xr:uid="{CE1F7CA0-63CD-4D4E-A73B-B233A16CD078}"/>
    </customSheetView>
    <customSheetView guid="{81A05B8F-D3E4-4CEB-B8F2-C34A1F15FDB9}" scale="70" zeroValues="0" showAutoFilter="1">
      <pane ySplit="5" topLeftCell="A6" activePane="bottomLeft" state="frozen"/>
      <selection pane="bottomLeft" activeCell="AB36" sqref="A1:AB36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2"/>
      <autoFilter ref="B5:AB5" xr:uid="{D5ED7B42-2C60-4E80-8AB6-959678D4E6F1}"/>
    </customSheetView>
    <customSheetView guid="{079ED3F8-D23E-413F-B7FA-1C4A43A9CEAB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3"/>
      <autoFilter ref="B5:AB36" xr:uid="{EAB03E7A-8FC0-44F0-A923-A21FF7007CC6}"/>
    </customSheetView>
    <customSheetView guid="{BBFF7A3C-7579-4BB0-AAA9-66CE11DC0C92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4"/>
      <autoFilter ref="B5:AB36" xr:uid="{B12547ED-CCF7-4B3B-A7F7-65AFA3DDDB2D}"/>
    </customSheetView>
    <customSheetView guid="{386B8780-5573-460C-A780-6C59BEFB4DBF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5"/>
      <autoFilter ref="B5:AB36" xr:uid="{59F980EF-15DA-473C-9B5C-BE2A87EDAA97}"/>
    </customSheetView>
    <customSheetView guid="{748451F5-A0F3-420F-846E-9497A6A574EF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6"/>
      <autoFilter ref="B5:AB36" xr:uid="{9291378A-4454-4F73-878B-4A882B7DB2F6}"/>
    </customSheetView>
  </customSheetViews>
  <mergeCells count="1">
    <mergeCell ref="AA1:AC1"/>
  </mergeCells>
  <phoneticPr fontId="6" type="noConversion"/>
  <conditionalFormatting sqref="B6:B35">
    <cfRule type="expression" dxfId="25" priority="2">
      <formula>AND($D6&lt;&gt;"Alta",$D6&lt;&gt;"T")</formula>
    </cfRule>
  </conditionalFormatting>
  <conditionalFormatting sqref="C6:C35">
    <cfRule type="expression" dxfId="24" priority="1">
      <formula>AK$5&lt;&gt;"Alta"</formula>
    </cfRule>
  </conditionalFormatting>
  <conditionalFormatting sqref="C6:AC35">
    <cfRule type="expression" dxfId="23" priority="5">
      <formula>AND($D6&lt;&gt;"Alta")</formula>
    </cfRule>
  </conditionalFormatting>
  <conditionalFormatting sqref="R6:AC35">
    <cfRule type="colorScale" priority="7">
      <colorScale>
        <cfvo type="min"/>
        <cfvo type="percentile" val="50"/>
        <cfvo type="percent" val="100"/>
        <color theme="0"/>
        <color rgb="FFFFEB84"/>
        <color rgb="FF63BE7B"/>
      </colorScale>
    </cfRule>
  </conditionalFormatting>
  <printOptions horizontalCentered="1"/>
  <pageMargins left="0.39370078740157483" right="0.39370078740157483" top="0.59055118110236227" bottom="0.39370078740157483" header="0" footer="0"/>
  <pageSetup paperSize="9" scale="64" fitToWidth="2" orientation="landscape" r:id="rId7"/>
  <colBreaks count="1" manualBreakCount="1">
    <brk id="15" max="3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3">
    <tabColor theme="0"/>
    <pageSetUpPr autoPageBreaks="0"/>
  </sheetPr>
  <dimension ref="A1:AH42"/>
  <sheetViews>
    <sheetView showGridLines="0" showZeros="0" view="pageBreakPreview" topLeftCell="A5" zoomScale="70" zoomScaleNormal="70" zoomScaleSheetLayoutView="70" workbookViewId="0">
      <selection activeCell="A2" sqref="A2:XFD2"/>
    </sheetView>
  </sheetViews>
  <sheetFormatPr baseColWidth="10" defaultColWidth="11.5546875" defaultRowHeight="13.8" x14ac:dyDescent="0.25"/>
  <cols>
    <col min="1" max="1" width="3.77734375" style="1" customWidth="1"/>
    <col min="2" max="2" width="8.5546875" style="1" customWidth="1"/>
    <col min="3" max="3" width="51.5546875" style="1" customWidth="1"/>
    <col min="4" max="6" width="11.44140625" style="1" customWidth="1"/>
    <col min="7" max="7" width="3.21875" style="1" customWidth="1"/>
    <col min="8" max="8" width="11.21875" style="1" customWidth="1"/>
    <col min="9" max="10" width="11.21875" style="19" customWidth="1"/>
    <col min="11" max="11" width="8.44140625" style="19" customWidth="1"/>
    <col min="12" max="12" width="8.44140625" style="1" customWidth="1"/>
    <col min="13" max="15" width="11.21875" style="1" customWidth="1"/>
    <col min="16" max="16" width="3.77734375" style="1" customWidth="1"/>
    <col min="17" max="16384" width="11.5546875" style="1"/>
  </cols>
  <sheetData>
    <row r="1" spans="1:34" ht="24" customHeight="1" thickBot="1" x14ac:dyDescent="0.5">
      <c r="A1" s="477" t="s">
        <v>326</v>
      </c>
      <c r="B1" s="478"/>
      <c r="C1" s="476"/>
      <c r="D1" s="476"/>
      <c r="E1" s="476"/>
      <c r="F1" s="476"/>
      <c r="G1" s="476"/>
      <c r="H1" s="476"/>
      <c r="I1" s="786"/>
      <c r="J1" s="786"/>
      <c r="K1" s="786"/>
      <c r="L1" s="476"/>
      <c r="M1" s="476"/>
      <c r="N1" s="476"/>
      <c r="O1" s="479">
        <f ca="1">FechaHoy</f>
        <v>46099</v>
      </c>
      <c r="P1" s="474"/>
    </row>
    <row r="2" spans="1:34" s="1088" customFormat="1" ht="24.45" customHeight="1" thickBot="1" x14ac:dyDescent="0.35">
      <c r="A2" s="1087"/>
      <c r="B2" s="225" t="str">
        <f>IModulo&amp;" ("&amp;IProfesor&amp;")"</f>
        <v>FPM-it-1-0237 Infra. comunes de teleco en viviendas y edificios (Rafa Sanz)</v>
      </c>
      <c r="I2" s="1089"/>
      <c r="J2" s="1089"/>
      <c r="K2" s="1089"/>
    </row>
    <row r="3" spans="1:34" s="7" customFormat="1" ht="16.2" thickBot="1" x14ac:dyDescent="0.35">
      <c r="B3" s="420"/>
      <c r="C3" s="808" t="s">
        <v>120</v>
      </c>
      <c r="E3" s="854" t="s">
        <v>324</v>
      </c>
      <c r="H3" s="852" t="s">
        <v>101</v>
      </c>
      <c r="I3" s="852"/>
      <c r="J3" s="852"/>
      <c r="K3" s="852"/>
      <c r="L3" s="852"/>
      <c r="M3" s="852" t="s">
        <v>53</v>
      </c>
      <c r="N3" s="852"/>
      <c r="O3" s="852"/>
    </row>
    <row r="4" spans="1:34" s="7" customFormat="1" ht="16.2" thickBot="1" x14ac:dyDescent="0.35">
      <c r="B4" s="809" t="str">
        <f>MID(C4,1,4)</f>
        <v>AN04</v>
      </c>
      <c r="C4" s="761" t="s">
        <v>325</v>
      </c>
      <c r="E4" s="853">
        <f>_xlfn.XLOOKUP($B$4,EvCnt!$F$4:$AI$4,EvCnt!$F12:$AI12)</f>
        <v>0</v>
      </c>
      <c r="H4" s="850" t="s">
        <v>188</v>
      </c>
      <c r="I4" s="266" t="s">
        <v>168</v>
      </c>
      <c r="J4" s="266" t="s">
        <v>169</v>
      </c>
      <c r="K4" s="266"/>
      <c r="L4" s="266"/>
      <c r="M4" s="266" t="s">
        <v>202</v>
      </c>
      <c r="N4" s="851" t="s">
        <v>323</v>
      </c>
      <c r="O4" s="266" t="s">
        <v>119</v>
      </c>
      <c r="R4" s="696"/>
      <c r="T4" s="696"/>
      <c r="U4" s="696"/>
      <c r="V4" s="696"/>
      <c r="W4" s="696"/>
      <c r="X4" s="696"/>
      <c r="Y4" s="696"/>
      <c r="Z4" s="696"/>
      <c r="AA4" s="696"/>
      <c r="AB4" s="696"/>
      <c r="AC4" s="696"/>
      <c r="AD4" s="696"/>
      <c r="AE4" s="696"/>
      <c r="AF4" s="696"/>
      <c r="AG4" s="696"/>
      <c r="AH4" s="696"/>
    </row>
    <row r="5" spans="1:34" s="7" customFormat="1" ht="15.6" x14ac:dyDescent="0.3">
      <c r="B5" s="809"/>
      <c r="C5" s="807"/>
      <c r="E5" s="76"/>
      <c r="F5" s="810"/>
      <c r="H5" s="394" t="str">
        <f>Txt1Tri</f>
        <v>1º Tri.</v>
      </c>
      <c r="I5" s="811">
        <f>EvCnt!E6</f>
        <v>0</v>
      </c>
      <c r="J5" s="298">
        <f>_xlfn.XLOOKUP($B$4,EvCnt!$F$4:$AI$4,EvCnt!$F6:$AI6)</f>
        <v>0</v>
      </c>
      <c r="M5" s="812">
        <f ca="1">I25*PEv</f>
        <v>7.8</v>
      </c>
      <c r="N5" s="849"/>
      <c r="O5" s="297">
        <f ca="1">_xlfn.XLOOKUP($B$4,Flts!L4:AO4,Flts!L7:AO7)</f>
        <v>0</v>
      </c>
      <c r="R5" s="696"/>
      <c r="T5" s="696"/>
      <c r="U5" s="696"/>
      <c r="V5" s="696"/>
      <c r="W5" s="696"/>
      <c r="X5" s="696"/>
      <c r="Y5" s="696"/>
      <c r="Z5" s="696"/>
      <c r="AA5" s="696"/>
      <c r="AB5" s="696"/>
      <c r="AC5" s="696"/>
      <c r="AD5" s="696"/>
      <c r="AE5" s="696"/>
      <c r="AF5" s="696"/>
      <c r="AG5" s="696"/>
      <c r="AH5" s="696"/>
    </row>
    <row r="6" spans="1:34" s="7" customFormat="1" ht="16.2" thickBot="1" x14ac:dyDescent="0.35">
      <c r="B6" s="813" t="s">
        <v>45</v>
      </c>
      <c r="C6" s="814" t="s">
        <v>25</v>
      </c>
      <c r="D6" s="829" t="s">
        <v>186</v>
      </c>
      <c r="E6" s="829" t="s">
        <v>187</v>
      </c>
      <c r="H6" s="393" t="str">
        <f>Txt2Tri</f>
        <v>2º Tri.</v>
      </c>
      <c r="I6" s="811">
        <f>EvCnt!E8</f>
        <v>0</v>
      </c>
      <c r="J6" s="298" t="str">
        <f>_xlfn.XLOOKUP($B$4,EvCnt!$F$4:$AI$4,EvCnt!$F8:$AI8)</f>
        <v>SD</v>
      </c>
      <c r="M6" s="812">
        <f ca="1">I32*PEv</f>
        <v>6</v>
      </c>
      <c r="N6" s="849"/>
      <c r="O6" s="297">
        <f ca="1">_xlfn.XLOOKUP($B$4,Flts!L4:AO4,Flts!L8:AO8)</f>
        <v>0</v>
      </c>
      <c r="V6" s="696"/>
      <c r="W6" s="696"/>
      <c r="X6" s="696"/>
      <c r="Y6" s="696"/>
      <c r="Z6" s="696"/>
      <c r="AA6" s="696"/>
      <c r="AB6" s="696"/>
      <c r="AC6" s="696"/>
      <c r="AD6" s="696"/>
      <c r="AE6" s="696"/>
      <c r="AF6" s="696"/>
      <c r="AG6" s="696"/>
      <c r="AH6" s="696"/>
    </row>
    <row r="7" spans="1:34" s="7" customFormat="1" ht="15.6" x14ac:dyDescent="0.3">
      <c r="B7" s="395" t="str">
        <f>CoRA01</f>
        <v>RA01</v>
      </c>
      <c r="C7" s="815" t="str">
        <f>ReAp01</f>
        <v>RA01 --</v>
      </c>
      <c r="D7" s="892">
        <f>EvCnt!E17</f>
        <v>0</v>
      </c>
      <c r="E7" s="889">
        <f>_xlfn.XLOOKUP($B$4,EvCnt!$F$4:$AI$4,EvCnt!F17:AI17)</f>
        <v>0</v>
      </c>
      <c r="G7" s="23"/>
      <c r="H7" s="733" t="str">
        <f>Txt3Tri</f>
        <v>3º Tri.</v>
      </c>
      <c r="I7" s="811">
        <f>EvCnt!E10</f>
        <v>0</v>
      </c>
      <c r="J7" s="298">
        <f>_xlfn.XLOOKUP($B$4,EvCnt!$F$4:$AI$4,EvCnt!$F10:$AI10)</f>
        <v>0</v>
      </c>
      <c r="M7" s="812">
        <f ca="1">I39*PEv</f>
        <v>6.8999999999999995</v>
      </c>
      <c r="N7" s="849"/>
      <c r="O7" s="297">
        <f ca="1">_xlfn.XLOOKUP($B$4,Flts!L4:AO4,Flts!L9:AO9)</f>
        <v>0</v>
      </c>
      <c r="U7" s="696"/>
      <c r="V7" s="696"/>
      <c r="W7" s="696"/>
      <c r="X7" s="696"/>
      <c r="Y7" s="696"/>
      <c r="Z7" s="696"/>
      <c r="AA7" s="696"/>
      <c r="AB7" s="696"/>
      <c r="AC7" s="696"/>
      <c r="AD7" s="696"/>
      <c r="AE7" s="696"/>
      <c r="AF7" s="696"/>
      <c r="AG7" s="696"/>
      <c r="AH7" s="696"/>
    </row>
    <row r="8" spans="1:34" s="7" customFormat="1" ht="15.6" x14ac:dyDescent="0.3">
      <c r="B8" s="237" t="str">
        <f>CoRA02</f>
        <v>RA02</v>
      </c>
      <c r="C8" s="815" t="str">
        <f>ReAp02</f>
        <v>RA02 --</v>
      </c>
      <c r="D8" s="893">
        <f>EvCnt!E18</f>
        <v>0</v>
      </c>
      <c r="E8" s="890">
        <f>_xlfn.XLOOKUP($B$4,EvCnt!$F$4:$AI$4,EvCnt!F18:AI18)</f>
        <v>0</v>
      </c>
      <c r="G8" s="107"/>
      <c r="I8" s="18"/>
      <c r="M8" s="76" t="s">
        <v>102</v>
      </c>
      <c r="N8" s="895">
        <f ca="1">SUM(O5:O7)</f>
        <v>0</v>
      </c>
      <c r="R8" s="696"/>
      <c r="U8" s="696"/>
      <c r="V8" s="696"/>
      <c r="W8" s="632"/>
      <c r="X8" s="382"/>
      <c r="Y8" s="382"/>
      <c r="Z8" s="696"/>
      <c r="AA8" s="696"/>
      <c r="AB8" s="696"/>
      <c r="AC8" s="382"/>
      <c r="AD8" s="382"/>
      <c r="AE8" s="382"/>
      <c r="AF8" s="382"/>
      <c r="AG8" s="696"/>
    </row>
    <row r="9" spans="1:34" s="7" customFormat="1" ht="15.6" x14ac:dyDescent="0.3">
      <c r="B9" s="238" t="str">
        <f>CoRA03</f>
        <v>RA03</v>
      </c>
      <c r="C9" s="817" t="str">
        <f>ReAp03</f>
        <v>RA03 --</v>
      </c>
      <c r="D9" s="894">
        <f>EvCnt!E19</f>
        <v>0</v>
      </c>
      <c r="E9" s="891">
        <f>_xlfn.XLOOKUP($B$4,EvCnt!$F$4:$AI$4,EvCnt!F19:AI19)</f>
        <v>0</v>
      </c>
      <c r="G9" s="107"/>
      <c r="R9" s="696"/>
      <c r="V9" s="382"/>
      <c r="W9" s="382"/>
      <c r="X9" s="382"/>
      <c r="Y9" s="382"/>
      <c r="Z9" s="696"/>
      <c r="AA9" s="696"/>
      <c r="AB9" s="696"/>
      <c r="AC9" s="382"/>
      <c r="AD9" s="382"/>
      <c r="AE9" s="382"/>
      <c r="AF9" s="382"/>
      <c r="AG9" s="696"/>
    </row>
    <row r="10" spans="1:34" s="7" customFormat="1" ht="15.6" x14ac:dyDescent="0.3">
      <c r="B10" s="237" t="str">
        <f>CoRA04</f>
        <v>RA04</v>
      </c>
      <c r="C10" s="815" t="str">
        <f>ReAp04</f>
        <v>RA04 --</v>
      </c>
      <c r="D10" s="893">
        <f>EvCnt!E20</f>
        <v>0</v>
      </c>
      <c r="E10" s="890">
        <f>_xlfn.XLOOKUP($B$4,EvCnt!$F$4:$AI$4,EvCnt!F20:AI20)</f>
        <v>0</v>
      </c>
      <c r="G10" s="107"/>
      <c r="H10" s="760" t="s">
        <v>321</v>
      </c>
      <c r="I10" s="760"/>
      <c r="J10" s="760"/>
      <c r="M10" s="760" t="s">
        <v>322</v>
      </c>
      <c r="N10" s="760"/>
      <c r="O10" s="760"/>
      <c r="Q10" s="382"/>
      <c r="R10" s="108"/>
      <c r="U10" s="382"/>
      <c r="V10" s="382"/>
      <c r="W10" s="382"/>
      <c r="X10" s="382"/>
      <c r="Y10" s="382"/>
      <c r="Z10" s="696"/>
      <c r="AA10" s="696"/>
      <c r="AB10" s="696"/>
      <c r="AC10" s="382"/>
      <c r="AD10" s="382"/>
      <c r="AE10" s="382"/>
      <c r="AF10" s="382"/>
      <c r="AG10" s="696"/>
    </row>
    <row r="11" spans="1:34" s="7" customFormat="1" ht="15.6" x14ac:dyDescent="0.3">
      <c r="B11" s="237" t="str">
        <f>CoRA05</f>
        <v>RA05</v>
      </c>
      <c r="C11" s="815" t="str">
        <f>ReAp05</f>
        <v>RA05 --</v>
      </c>
      <c r="D11" s="893">
        <f>EvCnt!E21</f>
        <v>0</v>
      </c>
      <c r="E11" s="890">
        <f>_xlfn.XLOOKUP($B$4,EvCnt!$F$4:$AI$4,EvCnt!F21:AI21)</f>
        <v>0</v>
      </c>
      <c r="U11" s="382"/>
      <c r="V11" s="382"/>
      <c r="W11" s="382"/>
      <c r="X11" s="382"/>
      <c r="Y11" s="382"/>
      <c r="Z11" s="696"/>
      <c r="AA11" s="696"/>
      <c r="AB11" s="696"/>
      <c r="AC11" s="382"/>
      <c r="AD11" s="382"/>
      <c r="AE11" s="382"/>
      <c r="AF11" s="382"/>
      <c r="AG11" s="696"/>
    </row>
    <row r="12" spans="1:34" s="7" customFormat="1" ht="15.6" x14ac:dyDescent="0.3">
      <c r="B12" s="238" t="str">
        <f>CoRA06</f>
        <v>RA06</v>
      </c>
      <c r="C12" s="817" t="str">
        <f>ReAp06</f>
        <v>RA06 --</v>
      </c>
      <c r="D12" s="894">
        <f>EvCnt!E22</f>
        <v>0</v>
      </c>
      <c r="E12" s="891">
        <f>_xlfn.XLOOKUP($B$4,EvCnt!$F$4:$AI$4,EvCnt!F22:AI22)</f>
        <v>0</v>
      </c>
      <c r="U12" s="382"/>
      <c r="V12" s="382"/>
      <c r="W12" s="382"/>
      <c r="X12" s="382"/>
      <c r="Y12" s="382"/>
      <c r="Z12" s="696"/>
      <c r="AA12" s="696"/>
      <c r="AB12" s="696"/>
      <c r="AC12" s="382"/>
      <c r="AD12" s="382"/>
      <c r="AE12" s="382"/>
      <c r="AF12" s="382"/>
      <c r="AG12" s="696"/>
    </row>
    <row r="13" spans="1:34" s="7" customFormat="1" ht="15.6" x14ac:dyDescent="0.3">
      <c r="B13" s="237" t="str">
        <f>CoRA07</f>
        <v/>
      </c>
      <c r="C13" s="815">
        <f>ReAp07</f>
        <v>0</v>
      </c>
      <c r="D13" s="893">
        <f>EvCnt!E23</f>
        <v>0</v>
      </c>
      <c r="E13" s="890">
        <f>_xlfn.XLOOKUP($B$4,EvCnt!$F$4:$AI$4,EvCnt!F23:AI23)</f>
        <v>0</v>
      </c>
      <c r="Q13" s="382"/>
      <c r="U13" s="382"/>
      <c r="V13" s="382"/>
      <c r="W13" s="382"/>
      <c r="X13" s="382"/>
      <c r="Y13" s="382"/>
      <c r="Z13" s="696"/>
      <c r="AA13" s="696"/>
      <c r="AB13" s="696"/>
      <c r="AC13" s="382"/>
      <c r="AD13" s="382"/>
      <c r="AE13" s="382"/>
      <c r="AF13" s="382"/>
      <c r="AG13" s="696"/>
    </row>
    <row r="14" spans="1:34" s="7" customFormat="1" ht="15.6" x14ac:dyDescent="0.3">
      <c r="B14" s="237" t="str">
        <f>CoRA08</f>
        <v/>
      </c>
      <c r="C14" s="815">
        <f>ReAp08</f>
        <v>0</v>
      </c>
      <c r="D14" s="893">
        <f>EvCnt!E24</f>
        <v>0</v>
      </c>
      <c r="E14" s="890">
        <f>_xlfn.XLOOKUP($B$4,EvCnt!$F$4:$AI$4,EvCnt!F24:AI24)</f>
        <v>0</v>
      </c>
      <c r="Q14" s="382"/>
      <c r="U14" s="382"/>
      <c r="V14" s="382"/>
      <c r="W14" s="382"/>
      <c r="X14" s="382"/>
      <c r="Y14" s="382"/>
      <c r="Z14" s="696"/>
      <c r="AA14" s="696"/>
      <c r="AB14" s="696"/>
      <c r="AC14" s="382"/>
      <c r="AD14" s="382"/>
      <c r="AE14" s="382"/>
      <c r="AF14" s="382"/>
      <c r="AG14" s="696"/>
    </row>
    <row r="15" spans="1:34" s="7" customFormat="1" ht="15.6" x14ac:dyDescent="0.3">
      <c r="B15" s="238" t="str">
        <f>CoRA09</f>
        <v/>
      </c>
      <c r="C15" s="817">
        <f>ReAp09</f>
        <v>0</v>
      </c>
      <c r="D15" s="894">
        <f>EvCnt!E25</f>
        <v>0</v>
      </c>
      <c r="E15" s="891">
        <f>_xlfn.XLOOKUP($B$4,EvCnt!$F$4:$AI$4,EvCnt!F25:AI25)</f>
        <v>0</v>
      </c>
      <c r="Q15" s="382"/>
      <c r="U15" s="382"/>
      <c r="V15" s="382"/>
      <c r="W15" s="382"/>
      <c r="X15" s="382"/>
      <c r="Y15" s="382"/>
      <c r="Z15" s="696"/>
      <c r="AA15" s="696"/>
      <c r="AB15" s="696"/>
      <c r="AC15" s="382"/>
      <c r="AD15" s="382"/>
      <c r="AE15" s="382"/>
      <c r="AF15" s="382"/>
      <c r="AG15" s="696"/>
    </row>
    <row r="16" spans="1:34" s="7" customFormat="1" ht="15.6" x14ac:dyDescent="0.3">
      <c r="B16" s="237" t="str">
        <f>CoRA10</f>
        <v/>
      </c>
      <c r="C16" s="815">
        <f>ReAp10</f>
        <v>0</v>
      </c>
      <c r="D16" s="893">
        <f>EvCnt!E26</f>
        <v>0</v>
      </c>
      <c r="E16" s="890">
        <f>_xlfn.XLOOKUP($B$4,EvCnt!$F$4:$AI$4,EvCnt!F26:AI26)</f>
        <v>0</v>
      </c>
      <c r="Q16" s="382"/>
      <c r="U16" s="382"/>
      <c r="V16" s="382"/>
      <c r="W16" s="382"/>
      <c r="X16" s="382"/>
      <c r="Y16" s="382"/>
      <c r="Z16" s="696"/>
      <c r="AA16" s="696"/>
      <c r="AB16" s="696"/>
      <c r="AC16" s="382"/>
      <c r="AD16" s="382"/>
      <c r="AE16" s="382"/>
      <c r="AF16" s="382"/>
      <c r="AG16" s="696"/>
    </row>
    <row r="17" spans="2:33" s="7" customFormat="1" ht="15.6" x14ac:dyDescent="0.3">
      <c r="B17" s="237" t="str">
        <f>CoRA11</f>
        <v/>
      </c>
      <c r="C17" s="815">
        <f>ReAp11</f>
        <v>0</v>
      </c>
      <c r="D17" s="893">
        <f>EvCnt!E27</f>
        <v>0</v>
      </c>
      <c r="E17" s="890">
        <f>_xlfn.XLOOKUP($B$4,EvCnt!$F$4:$AI$4,EvCnt!F27:AI27)</f>
        <v>0</v>
      </c>
      <c r="Q17" s="382"/>
      <c r="U17" s="382"/>
      <c r="V17" s="382"/>
      <c r="W17" s="382"/>
      <c r="X17" s="382"/>
      <c r="Y17" s="382"/>
      <c r="Z17" s="696"/>
      <c r="AA17" s="696"/>
      <c r="AB17" s="696"/>
      <c r="AC17" s="382"/>
      <c r="AD17" s="382"/>
      <c r="AE17" s="382"/>
      <c r="AF17" s="382"/>
      <c r="AG17" s="696"/>
    </row>
    <row r="18" spans="2:33" s="7" customFormat="1" ht="15.6" x14ac:dyDescent="0.3">
      <c r="B18" s="238" t="str">
        <f>CoRA12</f>
        <v/>
      </c>
      <c r="C18" s="817">
        <f>ReAp12</f>
        <v>0</v>
      </c>
      <c r="D18" s="894">
        <f>EvCnt!E28</f>
        <v>0</v>
      </c>
      <c r="E18" s="891">
        <f>_xlfn.XLOOKUP($B$4,EvCnt!$F$4:$AI$4,EvCnt!F28:AI28)</f>
        <v>0</v>
      </c>
      <c r="G18" s="23"/>
      <c r="Q18" s="382"/>
      <c r="U18" s="382"/>
      <c r="V18" s="382"/>
      <c r="W18" s="382"/>
      <c r="X18" s="382"/>
      <c r="Y18" s="382"/>
      <c r="Z18" s="696"/>
      <c r="AA18" s="696"/>
      <c r="AB18" s="696"/>
      <c r="AC18" s="382"/>
      <c r="AD18" s="382"/>
      <c r="AE18" s="382"/>
      <c r="AF18" s="382"/>
      <c r="AG18" s="696"/>
    </row>
    <row r="19" spans="2:33" s="7" customFormat="1" ht="15.6" x14ac:dyDescent="0.3">
      <c r="G19" s="108"/>
      <c r="Q19" s="382"/>
      <c r="U19" s="382"/>
      <c r="V19" s="382"/>
      <c r="W19" s="382"/>
      <c r="X19" s="382"/>
      <c r="Y19" s="382"/>
      <c r="Z19" s="696"/>
      <c r="AA19" s="696"/>
      <c r="AB19" s="696"/>
      <c r="AC19" s="382"/>
      <c r="AD19" s="382"/>
      <c r="AE19" s="382"/>
      <c r="AF19" s="382"/>
      <c r="AG19" s="696"/>
    </row>
    <row r="20" spans="2:33" s="7" customFormat="1" ht="16.2" thickBot="1" x14ac:dyDescent="0.35">
      <c r="B20" s="804" t="s">
        <v>44</v>
      </c>
      <c r="C20" s="253" t="s">
        <v>149</v>
      </c>
      <c r="D20" s="223" t="s">
        <v>279</v>
      </c>
      <c r="E20" s="223" t="s">
        <v>250</v>
      </c>
      <c r="F20" s="806" t="s">
        <v>313</v>
      </c>
      <c r="G20" s="108"/>
      <c r="H20" s="493" t="s">
        <v>209</v>
      </c>
      <c r="I20" s="493" t="s">
        <v>318</v>
      </c>
      <c r="J20" s="493" t="s">
        <v>307</v>
      </c>
      <c r="K20" s="493" t="s">
        <v>314</v>
      </c>
      <c r="L20" s="493" t="s">
        <v>319</v>
      </c>
      <c r="M20" s="493" t="s">
        <v>283</v>
      </c>
      <c r="N20" s="493" t="s">
        <v>284</v>
      </c>
      <c r="O20" s="493" t="s">
        <v>320</v>
      </c>
      <c r="Q20" s="382"/>
      <c r="U20" s="382"/>
      <c r="V20" s="382"/>
      <c r="W20" s="382"/>
      <c r="X20" s="382"/>
      <c r="Y20" s="382"/>
      <c r="Z20" s="696"/>
      <c r="AA20" s="696"/>
      <c r="AB20" s="696"/>
      <c r="AC20" s="382"/>
      <c r="AD20" s="382"/>
      <c r="AE20" s="382"/>
      <c r="AF20" s="382"/>
      <c r="AG20" s="696"/>
    </row>
    <row r="21" spans="2:33" s="7" customFormat="1" ht="15.6" x14ac:dyDescent="0.3">
      <c r="B21" s="580" t="str">
        <f>CoUD01</f>
        <v>UD01</v>
      </c>
      <c r="C21" s="590" t="str">
        <f>UnDi01</f>
        <v>ysbu</v>
      </c>
      <c r="D21" s="588">
        <f>_xlfn.XLOOKUP($B$4,EvCnt!$F$4:$AI$4,EvCnt!F38:AI38)</f>
        <v>0</v>
      </c>
      <c r="E21" s="588">
        <f>_xlfn.XLOOKUP($B$4,EvCnt!$F$4:$AI$4,EvCnt!F63:AI63)</f>
        <v>0</v>
      </c>
      <c r="F21" s="886">
        <f ca="1">MAX(Sgmt!Y9:AA9)</f>
        <v>1</v>
      </c>
      <c r="G21" s="108"/>
      <c r="H21" s="394" t="str">
        <f>Txt1Tri</f>
        <v>1º Tri.</v>
      </c>
      <c r="I21" s="572"/>
      <c r="J21" s="572"/>
      <c r="K21" s="572"/>
      <c r="L21" s="572"/>
      <c r="M21" s="572"/>
      <c r="N21" s="572"/>
      <c r="O21" s="572"/>
      <c r="Q21" s="382"/>
      <c r="R21" s="382"/>
      <c r="U21" s="382"/>
      <c r="V21" s="382"/>
      <c r="W21" s="382"/>
      <c r="X21" s="382"/>
      <c r="Y21" s="382"/>
      <c r="Z21" s="696"/>
      <c r="AA21" s="696"/>
      <c r="AB21" s="696"/>
      <c r="AC21" s="382"/>
      <c r="AD21" s="382"/>
      <c r="AE21" s="382"/>
      <c r="AF21" s="382"/>
      <c r="AG21" s="696"/>
    </row>
    <row r="22" spans="2:33" s="7" customFormat="1" ht="15.6" x14ac:dyDescent="0.3">
      <c r="B22" s="581" t="str">
        <f>CoUD02</f>
        <v>UD02</v>
      </c>
      <c r="C22" s="591" t="str">
        <f>UnDi02</f>
        <v xml:space="preserve">sdfdfasdfdsa </v>
      </c>
      <c r="D22" s="589">
        <f>_xlfn.XLOOKUP($B$4,EvCnt!$F$4:$AI$4,EvCnt!F39:AI39)</f>
        <v>0</v>
      </c>
      <c r="E22" s="589">
        <f>_xlfn.XLOOKUP($B$4,EvCnt!$F$4:$AI$4,EvCnt!F64:AI64)</f>
        <v>0</v>
      </c>
      <c r="F22" s="887">
        <f ca="1">MAX(Sgmt!Y10:AA10)</f>
        <v>1</v>
      </c>
      <c r="G22" s="108"/>
      <c r="H22" s="830" t="s">
        <v>43</v>
      </c>
      <c r="I22" s="833">
        <f>Pon1Tri</f>
        <v>0.25</v>
      </c>
      <c r="J22" s="838" t="str">
        <f>TxtPonContenidos</f>
        <v>Contenidos</v>
      </c>
      <c r="K22" s="574">
        <f>PonCEContenidos</f>
        <v>0.3</v>
      </c>
      <c r="L22" s="843">
        <f>Pon1Tri*PonCEContenidos</f>
        <v>7.4999999999999997E-2</v>
      </c>
      <c r="M22" s="818"/>
      <c r="N22" s="818"/>
      <c r="O22" s="819">
        <f>MAX(M22:N22)*L22</f>
        <v>0</v>
      </c>
      <c r="R22" s="382"/>
      <c r="U22" s="382"/>
      <c r="V22" s="382"/>
      <c r="W22" s="382"/>
      <c r="X22" s="382"/>
      <c r="Y22" s="382"/>
      <c r="Z22" s="696"/>
      <c r="AA22" s="696"/>
      <c r="AB22" s="696"/>
      <c r="AC22" s="382"/>
      <c r="AD22" s="382"/>
      <c r="AE22" s="382"/>
      <c r="AF22" s="382"/>
      <c r="AG22" s="696"/>
    </row>
    <row r="23" spans="2:33" s="7" customFormat="1" ht="14.55" customHeight="1" x14ac:dyDescent="0.3">
      <c r="B23" s="580" t="str">
        <f>CoUD03</f>
        <v/>
      </c>
      <c r="C23" s="590">
        <f>UnDi03</f>
        <v>0</v>
      </c>
      <c r="D23" s="588">
        <f>_xlfn.XLOOKUP($B$4,EvCnt!$F$4:$AI$4,EvCnt!F40:AI40)</f>
        <v>0</v>
      </c>
      <c r="E23" s="588">
        <f>_xlfn.XLOOKUP($B$4,EvCnt!$F$4:$AI$4,EvCnt!F65:AI65)</f>
        <v>0</v>
      </c>
      <c r="F23" s="888">
        <f ca="1">MAX(Sgmt!Y11:AA11)</f>
        <v>0.69565217391304346</v>
      </c>
      <c r="G23" s="108"/>
      <c r="H23" s="830" t="s">
        <v>252</v>
      </c>
      <c r="I23" s="834">
        <f>FechaInicio1Tri</f>
        <v>45915</v>
      </c>
      <c r="J23" s="838" t="str">
        <f>TxtPonEjercicios</f>
        <v>Ejercicios</v>
      </c>
      <c r="K23" s="574">
        <f>PonCEEjercicios</f>
        <v>0.3</v>
      </c>
      <c r="L23" s="843">
        <f>Pon1Tri*PonCEEjercicios</f>
        <v>7.4999999999999997E-2</v>
      </c>
      <c r="M23" s="818"/>
      <c r="N23" s="818"/>
      <c r="O23" s="819">
        <f>MAX(M23:N23)*L23</f>
        <v>0</v>
      </c>
      <c r="R23" s="382"/>
      <c r="U23" s="382"/>
      <c r="V23" s="382"/>
      <c r="W23" s="382"/>
      <c r="X23" s="382"/>
      <c r="Y23" s="382"/>
      <c r="Z23" s="696"/>
      <c r="AA23" s="696"/>
      <c r="AB23" s="696"/>
      <c r="AC23" s="382"/>
      <c r="AD23" s="382"/>
      <c r="AE23" s="382"/>
      <c r="AF23" s="382"/>
      <c r="AG23" s="696"/>
    </row>
    <row r="24" spans="2:33" s="7" customFormat="1" ht="14.55" customHeight="1" x14ac:dyDescent="0.3">
      <c r="B24" s="580" t="str">
        <f>CoUD04</f>
        <v/>
      </c>
      <c r="C24" s="590">
        <f>UnDi04</f>
        <v>0</v>
      </c>
      <c r="D24" s="588">
        <f>_xlfn.XLOOKUP($B$4,EvCnt!$F$4:$AI$4,EvCnt!F41:AI41)</f>
        <v>0</v>
      </c>
      <c r="E24" s="588">
        <f>_xlfn.XLOOKUP($B$4,EvCnt!$F$4:$AI$4,EvCnt!F66:AI66)</f>
        <v>0</v>
      </c>
      <c r="F24" s="888">
        <f ca="1">MAX(Sgmt!Y12:AA12)</f>
        <v>0.69565217391304346</v>
      </c>
      <c r="G24" s="108"/>
      <c r="H24" s="830" t="s">
        <v>282</v>
      </c>
      <c r="I24" s="834">
        <f>FechaFin1Tri</f>
        <v>45989</v>
      </c>
      <c r="J24" s="839" t="str">
        <f>TxtPonPracticas</f>
        <v>Prácticas</v>
      </c>
      <c r="K24" s="575">
        <f>PonCEPracticas</f>
        <v>0.4</v>
      </c>
      <c r="L24" s="844">
        <f>Pon1Tri*PonCEPracticas</f>
        <v>0.1</v>
      </c>
      <c r="M24" s="818"/>
      <c r="N24" s="818"/>
      <c r="O24" s="819">
        <f>MAX(M24:N24)*L24</f>
        <v>0</v>
      </c>
      <c r="R24" s="382"/>
      <c r="U24" s="382"/>
      <c r="V24" s="382"/>
      <c r="W24" s="382"/>
      <c r="X24" s="382"/>
      <c r="Y24" s="382"/>
      <c r="Z24" s="696"/>
      <c r="AA24" s="696"/>
      <c r="AB24" s="696"/>
      <c r="AC24" s="382"/>
      <c r="AD24" s="382"/>
      <c r="AE24" s="382"/>
      <c r="AF24" s="382"/>
      <c r="AG24" s="696"/>
    </row>
    <row r="25" spans="2:33" s="7" customFormat="1" ht="14.55" customHeight="1" x14ac:dyDescent="0.3">
      <c r="B25" s="581" t="str">
        <f>CoUD05</f>
        <v/>
      </c>
      <c r="C25" s="591">
        <f>UnDi05</f>
        <v>0</v>
      </c>
      <c r="D25" s="589">
        <f>_xlfn.XLOOKUP($B$4,EvCnt!$F$4:$AI$4,EvCnt!F42:AI42)</f>
        <v>0</v>
      </c>
      <c r="E25" s="589">
        <f>_xlfn.XLOOKUP($B$4,EvCnt!$F$4:$AI$4,EvCnt!F67:AI67)</f>
        <v>0</v>
      </c>
      <c r="F25" s="887">
        <f ca="1">MAX(Sgmt!Y13:AA13)</f>
        <v>0.69565217391304346</v>
      </c>
      <c r="G25" s="108"/>
      <c r="H25" s="830" t="s">
        <v>213</v>
      </c>
      <c r="I25" s="385">
        <f ca="1">H1Tri</f>
        <v>52</v>
      </c>
      <c r="J25" s="840" t="str">
        <f>TxtPonActitud</f>
        <v>Participación</v>
      </c>
      <c r="K25" s="820">
        <f>PonCEActitud</f>
        <v>0</v>
      </c>
      <c r="L25" s="845">
        <f>Pon1Tri*PonCEActitud</f>
        <v>0</v>
      </c>
      <c r="M25" s="818"/>
      <c r="N25" s="818"/>
      <c r="O25" s="819">
        <f>MAX(M25:N25)*L25</f>
        <v>0</v>
      </c>
      <c r="Q25" s="382"/>
      <c r="R25" s="382"/>
      <c r="U25" s="382"/>
      <c r="V25" s="382"/>
      <c r="W25" s="382"/>
      <c r="X25" s="382"/>
      <c r="Y25" s="382"/>
      <c r="Z25" s="696"/>
      <c r="AA25" s="696"/>
      <c r="AB25" s="696"/>
      <c r="AC25" s="382"/>
      <c r="AD25" s="382"/>
      <c r="AE25" s="382"/>
      <c r="AF25" s="382"/>
      <c r="AG25" s="696"/>
    </row>
    <row r="26" spans="2:33" s="7" customFormat="1" ht="14.55" customHeight="1" x14ac:dyDescent="0.3">
      <c r="B26" s="580" t="str">
        <f>CoUD06</f>
        <v/>
      </c>
      <c r="C26" s="590">
        <f>UnDi06</f>
        <v>0</v>
      </c>
      <c r="D26" s="588">
        <f>_xlfn.XLOOKUP($B$4,EvCnt!$F$4:$AI$4,EvCnt!F43:AI43)</f>
        <v>0</v>
      </c>
      <c r="E26" s="588">
        <f>_xlfn.XLOOKUP($B$4,EvCnt!$F$4:$AI$4,EvCnt!F68:AI68)</f>
        <v>0</v>
      </c>
      <c r="F26" s="888">
        <f ca="1">MAX(Sgmt!Y14:AA14)</f>
        <v>0.69565217391304346</v>
      </c>
      <c r="G26" s="108"/>
      <c r="I26" s="104"/>
      <c r="J26" s="51"/>
      <c r="L26" s="846"/>
      <c r="Q26" s="382"/>
    </row>
    <row r="27" spans="2:33" s="7" customFormat="1" ht="14.55" customHeight="1" x14ac:dyDescent="0.3">
      <c r="B27" s="580" t="str">
        <f>CoUD07</f>
        <v/>
      </c>
      <c r="C27" s="590">
        <f>UnDi07</f>
        <v>0</v>
      </c>
      <c r="D27" s="588">
        <f>_xlfn.XLOOKUP($B$4,EvCnt!$F$4:$AI$4,EvCnt!F44:AI44)</f>
        <v>0</v>
      </c>
      <c r="E27" s="588">
        <f>_xlfn.XLOOKUP($B$4,EvCnt!$F$4:$AI$4,EvCnt!F69:AI69)</f>
        <v>0</v>
      </c>
      <c r="F27" s="888">
        <f>MAX(Sgmt!Y15:AA15)</f>
        <v>0</v>
      </c>
      <c r="G27" s="108"/>
      <c r="Q27" s="382"/>
    </row>
    <row r="28" spans="2:33" s="7" customFormat="1" ht="14.55" customHeight="1" x14ac:dyDescent="0.3">
      <c r="B28" s="581" t="str">
        <f>CoUD08</f>
        <v/>
      </c>
      <c r="C28" s="591">
        <f>UnDi08</f>
        <v>0</v>
      </c>
      <c r="D28" s="589">
        <f>_xlfn.XLOOKUP($B$4,EvCnt!$F$4:$AI$4,EvCnt!F45:AI45)</f>
        <v>0</v>
      </c>
      <c r="E28" s="589">
        <f>_xlfn.XLOOKUP($B$4,EvCnt!$F$4:$AI$4,EvCnt!F70:AI70)</f>
        <v>0</v>
      </c>
      <c r="F28" s="887">
        <f>MAX(Sgmt!Y16:AA16)</f>
        <v>0</v>
      </c>
      <c r="G28" s="108"/>
      <c r="H28" s="393" t="str">
        <f>Txt2Tri</f>
        <v>2º Tri.</v>
      </c>
      <c r="I28" s="835"/>
      <c r="J28" s="841"/>
      <c r="K28" s="573"/>
      <c r="L28" s="847"/>
      <c r="M28" s="573"/>
      <c r="N28" s="573"/>
      <c r="O28" s="573"/>
      <c r="Q28" s="382"/>
      <c r="S28" s="696"/>
    </row>
    <row r="29" spans="2:33" s="7" customFormat="1" ht="14.55" customHeight="1" x14ac:dyDescent="0.3">
      <c r="B29" s="580" t="str">
        <f>CoUD09</f>
        <v/>
      </c>
      <c r="C29" s="590">
        <f>UnDi09</f>
        <v>0</v>
      </c>
      <c r="D29" s="588">
        <f>_xlfn.XLOOKUP($B$4,EvCnt!$F$4:$AI$4,EvCnt!F46:AI46)</f>
        <v>0</v>
      </c>
      <c r="E29" s="588">
        <f>_xlfn.XLOOKUP($B$4,EvCnt!$F$4:$AI$4,EvCnt!F71:AI71)</f>
        <v>0</v>
      </c>
      <c r="F29" s="888">
        <f>MAX(Sgmt!Y17:AA17)</f>
        <v>0</v>
      </c>
      <c r="G29" s="108"/>
      <c r="H29" s="831" t="str">
        <f>IF(NTri&gt;2,"2ª Ev.","FinalOrd.")</f>
        <v>2ª Ev.</v>
      </c>
      <c r="I29" s="833">
        <f>Pon2Tri</f>
        <v>0.35</v>
      </c>
      <c r="J29" s="838" t="str">
        <f>TxtPonContenidos</f>
        <v>Contenidos</v>
      </c>
      <c r="K29" s="574">
        <f>PonCEContenidos</f>
        <v>0.3</v>
      </c>
      <c r="L29" s="843">
        <f>Pon2Tri*PonCEContenidos</f>
        <v>0.105</v>
      </c>
      <c r="M29" s="818"/>
      <c r="N29" s="818"/>
      <c r="O29" s="819">
        <f>MAX(M29:N29)*L29</f>
        <v>0</v>
      </c>
    </row>
    <row r="30" spans="2:33" s="7" customFormat="1" ht="14.55" customHeight="1" x14ac:dyDescent="0.3">
      <c r="B30" s="580" t="str">
        <f>CoUD10</f>
        <v/>
      </c>
      <c r="C30" s="590">
        <f>UnDi10</f>
        <v>0</v>
      </c>
      <c r="D30" s="588">
        <f>_xlfn.XLOOKUP($B$4,EvCnt!$F$4:$AI$4,EvCnt!F47:AI47)</f>
        <v>0</v>
      </c>
      <c r="E30" s="588">
        <f>_xlfn.XLOOKUP($B$4,EvCnt!$F$4:$AI$4,EvCnt!F72:AI72)</f>
        <v>0</v>
      </c>
      <c r="F30" s="888">
        <f>MAX(Sgmt!Y18:AA18)</f>
        <v>0</v>
      </c>
      <c r="G30" s="108"/>
      <c r="H30" s="831" t="s">
        <v>252</v>
      </c>
      <c r="I30" s="834">
        <f>FechaInicio2Tri</f>
        <v>45992</v>
      </c>
      <c r="J30" s="838" t="str">
        <f>TxtPonEjercicios</f>
        <v>Ejercicios</v>
      </c>
      <c r="K30" s="574">
        <f>PonCEEjercicios</f>
        <v>0.3</v>
      </c>
      <c r="L30" s="843">
        <f>Pon2Tri*PonCEEjercicios</f>
        <v>0.105</v>
      </c>
      <c r="M30" s="818"/>
      <c r="N30" s="818"/>
      <c r="O30" s="819">
        <f>MAX(M30:N30)*L30</f>
        <v>0</v>
      </c>
    </row>
    <row r="31" spans="2:33" s="7" customFormat="1" ht="14.55" customHeight="1" x14ac:dyDescent="0.3">
      <c r="B31" s="581" t="str">
        <f>CoUD11</f>
        <v/>
      </c>
      <c r="C31" s="591">
        <f>UnDi11</f>
        <v>0</v>
      </c>
      <c r="D31" s="589">
        <f>_xlfn.XLOOKUP($B$4,EvCnt!$F$4:$AI$4,EvCnt!F48:AI48)</f>
        <v>0</v>
      </c>
      <c r="E31" s="589">
        <f>_xlfn.XLOOKUP($B$4,EvCnt!$F$4:$AI$4,EvCnt!F73:AI73)</f>
        <v>0</v>
      </c>
      <c r="F31" s="887">
        <f>MAX(Sgmt!Y19:AA19)</f>
        <v>0</v>
      </c>
      <c r="G31" s="108"/>
      <c r="H31" s="831" t="s">
        <v>282</v>
      </c>
      <c r="I31" s="834">
        <f>FechaFin2Tri</f>
        <v>46094</v>
      </c>
      <c r="J31" s="839" t="str">
        <f>TxtPonPracticas</f>
        <v>Prácticas</v>
      </c>
      <c r="K31" s="575">
        <f>PonCEPracticas</f>
        <v>0.4</v>
      </c>
      <c r="L31" s="844">
        <f>Pon2Tri*PonCEPracticas</f>
        <v>0.13999999999999999</v>
      </c>
      <c r="M31" s="818"/>
      <c r="N31" s="818"/>
      <c r="O31" s="819">
        <f>MAX(M31:N31)*L31</f>
        <v>0</v>
      </c>
    </row>
    <row r="32" spans="2:33" s="7" customFormat="1" ht="14.55" customHeight="1" x14ac:dyDescent="0.3">
      <c r="B32" s="580" t="str">
        <f>CoUD12</f>
        <v/>
      </c>
      <c r="C32" s="590">
        <f>UnDi12</f>
        <v>0</v>
      </c>
      <c r="D32" s="588">
        <f>_xlfn.XLOOKUP($B$4,EvCnt!$F$4:$AI$4,EvCnt!F49:AI49)</f>
        <v>0</v>
      </c>
      <c r="E32" s="588">
        <f>_xlfn.XLOOKUP($B$4,EvCnt!$F$4:$AI$4,EvCnt!F74:AI74)</f>
        <v>0</v>
      </c>
      <c r="F32" s="888">
        <f>MAX(Sgmt!Y20:AA20)</f>
        <v>0</v>
      </c>
      <c r="G32" s="108"/>
      <c r="H32" s="831" t="s">
        <v>213</v>
      </c>
      <c r="I32" s="385">
        <f ca="1">H2Tri</f>
        <v>40</v>
      </c>
      <c r="J32" s="840" t="str">
        <f>TxtPonActitud</f>
        <v>Participación</v>
      </c>
      <c r="K32" s="820">
        <f>PonCEActitud</f>
        <v>0</v>
      </c>
      <c r="L32" s="845">
        <f>Pon2Tri*PonCEActitud</f>
        <v>0</v>
      </c>
      <c r="M32" s="818"/>
      <c r="N32" s="818"/>
      <c r="O32" s="819">
        <f>MAX(M32:N32)*L32</f>
        <v>0</v>
      </c>
    </row>
    <row r="33" spans="1:18" s="7" customFormat="1" ht="14.55" customHeight="1" x14ac:dyDescent="0.3">
      <c r="B33" s="580" t="str">
        <f>CoUD13</f>
        <v/>
      </c>
      <c r="C33" s="590">
        <f>UnDi13</f>
        <v>0</v>
      </c>
      <c r="D33" s="588">
        <f>_xlfn.XLOOKUP($B$4,EvCnt!$F$4:$AI$4,EvCnt!F50:AI50)</f>
        <v>0</v>
      </c>
      <c r="E33" s="588">
        <f>_xlfn.XLOOKUP($B$4,EvCnt!$F$4:$AI$4,EvCnt!F75:AI75)</f>
        <v>0</v>
      </c>
      <c r="F33" s="888">
        <f>MAX(Sgmt!Y21:AA21)</f>
        <v>0</v>
      </c>
      <c r="G33" s="108"/>
      <c r="I33" s="104"/>
      <c r="J33" s="51"/>
      <c r="L33" s="846"/>
    </row>
    <row r="34" spans="1:18" s="7" customFormat="1" ht="14.55" customHeight="1" x14ac:dyDescent="0.3">
      <c r="B34" s="581" t="str">
        <f>CoUD14</f>
        <v/>
      </c>
      <c r="C34" s="591">
        <f>UnDi14</f>
        <v>0</v>
      </c>
      <c r="D34" s="589">
        <f>_xlfn.XLOOKUP($B$4,EvCnt!$F$4:$AI$4,EvCnt!F51:AI51)</f>
        <v>0</v>
      </c>
      <c r="E34" s="589">
        <f>_xlfn.XLOOKUP($B$4,EvCnt!$F$4:$AI$4,EvCnt!F76:AI76)</f>
        <v>0</v>
      </c>
      <c r="F34" s="887">
        <f>MAX(Sgmt!Y22:AA22)</f>
        <v>0</v>
      </c>
      <c r="G34" s="108"/>
    </row>
    <row r="35" spans="1:18" s="7" customFormat="1" ht="14.55" customHeight="1" x14ac:dyDescent="0.3">
      <c r="B35" s="580" t="str">
        <f>CoUD15</f>
        <v/>
      </c>
      <c r="C35" s="590">
        <f>UnDi15</f>
        <v>0</v>
      </c>
      <c r="D35" s="588">
        <f>_xlfn.XLOOKUP($B$4,EvCnt!$F$4:$AI$4,EvCnt!F52:AI52)</f>
        <v>0</v>
      </c>
      <c r="E35" s="588">
        <f>_xlfn.XLOOKUP($B$4,EvCnt!$F$4:$AI$4,EvCnt!F77:AI77)</f>
        <v>0</v>
      </c>
      <c r="F35" s="888">
        <f>MAX(Sgmt!Y23:AA23)</f>
        <v>0</v>
      </c>
      <c r="G35" s="108"/>
      <c r="H35" s="822" t="str">
        <f>IF(NTri=3,Txt3Tri,"")</f>
        <v>3º Tri.</v>
      </c>
      <c r="I35" s="836"/>
      <c r="J35" s="842"/>
      <c r="K35" s="823"/>
      <c r="L35" s="848"/>
      <c r="M35" s="823"/>
      <c r="N35" s="823"/>
      <c r="O35" s="823"/>
    </row>
    <row r="36" spans="1:18" s="7" customFormat="1" ht="14.55" customHeight="1" x14ac:dyDescent="0.3">
      <c r="B36" s="580" t="str">
        <f>CoUD16</f>
        <v/>
      </c>
      <c r="C36" s="590">
        <f>UnDi16</f>
        <v>0</v>
      </c>
      <c r="D36" s="588">
        <f>_xlfn.XLOOKUP($B$4,EvCnt!$F$4:$AI$4,EvCnt!F53:AI53)</f>
        <v>0</v>
      </c>
      <c r="E36" s="588">
        <f>_xlfn.XLOOKUP($B$4,EvCnt!$F$4:$AI$4,EvCnt!F78:AI78)</f>
        <v>0</v>
      </c>
      <c r="F36" s="888">
        <f>MAX(Sgmt!Y24:AA24)</f>
        <v>0</v>
      </c>
      <c r="G36" s="108"/>
      <c r="H36" s="832" t="str">
        <f>IF(NTri&gt;2,"FinalOrd.","")</f>
        <v>FinalOrd.</v>
      </c>
      <c r="I36" s="837">
        <f>IF(NTri=3,Pon3Tri,"")</f>
        <v>0.4</v>
      </c>
      <c r="J36" s="838" t="str">
        <f>TxtPonContenidos</f>
        <v>Contenidos</v>
      </c>
      <c r="K36" s="574">
        <f>PonCEContenidos</f>
        <v>0.3</v>
      </c>
      <c r="L36" s="843">
        <f>Pon3Tri*PonCEContenidos</f>
        <v>0.12</v>
      </c>
      <c r="M36" s="818"/>
      <c r="N36" s="818"/>
      <c r="O36" s="819">
        <f>MAX(M36:N36)*L36</f>
        <v>0</v>
      </c>
    </row>
    <row r="37" spans="1:18" s="7" customFormat="1" ht="14.55" customHeight="1" x14ac:dyDescent="0.3">
      <c r="B37" s="581" t="str">
        <f>CoUD17</f>
        <v/>
      </c>
      <c r="C37" s="591">
        <f>UnDi17</f>
        <v>0</v>
      </c>
      <c r="D37" s="589">
        <f>_xlfn.XLOOKUP($B$4,EvCnt!$F$4:$AI$4,EvCnt!F54:AI54)</f>
        <v>0</v>
      </c>
      <c r="E37" s="589">
        <f>_xlfn.XLOOKUP($B$4,EvCnt!$F$4:$AI$4,EvCnt!F79:AI79)</f>
        <v>0</v>
      </c>
      <c r="F37" s="887">
        <f>MAX(Sgmt!Y25:AA25)</f>
        <v>0</v>
      </c>
      <c r="G37" s="108"/>
      <c r="H37" s="832" t="s">
        <v>252</v>
      </c>
      <c r="I37" s="396">
        <f>IF(NTri=3,FechaInicio3Tri,"")</f>
        <v>46097</v>
      </c>
      <c r="J37" s="838" t="str">
        <f>TxtPonEjercicios</f>
        <v>Ejercicios</v>
      </c>
      <c r="K37" s="574">
        <f>PonCEEjercicios</f>
        <v>0.3</v>
      </c>
      <c r="L37" s="843">
        <f>Pon3Tri*PonCEEjercicios</f>
        <v>0.12</v>
      </c>
      <c r="M37" s="818"/>
      <c r="N37" s="818"/>
      <c r="O37" s="819">
        <f>MAX(M37:N37)*L37</f>
        <v>0</v>
      </c>
    </row>
    <row r="38" spans="1:18" s="7" customFormat="1" ht="14.55" customHeight="1" x14ac:dyDescent="0.3">
      <c r="B38" s="580" t="str">
        <f>CoUD18</f>
        <v/>
      </c>
      <c r="C38" s="590">
        <f>UnDi18</f>
        <v>0</v>
      </c>
      <c r="D38" s="588">
        <f>_xlfn.XLOOKUP($B$4,EvCnt!$F$4:$AI$4,EvCnt!F55:AI55)</f>
        <v>0</v>
      </c>
      <c r="E38" s="588">
        <f>_xlfn.XLOOKUP($B$4,EvCnt!$F$4:$AI$4,EvCnt!F80:AI80)</f>
        <v>0</v>
      </c>
      <c r="F38" s="888">
        <f>MAX(Sgmt!Y26:AA26)</f>
        <v>0</v>
      </c>
      <c r="G38" s="108"/>
      <c r="H38" s="832" t="s">
        <v>282</v>
      </c>
      <c r="I38" s="396">
        <f>IF(NTri=3,FechaFin3Tri,"")</f>
        <v>46171</v>
      </c>
      <c r="J38" s="839" t="str">
        <f>TxtPonPracticas</f>
        <v>Prácticas</v>
      </c>
      <c r="K38" s="575">
        <f>PonCEPracticas</f>
        <v>0.4</v>
      </c>
      <c r="L38" s="844">
        <f>Pon3Tri*PonCEPracticas</f>
        <v>0.16000000000000003</v>
      </c>
      <c r="M38" s="818"/>
      <c r="N38" s="818"/>
      <c r="O38" s="819">
        <f>MAX(M38:N38)*L38</f>
        <v>0</v>
      </c>
      <c r="P38" s="108"/>
    </row>
    <row r="39" spans="1:18" s="7" customFormat="1" ht="14.55" customHeight="1" x14ac:dyDescent="0.3">
      <c r="B39" s="580" t="str">
        <f>CoUD19</f>
        <v/>
      </c>
      <c r="C39" s="590">
        <f>UnDi19</f>
        <v>0</v>
      </c>
      <c r="D39" s="588">
        <f>_xlfn.XLOOKUP($B$4,EvCnt!$F$4:$AI$4,EvCnt!F56:AI56)</f>
        <v>0</v>
      </c>
      <c r="E39" s="588">
        <f>_xlfn.XLOOKUP($B$4,EvCnt!$F$4:$AI$4,EvCnt!F81:AI81)</f>
        <v>0</v>
      </c>
      <c r="F39" s="888">
        <f>MAX(Sgmt!Y27:AA27)</f>
        <v>0</v>
      </c>
      <c r="G39" s="108"/>
      <c r="H39" s="822" t="s">
        <v>213</v>
      </c>
      <c r="I39" s="383">
        <f ca="1">IF(NTri=3,H3Tri,"")</f>
        <v>46</v>
      </c>
      <c r="J39" s="821" t="str">
        <f>TxtPonActitud</f>
        <v>Participación</v>
      </c>
      <c r="K39" s="820">
        <f>PonCEActitud</f>
        <v>0</v>
      </c>
      <c r="L39" s="845">
        <f>Pon3Tri*PonCEActitud</f>
        <v>0</v>
      </c>
      <c r="M39" s="818"/>
      <c r="N39" s="818"/>
      <c r="O39" s="819">
        <f>MAX(M39:N39)*L39</f>
        <v>0</v>
      </c>
    </row>
    <row r="40" spans="1:18" s="7" customFormat="1" ht="14.55" customHeight="1" x14ac:dyDescent="0.3">
      <c r="B40" s="581" t="str">
        <f>CoUD20</f>
        <v/>
      </c>
      <c r="C40" s="591">
        <f>UnDi20</f>
        <v>0</v>
      </c>
      <c r="D40" s="589">
        <f>_xlfn.XLOOKUP($B$4,EvCnt!$F$4:$AI$4,EvCnt!F57:AI57)</f>
        <v>0</v>
      </c>
      <c r="E40" s="589">
        <f>_xlfn.XLOOKUP($B$4,EvCnt!$F$4:$AI$4,EvCnt!F82:AI82)</f>
        <v>0</v>
      </c>
      <c r="F40" s="887">
        <f>MAX(Sgmt!Y28:AA28)</f>
        <v>0</v>
      </c>
      <c r="G40" s="108"/>
      <c r="H40" s="108"/>
      <c r="I40" s="224"/>
      <c r="J40" s="14"/>
      <c r="K40" s="14"/>
      <c r="R40" s="696"/>
    </row>
    <row r="41" spans="1:18" s="7" customFormat="1" ht="14.55" customHeight="1" x14ac:dyDescent="0.3">
      <c r="B41" s="390" t="str">
        <f ca="1">CoUDCM</f>
        <v>NoOk</v>
      </c>
      <c r="C41" s="594" t="str">
        <f ca="1">UnDiCM</f>
        <v>NoOk ¡Atención!  Falta/n -80 hora/s</v>
      </c>
      <c r="D41" s="108"/>
      <c r="E41" s="108"/>
      <c r="F41" s="108"/>
      <c r="G41" s="108"/>
      <c r="H41" s="224"/>
      <c r="I41" s="224"/>
      <c r="J41" s="14"/>
      <c r="K41" s="14"/>
      <c r="M41" s="696"/>
      <c r="R41" s="696"/>
    </row>
    <row r="42" spans="1:18" s="7" customFormat="1" ht="16.2" thickBot="1" x14ac:dyDescent="0.35">
      <c r="A42" s="480"/>
      <c r="B42" s="480"/>
      <c r="C42" s="480"/>
      <c r="D42" s="480"/>
      <c r="E42" s="480"/>
      <c r="F42" s="480"/>
      <c r="G42" s="480"/>
      <c r="H42" s="480"/>
      <c r="I42" s="483"/>
      <c r="J42" s="483"/>
      <c r="K42" s="483"/>
      <c r="L42" s="480"/>
      <c r="M42" s="480"/>
      <c r="N42" s="480"/>
      <c r="O42" s="481" t="str">
        <f>IModulo&amp;" ("&amp;IProfesor&amp;")"</f>
        <v>FPM-it-1-0237 Infra. comunes de teleco en viviendas y edificios (Rafa Sanz)</v>
      </c>
      <c r="P42" s="480"/>
    </row>
  </sheetData>
  <customSheetViews>
    <customSheetView guid="{BEE73D72-37A1-4B7A-85D2-C39E053A4017}" scale="85" showPageBreaks="1" zeroValues="0" printArea="1">
      <pane ySplit="2" topLeftCell="A3" activePane="bottomLeft" state="frozen"/>
      <selection pane="bottomLeft" activeCell="C7" sqref="C7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1"/>
    </customSheetView>
    <customSheetView guid="{81A05B8F-D3E4-4CEB-B8F2-C34A1F15FDB9}" scale="85" zeroValues="0">
      <pane ySplit="1.5185185185185186" topLeftCell="A2" activePane="bottomLeft" state="frozen"/>
      <selection pane="bottomLeft" activeCell="C7" sqref="C7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2"/>
    </customSheetView>
    <customSheetView guid="{079ED3F8-D23E-413F-B7FA-1C4A43A9CEAB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3"/>
    </customSheetView>
    <customSheetView guid="{BBFF7A3C-7579-4BB0-AAA9-66CE11DC0C92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4"/>
    </customSheetView>
    <customSheetView guid="{386B8780-5573-460C-A780-6C59BEFB4DBF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5"/>
    </customSheetView>
    <customSheetView guid="{748451F5-A0F3-420F-846E-9497A6A574EF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6"/>
    </customSheetView>
  </customSheetViews>
  <printOptions horizontalCentered="1"/>
  <pageMargins left="0.39370078740157483" right="0.39370078740157483" top="0.59055118110236227" bottom="0.39370078740157483" header="0.39370078740157483" footer="0.39370078740157483"/>
  <pageSetup paperSize="9" scale="64" orientation="portrait" r:id="rId7"/>
  <colBreaks count="1" manualBreakCount="1">
    <brk id="6" max="43" man="1"/>
  </colBreaks>
  <ignoredErrors>
    <ignoredError sqref="H21:J26 H5:H7 H28:O39" unlockedFormula="1"/>
  </ignoredErrors>
  <drawing r:id="rId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Info!$O$3:$O$32</xm:f>
          </x14:formula1>
          <xm:sqref>C4:C5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54F6-9E97-48D4-A696-A502E8B5DEA5}">
  <sheetPr>
    <tabColor theme="0"/>
    <pageSetUpPr autoPageBreaks="0"/>
  </sheetPr>
  <dimension ref="A1:Z37"/>
  <sheetViews>
    <sheetView showGridLines="0" showZeros="0" view="pageBreakPreview" zoomScale="70" zoomScaleNormal="70" zoomScaleSheetLayoutView="70" workbookViewId="0">
      <pane ySplit="5" topLeftCell="A6" activePane="bottomLeft" state="frozen"/>
      <selection activeCell="D17" sqref="D17"/>
      <selection pane="bottomLeft" activeCell="A2" sqref="A2:XFD2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11.21875" style="109" customWidth="1"/>
    <col min="5" max="25" width="11.21875" style="17" customWidth="1"/>
    <col min="26" max="26" width="3.44140625" style="17" customWidth="1"/>
    <col min="27" max="16384" width="11.44140625" style="17"/>
  </cols>
  <sheetData>
    <row r="1" spans="1:26" ht="24" customHeight="1" thickBot="1" x14ac:dyDescent="0.5">
      <c r="A1" s="457" t="s">
        <v>378</v>
      </c>
      <c r="B1" s="457"/>
      <c r="C1" s="457"/>
      <c r="D1" s="909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909"/>
      <c r="Z1" s="457"/>
    </row>
    <row r="2" spans="1:26" s="1085" customFormat="1" ht="24.45" customHeight="1" x14ac:dyDescent="0.3">
      <c r="A2" s="1082"/>
      <c r="B2" s="225" t="str">
        <f>IModulo&amp;" ("&amp;IProfesor&amp;")"</f>
        <v>FPM-it-1-0237 Infra. comunes de teleco en viviendas y edificios (Rafa Sanz)</v>
      </c>
      <c r="C2" s="1083"/>
      <c r="D2" s="1084"/>
      <c r="J2" s="1086"/>
      <c r="L2" s="1086"/>
      <c r="M2" s="1086"/>
      <c r="N2" s="1086"/>
      <c r="O2" s="1086"/>
      <c r="P2" s="1086"/>
      <c r="W2" s="1086"/>
      <c r="X2" s="1086"/>
      <c r="Y2" s="1086"/>
      <c r="Z2" s="1082"/>
    </row>
    <row r="3" spans="1:26" ht="18" customHeight="1" x14ac:dyDescent="0.45">
      <c r="A3" s="448"/>
      <c r="B3" s="667"/>
      <c r="D3" s="1064" t="s">
        <v>188</v>
      </c>
      <c r="E3" s="964" t="s">
        <v>200</v>
      </c>
      <c r="F3" s="965" t="s">
        <v>181</v>
      </c>
      <c r="G3" s="966" t="s">
        <v>208</v>
      </c>
      <c r="J3" s="418"/>
      <c r="L3" s="418"/>
      <c r="M3" s="418"/>
      <c r="N3" s="418"/>
      <c r="O3" s="418"/>
      <c r="P3" s="418"/>
      <c r="W3" s="418"/>
      <c r="X3" s="418"/>
      <c r="Y3" s="418"/>
      <c r="Z3" s="448"/>
    </row>
    <row r="4" spans="1:26" ht="18.600000000000001" customHeight="1" x14ac:dyDescent="0.45">
      <c r="A4" s="448"/>
      <c r="D4" s="1064" t="s">
        <v>23</v>
      </c>
      <c r="E4" s="960">
        <f>FechaIniUD00</f>
        <v>45915</v>
      </c>
      <c r="F4" s="960">
        <f>FechaIniUD01</f>
        <v>45916</v>
      </c>
      <c r="G4" s="960">
        <f>FechaIniUD02</f>
        <v>45967</v>
      </c>
      <c r="H4" s="960">
        <f>FechaIniUD03</f>
        <v>46048</v>
      </c>
      <c r="I4" s="960">
        <f>FechaIniUD04</f>
        <v>46048</v>
      </c>
      <c r="J4" s="960">
        <f>FechaIniUD05</f>
        <v>46048</v>
      </c>
      <c r="K4" s="960">
        <f>FechaIniUD06</f>
        <v>46048</v>
      </c>
      <c r="L4" s="960" t="str">
        <f>FechaIniUD07</f>
        <v/>
      </c>
      <c r="M4" s="960" t="str">
        <f>FechaIniUD08</f>
        <v/>
      </c>
      <c r="N4" s="960" t="str">
        <f>FechaIniUD09</f>
        <v/>
      </c>
      <c r="O4" s="960" t="str">
        <f>FechaIniUD10</f>
        <v/>
      </c>
      <c r="P4" s="960" t="str">
        <f>FechaIniUD11</f>
        <v/>
      </c>
      <c r="Q4" s="960" t="str">
        <f>FechaIniUD12</f>
        <v/>
      </c>
      <c r="R4" s="960" t="str">
        <f>FechaIniUD13</f>
        <v/>
      </c>
      <c r="S4" s="960" t="str">
        <f>FechaIniUD14</f>
        <v/>
      </c>
      <c r="T4" s="960" t="str">
        <f>FechaIniUD15</f>
        <v/>
      </c>
      <c r="U4" s="960" t="str">
        <f>FechaIniUD16</f>
        <v/>
      </c>
      <c r="V4" s="960" t="str">
        <f>FechaIniUD17</f>
        <v/>
      </c>
      <c r="W4" s="960" t="str">
        <f>FechaIniUD18</f>
        <v/>
      </c>
      <c r="X4" s="960" t="str">
        <f>FechaIniUD19</f>
        <v/>
      </c>
      <c r="Y4" s="960" t="str">
        <f>FechaIniUD20</f>
        <v/>
      </c>
      <c r="Z4" s="448"/>
    </row>
    <row r="5" spans="1:26" s="13" customFormat="1" ht="25.8" thickBot="1" x14ac:dyDescent="0.5">
      <c r="B5" s="46" t="s">
        <v>312</v>
      </c>
      <c r="C5" s="306" t="s">
        <v>311</v>
      </c>
      <c r="D5" s="307" t="s">
        <v>40</v>
      </c>
      <c r="E5" s="961" t="str">
        <f>CoUD00</f>
        <v>UD00</v>
      </c>
      <c r="F5" s="961" t="str">
        <f>CoUD01</f>
        <v>UD01</v>
      </c>
      <c r="G5" s="961" t="str">
        <f>CoUD02</f>
        <v>UD02</v>
      </c>
      <c r="H5" s="961" t="str">
        <f>CoUD03</f>
        <v/>
      </c>
      <c r="I5" s="961" t="str">
        <f>CoUD04</f>
        <v/>
      </c>
      <c r="J5" s="961" t="str">
        <f>CoUD05</f>
        <v/>
      </c>
      <c r="K5" s="961" t="str">
        <f>CoUD06</f>
        <v/>
      </c>
      <c r="L5" s="961" t="str">
        <f>CoUD07</f>
        <v/>
      </c>
      <c r="M5" s="961" t="str">
        <f>CoUD08</f>
        <v/>
      </c>
      <c r="N5" s="961" t="str">
        <f>CoUD09</f>
        <v/>
      </c>
      <c r="O5" s="961" t="str">
        <f>CoUD10</f>
        <v/>
      </c>
      <c r="P5" s="961" t="str">
        <f>CoUD11</f>
        <v/>
      </c>
      <c r="Q5" s="961" t="str">
        <f>CoUD12</f>
        <v/>
      </c>
      <c r="R5" s="961" t="str">
        <f>CoUD13</f>
        <v/>
      </c>
      <c r="S5" s="961" t="str">
        <f>CoUD14</f>
        <v/>
      </c>
      <c r="T5" s="961" t="str">
        <f>CoUD15</f>
        <v/>
      </c>
      <c r="U5" s="961" t="str">
        <f>CoUD16</f>
        <v/>
      </c>
      <c r="V5" s="961" t="str">
        <f>CoUD17</f>
        <v/>
      </c>
      <c r="W5" s="961" t="str">
        <f>CoUD18</f>
        <v/>
      </c>
      <c r="X5" s="961" t="str">
        <f>CoUD19</f>
        <v/>
      </c>
      <c r="Y5" s="961" t="str">
        <f>CoUD20</f>
        <v/>
      </c>
      <c r="Z5" s="448"/>
    </row>
    <row r="6" spans="1:26" s="13" customFormat="1" ht="60" customHeight="1" x14ac:dyDescent="0.45">
      <c r="B6" s="926" t="str">
        <f>AlCo01</f>
        <v>AN01</v>
      </c>
      <c r="C6" s="927" t="str">
        <f>AlNo01&amp;CHAR(10)&amp;AlAp01</f>
        <v>nom1 --
ap1 --</v>
      </c>
      <c r="D6" s="943" t="str">
        <f>AlEs01</f>
        <v>Alta</v>
      </c>
      <c r="E6" s="951"/>
      <c r="F6" s="951"/>
      <c r="G6" s="951"/>
      <c r="H6" s="951"/>
      <c r="I6" s="951"/>
      <c r="J6" s="951"/>
      <c r="K6" s="951"/>
      <c r="L6" s="951"/>
      <c r="M6" s="951"/>
      <c r="N6" s="951"/>
      <c r="O6" s="951"/>
      <c r="P6" s="951"/>
      <c r="Q6" s="951"/>
      <c r="R6" s="951"/>
      <c r="S6" s="951"/>
      <c r="T6" s="951"/>
      <c r="U6" s="951"/>
      <c r="V6" s="951"/>
      <c r="W6" s="951"/>
      <c r="X6" s="951"/>
      <c r="Y6" s="951"/>
      <c r="Z6" s="448"/>
    </row>
    <row r="7" spans="1:26" s="13" customFormat="1" ht="60" customHeight="1" x14ac:dyDescent="0.3">
      <c r="B7" s="932" t="str">
        <f>AlCo02</f>
        <v>AN02</v>
      </c>
      <c r="C7" s="921" t="str">
        <f>AlNo02&amp;CHAR(10)&amp;AlAp02</f>
        <v>nom2 --
ap2 --</v>
      </c>
      <c r="D7" s="934" t="str">
        <f>AlEs02</f>
        <v>Alta</v>
      </c>
      <c r="E7" s="949"/>
      <c r="F7" s="949"/>
      <c r="G7" s="949"/>
      <c r="H7" s="949"/>
      <c r="I7" s="949"/>
      <c r="J7" s="949"/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49"/>
      <c r="X7" s="949"/>
      <c r="Y7" s="949"/>
    </row>
    <row r="8" spans="1:26" s="13" customFormat="1" ht="60" customHeight="1" x14ac:dyDescent="0.3">
      <c r="B8" s="932" t="str">
        <f>AlCo03</f>
        <v>AN03</v>
      </c>
      <c r="C8" s="921" t="str">
        <f>AlNo03&amp;CHAR(10)&amp;AlAp03</f>
        <v>nom3 --
ap3 --</v>
      </c>
      <c r="D8" s="934" t="str">
        <f>AlEs03</f>
        <v>Alta</v>
      </c>
      <c r="E8" s="949"/>
      <c r="F8" s="949"/>
      <c r="G8" s="949"/>
      <c r="H8" s="949"/>
      <c r="I8" s="949"/>
      <c r="J8" s="949"/>
      <c r="K8" s="949"/>
      <c r="L8" s="949"/>
      <c r="M8" s="949"/>
      <c r="N8" s="949"/>
      <c r="O8" s="949"/>
      <c r="P8" s="949"/>
      <c r="Q8" s="949"/>
      <c r="R8" s="949"/>
      <c r="S8" s="949"/>
      <c r="T8" s="949"/>
      <c r="U8" s="949"/>
      <c r="V8" s="949"/>
      <c r="W8" s="949"/>
      <c r="X8" s="949"/>
      <c r="Y8" s="949"/>
    </row>
    <row r="9" spans="1:26" s="13" customFormat="1" ht="60" customHeight="1" x14ac:dyDescent="0.3">
      <c r="B9" s="932" t="str">
        <f>AlCo04</f>
        <v>AN04</v>
      </c>
      <c r="C9" s="921" t="str">
        <f>AlNo04&amp;CHAR(10)&amp;AlAp04</f>
        <v>nom4 --
ap4 --</v>
      </c>
      <c r="D9" s="934" t="str">
        <f>AlEs04</f>
        <v>Alta</v>
      </c>
      <c r="E9" s="949"/>
      <c r="F9" s="949"/>
      <c r="G9" s="949"/>
      <c r="H9" s="949"/>
      <c r="I9" s="949"/>
      <c r="J9" s="949"/>
      <c r="K9" s="949"/>
      <c r="L9" s="949"/>
      <c r="M9" s="949"/>
      <c r="N9" s="949"/>
      <c r="O9" s="949"/>
      <c r="P9" s="949"/>
      <c r="Q9" s="949"/>
      <c r="R9" s="949"/>
      <c r="S9" s="949"/>
      <c r="T9" s="949"/>
      <c r="U9" s="949"/>
      <c r="V9" s="949"/>
      <c r="W9" s="949"/>
      <c r="X9" s="949"/>
      <c r="Y9" s="949"/>
    </row>
    <row r="10" spans="1:26" s="13" customFormat="1" ht="60" customHeight="1" x14ac:dyDescent="0.3">
      <c r="B10" s="952" t="str">
        <f>AlCo05</f>
        <v>AN05</v>
      </c>
      <c r="C10" s="953" t="str">
        <f>AlNo05&amp;CHAR(10)&amp;AlAp05</f>
        <v>nom5-----
ap5----</v>
      </c>
      <c r="D10" s="954" t="str">
        <f>AlEs05</f>
        <v>Alta</v>
      </c>
      <c r="E10" s="955"/>
      <c r="F10" s="955"/>
      <c r="G10" s="955"/>
      <c r="H10" s="955"/>
      <c r="I10" s="955"/>
      <c r="J10" s="955"/>
      <c r="K10" s="955"/>
      <c r="L10" s="955"/>
      <c r="M10" s="955"/>
      <c r="N10" s="955"/>
      <c r="O10" s="955"/>
      <c r="P10" s="955"/>
      <c r="Q10" s="955"/>
      <c r="R10" s="955"/>
      <c r="S10" s="955"/>
      <c r="T10" s="955"/>
      <c r="U10" s="955"/>
      <c r="V10" s="955"/>
      <c r="W10" s="955"/>
      <c r="X10" s="955"/>
      <c r="Y10" s="955"/>
    </row>
    <row r="11" spans="1:26" s="13" customFormat="1" ht="60" customHeight="1" x14ac:dyDescent="0.3">
      <c r="B11" s="942" t="str">
        <f>AlCo06</f>
        <v>AN06</v>
      </c>
      <c r="C11" s="927" t="str">
        <f>AlNo06&amp;CHAR(10)&amp;AlAp06</f>
        <v>nom6-----
ap6------</v>
      </c>
      <c r="D11" s="943" t="str">
        <f>AlEs06</f>
        <v>Alta</v>
      </c>
      <c r="E11" s="951"/>
      <c r="F11" s="951"/>
      <c r="G11" s="951"/>
      <c r="H11" s="951"/>
      <c r="I11" s="951"/>
      <c r="J11" s="951"/>
      <c r="K11" s="951"/>
      <c r="L11" s="951"/>
      <c r="M11" s="951"/>
      <c r="N11" s="951"/>
      <c r="O11" s="951"/>
      <c r="P11" s="951"/>
      <c r="Q11" s="951"/>
      <c r="R11" s="951"/>
      <c r="S11" s="951"/>
      <c r="T11" s="951"/>
      <c r="U11" s="951"/>
      <c r="V11" s="951"/>
      <c r="W11" s="951"/>
      <c r="X11" s="951"/>
      <c r="Y11" s="951"/>
    </row>
    <row r="12" spans="1:26" s="13" customFormat="1" ht="60" customHeight="1" x14ac:dyDescent="0.3">
      <c r="B12" s="941" t="str">
        <f>AlCo07</f>
        <v/>
      </c>
      <c r="C12" s="921" t="str">
        <f>AlNo07&amp;CHAR(10)&amp;AlAp07</f>
        <v xml:space="preserve">
</v>
      </c>
      <c r="D12" s="934">
        <f>AlEs07</f>
        <v>0</v>
      </c>
      <c r="E12" s="949"/>
      <c r="F12" s="949"/>
      <c r="G12" s="949"/>
      <c r="H12" s="949"/>
      <c r="I12" s="949"/>
      <c r="J12" s="949"/>
      <c r="K12" s="949"/>
      <c r="L12" s="949"/>
      <c r="M12" s="949"/>
      <c r="N12" s="949"/>
      <c r="O12" s="949"/>
      <c r="P12" s="949"/>
      <c r="Q12" s="949"/>
      <c r="R12" s="949"/>
      <c r="S12" s="949"/>
      <c r="T12" s="949"/>
      <c r="U12" s="949"/>
      <c r="V12" s="949"/>
      <c r="W12" s="949"/>
      <c r="X12" s="949"/>
      <c r="Y12" s="949"/>
    </row>
    <row r="13" spans="1:26" s="13" customFormat="1" ht="60" customHeight="1" x14ac:dyDescent="0.3">
      <c r="B13" s="941" t="str">
        <f>AlCo08</f>
        <v/>
      </c>
      <c r="C13" s="921" t="str">
        <f>AlNo08&amp;CHAR(10)&amp;AlAp08</f>
        <v xml:space="preserve">
</v>
      </c>
      <c r="D13" s="934">
        <f>AlEs08</f>
        <v>0</v>
      </c>
      <c r="E13" s="949"/>
      <c r="F13" s="949"/>
      <c r="G13" s="949"/>
      <c r="H13" s="949"/>
      <c r="I13" s="949"/>
      <c r="J13" s="949"/>
      <c r="K13" s="949"/>
      <c r="L13" s="949"/>
      <c r="M13" s="949"/>
      <c r="N13" s="949"/>
      <c r="O13" s="949"/>
      <c r="P13" s="949"/>
      <c r="Q13" s="949"/>
      <c r="R13" s="949"/>
      <c r="S13" s="949"/>
      <c r="T13" s="949"/>
      <c r="U13" s="949"/>
      <c r="V13" s="949"/>
      <c r="W13" s="949"/>
      <c r="X13" s="949"/>
      <c r="Y13" s="949"/>
    </row>
    <row r="14" spans="1:26" s="13" customFormat="1" ht="60" customHeight="1" x14ac:dyDescent="0.3">
      <c r="B14" s="941" t="str">
        <f>AlCo09</f>
        <v/>
      </c>
      <c r="C14" s="921" t="str">
        <f>AlNo09&amp;CHAR(10)&amp;AlAp09</f>
        <v xml:space="preserve">
</v>
      </c>
      <c r="D14" s="934">
        <f>AlEs09</f>
        <v>0</v>
      </c>
      <c r="E14" s="949"/>
      <c r="F14" s="949"/>
      <c r="G14" s="949"/>
      <c r="H14" s="949"/>
      <c r="I14" s="949"/>
      <c r="J14" s="949"/>
      <c r="K14" s="949"/>
      <c r="L14" s="949"/>
      <c r="M14" s="949"/>
      <c r="N14" s="949"/>
      <c r="O14" s="949"/>
      <c r="P14" s="949"/>
      <c r="Q14" s="949"/>
      <c r="R14" s="949"/>
      <c r="S14" s="949"/>
      <c r="T14" s="949"/>
      <c r="U14" s="949"/>
      <c r="V14" s="949"/>
      <c r="W14" s="949"/>
      <c r="X14" s="949"/>
      <c r="Y14" s="949"/>
    </row>
    <row r="15" spans="1:26" s="13" customFormat="1" ht="60" customHeight="1" x14ac:dyDescent="0.3">
      <c r="B15" s="956" t="str">
        <f>AlCo10</f>
        <v/>
      </c>
      <c r="C15" s="957" t="str">
        <f>AlNo10&amp;CHAR(10)&amp;AlAp10</f>
        <v xml:space="preserve">
</v>
      </c>
      <c r="D15" s="954">
        <f>AlEs10</f>
        <v>0</v>
      </c>
      <c r="E15" s="955"/>
      <c r="F15" s="955"/>
      <c r="G15" s="955"/>
      <c r="H15" s="955"/>
      <c r="I15" s="955"/>
      <c r="J15" s="955"/>
      <c r="K15" s="955"/>
      <c r="L15" s="955"/>
      <c r="M15" s="955"/>
      <c r="N15" s="955"/>
      <c r="O15" s="955"/>
      <c r="P15" s="955"/>
      <c r="Q15" s="955"/>
      <c r="R15" s="955"/>
      <c r="S15" s="955"/>
      <c r="T15" s="955"/>
      <c r="U15" s="955"/>
      <c r="V15" s="955"/>
      <c r="W15" s="955"/>
      <c r="X15" s="955"/>
      <c r="Y15" s="955"/>
    </row>
    <row r="16" spans="1:26" s="13" customFormat="1" ht="60" customHeight="1" x14ac:dyDescent="0.3">
      <c r="B16" s="942" t="str">
        <f>AlCo11</f>
        <v/>
      </c>
      <c r="C16" s="927" t="str">
        <f>AlNo11&amp;CHAR(10)&amp;AlAp11</f>
        <v xml:space="preserve">
</v>
      </c>
      <c r="D16" s="943">
        <f>AlEs11</f>
        <v>0</v>
      </c>
      <c r="E16" s="951"/>
      <c r="F16" s="951"/>
      <c r="G16" s="951"/>
      <c r="H16" s="951"/>
      <c r="I16" s="951"/>
      <c r="J16" s="951"/>
      <c r="K16" s="951"/>
      <c r="L16" s="951"/>
      <c r="M16" s="951"/>
      <c r="N16" s="951"/>
      <c r="O16" s="951"/>
      <c r="P16" s="951"/>
      <c r="Q16" s="951"/>
      <c r="R16" s="951"/>
      <c r="S16" s="951"/>
      <c r="T16" s="951"/>
      <c r="U16" s="951"/>
      <c r="V16" s="951"/>
      <c r="W16" s="951"/>
      <c r="X16" s="951"/>
      <c r="Y16" s="951"/>
    </row>
    <row r="17" spans="2:25" s="13" customFormat="1" ht="60" customHeight="1" x14ac:dyDescent="0.3">
      <c r="B17" s="941" t="str">
        <f>AlCo12</f>
        <v/>
      </c>
      <c r="C17" s="921" t="str">
        <f>AlNo12&amp;CHAR(10)&amp;AlAp12</f>
        <v xml:space="preserve">
</v>
      </c>
      <c r="D17" s="934">
        <f>AlEs12</f>
        <v>0</v>
      </c>
      <c r="E17" s="949"/>
      <c r="F17" s="949"/>
      <c r="G17" s="949"/>
      <c r="H17" s="949"/>
      <c r="I17" s="949"/>
      <c r="J17" s="949"/>
      <c r="K17" s="949"/>
      <c r="L17" s="949"/>
      <c r="M17" s="949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49"/>
      <c r="Y17" s="949"/>
    </row>
    <row r="18" spans="2:25" s="13" customFormat="1" ht="60" customHeight="1" x14ac:dyDescent="0.3">
      <c r="B18" s="941" t="str">
        <f>AlCo13</f>
        <v/>
      </c>
      <c r="C18" s="921" t="str">
        <f>AlNo13&amp;CHAR(10)&amp;AlAp13</f>
        <v xml:space="preserve">
</v>
      </c>
      <c r="D18" s="934">
        <f>AlEs13</f>
        <v>0</v>
      </c>
      <c r="E18" s="949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49"/>
      <c r="Q18" s="949"/>
      <c r="R18" s="949"/>
      <c r="S18" s="949"/>
      <c r="T18" s="949"/>
      <c r="U18" s="949"/>
      <c r="V18" s="949"/>
      <c r="W18" s="949"/>
      <c r="X18" s="949"/>
      <c r="Y18" s="949"/>
    </row>
    <row r="19" spans="2:25" s="13" customFormat="1" ht="60" customHeight="1" x14ac:dyDescent="0.3">
      <c r="B19" s="941" t="str">
        <f>AlCo14</f>
        <v/>
      </c>
      <c r="C19" s="921" t="str">
        <f>AlNo14&amp;CHAR(10)&amp;AlAp14</f>
        <v xml:space="preserve">
</v>
      </c>
      <c r="D19" s="934">
        <f>AlEs14</f>
        <v>0</v>
      </c>
      <c r="E19" s="949"/>
      <c r="F19" s="949"/>
      <c r="G19" s="949"/>
      <c r="H19" s="949"/>
      <c r="I19" s="949"/>
      <c r="J19" s="949"/>
      <c r="K19" s="949"/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49"/>
      <c r="X19" s="949"/>
      <c r="Y19" s="949"/>
    </row>
    <row r="20" spans="2:25" s="13" customFormat="1" ht="60" customHeight="1" x14ac:dyDescent="0.3">
      <c r="B20" s="956" t="str">
        <f>AlCo15</f>
        <v/>
      </c>
      <c r="C20" s="957" t="str">
        <f>AlNo15&amp;CHAR(10)&amp;AlAp15</f>
        <v xml:space="preserve">
</v>
      </c>
      <c r="D20" s="954">
        <f>AlEs15</f>
        <v>0</v>
      </c>
      <c r="E20" s="955"/>
      <c r="F20" s="955"/>
      <c r="G20" s="955"/>
      <c r="H20" s="955"/>
      <c r="I20" s="955"/>
      <c r="J20" s="955"/>
      <c r="K20" s="955"/>
      <c r="L20" s="955"/>
      <c r="M20" s="955"/>
      <c r="N20" s="955"/>
      <c r="O20" s="955"/>
      <c r="P20" s="955"/>
      <c r="Q20" s="955"/>
      <c r="R20" s="955"/>
      <c r="S20" s="955"/>
      <c r="T20" s="955"/>
      <c r="U20" s="955"/>
      <c r="V20" s="955"/>
      <c r="W20" s="955"/>
      <c r="X20" s="955"/>
      <c r="Y20" s="955"/>
    </row>
    <row r="21" spans="2:25" s="13" customFormat="1" ht="60" customHeight="1" x14ac:dyDescent="0.3">
      <c r="B21" s="942" t="str">
        <f>AlCo16</f>
        <v/>
      </c>
      <c r="C21" s="927" t="str">
        <f>AlNo16&amp;CHAR(10)&amp;AlAp16</f>
        <v xml:space="preserve">
</v>
      </c>
      <c r="D21" s="943">
        <f>AlEs16</f>
        <v>0</v>
      </c>
      <c r="E21" s="951"/>
      <c r="F21" s="951"/>
      <c r="G21" s="951"/>
      <c r="H21" s="951"/>
      <c r="I21" s="951"/>
      <c r="J21" s="951"/>
      <c r="K21" s="951"/>
      <c r="L21" s="951"/>
      <c r="M21" s="951"/>
      <c r="N21" s="951"/>
      <c r="O21" s="951"/>
      <c r="P21" s="951"/>
      <c r="Q21" s="951"/>
      <c r="R21" s="951"/>
      <c r="S21" s="951"/>
      <c r="T21" s="951"/>
      <c r="U21" s="951"/>
      <c r="V21" s="951"/>
      <c r="W21" s="951"/>
      <c r="X21" s="951"/>
      <c r="Y21" s="951"/>
    </row>
    <row r="22" spans="2:25" s="13" customFormat="1" ht="60" customHeight="1" x14ac:dyDescent="0.3">
      <c r="B22" s="941" t="str">
        <f>AlCo17</f>
        <v/>
      </c>
      <c r="C22" s="921" t="str">
        <f>AlNo17&amp;CHAR(10)&amp;AlAp17</f>
        <v xml:space="preserve">
</v>
      </c>
      <c r="D22" s="934">
        <f>AlEs17</f>
        <v>0</v>
      </c>
      <c r="E22" s="949"/>
      <c r="F22" s="949"/>
      <c r="G22" s="949"/>
      <c r="H22" s="949"/>
      <c r="I22" s="949"/>
      <c r="J22" s="949"/>
      <c r="K22" s="949"/>
      <c r="L22" s="949"/>
      <c r="M22" s="949"/>
      <c r="N22" s="949"/>
      <c r="O22" s="949"/>
      <c r="P22" s="949"/>
      <c r="Q22" s="949"/>
      <c r="R22" s="949"/>
      <c r="S22" s="949"/>
      <c r="T22" s="949"/>
      <c r="U22" s="949"/>
      <c r="V22" s="949"/>
      <c r="W22" s="949"/>
      <c r="X22" s="949"/>
      <c r="Y22" s="949"/>
    </row>
    <row r="23" spans="2:25" s="13" customFormat="1" ht="60" customHeight="1" x14ac:dyDescent="0.3">
      <c r="B23" s="941" t="str">
        <f>AlCo18</f>
        <v/>
      </c>
      <c r="C23" s="921" t="str">
        <f>AlNo18&amp;CHAR(10)&amp;AlAp18</f>
        <v xml:space="preserve">
</v>
      </c>
      <c r="D23" s="934">
        <f>AlEs18</f>
        <v>0</v>
      </c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949"/>
      <c r="S23" s="949"/>
      <c r="T23" s="949"/>
      <c r="U23" s="949"/>
      <c r="V23" s="949"/>
      <c r="W23" s="949"/>
      <c r="X23" s="949"/>
      <c r="Y23" s="949"/>
    </row>
    <row r="24" spans="2:25" s="13" customFormat="1" ht="60" customHeight="1" x14ac:dyDescent="0.3">
      <c r="B24" s="941" t="str">
        <f>AlCo19</f>
        <v/>
      </c>
      <c r="C24" s="921" t="str">
        <f>AlNo19&amp;CHAR(10)&amp;AlAp19</f>
        <v xml:space="preserve">
</v>
      </c>
      <c r="D24" s="934">
        <f>AlEs19</f>
        <v>0</v>
      </c>
      <c r="E24" s="949"/>
      <c r="F24" s="949"/>
      <c r="G24" s="949"/>
      <c r="H24" s="949"/>
      <c r="I24" s="949"/>
      <c r="J24" s="949"/>
      <c r="K24" s="949"/>
      <c r="L24" s="949"/>
      <c r="M24" s="949"/>
      <c r="N24" s="949"/>
      <c r="O24" s="949"/>
      <c r="P24" s="949"/>
      <c r="Q24" s="949"/>
      <c r="R24" s="949"/>
      <c r="S24" s="949"/>
      <c r="T24" s="949"/>
      <c r="U24" s="949"/>
      <c r="V24" s="949"/>
      <c r="W24" s="949"/>
      <c r="X24" s="949"/>
      <c r="Y24" s="949"/>
    </row>
    <row r="25" spans="2:25" s="13" customFormat="1" ht="60" customHeight="1" x14ac:dyDescent="0.3">
      <c r="B25" s="956" t="str">
        <f>AlCo20</f>
        <v/>
      </c>
      <c r="C25" s="957" t="str">
        <f>AlNo20&amp;CHAR(10)&amp;AlAp20</f>
        <v xml:space="preserve">
</v>
      </c>
      <c r="D25" s="954">
        <f>AlEs20</f>
        <v>0</v>
      </c>
      <c r="E25" s="955"/>
      <c r="F25" s="955"/>
      <c r="G25" s="955"/>
      <c r="H25" s="955"/>
      <c r="I25" s="955"/>
      <c r="J25" s="959"/>
      <c r="K25" s="959"/>
      <c r="L25" s="955"/>
      <c r="M25" s="955"/>
      <c r="N25" s="955"/>
      <c r="O25" s="955"/>
      <c r="P25" s="955"/>
      <c r="Q25" s="955"/>
      <c r="R25" s="955"/>
      <c r="S25" s="955"/>
      <c r="T25" s="955"/>
      <c r="U25" s="955"/>
      <c r="V25" s="955"/>
      <c r="W25" s="955"/>
      <c r="X25" s="955"/>
      <c r="Y25" s="955"/>
    </row>
    <row r="26" spans="2:25" s="13" customFormat="1" ht="60" customHeight="1" x14ac:dyDescent="0.3">
      <c r="B26" s="942" t="str">
        <f>AlCo21</f>
        <v/>
      </c>
      <c r="C26" s="927" t="str">
        <f>AlNo21&amp;CHAR(10)&amp;AlAp21</f>
        <v xml:space="preserve">
</v>
      </c>
      <c r="D26" s="943">
        <f>AlEs21</f>
        <v>0</v>
      </c>
      <c r="E26" s="951"/>
      <c r="F26" s="951"/>
      <c r="G26" s="951"/>
      <c r="H26" s="951"/>
      <c r="I26" s="951"/>
      <c r="J26" s="958"/>
      <c r="K26" s="958"/>
      <c r="L26" s="951"/>
      <c r="M26" s="951"/>
      <c r="N26" s="951"/>
      <c r="O26" s="951"/>
      <c r="P26" s="951"/>
      <c r="Q26" s="951"/>
      <c r="R26" s="951"/>
      <c r="S26" s="951"/>
      <c r="T26" s="951"/>
      <c r="U26" s="951"/>
      <c r="V26" s="951"/>
      <c r="W26" s="951"/>
      <c r="X26" s="951"/>
      <c r="Y26" s="951"/>
    </row>
    <row r="27" spans="2:25" s="13" customFormat="1" ht="60" customHeight="1" x14ac:dyDescent="0.3">
      <c r="B27" s="941" t="str">
        <f>AlCo22</f>
        <v/>
      </c>
      <c r="C27" s="921" t="str">
        <f>AlNo22&amp;CHAR(10)&amp;AlAp22</f>
        <v xml:space="preserve">
</v>
      </c>
      <c r="D27" s="934">
        <f>AlEs22</f>
        <v>0</v>
      </c>
      <c r="E27" s="949"/>
      <c r="F27" s="949"/>
      <c r="G27" s="949"/>
      <c r="H27" s="949"/>
      <c r="I27" s="949"/>
      <c r="J27" s="950"/>
      <c r="K27" s="950"/>
      <c r="L27" s="949"/>
      <c r="M27" s="949"/>
      <c r="N27" s="949"/>
      <c r="O27" s="949"/>
      <c r="P27" s="949"/>
      <c r="Q27" s="949"/>
      <c r="R27" s="949"/>
      <c r="S27" s="949"/>
      <c r="T27" s="949"/>
      <c r="U27" s="949"/>
      <c r="V27" s="949"/>
      <c r="W27" s="949"/>
      <c r="X27" s="949"/>
      <c r="Y27" s="949"/>
    </row>
    <row r="28" spans="2:25" s="13" customFormat="1" ht="60" customHeight="1" x14ac:dyDescent="0.3">
      <c r="B28" s="941" t="str">
        <f>AlCo23</f>
        <v/>
      </c>
      <c r="C28" s="921" t="str">
        <f>AlNo23&amp;CHAR(10)&amp;AlAp23</f>
        <v xml:space="preserve">
</v>
      </c>
      <c r="D28" s="934">
        <f>AlEs23</f>
        <v>0</v>
      </c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V28" s="949"/>
      <c r="W28" s="949"/>
      <c r="X28" s="949"/>
      <c r="Y28" s="949"/>
    </row>
    <row r="29" spans="2:25" s="13" customFormat="1" ht="60" customHeight="1" x14ac:dyDescent="0.3">
      <c r="B29" s="941" t="str">
        <f>AlCo24</f>
        <v/>
      </c>
      <c r="C29" s="921" t="str">
        <f>AlNo24&amp;CHAR(10)&amp;AlAp24</f>
        <v xml:space="preserve">
</v>
      </c>
      <c r="D29" s="934">
        <f>AlEs24</f>
        <v>0</v>
      </c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V29" s="949"/>
      <c r="W29" s="949"/>
      <c r="X29" s="949"/>
      <c r="Y29" s="949"/>
    </row>
    <row r="30" spans="2:25" s="13" customFormat="1" ht="60" customHeight="1" x14ac:dyDescent="0.3">
      <c r="B30" s="956" t="str">
        <f>AlCo25</f>
        <v/>
      </c>
      <c r="C30" s="957" t="str">
        <f>AlNo25&amp;CHAR(10)&amp;AlAp25</f>
        <v xml:space="preserve">
</v>
      </c>
      <c r="D30" s="954">
        <f>AlEs25</f>
        <v>0</v>
      </c>
      <c r="E30" s="955"/>
      <c r="F30" s="955"/>
      <c r="G30" s="955"/>
      <c r="H30" s="955"/>
      <c r="I30" s="955"/>
      <c r="J30" s="955"/>
      <c r="K30" s="955"/>
      <c r="L30" s="955"/>
      <c r="M30" s="955"/>
      <c r="N30" s="955"/>
      <c r="O30" s="955"/>
      <c r="P30" s="955"/>
      <c r="Q30" s="955"/>
      <c r="R30" s="955"/>
      <c r="S30" s="955"/>
      <c r="T30" s="955"/>
      <c r="U30" s="955"/>
      <c r="V30" s="955"/>
      <c r="W30" s="955"/>
      <c r="X30" s="955"/>
      <c r="Y30" s="955"/>
    </row>
    <row r="31" spans="2:25" s="13" customFormat="1" ht="60" customHeight="1" x14ac:dyDescent="0.3">
      <c r="B31" s="942" t="str">
        <f>AlCo26</f>
        <v/>
      </c>
      <c r="C31" s="927" t="str">
        <f>AlNo26&amp;CHAR(10)&amp;AlAp26</f>
        <v xml:space="preserve">
</v>
      </c>
      <c r="D31" s="943">
        <f>AlEs26</f>
        <v>0</v>
      </c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V31" s="951"/>
      <c r="W31" s="951"/>
      <c r="X31" s="951"/>
      <c r="Y31" s="951"/>
    </row>
    <row r="32" spans="2:25" s="13" customFormat="1" ht="60" customHeight="1" x14ac:dyDescent="0.3">
      <c r="B32" s="941" t="str">
        <f>AlCo27</f>
        <v/>
      </c>
      <c r="C32" s="921" t="str">
        <f>AlNo27&amp;CHAR(10)&amp;AlAp27</f>
        <v xml:space="preserve">
</v>
      </c>
      <c r="D32" s="934">
        <f>AlEs27</f>
        <v>0</v>
      </c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V32" s="949"/>
      <c r="W32" s="949"/>
      <c r="X32" s="949"/>
      <c r="Y32" s="949"/>
    </row>
    <row r="33" spans="1:26" s="13" customFormat="1" ht="60" customHeight="1" x14ac:dyDescent="0.3">
      <c r="B33" s="941" t="str">
        <f>AlCo28</f>
        <v/>
      </c>
      <c r="C33" s="921" t="str">
        <f>AlNo28&amp;CHAR(10)&amp;AlAp28</f>
        <v xml:space="preserve">
</v>
      </c>
      <c r="D33" s="934">
        <f>AlEs28</f>
        <v>0</v>
      </c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V33" s="949"/>
      <c r="W33" s="949"/>
      <c r="X33" s="949"/>
      <c r="Y33" s="949"/>
    </row>
    <row r="34" spans="1:26" s="13" customFormat="1" ht="60" customHeight="1" x14ac:dyDescent="0.3">
      <c r="B34" s="941" t="str">
        <f>AlCo29</f>
        <v/>
      </c>
      <c r="C34" s="921" t="str">
        <f>AlNo29&amp;CHAR(10)&amp;AlAp29</f>
        <v xml:space="preserve">
</v>
      </c>
      <c r="D34" s="934">
        <f>AlEs29</f>
        <v>0</v>
      </c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V34" s="949"/>
      <c r="W34" s="949"/>
      <c r="X34" s="949"/>
      <c r="Y34" s="949"/>
    </row>
    <row r="35" spans="1:26" s="13" customFormat="1" ht="60" customHeight="1" x14ac:dyDescent="0.3">
      <c r="B35" s="956" t="str">
        <f>AlCo30</f>
        <v/>
      </c>
      <c r="C35" s="957" t="str">
        <f>AlNo30&amp;CHAR(10)&amp;AlAp30</f>
        <v xml:space="preserve">
</v>
      </c>
      <c r="D35" s="954">
        <f>AlEs30</f>
        <v>0</v>
      </c>
      <c r="E35" s="955"/>
      <c r="F35" s="955"/>
      <c r="G35" s="955"/>
      <c r="H35" s="955"/>
      <c r="I35" s="955"/>
      <c r="J35" s="955"/>
      <c r="K35" s="955"/>
      <c r="L35" s="955"/>
      <c r="M35" s="955"/>
      <c r="N35" s="955"/>
      <c r="O35" s="955"/>
      <c r="P35" s="955"/>
      <c r="Q35" s="955"/>
      <c r="R35" s="955"/>
      <c r="S35" s="955"/>
      <c r="T35" s="955"/>
      <c r="U35" s="955"/>
      <c r="V35" s="955"/>
      <c r="W35" s="955"/>
      <c r="X35" s="955"/>
      <c r="Y35" s="955"/>
    </row>
    <row r="36" spans="1:26" ht="18.75" customHeight="1" x14ac:dyDescent="0.45">
      <c r="A36" s="458"/>
      <c r="B36" s="458"/>
      <c r="C36" s="458"/>
      <c r="D36" s="458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</row>
    <row r="37" spans="1:26" s="13" customFormat="1" ht="16.2" thickBot="1" x14ac:dyDescent="0.35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 t="str">
        <f>IModulo&amp;" ("&amp;IProfesor&amp;")"</f>
        <v>FPM-it-1-0237 Infra. comunes de teleco en viviendas y edificios (Rafa Sanz)</v>
      </c>
      <c r="Z37" s="500"/>
    </row>
  </sheetData>
  <conditionalFormatting sqref="B6:Y35">
    <cfRule type="expression" dxfId="22" priority="4">
      <formula>AND($D6&lt;&gt;"Alta")</formula>
    </cfRule>
  </conditionalFormatting>
  <pageMargins left="0.59055118110236227" right="0.39370078740157483" top="0.59055118110236227" bottom="0.39370078740157483" header="0" footer="0"/>
  <pageSetup paperSize="9" scale="37" fitToWidth="3" fitToHeight="3" pageOrder="overThenDown" orientation="landscape" r:id="rId1"/>
  <rowBreaks count="1" manualBreakCount="1">
    <brk id="20" max="25" man="1"/>
  </rowBreaks>
  <ignoredErrors>
    <ignoredError sqref="E4:Y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91" operator="between" id="{F947905B-3562-4411-B6C4-FC6FE43BED8B}">
            <xm:f>Fchs!$K$5</xm:f>
            <xm:f>Fchs!$K$6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4992" operator="between" id="{ABA63AD8-54EF-4798-A811-CAB2EA949ADB}">
            <xm:f>Fchs!$H$5</xm:f>
            <xm:f>Fchs!$H$6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4993" operator="between" id="{9D2094BD-EAB7-435B-810E-2286F31B0249}">
            <xm:f>Fchs!$E$5</xm:f>
            <xm:f>Fchs!$E$6</xm:f>
            <x14:dxf>
              <fill>
                <patternFill>
                  <bgColor theme="7" tint="0.59996337778862885"/>
                </patternFill>
              </fill>
            </x14:dxf>
          </x14:cfRule>
          <xm:sqref>E4:Y5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42EA-1050-4542-8F5A-CE1959FB9512}">
  <sheetPr>
    <pageSetUpPr fitToPage="1"/>
  </sheetPr>
  <dimension ref="A1:AK25"/>
  <sheetViews>
    <sheetView showGridLines="0" view="pageBreakPreview" zoomScale="70" zoomScaleNormal="55" zoomScaleSheetLayoutView="70" workbookViewId="0">
      <selection activeCell="D11" sqref="D11"/>
    </sheetView>
  </sheetViews>
  <sheetFormatPr baseColWidth="10" defaultColWidth="5.44140625" defaultRowHeight="18" x14ac:dyDescent="0.35"/>
  <cols>
    <col min="1" max="1" width="5.44140625" style="1007"/>
    <col min="2" max="2" width="4.21875" style="1008" bestFit="1" customWidth="1"/>
    <col min="3" max="3" width="53.21875" style="1007" customWidth="1"/>
    <col min="4" max="6" width="8.77734375" style="1007" customWidth="1"/>
    <col min="7" max="7" width="5.77734375" style="1007" bestFit="1" customWidth="1"/>
    <col min="8" max="20" width="5.44140625" style="1007"/>
    <col min="21" max="36" width="5.44140625" style="1007" customWidth="1"/>
    <col min="37" max="37" width="1.77734375" style="1007" customWidth="1"/>
    <col min="38" max="16384" width="5.44140625" style="1007"/>
  </cols>
  <sheetData>
    <row r="1" spans="1:37" s="1038" customFormat="1" ht="25.2" x14ac:dyDescent="0.45">
      <c r="A1" s="1059" t="s">
        <v>479</v>
      </c>
      <c r="B1" s="1037"/>
      <c r="C1" s="1040"/>
      <c r="D1" s="1040"/>
      <c r="E1" s="1040"/>
      <c r="F1" s="1040"/>
      <c r="G1" s="1058"/>
      <c r="H1" s="1056"/>
      <c r="I1" s="1056"/>
      <c r="J1" s="1056"/>
      <c r="K1" s="1056"/>
      <c r="L1" s="1056"/>
      <c r="M1" s="1056"/>
      <c r="N1" s="1056"/>
      <c r="O1" s="1056"/>
      <c r="P1" s="1056"/>
      <c r="Q1" s="1056"/>
      <c r="R1" s="1056"/>
      <c r="S1" s="1056"/>
      <c r="T1" s="1056"/>
      <c r="U1" s="1057" t="s">
        <v>478</v>
      </c>
      <c r="V1" s="1056"/>
      <c r="W1" s="1056"/>
      <c r="X1" s="1056"/>
      <c r="Y1" s="1056"/>
      <c r="Z1" s="1056"/>
      <c r="AA1" s="1056"/>
      <c r="AB1" s="1056"/>
      <c r="AC1" s="1056"/>
      <c r="AD1" s="1056"/>
      <c r="AE1" s="1056"/>
      <c r="AF1" s="1056"/>
      <c r="AG1" s="1056"/>
      <c r="AH1" s="1056"/>
      <c r="AI1" s="1056"/>
      <c r="AJ1" s="1056"/>
      <c r="AK1" s="1055"/>
    </row>
    <row r="2" spans="1:37" s="1091" customFormat="1" ht="24" customHeight="1" x14ac:dyDescent="0.3">
      <c r="A2" s="1090"/>
      <c r="B2" s="225" t="str">
        <f>IModulo&amp;" ("&amp;IProfesor&amp;")"</f>
        <v>FPM-it-1-0237 Infra. comunes de teleco en viviendas y edificios (Rafa Sanz)</v>
      </c>
    </row>
    <row r="3" spans="1:37" s="1052" customFormat="1" ht="13.8" x14ac:dyDescent="0.25">
      <c r="A3" s="1054"/>
      <c r="B3" s="1053"/>
    </row>
    <row r="4" spans="1:37" s="1038" customFormat="1" ht="22.5" customHeight="1" x14ac:dyDescent="0.35">
      <c r="B4" s="1037"/>
      <c r="C4" s="1031" t="s">
        <v>477</v>
      </c>
      <c r="D4" s="1033" t="s">
        <v>469</v>
      </c>
      <c r="E4" s="1033" t="s">
        <v>187</v>
      </c>
      <c r="G4" s="1031" t="s">
        <v>476</v>
      </c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AI4" s="1052"/>
    </row>
    <row r="5" spans="1:37" s="1038" customFormat="1" ht="22.5" customHeight="1" x14ac:dyDescent="0.35">
      <c r="B5" s="1049">
        <v>1</v>
      </c>
      <c r="C5" s="1048" t="s">
        <v>475</v>
      </c>
      <c r="D5" s="1051">
        <f>COUNTIF($G$15:$AJ$24,$B5)</f>
        <v>0</v>
      </c>
      <c r="E5" s="1050" t="str">
        <f>IFERROR(COUNTIF($G$15:$AJ$24,$B5)/COUNTIF($G$15:$AJ$24,"&gt;0"),"")</f>
        <v/>
      </c>
      <c r="G5" s="1042" t="s">
        <v>15</v>
      </c>
      <c r="H5" s="1042"/>
      <c r="I5" s="1042"/>
      <c r="J5" s="1042"/>
      <c r="K5" s="1042"/>
      <c r="L5" s="1042"/>
      <c r="M5" s="1042"/>
      <c r="N5" s="1042"/>
      <c r="O5" s="1042"/>
      <c r="P5" s="1042"/>
      <c r="Q5" s="1042"/>
      <c r="R5" s="1042"/>
      <c r="S5" s="1042"/>
      <c r="T5" s="1042"/>
      <c r="U5" s="1042"/>
      <c r="AI5" s="1052"/>
    </row>
    <row r="6" spans="1:37" s="1038" customFormat="1" ht="22.5" customHeight="1" x14ac:dyDescent="0.35">
      <c r="B6" s="1044">
        <v>2</v>
      </c>
      <c r="C6" s="1043" t="s">
        <v>474</v>
      </c>
      <c r="D6" s="1046">
        <f>COUNTIF($G$15:$AJ$24,$B6)</f>
        <v>0</v>
      </c>
      <c r="E6" s="1045" t="str">
        <f>IFERROR(COUNTIF($G$15:$AJ$24,$B6)/COUNTIF($G$15:$AJ$24,"&gt;0"),"")</f>
        <v/>
      </c>
      <c r="G6" s="1042" t="s">
        <v>24</v>
      </c>
      <c r="H6" s="1042"/>
      <c r="I6" s="1042"/>
      <c r="J6" s="1042"/>
      <c r="K6" s="1042"/>
      <c r="L6" s="1042"/>
      <c r="M6" s="1042"/>
      <c r="N6" s="1042"/>
      <c r="O6" s="1042"/>
      <c r="P6" s="1042"/>
      <c r="Q6" s="1042"/>
      <c r="R6" s="1042"/>
      <c r="S6" s="1042"/>
      <c r="T6" s="1042"/>
      <c r="U6" s="1042"/>
      <c r="AI6" s="1052"/>
    </row>
    <row r="7" spans="1:37" s="1038" customFormat="1" ht="22.5" customHeight="1" x14ac:dyDescent="0.35">
      <c r="B7" s="1044">
        <v>3</v>
      </c>
      <c r="C7" s="1043" t="s">
        <v>473</v>
      </c>
      <c r="D7" s="1046">
        <f>COUNTIF($G$15:$AJ$24,$B7)</f>
        <v>0</v>
      </c>
      <c r="E7" s="1045" t="str">
        <f>IFERROR(COUNTIF($G$15:$AJ$24,$B7)/COUNTIF($G$15:$AJ$24,"&gt;0"),"")</f>
        <v/>
      </c>
      <c r="P7" s="1034"/>
      <c r="Q7" s="1034"/>
      <c r="R7" s="1034"/>
      <c r="S7" s="1034"/>
      <c r="T7" s="1034"/>
      <c r="U7" s="1034"/>
      <c r="V7" s="1034"/>
      <c r="W7" s="1034"/>
      <c r="X7" s="1034"/>
      <c r="Y7" s="1034"/>
      <c r="Z7" s="1034"/>
      <c r="AA7" s="1034"/>
      <c r="AB7" s="1034"/>
      <c r="AC7" s="1034"/>
      <c r="AD7" s="1034"/>
      <c r="AE7" s="1034"/>
      <c r="AF7" s="1034"/>
      <c r="AG7" s="1034"/>
      <c r="AH7" s="1034"/>
      <c r="AI7" s="1052"/>
      <c r="AJ7" s="1034"/>
    </row>
    <row r="8" spans="1:37" s="1038" customFormat="1" ht="22.5" customHeight="1" x14ac:dyDescent="0.35">
      <c r="B8" s="1014">
        <v>4</v>
      </c>
      <c r="C8" s="1013" t="s">
        <v>472</v>
      </c>
      <c r="D8" s="1041">
        <f>COUNTIF($G$15:$AJ$24,$B8)</f>
        <v>0</v>
      </c>
      <c r="E8" s="1015" t="str">
        <f>IFERROR(COUNTIF($G$15:$AJ$24,$B8)/COUNTIF($G$15:$AJ$24,"&gt;0"),"")</f>
        <v/>
      </c>
    </row>
    <row r="9" spans="1:37" s="1052" customFormat="1" ht="13.8" x14ac:dyDescent="0.25">
      <c r="A9" s="1054"/>
      <c r="B9" s="1053"/>
    </row>
    <row r="10" spans="1:37" s="1038" customFormat="1" ht="22.5" customHeight="1" x14ac:dyDescent="0.35">
      <c r="B10" s="1039"/>
      <c r="C10" s="1031" t="s">
        <v>471</v>
      </c>
      <c r="G10" s="1032">
        <v>1</v>
      </c>
      <c r="H10" s="1032">
        <v>2</v>
      </c>
      <c r="I10" s="1032">
        <v>3</v>
      </c>
      <c r="J10" s="1032">
        <v>4</v>
      </c>
      <c r="K10" s="1032">
        <v>5</v>
      </c>
      <c r="L10" s="1032">
        <v>6</v>
      </c>
      <c r="M10" s="1032">
        <v>7</v>
      </c>
      <c r="N10" s="1032">
        <v>8</v>
      </c>
      <c r="O10" s="1032">
        <v>9</v>
      </c>
      <c r="P10" s="1032">
        <v>10</v>
      </c>
      <c r="Q10" s="1032">
        <v>11</v>
      </c>
      <c r="R10" s="1032">
        <v>12</v>
      </c>
      <c r="S10" s="1032">
        <v>13</v>
      </c>
      <c r="T10" s="1032">
        <v>14</v>
      </c>
      <c r="U10" s="1032">
        <v>15</v>
      </c>
      <c r="V10" s="1032">
        <v>16</v>
      </c>
      <c r="W10" s="1032">
        <v>17</v>
      </c>
      <c r="X10" s="1032">
        <v>18</v>
      </c>
      <c r="Y10" s="1032">
        <v>19</v>
      </c>
      <c r="Z10" s="1032">
        <v>20</v>
      </c>
      <c r="AA10" s="1032">
        <v>21</v>
      </c>
      <c r="AB10" s="1032">
        <v>22</v>
      </c>
      <c r="AC10" s="1032">
        <v>23</v>
      </c>
      <c r="AD10" s="1032">
        <v>24</v>
      </c>
      <c r="AE10" s="1032">
        <v>25</v>
      </c>
      <c r="AF10" s="1032">
        <v>26</v>
      </c>
      <c r="AG10" s="1032">
        <v>27</v>
      </c>
      <c r="AH10" s="1032">
        <v>28</v>
      </c>
      <c r="AI10" s="1032">
        <v>29</v>
      </c>
      <c r="AJ10" s="1032">
        <v>30</v>
      </c>
    </row>
    <row r="11" spans="1:37" s="1034" customFormat="1" ht="174.6" customHeight="1" x14ac:dyDescent="0.35">
      <c r="B11" s="1037"/>
      <c r="C11" s="1036" t="s">
        <v>470</v>
      </c>
      <c r="D11" s="1035"/>
      <c r="E11" s="1035"/>
      <c r="F11" s="57" t="s">
        <v>41</v>
      </c>
      <c r="G11" s="275" t="str">
        <f>AlNo01&amp;CHAR(10)&amp;AlAp01</f>
        <v>nom1 --
ap1 --</v>
      </c>
      <c r="H11" s="275" t="str">
        <f>AlNo02&amp;CHAR(10)&amp;AlAp02</f>
        <v>nom2 --
ap2 --</v>
      </c>
      <c r="I11" s="275" t="str">
        <f>AlNo03&amp;CHAR(10)&amp;AlAp03</f>
        <v>nom3 --
ap3 --</v>
      </c>
      <c r="J11" s="275" t="str">
        <f>AlNo04&amp;CHAR(10)&amp;AlAp04</f>
        <v>nom4 --
ap4 --</v>
      </c>
      <c r="K11" s="419" t="str">
        <f>AlNo05&amp;CHAR(10)&amp;AlAp05</f>
        <v>nom5-----
ap5----</v>
      </c>
      <c r="L11" s="275" t="str">
        <f>AlNo06&amp;CHAR(10)&amp;AlAp06</f>
        <v>nom6-----
ap6------</v>
      </c>
      <c r="M11" s="275" t="str">
        <f>AlNo07&amp;CHAR(10)&amp;AlAp07</f>
        <v xml:space="preserve">
</v>
      </c>
      <c r="N11" s="275" t="str">
        <f>AlNo08&amp;CHAR(10)&amp;AlAp08</f>
        <v xml:space="preserve">
</v>
      </c>
      <c r="O11" s="275" t="str">
        <f>AlNo09&amp;CHAR(10)&amp;AlAp09</f>
        <v xml:space="preserve">
</v>
      </c>
      <c r="P11" s="419" t="str">
        <f>AlNo10&amp;CHAR(10)&amp;AlAp10</f>
        <v xml:space="preserve">
</v>
      </c>
      <c r="Q11" s="275" t="str">
        <f>AlNo11&amp;CHAR(10)&amp;AlAp11</f>
        <v xml:space="preserve">
</v>
      </c>
      <c r="R11" s="275" t="str">
        <f>AlNo12&amp;CHAR(10)&amp;AlAp12</f>
        <v xml:space="preserve">
</v>
      </c>
      <c r="S11" s="275" t="str">
        <f>AlNo13&amp;CHAR(10)&amp;AlAp13</f>
        <v xml:space="preserve">
</v>
      </c>
      <c r="T11" s="275" t="str">
        <f>AlNo14&amp;CHAR(10)&amp;AlAp14</f>
        <v xml:space="preserve">
</v>
      </c>
      <c r="U11" s="419" t="str">
        <f>AlNo15&amp;CHAR(10)&amp;AlAp15</f>
        <v xml:space="preserve">
</v>
      </c>
      <c r="V11" s="275" t="str">
        <f>AlNo16&amp;CHAR(10)&amp;AlAp16</f>
        <v xml:space="preserve">
</v>
      </c>
      <c r="W11" s="275" t="str">
        <f>AlNo17&amp;CHAR(10)&amp;AlAp17</f>
        <v xml:space="preserve">
</v>
      </c>
      <c r="X11" s="275" t="str">
        <f>AlNo18&amp;CHAR(10)&amp;AlAp18</f>
        <v xml:space="preserve">
</v>
      </c>
      <c r="Y11" s="275" t="str">
        <f>AlNo19&amp;CHAR(10)&amp;AlAp19</f>
        <v xml:space="preserve">
</v>
      </c>
      <c r="Z11" s="419" t="str">
        <f>AlNo20&amp;CHAR(10)&amp;AlAp20</f>
        <v xml:space="preserve">
</v>
      </c>
      <c r="AA11" s="275" t="str">
        <f>AlNo21&amp;CHAR(10)&amp;AlAp21</f>
        <v xml:space="preserve">
</v>
      </c>
      <c r="AB11" s="275" t="str">
        <f>AlNo22&amp;CHAR(10)&amp;AlAp22</f>
        <v xml:space="preserve">
</v>
      </c>
      <c r="AC11" s="275" t="str">
        <f>AlNo23&amp;CHAR(10)&amp;AlAp23</f>
        <v xml:space="preserve">
</v>
      </c>
      <c r="AD11" s="275" t="str">
        <f>AlNo24&amp;CHAR(10)&amp;AlAp24</f>
        <v xml:space="preserve">
</v>
      </c>
      <c r="AE11" s="419" t="str">
        <f>AlNo25&amp;CHAR(10)&amp;AlAp25</f>
        <v xml:space="preserve">
</v>
      </c>
      <c r="AF11" s="275" t="str">
        <f>AlNo26&amp;CHAR(10)&amp;AlAp26</f>
        <v xml:space="preserve">
</v>
      </c>
      <c r="AG11" s="275" t="str">
        <f>AlNo27&amp;CHAR(10)&amp;AlAp27</f>
        <v xml:space="preserve">
</v>
      </c>
      <c r="AH11" s="275" t="str">
        <f>AlNo28&amp;CHAR(10)&amp;AlAp28</f>
        <v xml:space="preserve">
</v>
      </c>
      <c r="AI11" s="275" t="str">
        <f>AlNo29&amp;CHAR(10)&amp;AlAp29</f>
        <v xml:space="preserve">
</v>
      </c>
      <c r="AJ11" s="419" t="str">
        <f>AlNo30&amp;CHAR(10)&amp;AlAp30</f>
        <v xml:space="preserve">
</v>
      </c>
    </row>
    <row r="12" spans="1:37" s="1038" customFormat="1" ht="22.5" customHeight="1" x14ac:dyDescent="0.35">
      <c r="B12" s="1039"/>
      <c r="C12" s="1039"/>
      <c r="F12" s="186" t="s">
        <v>32</v>
      </c>
      <c r="G12" s="416" t="str">
        <f>AlCo01</f>
        <v>AN01</v>
      </c>
      <c r="H12" s="416" t="str">
        <f>AlCo02</f>
        <v>AN02</v>
      </c>
      <c r="I12" s="416" t="str">
        <f>AlCo03</f>
        <v>AN03</v>
      </c>
      <c r="J12" s="416" t="str">
        <f>AlCo04</f>
        <v>AN04</v>
      </c>
      <c r="K12" s="417" t="str">
        <f>AlCo05</f>
        <v>AN05</v>
      </c>
      <c r="L12" s="416" t="str">
        <f>AlCo06</f>
        <v>AN06</v>
      </c>
      <c r="M12" s="416" t="str">
        <f>AlCo07</f>
        <v/>
      </c>
      <c r="N12" s="416" t="str">
        <f>AlCo08</f>
        <v/>
      </c>
      <c r="O12" s="416" t="str">
        <f>AlCo09</f>
        <v/>
      </c>
      <c r="P12" s="417" t="str">
        <f>AlCo10</f>
        <v/>
      </c>
      <c r="Q12" s="416" t="str">
        <f>AlCo11</f>
        <v/>
      </c>
      <c r="R12" s="416" t="str">
        <f>AlCo12</f>
        <v/>
      </c>
      <c r="S12" s="416" t="str">
        <f>AlCo13</f>
        <v/>
      </c>
      <c r="T12" s="416" t="str">
        <f>AlCo14</f>
        <v/>
      </c>
      <c r="U12" s="417" t="str">
        <f>AlCo15</f>
        <v/>
      </c>
      <c r="V12" s="416" t="str">
        <f>AlCo16</f>
        <v/>
      </c>
      <c r="W12" s="416" t="str">
        <f>AlCo17</f>
        <v/>
      </c>
      <c r="X12" s="416" t="str">
        <f>AlCo18</f>
        <v/>
      </c>
      <c r="Y12" s="416" t="str">
        <f>AlCo19</f>
        <v/>
      </c>
      <c r="Z12" s="417" t="str">
        <f>AlCo20</f>
        <v/>
      </c>
      <c r="AA12" s="416" t="str">
        <f>AlCo21</f>
        <v/>
      </c>
      <c r="AB12" s="416" t="str">
        <f>AlCo22</f>
        <v/>
      </c>
      <c r="AC12" s="416" t="str">
        <f>AlCo23</f>
        <v/>
      </c>
      <c r="AD12" s="416" t="str">
        <f>AlCo24</f>
        <v/>
      </c>
      <c r="AE12" s="417" t="str">
        <f>AlCo25</f>
        <v/>
      </c>
      <c r="AF12" s="416" t="str">
        <f>AlCo26</f>
        <v/>
      </c>
      <c r="AG12" s="416" t="str">
        <f>AlCo27</f>
        <v/>
      </c>
      <c r="AH12" s="416" t="str">
        <f>AlCo28</f>
        <v/>
      </c>
      <c r="AI12" s="416" t="str">
        <f>AlCo29</f>
        <v/>
      </c>
      <c r="AJ12" s="417" t="str">
        <f>AlCo30</f>
        <v/>
      </c>
    </row>
    <row r="13" spans="1:37" s="1038" customFormat="1" ht="22.5" customHeight="1" x14ac:dyDescent="0.35">
      <c r="B13" s="1039"/>
      <c r="C13" s="1039"/>
      <c r="F13" s="194" t="s">
        <v>40</v>
      </c>
      <c r="G13" s="416" t="str">
        <f>AlEs01</f>
        <v>Alta</v>
      </c>
      <c r="H13" s="416" t="str">
        <f>AlEs02</f>
        <v>Alta</v>
      </c>
      <c r="I13" s="416" t="str">
        <f>AlEs03</f>
        <v>Alta</v>
      </c>
      <c r="J13" s="416" t="str">
        <f>AlEs04</f>
        <v>Alta</v>
      </c>
      <c r="K13" s="417" t="str">
        <f>AlEs05</f>
        <v>Alta</v>
      </c>
      <c r="L13" s="416" t="str">
        <f>AlEs06</f>
        <v>Alta</v>
      </c>
      <c r="M13" s="416">
        <f>AlEs07</f>
        <v>0</v>
      </c>
      <c r="N13" s="416">
        <f>AlEs08</f>
        <v>0</v>
      </c>
      <c r="O13" s="416">
        <f>AlEs09</f>
        <v>0</v>
      </c>
      <c r="P13" s="417">
        <f>AlEs10</f>
        <v>0</v>
      </c>
      <c r="Q13" s="416">
        <f>AlEs11</f>
        <v>0</v>
      </c>
      <c r="R13" s="416">
        <f>AlEs12</f>
        <v>0</v>
      </c>
      <c r="S13" s="416">
        <f>AlEs13</f>
        <v>0</v>
      </c>
      <c r="T13" s="416">
        <f>AlEs14</f>
        <v>0</v>
      </c>
      <c r="U13" s="417">
        <f>AlEs15</f>
        <v>0</v>
      </c>
      <c r="V13" s="416">
        <f>AlEs16</f>
        <v>0</v>
      </c>
      <c r="W13" s="416">
        <f>AlEs17</f>
        <v>0</v>
      </c>
      <c r="X13" s="416">
        <f>AlEs18</f>
        <v>0</v>
      </c>
      <c r="Y13" s="416">
        <f>AlEs19</f>
        <v>0</v>
      </c>
      <c r="Z13" s="417">
        <f>AlEs20</f>
        <v>0</v>
      </c>
      <c r="AA13" s="416">
        <f>AlEs21</f>
        <v>0</v>
      </c>
      <c r="AB13" s="416">
        <f>AlEs22</f>
        <v>0</v>
      </c>
      <c r="AC13" s="416">
        <f>AlEs23</f>
        <v>0</v>
      </c>
      <c r="AD13" s="416">
        <f>AlEs24</f>
        <v>0</v>
      </c>
      <c r="AE13" s="417">
        <f>AlEs25</f>
        <v>0</v>
      </c>
      <c r="AF13" s="416">
        <f>AlEs26</f>
        <v>0</v>
      </c>
      <c r="AG13" s="416">
        <f>AlEs27</f>
        <v>0</v>
      </c>
      <c r="AH13" s="416">
        <f>AlEs28</f>
        <v>0</v>
      </c>
      <c r="AI13" s="416">
        <f>AlEs29</f>
        <v>0</v>
      </c>
      <c r="AJ13" s="417">
        <f>AlEs30</f>
        <v>0</v>
      </c>
    </row>
    <row r="14" spans="1:37" ht="22.5" customHeight="1" x14ac:dyDescent="0.35">
      <c r="B14" s="1032"/>
      <c r="C14" s="1031" t="s">
        <v>468</v>
      </c>
      <c r="D14" s="1033" t="s">
        <v>469</v>
      </c>
      <c r="E14" s="1033" t="s">
        <v>187</v>
      </c>
      <c r="F14" s="1031"/>
      <c r="G14" s="1030" t="str">
        <f t="shared" ref="G14:AJ14" si="0">IFERROR(AVERAGEIFS(G15:G24,G15:G24,"&gt;0")*10/$B$8,"")</f>
        <v/>
      </c>
      <c r="H14" s="1028" t="str">
        <f t="shared" si="0"/>
        <v/>
      </c>
      <c r="I14" s="1028" t="str">
        <f t="shared" si="0"/>
        <v/>
      </c>
      <c r="J14" s="1028" t="str">
        <f t="shared" si="0"/>
        <v/>
      </c>
      <c r="K14" s="1027" t="str">
        <f t="shared" si="0"/>
        <v/>
      </c>
      <c r="L14" s="1029" t="str">
        <f t="shared" si="0"/>
        <v/>
      </c>
      <c r="M14" s="1028" t="str">
        <f t="shared" si="0"/>
        <v/>
      </c>
      <c r="N14" s="1028" t="str">
        <f t="shared" si="0"/>
        <v/>
      </c>
      <c r="O14" s="1028" t="str">
        <f t="shared" si="0"/>
        <v/>
      </c>
      <c r="P14" s="1027" t="str">
        <f t="shared" si="0"/>
        <v/>
      </c>
      <c r="Q14" s="1029" t="str">
        <f t="shared" si="0"/>
        <v/>
      </c>
      <c r="R14" s="1028" t="str">
        <f t="shared" si="0"/>
        <v/>
      </c>
      <c r="S14" s="1028" t="str">
        <f t="shared" si="0"/>
        <v/>
      </c>
      <c r="T14" s="1028" t="str">
        <f t="shared" si="0"/>
        <v/>
      </c>
      <c r="U14" s="1027" t="str">
        <f t="shared" si="0"/>
        <v/>
      </c>
      <c r="V14" s="1029" t="str">
        <f t="shared" si="0"/>
        <v/>
      </c>
      <c r="W14" s="1028" t="str">
        <f t="shared" si="0"/>
        <v/>
      </c>
      <c r="X14" s="1028" t="str">
        <f t="shared" si="0"/>
        <v/>
      </c>
      <c r="Y14" s="1028" t="str">
        <f t="shared" si="0"/>
        <v/>
      </c>
      <c r="Z14" s="1027" t="str">
        <f t="shared" si="0"/>
        <v/>
      </c>
      <c r="AA14" s="1029" t="str">
        <f t="shared" si="0"/>
        <v/>
      </c>
      <c r="AB14" s="1028" t="str">
        <f t="shared" si="0"/>
        <v/>
      </c>
      <c r="AC14" s="1028" t="str">
        <f t="shared" si="0"/>
        <v/>
      </c>
      <c r="AD14" s="1028" t="str">
        <f t="shared" si="0"/>
        <v/>
      </c>
      <c r="AE14" s="1027" t="str">
        <f t="shared" si="0"/>
        <v/>
      </c>
      <c r="AF14" s="1029" t="str">
        <f t="shared" si="0"/>
        <v/>
      </c>
      <c r="AG14" s="1028" t="str">
        <f t="shared" si="0"/>
        <v/>
      </c>
      <c r="AH14" s="1028" t="str">
        <f t="shared" si="0"/>
        <v/>
      </c>
      <c r="AI14" s="1028" t="str">
        <f t="shared" si="0"/>
        <v/>
      </c>
      <c r="AJ14" s="1027" t="str">
        <f t="shared" si="0"/>
        <v/>
      </c>
    </row>
    <row r="15" spans="1:37" ht="22.5" customHeight="1" x14ac:dyDescent="0.35">
      <c r="B15" s="1023">
        <v>1</v>
      </c>
      <c r="C15" s="1022" t="s">
        <v>467</v>
      </c>
      <c r="D15" s="1025" t="str">
        <f t="shared" ref="D15:D24" si="1">IFERROR(AVERAGEIFS(G15:AJ15,G15:AJ15,"&gt;0")*(10/$B$8),"")</f>
        <v/>
      </c>
      <c r="E15" s="1024" t="str">
        <f t="shared" ref="E15:E24" si="2">IFERROR(AVERAGEIFS(G15:AJ15,G15:AJ15,"&gt;0")/$B$8,"")</f>
        <v/>
      </c>
      <c r="F15" s="1021"/>
      <c r="G15" s="1020"/>
      <c r="H15" s="1018"/>
      <c r="I15" s="1018"/>
      <c r="J15" s="1018"/>
      <c r="K15" s="1017"/>
      <c r="L15" s="1019"/>
      <c r="M15" s="1018"/>
      <c r="N15" s="1018"/>
      <c r="O15" s="1018"/>
      <c r="P15" s="1017"/>
      <c r="Q15" s="1019"/>
      <c r="R15" s="1018"/>
      <c r="S15" s="1018"/>
      <c r="T15" s="1018"/>
      <c r="U15" s="1017"/>
      <c r="V15" s="1019"/>
      <c r="W15" s="1018"/>
      <c r="X15" s="1018"/>
      <c r="Y15" s="1018"/>
      <c r="Z15" s="1017"/>
      <c r="AA15" s="1019"/>
      <c r="AB15" s="1018"/>
      <c r="AC15" s="1018"/>
      <c r="AD15" s="1018"/>
      <c r="AE15" s="1017"/>
      <c r="AF15" s="1019"/>
      <c r="AG15" s="1018"/>
      <c r="AH15" s="1018"/>
      <c r="AI15" s="1018"/>
      <c r="AJ15" s="1017"/>
    </row>
    <row r="16" spans="1:37" ht="22.5" customHeight="1" x14ac:dyDescent="0.35">
      <c r="B16" s="1014">
        <v>2</v>
      </c>
      <c r="C16" s="1013" t="s">
        <v>466</v>
      </c>
      <c r="D16" s="1016" t="str">
        <f t="shared" si="1"/>
        <v/>
      </c>
      <c r="E16" s="1015" t="str">
        <f t="shared" si="2"/>
        <v/>
      </c>
      <c r="F16" s="1026"/>
      <c r="G16" s="1012"/>
      <c r="H16" s="1010"/>
      <c r="I16" s="1010"/>
      <c r="J16" s="1010"/>
      <c r="K16" s="1009"/>
      <c r="L16" s="1011"/>
      <c r="M16" s="1010"/>
      <c r="N16" s="1010"/>
      <c r="O16" s="1010"/>
      <c r="P16" s="1009"/>
      <c r="Q16" s="1011"/>
      <c r="R16" s="1010"/>
      <c r="S16" s="1010"/>
      <c r="T16" s="1010"/>
      <c r="U16" s="1009"/>
      <c r="V16" s="1011"/>
      <c r="W16" s="1010"/>
      <c r="X16" s="1010"/>
      <c r="Y16" s="1010"/>
      <c r="Z16" s="1009"/>
      <c r="AA16" s="1011"/>
      <c r="AB16" s="1010"/>
      <c r="AC16" s="1010"/>
      <c r="AD16" s="1010"/>
      <c r="AE16" s="1009"/>
      <c r="AF16" s="1011"/>
      <c r="AG16" s="1010"/>
      <c r="AH16" s="1010"/>
      <c r="AI16" s="1010"/>
      <c r="AJ16" s="1009"/>
    </row>
    <row r="17" spans="2:36" ht="22.5" customHeight="1" x14ac:dyDescent="0.35">
      <c r="B17" s="1023">
        <v>3</v>
      </c>
      <c r="C17" s="1022" t="s">
        <v>465</v>
      </c>
      <c r="D17" s="1025" t="str">
        <f t="shared" si="1"/>
        <v/>
      </c>
      <c r="E17" s="1024" t="str">
        <f t="shared" si="2"/>
        <v/>
      </c>
      <c r="F17" s="1021"/>
      <c r="G17" s="1020"/>
      <c r="H17" s="1018"/>
      <c r="I17" s="1018"/>
      <c r="J17" s="1018"/>
      <c r="K17" s="1017"/>
      <c r="L17" s="1019"/>
      <c r="M17" s="1018"/>
      <c r="N17" s="1018"/>
      <c r="O17" s="1018"/>
      <c r="P17" s="1017"/>
      <c r="Q17" s="1019"/>
      <c r="R17" s="1018"/>
      <c r="S17" s="1018"/>
      <c r="T17" s="1018"/>
      <c r="U17" s="1017"/>
      <c r="V17" s="1019"/>
      <c r="W17" s="1018"/>
      <c r="X17" s="1018"/>
      <c r="Y17" s="1018"/>
      <c r="Z17" s="1017"/>
      <c r="AA17" s="1019"/>
      <c r="AB17" s="1018"/>
      <c r="AC17" s="1018"/>
      <c r="AD17" s="1018"/>
      <c r="AE17" s="1017"/>
      <c r="AF17" s="1019"/>
      <c r="AG17" s="1018"/>
      <c r="AH17" s="1018"/>
      <c r="AI17" s="1018"/>
      <c r="AJ17" s="1017"/>
    </row>
    <row r="18" spans="2:36" ht="22.5" customHeight="1" x14ac:dyDescent="0.35">
      <c r="B18" s="1014">
        <v>4</v>
      </c>
      <c r="C18" s="1013" t="s">
        <v>464</v>
      </c>
      <c r="D18" s="1016" t="str">
        <f t="shared" si="1"/>
        <v/>
      </c>
      <c r="E18" s="1015" t="str">
        <f t="shared" si="2"/>
        <v/>
      </c>
      <c r="F18" s="1026"/>
      <c r="G18" s="1012"/>
      <c r="H18" s="1010"/>
      <c r="I18" s="1010"/>
      <c r="J18" s="1010"/>
      <c r="K18" s="1009"/>
      <c r="L18" s="1011"/>
      <c r="M18" s="1010"/>
      <c r="N18" s="1010"/>
      <c r="O18" s="1010"/>
      <c r="P18" s="1009"/>
      <c r="Q18" s="1011"/>
      <c r="R18" s="1010"/>
      <c r="S18" s="1010"/>
      <c r="T18" s="1010"/>
      <c r="U18" s="1009"/>
      <c r="V18" s="1011"/>
      <c r="W18" s="1010"/>
      <c r="X18" s="1010"/>
      <c r="Y18" s="1010"/>
      <c r="Z18" s="1009"/>
      <c r="AA18" s="1011"/>
      <c r="AB18" s="1010"/>
      <c r="AC18" s="1010"/>
      <c r="AD18" s="1010"/>
      <c r="AE18" s="1009"/>
      <c r="AF18" s="1011"/>
      <c r="AG18" s="1010"/>
      <c r="AH18" s="1010"/>
      <c r="AI18" s="1010"/>
      <c r="AJ18" s="1009"/>
    </row>
    <row r="19" spans="2:36" ht="22.5" customHeight="1" x14ac:dyDescent="0.35">
      <c r="B19" s="1023">
        <v>5</v>
      </c>
      <c r="C19" s="1022" t="s">
        <v>463</v>
      </c>
      <c r="D19" s="1025" t="str">
        <f t="shared" si="1"/>
        <v/>
      </c>
      <c r="E19" s="1024" t="str">
        <f t="shared" si="2"/>
        <v/>
      </c>
      <c r="F19" s="1021"/>
      <c r="G19" s="1020"/>
      <c r="H19" s="1018"/>
      <c r="I19" s="1018"/>
      <c r="J19" s="1018"/>
      <c r="K19" s="1017"/>
      <c r="L19" s="1019"/>
      <c r="M19" s="1018"/>
      <c r="N19" s="1018"/>
      <c r="O19" s="1018"/>
      <c r="P19" s="1017"/>
      <c r="Q19" s="1019"/>
      <c r="R19" s="1018"/>
      <c r="S19" s="1018"/>
      <c r="T19" s="1018"/>
      <c r="U19" s="1017"/>
      <c r="V19" s="1019"/>
      <c r="W19" s="1018"/>
      <c r="X19" s="1018"/>
      <c r="Y19" s="1018"/>
      <c r="Z19" s="1017"/>
      <c r="AA19" s="1019"/>
      <c r="AB19" s="1018"/>
      <c r="AC19" s="1018"/>
      <c r="AD19" s="1018"/>
      <c r="AE19" s="1017"/>
      <c r="AF19" s="1019"/>
      <c r="AG19" s="1018"/>
      <c r="AH19" s="1018"/>
      <c r="AI19" s="1018"/>
      <c r="AJ19" s="1017"/>
    </row>
    <row r="20" spans="2:36" ht="22.5" customHeight="1" x14ac:dyDescent="0.35">
      <c r="B20" s="1014">
        <v>6</v>
      </c>
      <c r="C20" s="1013" t="s">
        <v>462</v>
      </c>
      <c r="D20" s="1016" t="str">
        <f t="shared" si="1"/>
        <v/>
      </c>
      <c r="E20" s="1015" t="str">
        <f t="shared" si="2"/>
        <v/>
      </c>
      <c r="F20" s="1026"/>
      <c r="G20" s="1012"/>
      <c r="H20" s="1010"/>
      <c r="I20" s="1010"/>
      <c r="J20" s="1010"/>
      <c r="K20" s="1009"/>
      <c r="L20" s="1011"/>
      <c r="M20" s="1010"/>
      <c r="N20" s="1010"/>
      <c r="O20" s="1010"/>
      <c r="P20" s="1009"/>
      <c r="Q20" s="1011"/>
      <c r="R20" s="1010"/>
      <c r="S20" s="1010"/>
      <c r="T20" s="1010"/>
      <c r="U20" s="1009"/>
      <c r="V20" s="1011"/>
      <c r="W20" s="1010"/>
      <c r="X20" s="1010"/>
      <c r="Y20" s="1010"/>
      <c r="Z20" s="1009"/>
      <c r="AA20" s="1011"/>
      <c r="AB20" s="1010"/>
      <c r="AC20" s="1010"/>
      <c r="AD20" s="1010"/>
      <c r="AE20" s="1009"/>
      <c r="AF20" s="1011"/>
      <c r="AG20" s="1010"/>
      <c r="AH20" s="1010"/>
      <c r="AI20" s="1010"/>
      <c r="AJ20" s="1009"/>
    </row>
    <row r="21" spans="2:36" ht="22.5" customHeight="1" x14ac:dyDescent="0.35">
      <c r="B21" s="1023">
        <v>7</v>
      </c>
      <c r="C21" s="1022" t="s">
        <v>461</v>
      </c>
      <c r="D21" s="1025" t="str">
        <f t="shared" si="1"/>
        <v/>
      </c>
      <c r="E21" s="1024" t="str">
        <f t="shared" si="2"/>
        <v/>
      </c>
      <c r="F21" s="1021"/>
      <c r="G21" s="1020"/>
      <c r="H21" s="1018"/>
      <c r="I21" s="1018"/>
      <c r="J21" s="1018"/>
      <c r="K21" s="1017"/>
      <c r="L21" s="1019"/>
      <c r="M21" s="1018"/>
      <c r="N21" s="1018"/>
      <c r="O21" s="1018"/>
      <c r="P21" s="1017"/>
      <c r="Q21" s="1019"/>
      <c r="R21" s="1018"/>
      <c r="S21" s="1018"/>
      <c r="T21" s="1018"/>
      <c r="U21" s="1017"/>
      <c r="V21" s="1019"/>
      <c r="W21" s="1018"/>
      <c r="X21" s="1018"/>
      <c r="Y21" s="1018"/>
      <c r="Z21" s="1017"/>
      <c r="AA21" s="1019"/>
      <c r="AB21" s="1018"/>
      <c r="AC21" s="1018"/>
      <c r="AD21" s="1018"/>
      <c r="AE21" s="1017"/>
      <c r="AF21" s="1019"/>
      <c r="AG21" s="1018"/>
      <c r="AH21" s="1018"/>
      <c r="AI21" s="1018"/>
      <c r="AJ21" s="1017"/>
    </row>
    <row r="22" spans="2:36" ht="22.5" customHeight="1" x14ac:dyDescent="0.35">
      <c r="B22" s="1014">
        <v>8</v>
      </c>
      <c r="C22" s="1013" t="s">
        <v>460</v>
      </c>
      <c r="D22" s="1016" t="str">
        <f t="shared" si="1"/>
        <v/>
      </c>
      <c r="E22" s="1015" t="str">
        <f t="shared" si="2"/>
        <v/>
      </c>
      <c r="F22" s="1026"/>
      <c r="G22" s="1012"/>
      <c r="H22" s="1010"/>
      <c r="I22" s="1010"/>
      <c r="J22" s="1010"/>
      <c r="K22" s="1009"/>
      <c r="L22" s="1011"/>
      <c r="M22" s="1010"/>
      <c r="N22" s="1010"/>
      <c r="O22" s="1010"/>
      <c r="P22" s="1009"/>
      <c r="Q22" s="1011"/>
      <c r="R22" s="1010"/>
      <c r="S22" s="1010"/>
      <c r="T22" s="1010"/>
      <c r="U22" s="1009"/>
      <c r="V22" s="1011"/>
      <c r="W22" s="1010"/>
      <c r="X22" s="1010"/>
      <c r="Y22" s="1010"/>
      <c r="Z22" s="1009"/>
      <c r="AA22" s="1011"/>
      <c r="AB22" s="1010"/>
      <c r="AC22" s="1010"/>
      <c r="AD22" s="1010"/>
      <c r="AE22" s="1009"/>
      <c r="AF22" s="1011"/>
      <c r="AG22" s="1010"/>
      <c r="AH22" s="1010"/>
      <c r="AI22" s="1010"/>
      <c r="AJ22" s="1009"/>
    </row>
    <row r="23" spans="2:36" ht="22.5" customHeight="1" x14ac:dyDescent="0.35">
      <c r="B23" s="1023">
        <v>9</v>
      </c>
      <c r="C23" s="1022" t="s">
        <v>459</v>
      </c>
      <c r="D23" s="1025" t="str">
        <f t="shared" si="1"/>
        <v/>
      </c>
      <c r="E23" s="1024" t="str">
        <f t="shared" si="2"/>
        <v/>
      </c>
      <c r="F23" s="1021"/>
      <c r="G23" s="1020"/>
      <c r="H23" s="1018"/>
      <c r="I23" s="1018"/>
      <c r="J23" s="1018"/>
      <c r="K23" s="1017"/>
      <c r="L23" s="1019"/>
      <c r="M23" s="1018"/>
      <c r="N23" s="1018"/>
      <c r="O23" s="1018"/>
      <c r="P23" s="1017"/>
      <c r="Q23" s="1019"/>
      <c r="R23" s="1018"/>
      <c r="S23" s="1018"/>
      <c r="T23" s="1018"/>
      <c r="U23" s="1017"/>
      <c r="V23" s="1019"/>
      <c r="W23" s="1018"/>
      <c r="X23" s="1018"/>
      <c r="Y23" s="1018"/>
      <c r="Z23" s="1017"/>
      <c r="AA23" s="1019"/>
      <c r="AB23" s="1018"/>
      <c r="AC23" s="1018"/>
      <c r="AD23" s="1018"/>
      <c r="AE23" s="1017"/>
      <c r="AF23" s="1019"/>
      <c r="AG23" s="1018"/>
      <c r="AH23" s="1018"/>
      <c r="AI23" s="1018"/>
      <c r="AJ23" s="1017"/>
    </row>
    <row r="24" spans="2:36" ht="22.5" customHeight="1" x14ac:dyDescent="0.35">
      <c r="B24" s="1014">
        <v>10</v>
      </c>
      <c r="C24" s="1013" t="s">
        <v>458</v>
      </c>
      <c r="D24" s="1016" t="str">
        <f t="shared" si="1"/>
        <v/>
      </c>
      <c r="E24" s="1015" t="str">
        <f t="shared" si="2"/>
        <v/>
      </c>
      <c r="F24" s="1060"/>
      <c r="G24" s="1012"/>
      <c r="H24" s="1010"/>
      <c r="I24" s="1010"/>
      <c r="J24" s="1010"/>
      <c r="K24" s="1009"/>
      <c r="L24" s="1011"/>
      <c r="M24" s="1010"/>
      <c r="N24" s="1010"/>
      <c r="O24" s="1010"/>
      <c r="P24" s="1009"/>
      <c r="Q24" s="1011"/>
      <c r="R24" s="1010"/>
      <c r="S24" s="1010"/>
      <c r="T24" s="1010"/>
      <c r="U24" s="1009"/>
      <c r="V24" s="1011"/>
      <c r="W24" s="1010"/>
      <c r="X24" s="1010"/>
      <c r="Y24" s="1010"/>
      <c r="Z24" s="1009"/>
      <c r="AA24" s="1011"/>
      <c r="AB24" s="1010"/>
      <c r="AC24" s="1010"/>
      <c r="AD24" s="1010"/>
      <c r="AE24" s="1009"/>
      <c r="AF24" s="1011"/>
      <c r="AG24" s="1010"/>
      <c r="AH24" s="1010"/>
      <c r="AI24" s="1010"/>
      <c r="AJ24" s="1009"/>
    </row>
    <row r="25" spans="2:36" ht="10.5" customHeight="1" x14ac:dyDescent="0.35"/>
  </sheetData>
  <conditionalFormatting sqref="G11:W13 Y11:AJ13">
    <cfRule type="expression" dxfId="18" priority="1">
      <formula>G$6&lt;&gt;"Alta"</formula>
    </cfRule>
  </conditionalFormatting>
  <conditionalFormatting sqref="G14:AJ14">
    <cfRule type="aboveAverage" dxfId="17" priority="2"/>
  </conditionalFormatting>
  <conditionalFormatting sqref="G15:AJ24">
    <cfRule type="colorScale" priority="3">
      <colorScale>
        <cfvo type="num" val="$B$5"/>
        <cfvo type="percentile" val="50"/>
        <cfvo type="num" val="$B$8"/>
        <color rgb="FFF8696B"/>
        <color rgb="FFFFEB84"/>
        <color rgb="FF63BE7B"/>
      </colorScale>
    </cfRule>
  </conditionalFormatting>
  <conditionalFormatting sqref="X11:X13">
    <cfRule type="expression" dxfId="16" priority="4924">
      <formula>AS$1&lt;&gt;"Alta"</formula>
    </cfRule>
  </conditionalFormatting>
  <dataValidations count="1">
    <dataValidation type="whole" allowBlank="1" showInputMessage="1" showErrorMessage="1" sqref="G15:AJ24" xr:uid="{00000000-0002-0000-0000-000000000000}">
      <formula1>$B$5</formula1>
      <formula2>$B$8</formula2>
    </dataValidation>
  </dataValidations>
  <printOptions horizontalCentered="1"/>
  <pageMargins left="0.39370078740157483" right="0.39370078740157483" top="0.59055118110236227" bottom="0.39370078740157483" header="0" footer="0"/>
  <pageSetup paperSize="9" scale="55" orientation="landscape" r:id="rId1"/>
  <rowBreaks count="1" manualBreakCount="1">
    <brk id="24" max="2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C1B0-00CE-4376-8492-82100045A444}">
  <sheetPr>
    <pageSetUpPr autoPageBreaks="0"/>
  </sheetPr>
  <dimension ref="A1:AG607"/>
  <sheetViews>
    <sheetView showGridLines="0" showZeros="0" view="pageBreakPreview" zoomScale="55" zoomScaleNormal="10" zoomScaleSheetLayoutView="55" workbookViewId="0">
      <pane xSplit="1" ySplit="5" topLeftCell="B6" activePane="bottomRight" state="frozen"/>
      <selection activeCell="D17" sqref="D17"/>
      <selection pane="topRight" activeCell="D17" sqref="D17"/>
      <selection pane="bottomLeft" activeCell="D17" sqref="D17"/>
      <selection pane="bottomRight" activeCell="A2" sqref="A2:XFD2"/>
    </sheetView>
  </sheetViews>
  <sheetFormatPr baseColWidth="10" defaultColWidth="10.77734375" defaultRowHeight="15.6" x14ac:dyDescent="0.3"/>
  <cols>
    <col min="1" max="1" width="3.21875" style="672" customWidth="1"/>
    <col min="2" max="2" width="8.77734375" style="669" customWidth="1"/>
    <col min="3" max="3" width="37.77734375" style="707" customWidth="1"/>
    <col min="4" max="33" width="6.77734375" style="672" customWidth="1"/>
    <col min="34" max="16384" width="10.77734375" style="672"/>
  </cols>
  <sheetData>
    <row r="1" spans="1:33" s="131" customFormat="1" ht="24" customHeight="1" x14ac:dyDescent="0.45">
      <c r="A1" s="449" t="s">
        <v>271</v>
      </c>
      <c r="B1" s="450"/>
      <c r="C1" s="451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3"/>
      <c r="O1" s="454"/>
      <c r="P1" s="454"/>
      <c r="Q1" s="454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3"/>
      <c r="AF1" s="452"/>
      <c r="AG1" s="452"/>
    </row>
    <row r="2" spans="1:33" s="1093" customFormat="1" ht="25.05" customHeight="1" x14ac:dyDescent="0.3">
      <c r="A2" s="1092"/>
      <c r="B2" s="225" t="str">
        <f>IModulo&amp;" ("&amp;IProfesor&amp;")"</f>
        <v>FPM-it-1-0237 Infra. comunes de teleco en viviendas y edificios (Rafa Sanz)</v>
      </c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O2" s="1095"/>
      <c r="P2" s="1095"/>
      <c r="Q2" s="1095"/>
      <c r="R2" s="1094"/>
      <c r="S2" s="1094"/>
      <c r="T2" s="1094"/>
      <c r="U2" s="1094"/>
      <c r="V2" s="1094"/>
      <c r="W2" s="1094"/>
      <c r="X2" s="1094"/>
      <c r="Y2" s="1094"/>
      <c r="Z2" s="1094"/>
      <c r="AA2" s="1094"/>
      <c r="AB2" s="1094"/>
      <c r="AC2" s="1094"/>
      <c r="AD2" s="1094"/>
      <c r="AF2" s="1094"/>
      <c r="AG2" s="1094"/>
    </row>
    <row r="3" spans="1:33" s="692" customFormat="1" ht="95.1" customHeight="1" x14ac:dyDescent="0.3">
      <c r="A3" s="20"/>
      <c r="B3" s="116"/>
      <c r="C3" s="688" t="s">
        <v>41</v>
      </c>
      <c r="D3" s="689" t="str">
        <f>AlNo01&amp;CHAR(10)&amp;AlAp01</f>
        <v>nom1 --
ap1 --</v>
      </c>
      <c r="E3" s="690" t="str">
        <f>AlNo02&amp;CHAR(10)&amp;AlAp02</f>
        <v>nom2 --
ap2 --</v>
      </c>
      <c r="F3" s="690" t="str">
        <f>AlNo03&amp;CHAR(10)&amp;AlAp03</f>
        <v>nom3 --
ap3 --</v>
      </c>
      <c r="G3" s="690" t="str">
        <f>AlNo04&amp;CHAR(10)&amp;AlAp04</f>
        <v>nom4 --
ap4 --</v>
      </c>
      <c r="H3" s="691" t="str">
        <f>AlNo05&amp;CHAR(10)&amp;AlAp05</f>
        <v>nom5-----
ap5----</v>
      </c>
      <c r="I3" s="690" t="str">
        <f>AlNo06&amp;CHAR(10)&amp;AlAp06</f>
        <v>nom6-----
ap6------</v>
      </c>
      <c r="J3" s="690" t="str">
        <f>AlNo07&amp;CHAR(10)&amp;AlAp07</f>
        <v xml:space="preserve">
</v>
      </c>
      <c r="K3" s="690" t="str">
        <f>AlNo08&amp;CHAR(10)&amp;AlAp08</f>
        <v xml:space="preserve">
</v>
      </c>
      <c r="L3" s="690" t="str">
        <f>AlNo09&amp;CHAR(10)&amp;AlAp09</f>
        <v xml:space="preserve">
</v>
      </c>
      <c r="M3" s="691" t="str">
        <f>AlNo10&amp;CHAR(10)&amp;AlAp10</f>
        <v xml:space="preserve">
</v>
      </c>
      <c r="N3" s="690" t="str">
        <f>AlNo11&amp;CHAR(10)&amp;AlAp11</f>
        <v xml:space="preserve">
</v>
      </c>
      <c r="O3" s="690" t="str">
        <f>AlNo12&amp;CHAR(10)&amp;AlAp12</f>
        <v xml:space="preserve">
</v>
      </c>
      <c r="P3" s="690" t="str">
        <f>AlNo13&amp;CHAR(10)&amp;AlAp13</f>
        <v xml:space="preserve">
</v>
      </c>
      <c r="Q3" s="690" t="str">
        <f>AlNo14&amp;CHAR(10)&amp;AlAp14</f>
        <v xml:space="preserve">
</v>
      </c>
      <c r="R3" s="691" t="str">
        <f>AlNo15&amp;CHAR(10)&amp;AlAp15</f>
        <v xml:space="preserve">
</v>
      </c>
      <c r="S3" s="690" t="str">
        <f>AlNo16&amp;CHAR(10)&amp;AlAp16</f>
        <v xml:space="preserve">
</v>
      </c>
      <c r="T3" s="690" t="str">
        <f>AlNo17&amp;CHAR(10)&amp;AlAp17</f>
        <v xml:space="preserve">
</v>
      </c>
      <c r="U3" s="690" t="str">
        <f>AlNo18&amp;CHAR(10)&amp;AlAp18</f>
        <v xml:space="preserve">
</v>
      </c>
      <c r="V3" s="690" t="str">
        <f>AlNo19&amp;CHAR(10)&amp;AlAp19</f>
        <v xml:space="preserve">
</v>
      </c>
      <c r="W3" s="691" t="str">
        <f>AlNo20&amp;CHAR(10)&amp;AlAp20</f>
        <v xml:space="preserve">
</v>
      </c>
      <c r="X3" s="690" t="str">
        <f>AlNo21&amp;CHAR(10)&amp;AlAp21</f>
        <v xml:space="preserve">
</v>
      </c>
      <c r="Y3" s="690" t="str">
        <f>AlNo22&amp;CHAR(10)&amp;AlAp22</f>
        <v xml:space="preserve">
</v>
      </c>
      <c r="Z3" s="690" t="str">
        <f>AlNo23&amp;CHAR(10)&amp;AlAp23</f>
        <v xml:space="preserve">
</v>
      </c>
      <c r="AA3" s="690" t="str">
        <f>AlNo24&amp;CHAR(10)&amp;AlAp24</f>
        <v xml:space="preserve">
</v>
      </c>
      <c r="AB3" s="691" t="str">
        <f>AlNo25&amp;CHAR(10)&amp;AlAp25</f>
        <v xml:space="preserve">
</v>
      </c>
      <c r="AC3" s="690" t="str">
        <f>AlNo26&amp;CHAR(10)&amp;AlAp26</f>
        <v xml:space="preserve">
</v>
      </c>
      <c r="AD3" s="690" t="str">
        <f>AlNo27&amp;CHAR(10)&amp;AlAp27</f>
        <v xml:space="preserve">
</v>
      </c>
      <c r="AE3" s="690" t="str">
        <f>AlNo28&amp;CHAR(10)&amp;AlAp28</f>
        <v xml:space="preserve">
</v>
      </c>
      <c r="AF3" s="690" t="str">
        <f>AlNo29&amp;CHAR(10)&amp;AlAp29</f>
        <v xml:space="preserve">
</v>
      </c>
      <c r="AG3" s="691" t="str">
        <f>AlNo30&amp;CHAR(10)&amp;AlAp30</f>
        <v xml:space="preserve">
</v>
      </c>
    </row>
    <row r="4" spans="1:33" s="669" customFormat="1" x14ac:dyDescent="0.3">
      <c r="A4" s="466"/>
      <c r="B4" s="693"/>
      <c r="C4" s="76" t="s">
        <v>32</v>
      </c>
      <c r="D4" s="566" t="str">
        <f>AlCo01</f>
        <v>AN01</v>
      </c>
      <c r="E4" s="416" t="str">
        <f>AlCo02</f>
        <v>AN02</v>
      </c>
      <c r="F4" s="416" t="str">
        <f>AlCo03</f>
        <v>AN03</v>
      </c>
      <c r="G4" s="416" t="str">
        <f>AlCo04</f>
        <v>AN04</v>
      </c>
      <c r="H4" s="417" t="str">
        <f>AlCo05</f>
        <v>AN05</v>
      </c>
      <c r="I4" s="416" t="str">
        <f>AlCo06</f>
        <v>AN06</v>
      </c>
      <c r="J4" s="416" t="str">
        <f>AlCo07</f>
        <v/>
      </c>
      <c r="K4" s="416" t="str">
        <f>AlCo08</f>
        <v/>
      </c>
      <c r="L4" s="416" t="str">
        <f>AlCo09</f>
        <v/>
      </c>
      <c r="M4" s="417" t="str">
        <f>AlCo10</f>
        <v/>
      </c>
      <c r="N4" s="416" t="str">
        <f>AlCo11</f>
        <v/>
      </c>
      <c r="O4" s="416" t="str">
        <f>AlCo12</f>
        <v/>
      </c>
      <c r="P4" s="416" t="str">
        <f>AlCo13</f>
        <v/>
      </c>
      <c r="Q4" s="416" t="str">
        <f>AlCo14</f>
        <v/>
      </c>
      <c r="R4" s="417" t="str">
        <f>AlCo15</f>
        <v/>
      </c>
      <c r="S4" s="416" t="str">
        <f>AlCo16</f>
        <v/>
      </c>
      <c r="T4" s="416" t="str">
        <f>AlCo17</f>
        <v/>
      </c>
      <c r="U4" s="416" t="str">
        <f>AlCo18</f>
        <v/>
      </c>
      <c r="V4" s="416" t="str">
        <f>AlCo19</f>
        <v/>
      </c>
      <c r="W4" s="417" t="str">
        <f>AlCo20</f>
        <v/>
      </c>
      <c r="X4" s="416" t="str">
        <f>AlCo21</f>
        <v/>
      </c>
      <c r="Y4" s="416" t="str">
        <f>AlCo22</f>
        <v/>
      </c>
      <c r="Z4" s="416" t="str">
        <f>AlCo23</f>
        <v/>
      </c>
      <c r="AA4" s="416" t="str">
        <f>AlCo24</f>
        <v/>
      </c>
      <c r="AB4" s="417" t="str">
        <f>AlCo25</f>
        <v/>
      </c>
      <c r="AC4" s="416" t="str">
        <f>AlCo26</f>
        <v/>
      </c>
      <c r="AD4" s="416" t="str">
        <f>AlCo27</f>
        <v/>
      </c>
      <c r="AE4" s="416" t="str">
        <f>AlCo28</f>
        <v/>
      </c>
      <c r="AF4" s="416" t="str">
        <f>AlCo29</f>
        <v/>
      </c>
      <c r="AG4" s="417" t="str">
        <f>AlCo30</f>
        <v/>
      </c>
    </row>
    <row r="5" spans="1:33" s="856" customFormat="1" ht="16.2" thickBot="1" x14ac:dyDescent="0.35">
      <c r="A5" s="15"/>
      <c r="B5" s="23" t="s">
        <v>330</v>
      </c>
      <c r="C5" s="23" t="s">
        <v>249</v>
      </c>
      <c r="D5" s="857" t="str">
        <f>AlEs01</f>
        <v>Alta</v>
      </c>
      <c r="E5" s="858" t="str">
        <f>AlEs02</f>
        <v>Alta</v>
      </c>
      <c r="F5" s="858" t="str">
        <f>AlEs03</f>
        <v>Alta</v>
      </c>
      <c r="G5" s="858" t="str">
        <f>AlEs04</f>
        <v>Alta</v>
      </c>
      <c r="H5" s="859" t="str">
        <f>AlEs05</f>
        <v>Alta</v>
      </c>
      <c r="I5" s="858" t="str">
        <f>AlEs06</f>
        <v>Alta</v>
      </c>
      <c r="J5" s="858">
        <f>AlEs07</f>
        <v>0</v>
      </c>
      <c r="K5" s="858">
        <f>AlEs08</f>
        <v>0</v>
      </c>
      <c r="L5" s="858">
        <f>AlEs09</f>
        <v>0</v>
      </c>
      <c r="M5" s="859">
        <f>AlEs10</f>
        <v>0</v>
      </c>
      <c r="N5" s="858">
        <f>AlEs11</f>
        <v>0</v>
      </c>
      <c r="O5" s="858">
        <f>AlEs12</f>
        <v>0</v>
      </c>
      <c r="P5" s="858">
        <f>AlEs13</f>
        <v>0</v>
      </c>
      <c r="Q5" s="858">
        <f>AlEs14</f>
        <v>0</v>
      </c>
      <c r="R5" s="859">
        <f>AlEs15</f>
        <v>0</v>
      </c>
      <c r="S5" s="858">
        <f>AlEs16</f>
        <v>0</v>
      </c>
      <c r="T5" s="858">
        <f>AlEs17</f>
        <v>0</v>
      </c>
      <c r="U5" s="858">
        <f>AlEs18</f>
        <v>0</v>
      </c>
      <c r="V5" s="858">
        <f>AlEs19</f>
        <v>0</v>
      </c>
      <c r="W5" s="859">
        <f>AlEs20</f>
        <v>0</v>
      </c>
      <c r="X5" s="858">
        <f>AlEs21</f>
        <v>0</v>
      </c>
      <c r="Y5" s="858">
        <f>AlEs22</f>
        <v>0</v>
      </c>
      <c r="Z5" s="858">
        <f>AlEs23</f>
        <v>0</v>
      </c>
      <c r="AA5" s="858">
        <f>AlEs24</f>
        <v>0</v>
      </c>
      <c r="AB5" s="859">
        <f>AlEs25</f>
        <v>0</v>
      </c>
      <c r="AC5" s="858">
        <f>AlEs26</f>
        <v>0</v>
      </c>
      <c r="AD5" s="858">
        <f>AlEs27</f>
        <v>0</v>
      </c>
      <c r="AE5" s="858">
        <f>AlEs28</f>
        <v>0</v>
      </c>
      <c r="AF5" s="858">
        <f>AlEs29</f>
        <v>0</v>
      </c>
      <c r="AG5" s="859">
        <f>AlEs30</f>
        <v>0</v>
      </c>
    </row>
    <row r="6" spans="1:33" s="696" customFormat="1" ht="37.5" customHeight="1" x14ac:dyDescent="0.3">
      <c r="B6" s="710" t="str">
        <f>CoUD00</f>
        <v>UD00</v>
      </c>
      <c r="C6" s="713" t="str">
        <f>UnDi00</f>
        <v>pw</v>
      </c>
      <c r="D6" s="677"/>
      <c r="E6" s="678"/>
      <c r="F6" s="678"/>
      <c r="G6" s="678"/>
      <c r="H6" s="711"/>
      <c r="I6" s="677"/>
      <c r="J6" s="678"/>
      <c r="K6" s="678"/>
      <c r="L6" s="678"/>
      <c r="M6" s="711"/>
      <c r="N6" s="677"/>
      <c r="O6" s="678"/>
      <c r="P6" s="678"/>
      <c r="Q6" s="678"/>
      <c r="R6" s="711"/>
      <c r="S6" s="677"/>
      <c r="T6" s="678"/>
      <c r="U6" s="678"/>
      <c r="V6" s="678"/>
      <c r="W6" s="711"/>
      <c r="X6" s="677"/>
      <c r="Y6" s="678"/>
      <c r="Z6" s="678"/>
      <c r="AA6" s="678"/>
      <c r="AB6" s="711"/>
      <c r="AC6" s="677"/>
      <c r="AD6" s="678"/>
      <c r="AE6" s="678"/>
      <c r="AF6" s="678"/>
      <c r="AG6" s="711"/>
    </row>
    <row r="7" spans="1:33" s="696" customFormat="1" ht="37.5" customHeight="1" x14ac:dyDescent="0.3">
      <c r="B7" s="693" t="str">
        <f>CoUD01</f>
        <v>UD01</v>
      </c>
      <c r="C7" s="714" t="str">
        <f>UnDi01</f>
        <v>ysbu</v>
      </c>
      <c r="D7" s="679"/>
      <c r="E7" s="680"/>
      <c r="F7" s="680"/>
      <c r="G7" s="680"/>
      <c r="H7" s="705"/>
      <c r="I7" s="679"/>
      <c r="J7" s="680"/>
      <c r="K7" s="680"/>
      <c r="L7" s="712"/>
      <c r="M7" s="705"/>
      <c r="N7" s="679"/>
      <c r="O7" s="680"/>
      <c r="P7" s="680"/>
      <c r="Q7" s="680"/>
      <c r="R7" s="705"/>
      <c r="S7" s="679"/>
      <c r="T7" s="680"/>
      <c r="U7" s="680"/>
      <c r="V7" s="680"/>
      <c r="W7" s="705"/>
      <c r="X7" s="679"/>
      <c r="Y7" s="680"/>
      <c r="Z7" s="680"/>
      <c r="AA7" s="680"/>
      <c r="AB7" s="705"/>
      <c r="AC7" s="679"/>
      <c r="AD7" s="680"/>
      <c r="AE7" s="680"/>
      <c r="AF7" s="680"/>
      <c r="AG7" s="705"/>
    </row>
    <row r="8" spans="1:33" s="696" customFormat="1" ht="37.5" customHeight="1" x14ac:dyDescent="0.3">
      <c r="B8" s="710"/>
      <c r="C8" s="715" t="s">
        <v>250</v>
      </c>
      <c r="D8" s="679"/>
      <c r="E8" s="680"/>
      <c r="F8" s="680"/>
      <c r="G8" s="680"/>
      <c r="H8" s="705"/>
      <c r="I8" s="679"/>
      <c r="J8" s="680"/>
      <c r="K8" s="680"/>
      <c r="L8" s="680"/>
      <c r="M8" s="705"/>
      <c r="N8" s="679"/>
      <c r="O8" s="680"/>
      <c r="P8" s="680"/>
      <c r="Q8" s="680"/>
      <c r="R8" s="705"/>
      <c r="S8" s="679"/>
      <c r="T8" s="680"/>
      <c r="U8" s="680"/>
      <c r="V8" s="680"/>
      <c r="W8" s="705"/>
      <c r="X8" s="679"/>
      <c r="Y8" s="680"/>
      <c r="Z8" s="680"/>
      <c r="AA8" s="680"/>
      <c r="AB8" s="705"/>
      <c r="AC8" s="679"/>
      <c r="AD8" s="680"/>
      <c r="AE8" s="680"/>
      <c r="AF8" s="680"/>
      <c r="AG8" s="705"/>
    </row>
    <row r="9" spans="1:33" s="696" customFormat="1" ht="37.5" customHeight="1" x14ac:dyDescent="0.3">
      <c r="B9" s="693" t="str">
        <f>CoUD02</f>
        <v>UD02</v>
      </c>
      <c r="C9" s="714" t="str">
        <f>UnDi02</f>
        <v xml:space="preserve">sdfdfasdfdsa </v>
      </c>
      <c r="D9" s="679"/>
      <c r="E9" s="680"/>
      <c r="F9" s="680"/>
      <c r="G9" s="680"/>
      <c r="H9" s="705"/>
      <c r="I9" s="679"/>
      <c r="J9" s="680"/>
      <c r="K9" s="680"/>
      <c r="L9" s="680"/>
      <c r="M9" s="705"/>
      <c r="N9" s="679"/>
      <c r="O9" s="680"/>
      <c r="P9" s="680"/>
      <c r="Q9" s="680"/>
      <c r="R9" s="705"/>
      <c r="S9" s="679"/>
      <c r="T9" s="680"/>
      <c r="U9" s="680"/>
      <c r="V9" s="680"/>
      <c r="W9" s="705"/>
      <c r="X9" s="679"/>
      <c r="Y9" s="680"/>
      <c r="Z9" s="680"/>
      <c r="AA9" s="680"/>
      <c r="AB9" s="705"/>
      <c r="AC9" s="679"/>
      <c r="AD9" s="680"/>
      <c r="AE9" s="680"/>
      <c r="AF9" s="680"/>
      <c r="AG9" s="705"/>
    </row>
    <row r="10" spans="1:33" s="696" customFormat="1" ht="37.5" customHeight="1" x14ac:dyDescent="0.3">
      <c r="B10" s="710"/>
      <c r="C10" s="715" t="s">
        <v>250</v>
      </c>
      <c r="D10" s="679"/>
      <c r="E10" s="680"/>
      <c r="F10" s="680"/>
      <c r="G10" s="680"/>
      <c r="H10" s="705"/>
      <c r="I10" s="679"/>
      <c r="J10" s="680"/>
      <c r="K10" s="680"/>
      <c r="L10" s="680"/>
      <c r="M10" s="705"/>
      <c r="N10" s="679"/>
      <c r="O10" s="680"/>
      <c r="P10" s="680"/>
      <c r="Q10" s="680"/>
      <c r="R10" s="705"/>
      <c r="S10" s="679"/>
      <c r="T10" s="680"/>
      <c r="U10" s="680"/>
      <c r="V10" s="680"/>
      <c r="W10" s="705"/>
      <c r="X10" s="679"/>
      <c r="Y10" s="680"/>
      <c r="Z10" s="680"/>
      <c r="AA10" s="680"/>
      <c r="AB10" s="705"/>
      <c r="AC10" s="679"/>
      <c r="AD10" s="680"/>
      <c r="AE10" s="680"/>
      <c r="AF10" s="680"/>
      <c r="AG10" s="705"/>
    </row>
    <row r="11" spans="1:33" s="696" customFormat="1" ht="37.5" customHeight="1" x14ac:dyDescent="0.3">
      <c r="B11" s="693" t="str">
        <f>CoUD03</f>
        <v/>
      </c>
      <c r="C11" s="714">
        <f>UnDi03</f>
        <v>0</v>
      </c>
      <c r="D11" s="679"/>
      <c r="E11" s="680"/>
      <c r="F11" s="680"/>
      <c r="G11" s="680"/>
      <c r="H11" s="705"/>
      <c r="I11" s="679"/>
      <c r="J11" s="680"/>
      <c r="K11" s="680"/>
      <c r="L11" s="680"/>
      <c r="M11" s="705"/>
      <c r="N11" s="679"/>
      <c r="O11" s="680"/>
      <c r="P11" s="680"/>
      <c r="Q11" s="680"/>
      <c r="R11" s="705"/>
      <c r="S11" s="679"/>
      <c r="T11" s="680"/>
      <c r="U11" s="680"/>
      <c r="V11" s="680"/>
      <c r="W11" s="705"/>
      <c r="X11" s="679"/>
      <c r="Y11" s="680"/>
      <c r="Z11" s="680"/>
      <c r="AA11" s="680"/>
      <c r="AB11" s="705"/>
      <c r="AC11" s="679"/>
      <c r="AD11" s="680"/>
      <c r="AE11" s="680"/>
      <c r="AF11" s="680"/>
      <c r="AG11" s="705"/>
    </row>
    <row r="12" spans="1:33" s="696" customFormat="1" ht="37.5" customHeight="1" x14ac:dyDescent="0.3">
      <c r="B12" s="710"/>
      <c r="C12" s="715" t="s">
        <v>250</v>
      </c>
      <c r="D12" s="679"/>
      <c r="E12" s="680"/>
      <c r="F12" s="680"/>
      <c r="G12" s="680"/>
      <c r="H12" s="705"/>
      <c r="I12" s="679"/>
      <c r="J12" s="680"/>
      <c r="K12" s="680"/>
      <c r="L12" s="680"/>
      <c r="M12" s="705"/>
      <c r="N12" s="679"/>
      <c r="O12" s="680"/>
      <c r="P12" s="680"/>
      <c r="Q12" s="680"/>
      <c r="R12" s="705"/>
      <c r="S12" s="679"/>
      <c r="T12" s="680"/>
      <c r="U12" s="680"/>
      <c r="V12" s="680"/>
      <c r="W12" s="705"/>
      <c r="X12" s="679"/>
      <c r="Y12" s="680"/>
      <c r="Z12" s="680"/>
      <c r="AA12" s="680"/>
      <c r="AB12" s="705"/>
      <c r="AC12" s="679"/>
      <c r="AD12" s="680"/>
      <c r="AE12" s="680"/>
      <c r="AF12" s="680"/>
      <c r="AG12" s="705"/>
    </row>
    <row r="13" spans="1:33" s="696" customFormat="1" ht="37.5" customHeight="1" x14ac:dyDescent="0.3">
      <c r="B13" s="693" t="str">
        <f>CoUD04</f>
        <v/>
      </c>
      <c r="C13" s="714">
        <f>UnDi04</f>
        <v>0</v>
      </c>
      <c r="D13" s="679"/>
      <c r="E13" s="680"/>
      <c r="F13" s="680"/>
      <c r="G13" s="680"/>
      <c r="H13" s="705"/>
      <c r="I13" s="679"/>
      <c r="J13" s="680"/>
      <c r="K13" s="680"/>
      <c r="L13" s="680"/>
      <c r="M13" s="705"/>
      <c r="N13" s="679"/>
      <c r="O13" s="680"/>
      <c r="P13" s="680"/>
      <c r="Q13" s="680"/>
      <c r="R13" s="705"/>
      <c r="S13" s="679"/>
      <c r="T13" s="680"/>
      <c r="U13" s="680"/>
      <c r="V13" s="680"/>
      <c r="W13" s="705"/>
      <c r="X13" s="679"/>
      <c r="Y13" s="680"/>
      <c r="Z13" s="680"/>
      <c r="AA13" s="680"/>
      <c r="AB13" s="705"/>
      <c r="AC13" s="679"/>
      <c r="AD13" s="680"/>
      <c r="AE13" s="680"/>
      <c r="AF13" s="680"/>
      <c r="AG13" s="705"/>
    </row>
    <row r="14" spans="1:33" s="696" customFormat="1" ht="37.5" customHeight="1" x14ac:dyDescent="0.3">
      <c r="B14" s="710"/>
      <c r="C14" s="715" t="s">
        <v>250</v>
      </c>
      <c r="D14" s="679"/>
      <c r="E14" s="680"/>
      <c r="F14" s="680"/>
      <c r="G14" s="680"/>
      <c r="H14" s="705"/>
      <c r="I14" s="679"/>
      <c r="J14" s="680"/>
      <c r="K14" s="680"/>
      <c r="L14" s="680"/>
      <c r="M14" s="705"/>
      <c r="N14" s="679"/>
      <c r="O14" s="680"/>
      <c r="P14" s="680"/>
      <c r="Q14" s="680"/>
      <c r="R14" s="705"/>
      <c r="S14" s="679"/>
      <c r="T14" s="680"/>
      <c r="U14" s="680"/>
      <c r="V14" s="680"/>
      <c r="W14" s="705"/>
      <c r="X14" s="679"/>
      <c r="Y14" s="680"/>
      <c r="Z14" s="680"/>
      <c r="AA14" s="680"/>
      <c r="AB14" s="705"/>
      <c r="AC14" s="679"/>
      <c r="AD14" s="680"/>
      <c r="AE14" s="680"/>
      <c r="AF14" s="680"/>
      <c r="AG14" s="705"/>
    </row>
    <row r="15" spans="1:33" s="696" customFormat="1" ht="37.5" customHeight="1" x14ac:dyDescent="0.3">
      <c r="B15" s="693" t="str">
        <f>CoUD05</f>
        <v/>
      </c>
      <c r="C15" s="714">
        <f>UnDi05</f>
        <v>0</v>
      </c>
      <c r="D15" s="679"/>
      <c r="E15" s="680"/>
      <c r="F15" s="680"/>
      <c r="G15" s="680"/>
      <c r="H15" s="705"/>
      <c r="I15" s="679"/>
      <c r="J15" s="680"/>
      <c r="K15" s="680"/>
      <c r="L15" s="680"/>
      <c r="M15" s="705"/>
      <c r="N15" s="679"/>
      <c r="O15" s="680"/>
      <c r="P15" s="680"/>
      <c r="Q15" s="680"/>
      <c r="R15" s="705"/>
      <c r="S15" s="679"/>
      <c r="T15" s="680"/>
      <c r="U15" s="680"/>
      <c r="V15" s="680"/>
      <c r="W15" s="705"/>
      <c r="X15" s="679"/>
      <c r="Y15" s="680"/>
      <c r="Z15" s="680"/>
      <c r="AA15" s="680"/>
      <c r="AB15" s="705"/>
      <c r="AC15" s="679"/>
      <c r="AD15" s="680"/>
      <c r="AE15" s="680"/>
      <c r="AF15" s="680"/>
      <c r="AG15" s="705"/>
    </row>
    <row r="16" spans="1:33" s="696" customFormat="1" ht="37.5" customHeight="1" x14ac:dyDescent="0.3">
      <c r="B16" s="710"/>
      <c r="C16" s="715" t="s">
        <v>250</v>
      </c>
      <c r="D16" s="679"/>
      <c r="E16" s="680"/>
      <c r="F16" s="680"/>
      <c r="G16" s="680"/>
      <c r="H16" s="705"/>
      <c r="I16" s="679"/>
      <c r="J16" s="680"/>
      <c r="K16" s="680"/>
      <c r="L16" s="680"/>
      <c r="M16" s="705"/>
      <c r="N16" s="679"/>
      <c r="O16" s="680"/>
      <c r="P16" s="680"/>
      <c r="Q16" s="680"/>
      <c r="R16" s="705"/>
      <c r="S16" s="679"/>
      <c r="T16" s="680"/>
      <c r="U16" s="680"/>
      <c r="V16" s="680"/>
      <c r="W16" s="705"/>
      <c r="X16" s="679"/>
      <c r="Y16" s="680"/>
      <c r="Z16" s="680"/>
      <c r="AA16" s="680"/>
      <c r="AB16" s="705"/>
      <c r="AC16" s="679"/>
      <c r="AD16" s="680"/>
      <c r="AE16" s="680"/>
      <c r="AF16" s="680"/>
      <c r="AG16" s="705"/>
    </row>
    <row r="17" spans="2:33" s="696" customFormat="1" ht="37.5" customHeight="1" x14ac:dyDescent="0.3">
      <c r="B17" s="693" t="str">
        <f>CoUD06</f>
        <v/>
      </c>
      <c r="C17" s="714">
        <f>UnDi06</f>
        <v>0</v>
      </c>
      <c r="D17" s="679"/>
      <c r="E17" s="680"/>
      <c r="F17" s="680"/>
      <c r="G17" s="680"/>
      <c r="H17" s="705"/>
      <c r="I17" s="679"/>
      <c r="J17" s="680"/>
      <c r="K17" s="680"/>
      <c r="L17" s="680"/>
      <c r="M17" s="705"/>
      <c r="N17" s="679"/>
      <c r="O17" s="680"/>
      <c r="P17" s="680"/>
      <c r="Q17" s="680"/>
      <c r="R17" s="705"/>
      <c r="S17" s="679"/>
      <c r="T17" s="680"/>
      <c r="U17" s="680"/>
      <c r="V17" s="680"/>
      <c r="W17" s="705"/>
      <c r="X17" s="679"/>
      <c r="Y17" s="680"/>
      <c r="Z17" s="680"/>
      <c r="AA17" s="680"/>
      <c r="AB17" s="705"/>
      <c r="AC17" s="679"/>
      <c r="AD17" s="680"/>
      <c r="AE17" s="680"/>
      <c r="AF17" s="680"/>
      <c r="AG17" s="705"/>
    </row>
    <row r="18" spans="2:33" s="696" customFormat="1" ht="37.5" customHeight="1" x14ac:dyDescent="0.3">
      <c r="B18" s="710"/>
      <c r="C18" s="715" t="s">
        <v>250</v>
      </c>
      <c r="D18" s="679"/>
      <c r="E18" s="680"/>
      <c r="F18" s="680"/>
      <c r="G18" s="680"/>
      <c r="H18" s="705"/>
      <c r="I18" s="679"/>
      <c r="J18" s="680"/>
      <c r="K18" s="680"/>
      <c r="L18" s="680"/>
      <c r="M18" s="705"/>
      <c r="N18" s="679"/>
      <c r="O18" s="680"/>
      <c r="P18" s="680"/>
      <c r="Q18" s="680"/>
      <c r="R18" s="705"/>
      <c r="S18" s="679"/>
      <c r="T18" s="680"/>
      <c r="U18" s="680"/>
      <c r="V18" s="680"/>
      <c r="W18" s="705"/>
      <c r="X18" s="679"/>
      <c r="Y18" s="680"/>
      <c r="Z18" s="680"/>
      <c r="AA18" s="680"/>
      <c r="AB18" s="705"/>
      <c r="AC18" s="679"/>
      <c r="AD18" s="680"/>
      <c r="AE18" s="680"/>
      <c r="AF18" s="680"/>
      <c r="AG18" s="705"/>
    </row>
    <row r="19" spans="2:33" s="696" customFormat="1" ht="37.5" customHeight="1" x14ac:dyDescent="0.3">
      <c r="B19" s="693" t="str">
        <f>CoUD07</f>
        <v/>
      </c>
      <c r="C19" s="749">
        <f>UnDi07</f>
        <v>0</v>
      </c>
      <c r="D19" s="679"/>
      <c r="E19" s="680"/>
      <c r="F19" s="680"/>
      <c r="G19" s="680"/>
      <c r="H19" s="705"/>
      <c r="I19" s="679"/>
      <c r="J19" s="680"/>
      <c r="K19" s="680"/>
      <c r="L19" s="680"/>
      <c r="M19" s="705"/>
      <c r="N19" s="679"/>
      <c r="O19" s="680"/>
      <c r="P19" s="680"/>
      <c r="Q19" s="680"/>
      <c r="R19" s="705"/>
      <c r="S19" s="679"/>
      <c r="T19" s="680"/>
      <c r="U19" s="680"/>
      <c r="V19" s="680"/>
      <c r="W19" s="705"/>
      <c r="X19" s="679"/>
      <c r="Y19" s="680"/>
      <c r="Z19" s="680"/>
      <c r="AA19" s="680"/>
      <c r="AB19" s="705"/>
      <c r="AC19" s="679"/>
      <c r="AD19" s="680"/>
      <c r="AE19" s="680"/>
      <c r="AF19" s="680"/>
      <c r="AG19" s="705"/>
    </row>
    <row r="20" spans="2:33" s="696" customFormat="1" ht="37.5" customHeight="1" x14ac:dyDescent="0.3">
      <c r="B20" s="710"/>
      <c r="C20" s="750" t="s">
        <v>250</v>
      </c>
      <c r="D20" s="679"/>
      <c r="E20" s="680"/>
      <c r="F20" s="680"/>
      <c r="G20" s="680"/>
      <c r="H20" s="705"/>
      <c r="I20" s="679"/>
      <c r="J20" s="680"/>
      <c r="K20" s="680"/>
      <c r="L20" s="680"/>
      <c r="M20" s="705"/>
      <c r="N20" s="679"/>
      <c r="O20" s="680"/>
      <c r="P20" s="680"/>
      <c r="Q20" s="680"/>
      <c r="R20" s="705"/>
      <c r="S20" s="679"/>
      <c r="T20" s="680"/>
      <c r="U20" s="680"/>
      <c r="V20" s="680"/>
      <c r="W20" s="705"/>
      <c r="X20" s="679"/>
      <c r="Y20" s="680"/>
      <c r="Z20" s="680"/>
      <c r="AA20" s="680"/>
      <c r="AB20" s="705"/>
      <c r="AC20" s="679"/>
      <c r="AD20" s="680"/>
      <c r="AE20" s="680"/>
      <c r="AF20" s="680"/>
      <c r="AG20" s="705"/>
    </row>
    <row r="21" spans="2:33" s="696" customFormat="1" ht="37.5" customHeight="1" x14ac:dyDescent="0.3">
      <c r="B21" s="693" t="str">
        <f>CoUD08</f>
        <v/>
      </c>
      <c r="C21" s="749">
        <f>UnDi08</f>
        <v>0</v>
      </c>
      <c r="D21" s="679"/>
      <c r="E21" s="680"/>
      <c r="F21" s="680"/>
      <c r="G21" s="680"/>
      <c r="H21" s="705"/>
      <c r="I21" s="679"/>
      <c r="J21" s="680"/>
      <c r="K21" s="680"/>
      <c r="L21" s="680"/>
      <c r="M21" s="705"/>
      <c r="N21" s="679"/>
      <c r="O21" s="680"/>
      <c r="P21" s="680"/>
      <c r="Q21" s="680"/>
      <c r="R21" s="705"/>
      <c r="S21" s="679"/>
      <c r="T21" s="680"/>
      <c r="U21" s="680"/>
      <c r="V21" s="680"/>
      <c r="W21" s="705"/>
      <c r="X21" s="679"/>
      <c r="Y21" s="680"/>
      <c r="Z21" s="680"/>
      <c r="AA21" s="680"/>
      <c r="AB21" s="705"/>
      <c r="AC21" s="679"/>
      <c r="AD21" s="680"/>
      <c r="AE21" s="680"/>
      <c r="AF21" s="680"/>
      <c r="AG21" s="705"/>
    </row>
    <row r="22" spans="2:33" s="696" customFormat="1" ht="37.5" customHeight="1" x14ac:dyDescent="0.3">
      <c r="B22" s="710"/>
      <c r="C22" s="715" t="s">
        <v>250</v>
      </c>
      <c r="D22" s="679"/>
      <c r="E22" s="680"/>
      <c r="F22" s="680"/>
      <c r="G22" s="680"/>
      <c r="H22" s="705"/>
      <c r="I22" s="679"/>
      <c r="J22" s="680"/>
      <c r="K22" s="680"/>
      <c r="L22" s="680"/>
      <c r="M22" s="705"/>
      <c r="N22" s="679"/>
      <c r="O22" s="680"/>
      <c r="P22" s="680"/>
      <c r="Q22" s="680"/>
      <c r="R22" s="705"/>
      <c r="S22" s="679"/>
      <c r="T22" s="680"/>
      <c r="U22" s="680"/>
      <c r="V22" s="680"/>
      <c r="W22" s="705"/>
      <c r="X22" s="679"/>
      <c r="Y22" s="680"/>
      <c r="Z22" s="680"/>
      <c r="AA22" s="680"/>
      <c r="AB22" s="705"/>
      <c r="AC22" s="679"/>
      <c r="AD22" s="680"/>
      <c r="AE22" s="680"/>
      <c r="AF22" s="680"/>
      <c r="AG22" s="705"/>
    </row>
    <row r="23" spans="2:33" s="696" customFormat="1" ht="37.5" customHeight="1" x14ac:dyDescent="0.3">
      <c r="B23" s="693" t="str">
        <f>CoUD09</f>
        <v/>
      </c>
      <c r="C23" s="714">
        <f>UnDi09</f>
        <v>0</v>
      </c>
      <c r="D23" s="679"/>
      <c r="E23" s="680"/>
      <c r="F23" s="680"/>
      <c r="G23" s="680"/>
      <c r="H23" s="705"/>
      <c r="I23" s="679"/>
      <c r="J23" s="680"/>
      <c r="K23" s="680"/>
      <c r="L23" s="680"/>
      <c r="M23" s="705"/>
      <c r="N23" s="679"/>
      <c r="O23" s="680"/>
      <c r="P23" s="680"/>
      <c r="Q23" s="680"/>
      <c r="R23" s="705"/>
      <c r="S23" s="679"/>
      <c r="T23" s="680"/>
      <c r="U23" s="680"/>
      <c r="V23" s="680"/>
      <c r="W23" s="705"/>
      <c r="X23" s="679"/>
      <c r="Y23" s="680"/>
      <c r="Z23" s="680"/>
      <c r="AA23" s="680"/>
      <c r="AB23" s="705"/>
      <c r="AC23" s="679"/>
      <c r="AD23" s="680"/>
      <c r="AE23" s="680"/>
      <c r="AF23" s="680"/>
      <c r="AG23" s="705"/>
    </row>
    <row r="24" spans="2:33" s="696" customFormat="1" ht="37.5" customHeight="1" x14ac:dyDescent="0.3">
      <c r="B24" s="710"/>
      <c r="C24" s="715" t="s">
        <v>250</v>
      </c>
      <c r="D24" s="679"/>
      <c r="E24" s="680"/>
      <c r="F24" s="680"/>
      <c r="G24" s="680"/>
      <c r="H24" s="705"/>
      <c r="I24" s="679"/>
      <c r="J24" s="680"/>
      <c r="K24" s="680"/>
      <c r="L24" s="680"/>
      <c r="M24" s="705"/>
      <c r="N24" s="679"/>
      <c r="O24" s="680"/>
      <c r="P24" s="680"/>
      <c r="Q24" s="680"/>
      <c r="R24" s="705"/>
      <c r="S24" s="679"/>
      <c r="T24" s="680"/>
      <c r="U24" s="680"/>
      <c r="V24" s="680"/>
      <c r="W24" s="705"/>
      <c r="X24" s="679"/>
      <c r="Y24" s="680"/>
      <c r="Z24" s="680"/>
      <c r="AA24" s="680"/>
      <c r="AB24" s="705"/>
      <c r="AC24" s="679"/>
      <c r="AD24" s="680"/>
      <c r="AE24" s="680"/>
      <c r="AF24" s="680"/>
      <c r="AG24" s="705"/>
    </row>
    <row r="25" spans="2:33" s="696" customFormat="1" ht="37.5" customHeight="1" x14ac:dyDescent="0.3">
      <c r="B25" s="693" t="str">
        <f>CoUD10</f>
        <v/>
      </c>
      <c r="C25" s="714">
        <f>UnDi10</f>
        <v>0</v>
      </c>
      <c r="D25" s="679"/>
      <c r="E25" s="680"/>
      <c r="F25" s="680"/>
      <c r="G25" s="680"/>
      <c r="H25" s="705"/>
      <c r="I25" s="679"/>
      <c r="J25" s="680"/>
      <c r="K25" s="680"/>
      <c r="L25" s="680"/>
      <c r="M25" s="705"/>
      <c r="N25" s="679"/>
      <c r="O25" s="680"/>
      <c r="P25" s="680"/>
      <c r="Q25" s="680"/>
      <c r="R25" s="705"/>
      <c r="S25" s="679"/>
      <c r="T25" s="680"/>
      <c r="U25" s="680"/>
      <c r="V25" s="680"/>
      <c r="W25" s="705"/>
      <c r="X25" s="679"/>
      <c r="Y25" s="680"/>
      <c r="Z25" s="680"/>
      <c r="AA25" s="680"/>
      <c r="AB25" s="705"/>
      <c r="AC25" s="679"/>
      <c r="AD25" s="680"/>
      <c r="AE25" s="680"/>
      <c r="AF25" s="680"/>
      <c r="AG25" s="705"/>
    </row>
    <row r="26" spans="2:33" s="696" customFormat="1" ht="37.5" customHeight="1" x14ac:dyDescent="0.3">
      <c r="B26" s="710"/>
      <c r="C26" s="715" t="s">
        <v>250</v>
      </c>
      <c r="D26" s="679"/>
      <c r="E26" s="680"/>
      <c r="F26" s="680"/>
      <c r="G26" s="680"/>
      <c r="H26" s="705"/>
      <c r="I26" s="679"/>
      <c r="J26" s="680"/>
      <c r="K26" s="680"/>
      <c r="L26" s="680"/>
      <c r="M26" s="705"/>
      <c r="N26" s="679"/>
      <c r="O26" s="680"/>
      <c r="P26" s="680"/>
      <c r="Q26" s="680"/>
      <c r="R26" s="705"/>
      <c r="S26" s="679"/>
      <c r="T26" s="680"/>
      <c r="U26" s="680"/>
      <c r="V26" s="680"/>
      <c r="W26" s="705"/>
      <c r="X26" s="679"/>
      <c r="Y26" s="680"/>
      <c r="Z26" s="680"/>
      <c r="AA26" s="680"/>
      <c r="AB26" s="705"/>
      <c r="AC26" s="679"/>
      <c r="AD26" s="680"/>
      <c r="AE26" s="680"/>
      <c r="AF26" s="680"/>
      <c r="AG26" s="705"/>
    </row>
    <row r="27" spans="2:33" s="696" customFormat="1" ht="37.5" customHeight="1" x14ac:dyDescent="0.3">
      <c r="B27" s="693" t="str">
        <f>CoUD11</f>
        <v/>
      </c>
      <c r="C27" s="714">
        <f>UnDi11</f>
        <v>0</v>
      </c>
      <c r="D27" s="679"/>
      <c r="E27" s="680"/>
      <c r="F27" s="680"/>
      <c r="G27" s="680"/>
      <c r="H27" s="705"/>
      <c r="I27" s="679"/>
      <c r="J27" s="680"/>
      <c r="K27" s="680"/>
      <c r="L27" s="712"/>
      <c r="M27" s="705"/>
      <c r="N27" s="679"/>
      <c r="O27" s="680"/>
      <c r="P27" s="680"/>
      <c r="Q27" s="680"/>
      <c r="R27" s="705"/>
      <c r="S27" s="679"/>
      <c r="T27" s="680"/>
      <c r="U27" s="680"/>
      <c r="V27" s="680"/>
      <c r="W27" s="705"/>
      <c r="X27" s="679"/>
      <c r="Y27" s="680"/>
      <c r="Z27" s="680"/>
      <c r="AA27" s="680"/>
      <c r="AB27" s="705"/>
      <c r="AC27" s="679"/>
      <c r="AD27" s="680"/>
      <c r="AE27" s="680"/>
      <c r="AF27" s="680"/>
      <c r="AG27" s="705"/>
    </row>
    <row r="28" spans="2:33" s="696" customFormat="1" ht="37.5" customHeight="1" x14ac:dyDescent="0.3">
      <c r="B28" s="710"/>
      <c r="C28" s="715" t="s">
        <v>250</v>
      </c>
      <c r="D28" s="679"/>
      <c r="E28" s="680"/>
      <c r="F28" s="680"/>
      <c r="G28" s="680"/>
      <c r="H28" s="705"/>
      <c r="I28" s="679"/>
      <c r="J28" s="680"/>
      <c r="K28" s="680"/>
      <c r="L28" s="680"/>
      <c r="M28" s="705"/>
      <c r="N28" s="679"/>
      <c r="O28" s="680"/>
      <c r="P28" s="680"/>
      <c r="Q28" s="680"/>
      <c r="R28" s="705"/>
      <c r="S28" s="679"/>
      <c r="T28" s="680"/>
      <c r="U28" s="680"/>
      <c r="V28" s="680"/>
      <c r="W28" s="705"/>
      <c r="X28" s="679"/>
      <c r="Y28" s="680"/>
      <c r="Z28" s="680"/>
      <c r="AA28" s="680"/>
      <c r="AB28" s="705"/>
      <c r="AC28" s="679"/>
      <c r="AD28" s="680"/>
      <c r="AE28" s="680"/>
      <c r="AF28" s="680"/>
      <c r="AG28" s="705"/>
    </row>
    <row r="29" spans="2:33" s="696" customFormat="1" ht="37.5" customHeight="1" x14ac:dyDescent="0.3">
      <c r="B29" s="693" t="str">
        <f>CoUD12</f>
        <v/>
      </c>
      <c r="C29" s="714">
        <f>UnDi12</f>
        <v>0</v>
      </c>
      <c r="D29" s="679"/>
      <c r="E29" s="680"/>
      <c r="F29" s="680"/>
      <c r="G29" s="680"/>
      <c r="H29" s="705"/>
      <c r="I29" s="679"/>
      <c r="J29" s="680"/>
      <c r="K29" s="680"/>
      <c r="L29" s="680"/>
      <c r="M29" s="705"/>
      <c r="N29" s="679"/>
      <c r="O29" s="680"/>
      <c r="P29" s="680"/>
      <c r="Q29" s="680"/>
      <c r="R29" s="705"/>
      <c r="S29" s="679"/>
      <c r="T29" s="680"/>
      <c r="U29" s="680"/>
      <c r="V29" s="680"/>
      <c r="W29" s="705"/>
      <c r="X29" s="679"/>
      <c r="Y29" s="680"/>
      <c r="Z29" s="680"/>
      <c r="AA29" s="680"/>
      <c r="AB29" s="705"/>
      <c r="AC29" s="679"/>
      <c r="AD29" s="680"/>
      <c r="AE29" s="680"/>
      <c r="AF29" s="680"/>
      <c r="AG29" s="705"/>
    </row>
    <row r="30" spans="2:33" s="696" customFormat="1" ht="37.5" customHeight="1" x14ac:dyDescent="0.3">
      <c r="B30" s="710"/>
      <c r="C30" s="715" t="s">
        <v>250</v>
      </c>
      <c r="D30" s="679"/>
      <c r="E30" s="680"/>
      <c r="F30" s="680"/>
      <c r="G30" s="680"/>
      <c r="H30" s="705"/>
      <c r="I30" s="679"/>
      <c r="J30" s="680"/>
      <c r="K30" s="680"/>
      <c r="L30" s="680"/>
      <c r="M30" s="705"/>
      <c r="N30" s="679"/>
      <c r="O30" s="680"/>
      <c r="P30" s="680"/>
      <c r="Q30" s="680"/>
      <c r="R30" s="705"/>
      <c r="S30" s="679"/>
      <c r="T30" s="680"/>
      <c r="U30" s="680"/>
      <c r="V30" s="680"/>
      <c r="W30" s="705"/>
      <c r="X30" s="679"/>
      <c r="Y30" s="680"/>
      <c r="Z30" s="680"/>
      <c r="AA30" s="680"/>
      <c r="AB30" s="705"/>
      <c r="AC30" s="679"/>
      <c r="AD30" s="680"/>
      <c r="AE30" s="680"/>
      <c r="AF30" s="680"/>
      <c r="AG30" s="705"/>
    </row>
    <row r="31" spans="2:33" s="696" customFormat="1" ht="37.5" customHeight="1" x14ac:dyDescent="0.3">
      <c r="B31" s="693" t="str">
        <f>CoUD13</f>
        <v/>
      </c>
      <c r="C31" s="714">
        <f>UnDi13</f>
        <v>0</v>
      </c>
      <c r="D31" s="679"/>
      <c r="E31" s="680"/>
      <c r="F31" s="680"/>
      <c r="G31" s="680"/>
      <c r="H31" s="705"/>
      <c r="I31" s="679"/>
      <c r="J31" s="680"/>
      <c r="K31" s="680"/>
      <c r="L31" s="680"/>
      <c r="M31" s="705"/>
      <c r="N31" s="679"/>
      <c r="O31" s="680"/>
      <c r="P31" s="680"/>
      <c r="Q31" s="680"/>
      <c r="R31" s="705"/>
      <c r="S31" s="679"/>
      <c r="T31" s="680"/>
      <c r="U31" s="680"/>
      <c r="V31" s="680"/>
      <c r="W31" s="705"/>
      <c r="X31" s="679"/>
      <c r="Y31" s="680"/>
      <c r="Z31" s="680"/>
      <c r="AA31" s="680"/>
      <c r="AB31" s="705"/>
      <c r="AC31" s="679"/>
      <c r="AD31" s="680"/>
      <c r="AE31" s="680"/>
      <c r="AF31" s="680"/>
      <c r="AG31" s="705"/>
    </row>
    <row r="32" spans="2:33" s="696" customFormat="1" ht="37.5" customHeight="1" x14ac:dyDescent="0.3">
      <c r="B32" s="710"/>
      <c r="C32" s="715" t="s">
        <v>250</v>
      </c>
      <c r="D32" s="679"/>
      <c r="E32" s="680"/>
      <c r="F32" s="680"/>
      <c r="G32" s="680"/>
      <c r="H32" s="705"/>
      <c r="I32" s="679"/>
      <c r="J32" s="680"/>
      <c r="K32" s="680"/>
      <c r="L32" s="680"/>
      <c r="M32" s="705"/>
      <c r="N32" s="679"/>
      <c r="O32" s="680"/>
      <c r="P32" s="680"/>
      <c r="Q32" s="680"/>
      <c r="R32" s="705"/>
      <c r="S32" s="679"/>
      <c r="T32" s="680"/>
      <c r="U32" s="680"/>
      <c r="V32" s="680"/>
      <c r="W32" s="705"/>
      <c r="X32" s="679"/>
      <c r="Y32" s="680"/>
      <c r="Z32" s="680"/>
      <c r="AA32" s="680"/>
      <c r="AB32" s="705"/>
      <c r="AC32" s="679"/>
      <c r="AD32" s="680"/>
      <c r="AE32" s="680"/>
      <c r="AF32" s="680"/>
      <c r="AG32" s="705"/>
    </row>
    <row r="33" spans="2:33" s="696" customFormat="1" ht="37.5" customHeight="1" x14ac:dyDescent="0.3">
      <c r="B33" s="693" t="str">
        <f>CoUD14</f>
        <v/>
      </c>
      <c r="C33" s="714">
        <f>UnDi14</f>
        <v>0</v>
      </c>
      <c r="D33" s="679"/>
      <c r="E33" s="680"/>
      <c r="F33" s="680"/>
      <c r="G33" s="680"/>
      <c r="H33" s="705"/>
      <c r="I33" s="679"/>
      <c r="J33" s="680"/>
      <c r="K33" s="680"/>
      <c r="L33" s="680"/>
      <c r="M33" s="705"/>
      <c r="N33" s="679"/>
      <c r="O33" s="680"/>
      <c r="P33" s="680"/>
      <c r="Q33" s="680"/>
      <c r="R33" s="705"/>
      <c r="S33" s="679"/>
      <c r="T33" s="680"/>
      <c r="U33" s="680"/>
      <c r="V33" s="680"/>
      <c r="W33" s="705"/>
      <c r="X33" s="679"/>
      <c r="Y33" s="680"/>
      <c r="Z33" s="680"/>
      <c r="AA33" s="680"/>
      <c r="AB33" s="705"/>
      <c r="AC33" s="679"/>
      <c r="AD33" s="680"/>
      <c r="AE33" s="680"/>
      <c r="AF33" s="680"/>
      <c r="AG33" s="705"/>
    </row>
    <row r="34" spans="2:33" s="696" customFormat="1" ht="37.5" customHeight="1" x14ac:dyDescent="0.3">
      <c r="B34" s="710"/>
      <c r="C34" s="715" t="s">
        <v>250</v>
      </c>
      <c r="D34" s="679"/>
      <c r="E34" s="680"/>
      <c r="F34" s="680"/>
      <c r="G34" s="680"/>
      <c r="H34" s="705"/>
      <c r="I34" s="679"/>
      <c r="J34" s="680"/>
      <c r="K34" s="680"/>
      <c r="L34" s="680"/>
      <c r="M34" s="705"/>
      <c r="N34" s="679"/>
      <c r="O34" s="680"/>
      <c r="P34" s="680"/>
      <c r="Q34" s="680"/>
      <c r="R34" s="705"/>
      <c r="S34" s="679"/>
      <c r="T34" s="680"/>
      <c r="U34" s="680"/>
      <c r="V34" s="680"/>
      <c r="W34" s="705"/>
      <c r="X34" s="679"/>
      <c r="Y34" s="680"/>
      <c r="Z34" s="680"/>
      <c r="AA34" s="680"/>
      <c r="AB34" s="705"/>
      <c r="AC34" s="679"/>
      <c r="AD34" s="680"/>
      <c r="AE34" s="680"/>
      <c r="AF34" s="680"/>
      <c r="AG34" s="705"/>
    </row>
    <row r="35" spans="2:33" s="696" customFormat="1" ht="37.5" customHeight="1" x14ac:dyDescent="0.3">
      <c r="B35" s="693" t="str">
        <f>CoUD15</f>
        <v/>
      </c>
      <c r="C35" s="714">
        <f>UnDi15</f>
        <v>0</v>
      </c>
      <c r="D35" s="679"/>
      <c r="E35" s="680"/>
      <c r="F35" s="680"/>
      <c r="G35" s="680"/>
      <c r="H35" s="705"/>
      <c r="I35" s="679"/>
      <c r="J35" s="680"/>
      <c r="K35" s="680"/>
      <c r="L35" s="680"/>
      <c r="M35" s="705"/>
      <c r="N35" s="679"/>
      <c r="O35" s="680"/>
      <c r="P35" s="680"/>
      <c r="Q35" s="680"/>
      <c r="R35" s="705"/>
      <c r="S35" s="679"/>
      <c r="T35" s="680"/>
      <c r="U35" s="680"/>
      <c r="V35" s="680"/>
      <c r="W35" s="705"/>
      <c r="X35" s="679"/>
      <c r="Y35" s="680"/>
      <c r="Z35" s="680"/>
      <c r="AA35" s="680"/>
      <c r="AB35" s="705"/>
      <c r="AC35" s="679"/>
      <c r="AD35" s="680"/>
      <c r="AE35" s="680"/>
      <c r="AF35" s="680"/>
      <c r="AG35" s="705"/>
    </row>
    <row r="36" spans="2:33" s="696" customFormat="1" ht="37.5" customHeight="1" x14ac:dyDescent="0.3">
      <c r="B36" s="710"/>
      <c r="C36" s="715" t="s">
        <v>250</v>
      </c>
      <c r="D36" s="679"/>
      <c r="E36" s="680"/>
      <c r="F36" s="680"/>
      <c r="G36" s="680"/>
      <c r="H36" s="705"/>
      <c r="I36" s="679"/>
      <c r="J36" s="680"/>
      <c r="K36" s="680"/>
      <c r="L36" s="680"/>
      <c r="M36" s="705"/>
      <c r="N36" s="679"/>
      <c r="O36" s="680"/>
      <c r="P36" s="680"/>
      <c r="Q36" s="680"/>
      <c r="R36" s="705"/>
      <c r="S36" s="679"/>
      <c r="T36" s="680"/>
      <c r="U36" s="680"/>
      <c r="V36" s="680"/>
      <c r="W36" s="705"/>
      <c r="X36" s="679"/>
      <c r="Y36" s="680"/>
      <c r="Z36" s="680"/>
      <c r="AA36" s="680"/>
      <c r="AB36" s="705"/>
      <c r="AC36" s="679"/>
      <c r="AD36" s="680"/>
      <c r="AE36" s="680"/>
      <c r="AF36" s="680"/>
      <c r="AG36" s="705"/>
    </row>
    <row r="37" spans="2:33" s="696" customFormat="1" ht="37.5" customHeight="1" x14ac:dyDescent="0.3">
      <c r="B37" s="693" t="str">
        <f>CoUD16</f>
        <v/>
      </c>
      <c r="C37" s="714">
        <f>UnDi16</f>
        <v>0</v>
      </c>
      <c r="D37" s="679"/>
      <c r="E37" s="680"/>
      <c r="F37" s="680"/>
      <c r="G37" s="680"/>
      <c r="H37" s="705"/>
      <c r="I37" s="679"/>
      <c r="J37" s="680"/>
      <c r="K37" s="680"/>
      <c r="L37" s="680"/>
      <c r="M37" s="705"/>
      <c r="N37" s="679"/>
      <c r="O37" s="680"/>
      <c r="P37" s="680"/>
      <c r="Q37" s="680"/>
      <c r="R37" s="705"/>
      <c r="S37" s="679"/>
      <c r="T37" s="680"/>
      <c r="U37" s="680"/>
      <c r="V37" s="680"/>
      <c r="W37" s="705"/>
      <c r="X37" s="679"/>
      <c r="Y37" s="680"/>
      <c r="Z37" s="680"/>
      <c r="AA37" s="680"/>
      <c r="AB37" s="705"/>
      <c r="AC37" s="679"/>
      <c r="AD37" s="680"/>
      <c r="AE37" s="680"/>
      <c r="AF37" s="680"/>
      <c r="AG37" s="705"/>
    </row>
    <row r="38" spans="2:33" s="696" customFormat="1" ht="37.5" customHeight="1" x14ac:dyDescent="0.3">
      <c r="B38" s="710"/>
      <c r="C38" s="715" t="s">
        <v>250</v>
      </c>
      <c r="D38" s="679"/>
      <c r="E38" s="680"/>
      <c r="F38" s="680"/>
      <c r="G38" s="680"/>
      <c r="H38" s="705"/>
      <c r="I38" s="679"/>
      <c r="J38" s="680"/>
      <c r="K38" s="680"/>
      <c r="L38" s="680"/>
      <c r="M38" s="705"/>
      <c r="N38" s="679"/>
      <c r="O38" s="680"/>
      <c r="P38" s="680"/>
      <c r="Q38" s="680"/>
      <c r="R38" s="705"/>
      <c r="S38" s="679"/>
      <c r="T38" s="680"/>
      <c r="U38" s="680"/>
      <c r="V38" s="680"/>
      <c r="W38" s="705"/>
      <c r="X38" s="679"/>
      <c r="Y38" s="680"/>
      <c r="Z38" s="680"/>
      <c r="AA38" s="680"/>
      <c r="AB38" s="705"/>
      <c r="AC38" s="679"/>
      <c r="AD38" s="680"/>
      <c r="AE38" s="680"/>
      <c r="AF38" s="680"/>
      <c r="AG38" s="705"/>
    </row>
    <row r="39" spans="2:33" s="696" customFormat="1" ht="37.5" customHeight="1" x14ac:dyDescent="0.3">
      <c r="B39" s="693" t="str">
        <f>CoUD17</f>
        <v/>
      </c>
      <c r="C39" s="714">
        <f>UnDi17</f>
        <v>0</v>
      </c>
      <c r="D39" s="679"/>
      <c r="E39" s="680"/>
      <c r="F39" s="680"/>
      <c r="G39" s="680"/>
      <c r="H39" s="705"/>
      <c r="I39" s="679"/>
      <c r="J39" s="680"/>
      <c r="K39" s="680"/>
      <c r="L39" s="680"/>
      <c r="M39" s="705"/>
      <c r="N39" s="679"/>
      <c r="O39" s="680"/>
      <c r="P39" s="680"/>
      <c r="Q39" s="680"/>
      <c r="R39" s="705"/>
      <c r="S39" s="679"/>
      <c r="T39" s="680"/>
      <c r="U39" s="680"/>
      <c r="V39" s="680"/>
      <c r="W39" s="705"/>
      <c r="X39" s="679"/>
      <c r="Y39" s="680"/>
      <c r="Z39" s="680"/>
      <c r="AA39" s="680"/>
      <c r="AB39" s="705"/>
      <c r="AC39" s="679"/>
      <c r="AD39" s="680"/>
      <c r="AE39" s="680"/>
      <c r="AF39" s="680"/>
      <c r="AG39" s="705"/>
    </row>
    <row r="40" spans="2:33" s="696" customFormat="1" ht="37.5" customHeight="1" x14ac:dyDescent="0.3">
      <c r="B40" s="710"/>
      <c r="C40" s="715" t="s">
        <v>250</v>
      </c>
      <c r="D40" s="679"/>
      <c r="E40" s="680"/>
      <c r="F40" s="680"/>
      <c r="G40" s="680"/>
      <c r="H40" s="705"/>
      <c r="I40" s="679"/>
      <c r="J40" s="680"/>
      <c r="K40" s="680"/>
      <c r="L40" s="680"/>
      <c r="M40" s="705"/>
      <c r="N40" s="679"/>
      <c r="O40" s="680"/>
      <c r="P40" s="680"/>
      <c r="Q40" s="680"/>
      <c r="R40" s="705"/>
      <c r="S40" s="679"/>
      <c r="T40" s="680"/>
      <c r="U40" s="680"/>
      <c r="V40" s="680"/>
      <c r="W40" s="705"/>
      <c r="X40" s="679"/>
      <c r="Y40" s="680"/>
      <c r="Z40" s="680"/>
      <c r="AA40" s="680"/>
      <c r="AB40" s="705"/>
      <c r="AC40" s="679"/>
      <c r="AD40" s="680"/>
      <c r="AE40" s="680"/>
      <c r="AF40" s="680"/>
      <c r="AG40" s="705"/>
    </row>
    <row r="41" spans="2:33" s="696" customFormat="1" ht="37.5" customHeight="1" x14ac:dyDescent="0.3">
      <c r="B41" s="693" t="str">
        <f>CoUD18</f>
        <v/>
      </c>
      <c r="C41" s="714">
        <f>UnDi18</f>
        <v>0</v>
      </c>
      <c r="D41" s="679"/>
      <c r="E41" s="680"/>
      <c r="F41" s="680"/>
      <c r="G41" s="680"/>
      <c r="H41" s="705"/>
      <c r="I41" s="679"/>
      <c r="J41" s="680"/>
      <c r="K41" s="680"/>
      <c r="L41" s="680"/>
      <c r="M41" s="705"/>
      <c r="N41" s="679"/>
      <c r="O41" s="680"/>
      <c r="P41" s="680"/>
      <c r="Q41" s="680"/>
      <c r="R41" s="705"/>
      <c r="S41" s="679"/>
      <c r="T41" s="680"/>
      <c r="U41" s="680"/>
      <c r="V41" s="680"/>
      <c r="W41" s="705"/>
      <c r="X41" s="679"/>
      <c r="Y41" s="680"/>
      <c r="Z41" s="680"/>
      <c r="AA41" s="680"/>
      <c r="AB41" s="705"/>
      <c r="AC41" s="679"/>
      <c r="AD41" s="680"/>
      <c r="AE41" s="680"/>
      <c r="AF41" s="680"/>
      <c r="AG41" s="705"/>
    </row>
    <row r="42" spans="2:33" s="696" customFormat="1" ht="37.5" customHeight="1" x14ac:dyDescent="0.3">
      <c r="B42" s="710"/>
      <c r="C42" s="715" t="s">
        <v>250</v>
      </c>
      <c r="D42" s="679"/>
      <c r="E42" s="680"/>
      <c r="F42" s="680"/>
      <c r="G42" s="680"/>
      <c r="H42" s="705"/>
      <c r="I42" s="679"/>
      <c r="J42" s="680"/>
      <c r="K42" s="680"/>
      <c r="L42" s="680"/>
      <c r="M42" s="705"/>
      <c r="N42" s="679"/>
      <c r="O42" s="680"/>
      <c r="P42" s="680"/>
      <c r="Q42" s="680"/>
      <c r="R42" s="705"/>
      <c r="S42" s="679"/>
      <c r="T42" s="680"/>
      <c r="U42" s="680"/>
      <c r="V42" s="680"/>
      <c r="W42" s="705"/>
      <c r="X42" s="679"/>
      <c r="Y42" s="680"/>
      <c r="Z42" s="680"/>
      <c r="AA42" s="680"/>
      <c r="AB42" s="705"/>
      <c r="AC42" s="679"/>
      <c r="AD42" s="680"/>
      <c r="AE42" s="680"/>
      <c r="AF42" s="680"/>
      <c r="AG42" s="705"/>
    </row>
    <row r="43" spans="2:33" s="696" customFormat="1" ht="37.5" customHeight="1" x14ac:dyDescent="0.3">
      <c r="B43" s="693" t="str">
        <f>CoUD19</f>
        <v/>
      </c>
      <c r="C43" s="714">
        <f>UnDi19</f>
        <v>0</v>
      </c>
      <c r="D43" s="679"/>
      <c r="E43" s="680"/>
      <c r="F43" s="680"/>
      <c r="G43" s="680"/>
      <c r="H43" s="705"/>
      <c r="I43" s="679"/>
      <c r="J43" s="680"/>
      <c r="K43" s="680"/>
      <c r="L43" s="680"/>
      <c r="M43" s="705"/>
      <c r="N43" s="679"/>
      <c r="O43" s="680"/>
      <c r="P43" s="680"/>
      <c r="Q43" s="680"/>
      <c r="R43" s="705"/>
      <c r="S43" s="679"/>
      <c r="T43" s="680"/>
      <c r="U43" s="680"/>
      <c r="V43" s="680"/>
      <c r="W43" s="705"/>
      <c r="X43" s="679"/>
      <c r="Y43" s="680"/>
      <c r="Z43" s="680"/>
      <c r="AA43" s="680"/>
      <c r="AB43" s="705"/>
      <c r="AC43" s="679"/>
      <c r="AD43" s="680"/>
      <c r="AE43" s="680"/>
      <c r="AF43" s="680"/>
      <c r="AG43" s="705"/>
    </row>
    <row r="44" spans="2:33" s="696" customFormat="1" ht="37.5" customHeight="1" x14ac:dyDescent="0.3">
      <c r="B44" s="710"/>
      <c r="C44" s="715" t="s">
        <v>250</v>
      </c>
      <c r="D44" s="679"/>
      <c r="E44" s="680"/>
      <c r="F44" s="680"/>
      <c r="G44" s="680"/>
      <c r="H44" s="705"/>
      <c r="I44" s="679"/>
      <c r="J44" s="680"/>
      <c r="K44" s="680"/>
      <c r="L44" s="680"/>
      <c r="M44" s="705"/>
      <c r="N44" s="679"/>
      <c r="O44" s="680"/>
      <c r="P44" s="680"/>
      <c r="Q44" s="680"/>
      <c r="R44" s="705"/>
      <c r="S44" s="679"/>
      <c r="T44" s="680"/>
      <c r="U44" s="680"/>
      <c r="V44" s="680"/>
      <c r="W44" s="705"/>
      <c r="X44" s="679"/>
      <c r="Y44" s="680"/>
      <c r="Z44" s="680"/>
      <c r="AA44" s="680"/>
      <c r="AB44" s="705"/>
      <c r="AC44" s="679"/>
      <c r="AD44" s="680"/>
      <c r="AE44" s="680"/>
      <c r="AF44" s="680"/>
      <c r="AG44" s="705"/>
    </row>
    <row r="45" spans="2:33" s="696" customFormat="1" ht="37.5" customHeight="1" x14ac:dyDescent="0.3">
      <c r="B45" s="693" t="str">
        <f>CoUD20</f>
        <v/>
      </c>
      <c r="C45" s="714">
        <f>UnDi20</f>
        <v>0</v>
      </c>
      <c r="D45" s="679"/>
      <c r="E45" s="680"/>
      <c r="F45" s="680"/>
      <c r="G45" s="680"/>
      <c r="H45" s="705"/>
      <c r="I45" s="679"/>
      <c r="J45" s="680"/>
      <c r="K45" s="680"/>
      <c r="L45" s="680"/>
      <c r="M45" s="705"/>
      <c r="N45" s="679"/>
      <c r="O45" s="680"/>
      <c r="P45" s="680"/>
      <c r="Q45" s="680"/>
      <c r="R45" s="705"/>
      <c r="S45" s="679"/>
      <c r="T45" s="680"/>
      <c r="U45" s="680"/>
      <c r="V45" s="680"/>
      <c r="W45" s="705"/>
      <c r="X45" s="679"/>
      <c r="Y45" s="680"/>
      <c r="Z45" s="680"/>
      <c r="AA45" s="680"/>
      <c r="AB45" s="705"/>
      <c r="AC45" s="679"/>
      <c r="AD45" s="680"/>
      <c r="AE45" s="680"/>
      <c r="AF45" s="680"/>
      <c r="AG45" s="705"/>
    </row>
    <row r="46" spans="2:33" s="696" customFormat="1" ht="37.5" customHeight="1" thickBot="1" x14ac:dyDescent="0.35">
      <c r="B46" s="710"/>
      <c r="C46" s="715" t="s">
        <v>250</v>
      </c>
      <c r="D46" s="681"/>
      <c r="E46" s="682"/>
      <c r="F46" s="682"/>
      <c r="G46" s="682"/>
      <c r="H46" s="706"/>
      <c r="I46" s="681"/>
      <c r="J46" s="682"/>
      <c r="K46" s="682"/>
      <c r="L46" s="682"/>
      <c r="M46" s="706"/>
      <c r="N46" s="681"/>
      <c r="O46" s="682"/>
      <c r="P46" s="682"/>
      <c r="Q46" s="682"/>
      <c r="R46" s="706"/>
      <c r="S46" s="681"/>
      <c r="T46" s="682"/>
      <c r="U46" s="682"/>
      <c r="V46" s="682"/>
      <c r="W46" s="706"/>
      <c r="X46" s="681"/>
      <c r="Y46" s="682"/>
      <c r="Z46" s="682"/>
      <c r="AA46" s="682"/>
      <c r="AB46" s="706"/>
      <c r="AC46" s="681"/>
      <c r="AD46" s="682"/>
      <c r="AE46" s="682"/>
      <c r="AF46" s="682"/>
      <c r="AG46" s="706"/>
    </row>
    <row r="47" spans="2:33" ht="25.05" customHeight="1" x14ac:dyDescent="0.3">
      <c r="B47" s="399"/>
      <c r="C47" s="401"/>
    </row>
    <row r="48" spans="2:33" ht="25.05" customHeight="1" x14ac:dyDescent="0.3">
      <c r="B48" s="399"/>
      <c r="C48" s="401"/>
    </row>
    <row r="49" spans="2:3" ht="25.05" customHeight="1" x14ac:dyDescent="0.3">
      <c r="B49" s="399"/>
      <c r="C49" s="401"/>
    </row>
    <row r="50" spans="2:3" ht="25.05" customHeight="1" x14ac:dyDescent="0.3">
      <c r="B50" s="399"/>
      <c r="C50" s="401"/>
    </row>
    <row r="51" spans="2:3" ht="25.05" customHeight="1" x14ac:dyDescent="0.3">
      <c r="B51" s="399"/>
      <c r="C51" s="401"/>
    </row>
    <row r="52" spans="2:3" ht="25.05" customHeight="1" x14ac:dyDescent="0.3">
      <c r="B52" s="399"/>
      <c r="C52" s="401"/>
    </row>
    <row r="53" spans="2:3" ht="25.05" customHeight="1" x14ac:dyDescent="0.3">
      <c r="B53" s="399"/>
      <c r="C53" s="401"/>
    </row>
    <row r="54" spans="2:3" ht="25.05" customHeight="1" x14ac:dyDescent="0.3">
      <c r="B54" s="399"/>
      <c r="C54" s="401"/>
    </row>
    <row r="55" spans="2:3" ht="25.05" customHeight="1" x14ac:dyDescent="0.3">
      <c r="B55" s="399"/>
      <c r="C55" s="401"/>
    </row>
    <row r="56" spans="2:3" ht="25.05" customHeight="1" x14ac:dyDescent="0.3">
      <c r="B56" s="399"/>
      <c r="C56" s="401"/>
    </row>
    <row r="57" spans="2:3" ht="25.05" customHeight="1" x14ac:dyDescent="0.3">
      <c r="B57" s="399"/>
      <c r="C57" s="401"/>
    </row>
    <row r="58" spans="2:3" ht="25.05" customHeight="1" x14ac:dyDescent="0.3">
      <c r="B58" s="399"/>
      <c r="C58" s="401"/>
    </row>
    <row r="59" spans="2:3" ht="25.05" customHeight="1" x14ac:dyDescent="0.3">
      <c r="B59" s="399"/>
      <c r="C59" s="401"/>
    </row>
    <row r="60" spans="2:3" ht="25.05" customHeight="1" x14ac:dyDescent="0.3">
      <c r="B60" s="399"/>
      <c r="C60" s="401"/>
    </row>
    <row r="61" spans="2:3" ht="25.05" customHeight="1" x14ac:dyDescent="0.3">
      <c r="B61" s="399"/>
      <c r="C61" s="401"/>
    </row>
    <row r="62" spans="2:3" ht="25.05" customHeight="1" x14ac:dyDescent="0.3">
      <c r="B62" s="399"/>
      <c r="C62" s="401"/>
    </row>
    <row r="63" spans="2:3" ht="25.05" customHeight="1" x14ac:dyDescent="0.3">
      <c r="B63" s="399"/>
      <c r="C63" s="401"/>
    </row>
    <row r="64" spans="2:3" ht="25.05" customHeight="1" x14ac:dyDescent="0.3">
      <c r="B64" s="399"/>
      <c r="C64" s="401"/>
    </row>
    <row r="65" spans="2:3" ht="25.05" customHeight="1" x14ac:dyDescent="0.3">
      <c r="B65" s="399"/>
      <c r="C65" s="401"/>
    </row>
    <row r="66" spans="2:3" ht="25.05" customHeight="1" x14ac:dyDescent="0.3">
      <c r="B66" s="399"/>
      <c r="C66" s="401"/>
    </row>
    <row r="67" spans="2:3" ht="25.05" customHeight="1" x14ac:dyDescent="0.3">
      <c r="B67" s="399"/>
      <c r="C67" s="401"/>
    </row>
    <row r="68" spans="2:3" ht="25.05" customHeight="1" x14ac:dyDescent="0.3">
      <c r="B68" s="399"/>
      <c r="C68" s="401"/>
    </row>
    <row r="69" spans="2:3" ht="25.05" customHeight="1" x14ac:dyDescent="0.3">
      <c r="B69" s="399"/>
      <c r="C69" s="401"/>
    </row>
    <row r="70" spans="2:3" ht="25.05" customHeight="1" x14ac:dyDescent="0.3">
      <c r="B70" s="399"/>
      <c r="C70" s="401"/>
    </row>
    <row r="71" spans="2:3" ht="25.05" customHeight="1" x14ac:dyDescent="0.3">
      <c r="B71" s="399"/>
      <c r="C71" s="401"/>
    </row>
    <row r="72" spans="2:3" ht="25.05" customHeight="1" x14ac:dyDescent="0.3">
      <c r="B72" s="399"/>
      <c r="C72" s="401"/>
    </row>
    <row r="73" spans="2:3" ht="25.05" customHeight="1" x14ac:dyDescent="0.3">
      <c r="B73" s="399"/>
      <c r="C73" s="401"/>
    </row>
    <row r="74" spans="2:3" ht="25.05" customHeight="1" x14ac:dyDescent="0.3">
      <c r="B74" s="399"/>
      <c r="C74" s="401"/>
    </row>
    <row r="75" spans="2:3" ht="25.05" customHeight="1" x14ac:dyDescent="0.3">
      <c r="B75" s="399"/>
      <c r="C75" s="401"/>
    </row>
    <row r="76" spans="2:3" ht="25.05" customHeight="1" x14ac:dyDescent="0.3">
      <c r="B76" s="399"/>
      <c r="C76" s="401"/>
    </row>
    <row r="77" spans="2:3" ht="25.05" customHeight="1" x14ac:dyDescent="0.3">
      <c r="B77" s="399"/>
      <c r="C77" s="401"/>
    </row>
    <row r="78" spans="2:3" ht="25.05" customHeight="1" x14ac:dyDescent="0.3">
      <c r="B78" s="399"/>
      <c r="C78" s="401"/>
    </row>
    <row r="79" spans="2:3" ht="25.05" customHeight="1" x14ac:dyDescent="0.3">
      <c r="B79" s="399"/>
      <c r="C79" s="401"/>
    </row>
    <row r="80" spans="2:3" ht="25.05" customHeight="1" x14ac:dyDescent="0.3">
      <c r="B80" s="399"/>
      <c r="C80" s="401"/>
    </row>
    <row r="81" spans="2:3" ht="25.05" customHeight="1" x14ac:dyDescent="0.3">
      <c r="B81" s="399"/>
      <c r="C81" s="401"/>
    </row>
    <row r="82" spans="2:3" ht="25.05" customHeight="1" x14ac:dyDescent="0.3">
      <c r="B82" s="399"/>
      <c r="C82" s="401"/>
    </row>
    <row r="83" spans="2:3" ht="25.05" customHeight="1" x14ac:dyDescent="0.3">
      <c r="B83" s="399"/>
      <c r="C83" s="401"/>
    </row>
    <row r="84" spans="2:3" ht="25.05" customHeight="1" x14ac:dyDescent="0.3">
      <c r="B84" s="399"/>
      <c r="C84" s="401"/>
    </row>
    <row r="85" spans="2:3" ht="25.05" customHeight="1" x14ac:dyDescent="0.3">
      <c r="B85" s="399"/>
      <c r="C85" s="401"/>
    </row>
    <row r="86" spans="2:3" ht="25.05" customHeight="1" x14ac:dyDescent="0.3">
      <c r="B86" s="399"/>
      <c r="C86" s="401"/>
    </row>
    <row r="87" spans="2:3" ht="25.05" customHeight="1" x14ac:dyDescent="0.3">
      <c r="B87" s="399"/>
      <c r="C87" s="401"/>
    </row>
    <row r="88" spans="2:3" ht="25.05" customHeight="1" x14ac:dyDescent="0.3">
      <c r="B88" s="399"/>
      <c r="C88" s="401"/>
    </row>
    <row r="89" spans="2:3" ht="25.05" customHeight="1" x14ac:dyDescent="0.3">
      <c r="B89" s="399"/>
      <c r="C89" s="401"/>
    </row>
    <row r="90" spans="2:3" ht="25.05" customHeight="1" x14ac:dyDescent="0.3">
      <c r="B90" s="399"/>
      <c r="C90" s="401"/>
    </row>
    <row r="91" spans="2:3" ht="25.05" customHeight="1" x14ac:dyDescent="0.3">
      <c r="B91" s="399"/>
      <c r="C91" s="401"/>
    </row>
    <row r="92" spans="2:3" ht="25.05" customHeight="1" x14ac:dyDescent="0.3">
      <c r="B92" s="399"/>
      <c r="C92" s="401"/>
    </row>
    <row r="93" spans="2:3" ht="25.05" customHeight="1" x14ac:dyDescent="0.3">
      <c r="B93" s="399"/>
      <c r="C93" s="401"/>
    </row>
    <row r="94" spans="2:3" ht="25.05" customHeight="1" x14ac:dyDescent="0.3">
      <c r="B94" s="399"/>
      <c r="C94" s="401"/>
    </row>
    <row r="95" spans="2:3" ht="25.05" customHeight="1" x14ac:dyDescent="0.3">
      <c r="B95" s="399"/>
      <c r="C95" s="401"/>
    </row>
    <row r="96" spans="2:3" ht="25.05" customHeight="1" x14ac:dyDescent="0.3">
      <c r="B96" s="399"/>
      <c r="C96" s="401"/>
    </row>
    <row r="97" spans="2:3" ht="25.05" customHeight="1" x14ac:dyDescent="0.3">
      <c r="B97" s="399"/>
      <c r="C97" s="401"/>
    </row>
    <row r="98" spans="2:3" ht="25.05" customHeight="1" x14ac:dyDescent="0.3">
      <c r="B98" s="399"/>
      <c r="C98" s="401"/>
    </row>
    <row r="99" spans="2:3" ht="25.05" customHeight="1" x14ac:dyDescent="0.3">
      <c r="B99" s="399"/>
      <c r="C99" s="401"/>
    </row>
    <row r="100" spans="2:3" ht="25.05" customHeight="1" x14ac:dyDescent="0.3">
      <c r="B100" s="399"/>
      <c r="C100" s="401"/>
    </row>
    <row r="101" spans="2:3" ht="25.05" customHeight="1" x14ac:dyDescent="0.3">
      <c r="B101" s="399"/>
      <c r="C101" s="401"/>
    </row>
    <row r="102" spans="2:3" ht="25.05" customHeight="1" x14ac:dyDescent="0.3">
      <c r="B102" s="399"/>
      <c r="C102" s="401"/>
    </row>
    <row r="103" spans="2:3" ht="25.05" customHeight="1" x14ac:dyDescent="0.3">
      <c r="B103" s="399"/>
      <c r="C103" s="401"/>
    </row>
    <row r="104" spans="2:3" ht="25.05" customHeight="1" x14ac:dyDescent="0.3">
      <c r="B104" s="399"/>
      <c r="C104" s="401"/>
    </row>
    <row r="105" spans="2:3" ht="25.05" customHeight="1" x14ac:dyDescent="0.3">
      <c r="B105" s="399"/>
      <c r="C105" s="401"/>
    </row>
    <row r="106" spans="2:3" ht="25.05" customHeight="1" x14ac:dyDescent="0.3">
      <c r="B106" s="399"/>
      <c r="C106" s="401"/>
    </row>
    <row r="107" spans="2:3" ht="25.05" customHeight="1" x14ac:dyDescent="0.3">
      <c r="B107" s="399"/>
      <c r="C107" s="401"/>
    </row>
    <row r="108" spans="2:3" ht="25.05" customHeight="1" x14ac:dyDescent="0.3">
      <c r="B108" s="399"/>
      <c r="C108" s="401"/>
    </row>
    <row r="109" spans="2:3" ht="25.05" customHeight="1" x14ac:dyDescent="0.3">
      <c r="B109" s="399"/>
      <c r="C109" s="401"/>
    </row>
    <row r="110" spans="2:3" ht="25.05" customHeight="1" x14ac:dyDescent="0.3">
      <c r="B110" s="399"/>
      <c r="C110" s="401"/>
    </row>
    <row r="111" spans="2:3" ht="25.05" customHeight="1" x14ac:dyDescent="0.3">
      <c r="B111" s="399"/>
      <c r="C111" s="401"/>
    </row>
    <row r="112" spans="2:3" ht="25.05" customHeight="1" x14ac:dyDescent="0.3">
      <c r="B112" s="399"/>
      <c r="C112" s="401"/>
    </row>
    <row r="113" spans="2:3" ht="25.05" customHeight="1" x14ac:dyDescent="0.3">
      <c r="B113" s="399"/>
      <c r="C113" s="401"/>
    </row>
    <row r="114" spans="2:3" ht="25.05" customHeight="1" x14ac:dyDescent="0.3">
      <c r="B114" s="399"/>
      <c r="C114" s="401"/>
    </row>
    <row r="115" spans="2:3" ht="25.05" customHeight="1" x14ac:dyDescent="0.3">
      <c r="B115" s="399"/>
      <c r="C115" s="401"/>
    </row>
    <row r="116" spans="2:3" ht="25.05" customHeight="1" x14ac:dyDescent="0.3">
      <c r="B116" s="399"/>
      <c r="C116" s="401"/>
    </row>
    <row r="117" spans="2:3" ht="25.05" customHeight="1" x14ac:dyDescent="0.3">
      <c r="B117" s="399"/>
      <c r="C117" s="401"/>
    </row>
    <row r="118" spans="2:3" ht="25.05" customHeight="1" x14ac:dyDescent="0.3">
      <c r="B118" s="399"/>
      <c r="C118" s="401"/>
    </row>
    <row r="119" spans="2:3" ht="25.05" customHeight="1" x14ac:dyDescent="0.3">
      <c r="B119" s="399"/>
      <c r="C119" s="401"/>
    </row>
    <row r="120" spans="2:3" ht="25.05" customHeight="1" x14ac:dyDescent="0.3">
      <c r="B120" s="399"/>
      <c r="C120" s="401"/>
    </row>
    <row r="121" spans="2:3" ht="25.05" customHeight="1" x14ac:dyDescent="0.3">
      <c r="B121" s="399"/>
      <c r="C121" s="401"/>
    </row>
    <row r="122" spans="2:3" ht="25.05" customHeight="1" x14ac:dyDescent="0.3">
      <c r="B122" s="399"/>
      <c r="C122" s="401"/>
    </row>
    <row r="123" spans="2:3" ht="25.05" customHeight="1" x14ac:dyDescent="0.3">
      <c r="B123" s="399"/>
      <c r="C123" s="401"/>
    </row>
    <row r="124" spans="2:3" ht="25.05" customHeight="1" x14ac:dyDescent="0.3">
      <c r="B124" s="399"/>
      <c r="C124" s="401"/>
    </row>
    <row r="125" spans="2:3" ht="25.05" customHeight="1" x14ac:dyDescent="0.3">
      <c r="B125" s="399"/>
      <c r="C125" s="401"/>
    </row>
    <row r="126" spans="2:3" ht="25.05" customHeight="1" x14ac:dyDescent="0.3">
      <c r="B126" s="399"/>
      <c r="C126" s="401"/>
    </row>
    <row r="127" spans="2:3" ht="25.05" customHeight="1" x14ac:dyDescent="0.3">
      <c r="B127" s="399"/>
      <c r="C127" s="401"/>
    </row>
    <row r="128" spans="2:3" ht="25.05" customHeight="1" x14ac:dyDescent="0.3">
      <c r="B128" s="399"/>
      <c r="C128" s="401"/>
    </row>
    <row r="129" spans="2:3" ht="25.05" customHeight="1" x14ac:dyDescent="0.3">
      <c r="B129" s="399"/>
      <c r="C129" s="401"/>
    </row>
    <row r="130" spans="2:3" ht="25.05" customHeight="1" x14ac:dyDescent="0.3">
      <c r="B130" s="399"/>
      <c r="C130" s="401"/>
    </row>
    <row r="131" spans="2:3" ht="25.05" customHeight="1" x14ac:dyDescent="0.3">
      <c r="B131" s="399"/>
      <c r="C131" s="401"/>
    </row>
    <row r="132" spans="2:3" ht="25.05" customHeight="1" x14ac:dyDescent="0.3">
      <c r="B132" s="399"/>
      <c r="C132" s="401"/>
    </row>
    <row r="133" spans="2:3" ht="25.05" customHeight="1" x14ac:dyDescent="0.3">
      <c r="B133" s="399"/>
      <c r="C133" s="401"/>
    </row>
    <row r="134" spans="2:3" ht="25.05" customHeight="1" x14ac:dyDescent="0.3">
      <c r="B134" s="399"/>
      <c r="C134" s="401"/>
    </row>
    <row r="135" spans="2:3" ht="25.05" customHeight="1" x14ac:dyDescent="0.3">
      <c r="B135" s="399"/>
      <c r="C135" s="401"/>
    </row>
    <row r="136" spans="2:3" ht="25.05" customHeight="1" x14ac:dyDescent="0.3">
      <c r="B136" s="399"/>
      <c r="C136" s="401"/>
    </row>
    <row r="137" spans="2:3" ht="25.05" customHeight="1" x14ac:dyDescent="0.3">
      <c r="B137" s="399"/>
      <c r="C137" s="401"/>
    </row>
    <row r="138" spans="2:3" ht="25.05" customHeight="1" x14ac:dyDescent="0.3">
      <c r="B138" s="399"/>
      <c r="C138" s="401"/>
    </row>
    <row r="139" spans="2:3" ht="25.05" customHeight="1" x14ac:dyDescent="0.3">
      <c r="B139" s="399"/>
      <c r="C139" s="401"/>
    </row>
    <row r="140" spans="2:3" ht="25.05" customHeight="1" x14ac:dyDescent="0.3">
      <c r="B140" s="399"/>
      <c r="C140" s="401"/>
    </row>
    <row r="141" spans="2:3" ht="25.05" customHeight="1" x14ac:dyDescent="0.3">
      <c r="B141" s="399"/>
      <c r="C141" s="401"/>
    </row>
    <row r="142" spans="2:3" ht="25.05" customHeight="1" x14ac:dyDescent="0.3">
      <c r="B142" s="399"/>
      <c r="C142" s="401"/>
    </row>
    <row r="143" spans="2:3" ht="25.05" customHeight="1" x14ac:dyDescent="0.3">
      <c r="B143" s="399"/>
      <c r="C143" s="401"/>
    </row>
    <row r="144" spans="2:3" ht="25.05" customHeight="1" x14ac:dyDescent="0.3">
      <c r="B144" s="399"/>
      <c r="C144" s="401"/>
    </row>
    <row r="145" spans="2:3" ht="25.05" customHeight="1" x14ac:dyDescent="0.3">
      <c r="B145" s="399"/>
      <c r="C145" s="401"/>
    </row>
    <row r="146" spans="2:3" ht="25.05" customHeight="1" x14ac:dyDescent="0.3">
      <c r="B146" s="399"/>
      <c r="C146" s="401"/>
    </row>
    <row r="147" spans="2:3" ht="25.05" customHeight="1" x14ac:dyDescent="0.3">
      <c r="B147" s="399"/>
      <c r="C147" s="401"/>
    </row>
    <row r="148" spans="2:3" ht="25.05" customHeight="1" x14ac:dyDescent="0.3">
      <c r="B148" s="399"/>
      <c r="C148" s="401"/>
    </row>
    <row r="149" spans="2:3" ht="25.05" customHeight="1" x14ac:dyDescent="0.3">
      <c r="B149" s="399"/>
      <c r="C149" s="401"/>
    </row>
    <row r="150" spans="2:3" ht="25.05" customHeight="1" x14ac:dyDescent="0.3">
      <c r="B150" s="399"/>
      <c r="C150" s="401"/>
    </row>
    <row r="151" spans="2:3" ht="25.05" customHeight="1" x14ac:dyDescent="0.3">
      <c r="B151" s="399"/>
      <c r="C151" s="401"/>
    </row>
    <row r="152" spans="2:3" ht="25.05" customHeight="1" x14ac:dyDescent="0.3">
      <c r="B152" s="399"/>
      <c r="C152" s="401"/>
    </row>
    <row r="153" spans="2:3" ht="25.05" customHeight="1" x14ac:dyDescent="0.3">
      <c r="B153" s="399"/>
      <c r="C153" s="401"/>
    </row>
    <row r="154" spans="2:3" ht="25.05" customHeight="1" x14ac:dyDescent="0.3">
      <c r="B154" s="399"/>
      <c r="C154" s="401"/>
    </row>
    <row r="155" spans="2:3" ht="25.05" customHeight="1" x14ac:dyDescent="0.3">
      <c r="B155" s="399"/>
      <c r="C155" s="401"/>
    </row>
    <row r="156" spans="2:3" ht="25.05" customHeight="1" x14ac:dyDescent="0.3">
      <c r="B156" s="399"/>
      <c r="C156" s="401"/>
    </row>
    <row r="157" spans="2:3" ht="25.05" customHeight="1" x14ac:dyDescent="0.3">
      <c r="B157" s="399"/>
      <c r="C157" s="401"/>
    </row>
    <row r="158" spans="2:3" ht="25.05" customHeight="1" x14ac:dyDescent="0.3">
      <c r="B158" s="399"/>
      <c r="C158" s="401"/>
    </row>
    <row r="159" spans="2:3" ht="25.05" customHeight="1" x14ac:dyDescent="0.3">
      <c r="B159" s="399"/>
      <c r="C159" s="401"/>
    </row>
    <row r="160" spans="2:3" ht="25.05" customHeight="1" x14ac:dyDescent="0.3">
      <c r="B160" s="399"/>
      <c r="C160" s="401"/>
    </row>
    <row r="161" spans="2:3" ht="25.05" customHeight="1" x14ac:dyDescent="0.3">
      <c r="B161" s="399"/>
      <c r="C161" s="401"/>
    </row>
    <row r="162" spans="2:3" ht="25.05" customHeight="1" x14ac:dyDescent="0.3">
      <c r="B162" s="399"/>
      <c r="C162" s="401"/>
    </row>
    <row r="163" spans="2:3" ht="25.05" customHeight="1" x14ac:dyDescent="0.3">
      <c r="B163" s="399"/>
      <c r="C163" s="401"/>
    </row>
    <row r="164" spans="2:3" ht="25.05" customHeight="1" x14ac:dyDescent="0.3">
      <c r="B164" s="399"/>
      <c r="C164" s="401"/>
    </row>
    <row r="165" spans="2:3" ht="25.05" customHeight="1" x14ac:dyDescent="0.3">
      <c r="B165" s="399"/>
      <c r="C165" s="401"/>
    </row>
    <row r="166" spans="2:3" ht="25.05" customHeight="1" x14ac:dyDescent="0.3">
      <c r="B166" s="399"/>
      <c r="C166" s="401"/>
    </row>
    <row r="167" spans="2:3" ht="25.05" customHeight="1" x14ac:dyDescent="0.3">
      <c r="B167" s="399"/>
      <c r="C167" s="401"/>
    </row>
    <row r="168" spans="2:3" ht="25.05" customHeight="1" x14ac:dyDescent="0.3">
      <c r="B168" s="399"/>
      <c r="C168" s="401"/>
    </row>
    <row r="169" spans="2:3" ht="25.05" customHeight="1" x14ac:dyDescent="0.3">
      <c r="B169" s="399"/>
      <c r="C169" s="401"/>
    </row>
    <row r="170" spans="2:3" ht="25.05" customHeight="1" x14ac:dyDescent="0.3">
      <c r="B170" s="399"/>
      <c r="C170" s="401"/>
    </row>
    <row r="171" spans="2:3" ht="25.05" customHeight="1" x14ac:dyDescent="0.3">
      <c r="B171" s="399"/>
      <c r="C171" s="401"/>
    </row>
    <row r="172" spans="2:3" ht="25.05" customHeight="1" x14ac:dyDescent="0.3">
      <c r="B172" s="399"/>
      <c r="C172" s="401"/>
    </row>
    <row r="173" spans="2:3" ht="25.05" customHeight="1" x14ac:dyDescent="0.3">
      <c r="B173" s="399"/>
      <c r="C173" s="401"/>
    </row>
    <row r="174" spans="2:3" ht="25.05" customHeight="1" x14ac:dyDescent="0.3">
      <c r="B174" s="399"/>
      <c r="C174" s="401"/>
    </row>
    <row r="175" spans="2:3" ht="25.05" customHeight="1" x14ac:dyDescent="0.3">
      <c r="B175" s="399"/>
      <c r="C175" s="401"/>
    </row>
    <row r="176" spans="2:3" ht="25.05" customHeight="1" x14ac:dyDescent="0.3">
      <c r="B176" s="399"/>
      <c r="C176" s="401"/>
    </row>
    <row r="177" spans="2:3" ht="25.05" customHeight="1" x14ac:dyDescent="0.3">
      <c r="B177" s="399"/>
      <c r="C177" s="401"/>
    </row>
    <row r="178" spans="2:3" ht="25.05" customHeight="1" x14ac:dyDescent="0.3">
      <c r="B178" s="399"/>
      <c r="C178" s="401"/>
    </row>
    <row r="179" spans="2:3" ht="25.05" customHeight="1" x14ac:dyDescent="0.3">
      <c r="B179" s="399"/>
      <c r="C179" s="401"/>
    </row>
    <row r="180" spans="2:3" ht="25.05" customHeight="1" x14ac:dyDescent="0.3">
      <c r="B180" s="399"/>
      <c r="C180" s="401"/>
    </row>
    <row r="181" spans="2:3" ht="25.05" customHeight="1" x14ac:dyDescent="0.3">
      <c r="B181" s="399"/>
      <c r="C181" s="401"/>
    </row>
    <row r="182" spans="2:3" ht="25.05" customHeight="1" x14ac:dyDescent="0.3">
      <c r="B182" s="399"/>
      <c r="C182" s="401"/>
    </row>
    <row r="183" spans="2:3" ht="25.05" customHeight="1" x14ac:dyDescent="0.3">
      <c r="B183" s="399"/>
      <c r="C183" s="401"/>
    </row>
    <row r="184" spans="2:3" ht="25.05" customHeight="1" x14ac:dyDescent="0.3">
      <c r="B184" s="399"/>
      <c r="C184" s="401"/>
    </row>
    <row r="185" spans="2:3" ht="25.05" customHeight="1" x14ac:dyDescent="0.3">
      <c r="B185" s="399"/>
      <c r="C185" s="401"/>
    </row>
    <row r="186" spans="2:3" ht="25.05" customHeight="1" x14ac:dyDescent="0.3">
      <c r="B186" s="399"/>
      <c r="C186" s="401"/>
    </row>
    <row r="187" spans="2:3" ht="25.05" customHeight="1" x14ac:dyDescent="0.3">
      <c r="B187" s="399"/>
      <c r="C187" s="401"/>
    </row>
    <row r="188" spans="2:3" ht="25.05" customHeight="1" x14ac:dyDescent="0.3">
      <c r="B188" s="399"/>
      <c r="C188" s="401"/>
    </row>
    <row r="189" spans="2:3" ht="25.05" customHeight="1" x14ac:dyDescent="0.3">
      <c r="B189" s="399"/>
      <c r="C189" s="401"/>
    </row>
    <row r="190" spans="2:3" ht="25.05" customHeight="1" x14ac:dyDescent="0.3">
      <c r="B190" s="399"/>
      <c r="C190" s="401"/>
    </row>
    <row r="191" spans="2:3" ht="25.05" customHeight="1" x14ac:dyDescent="0.3">
      <c r="B191" s="399"/>
      <c r="C191" s="401"/>
    </row>
    <row r="192" spans="2:3" ht="25.05" customHeight="1" x14ac:dyDescent="0.3">
      <c r="B192" s="399"/>
      <c r="C192" s="401"/>
    </row>
    <row r="193" spans="2:3" ht="25.05" customHeight="1" x14ac:dyDescent="0.3">
      <c r="B193" s="399"/>
      <c r="C193" s="401"/>
    </row>
    <row r="194" spans="2:3" ht="25.05" customHeight="1" x14ac:dyDescent="0.3">
      <c r="B194" s="399"/>
      <c r="C194" s="401"/>
    </row>
    <row r="195" spans="2:3" ht="25.05" customHeight="1" x14ac:dyDescent="0.3">
      <c r="B195" s="399"/>
      <c r="C195" s="401"/>
    </row>
    <row r="196" spans="2:3" ht="25.05" customHeight="1" x14ac:dyDescent="0.3">
      <c r="B196" s="399"/>
      <c r="C196" s="401"/>
    </row>
    <row r="197" spans="2:3" ht="25.05" customHeight="1" x14ac:dyDescent="0.3">
      <c r="B197" s="399"/>
      <c r="C197" s="401"/>
    </row>
    <row r="198" spans="2:3" ht="25.05" customHeight="1" x14ac:dyDescent="0.3">
      <c r="B198" s="399"/>
      <c r="C198" s="401"/>
    </row>
    <row r="199" spans="2:3" ht="25.05" customHeight="1" x14ac:dyDescent="0.3">
      <c r="B199" s="399"/>
      <c r="C199" s="401"/>
    </row>
    <row r="200" spans="2:3" ht="25.05" customHeight="1" x14ac:dyDescent="0.3">
      <c r="B200" s="399"/>
      <c r="C200" s="401"/>
    </row>
    <row r="201" spans="2:3" ht="25.05" customHeight="1" x14ac:dyDescent="0.3">
      <c r="B201" s="399"/>
      <c r="C201" s="401"/>
    </row>
    <row r="202" spans="2:3" ht="25.05" customHeight="1" x14ac:dyDescent="0.3">
      <c r="B202" s="399"/>
      <c r="C202" s="401"/>
    </row>
    <row r="203" spans="2:3" ht="25.05" customHeight="1" x14ac:dyDescent="0.3">
      <c r="B203" s="399"/>
      <c r="C203" s="401"/>
    </row>
    <row r="204" spans="2:3" ht="25.05" customHeight="1" x14ac:dyDescent="0.3">
      <c r="B204" s="399"/>
      <c r="C204" s="401"/>
    </row>
    <row r="205" spans="2:3" ht="25.05" customHeight="1" x14ac:dyDescent="0.3">
      <c r="B205" s="399"/>
      <c r="C205" s="401"/>
    </row>
    <row r="206" spans="2:3" ht="25.05" customHeight="1" x14ac:dyDescent="0.3">
      <c r="B206" s="399"/>
      <c r="C206" s="401"/>
    </row>
    <row r="207" spans="2:3" ht="25.05" customHeight="1" x14ac:dyDescent="0.3">
      <c r="B207" s="399"/>
      <c r="C207" s="401"/>
    </row>
    <row r="208" spans="2:3" ht="25.05" customHeight="1" x14ac:dyDescent="0.3">
      <c r="B208" s="399"/>
      <c r="C208" s="401"/>
    </row>
    <row r="209" spans="2:3" ht="25.05" customHeight="1" x14ac:dyDescent="0.3">
      <c r="B209" s="399"/>
      <c r="C209" s="401"/>
    </row>
    <row r="210" spans="2:3" ht="25.05" customHeight="1" x14ac:dyDescent="0.3">
      <c r="B210" s="399"/>
      <c r="C210" s="401"/>
    </row>
    <row r="211" spans="2:3" ht="25.05" customHeight="1" x14ac:dyDescent="0.3">
      <c r="B211" s="399"/>
      <c r="C211" s="401"/>
    </row>
    <row r="212" spans="2:3" ht="25.05" customHeight="1" x14ac:dyDescent="0.3">
      <c r="B212" s="399"/>
      <c r="C212" s="401"/>
    </row>
    <row r="213" spans="2:3" ht="25.05" customHeight="1" x14ac:dyDescent="0.3">
      <c r="B213" s="399"/>
      <c r="C213" s="398"/>
    </row>
    <row r="214" spans="2:3" ht="25.05" customHeight="1" x14ac:dyDescent="0.3">
      <c r="B214" s="397"/>
      <c r="C214" s="402"/>
    </row>
    <row r="215" spans="2:3" ht="25.05" customHeight="1" x14ac:dyDescent="0.3">
      <c r="B215" s="397"/>
      <c r="C215" s="403"/>
    </row>
    <row r="216" spans="2:3" ht="25.05" customHeight="1" x14ac:dyDescent="0.3">
      <c r="B216" s="399"/>
      <c r="C216" s="398"/>
    </row>
    <row r="217" spans="2:3" ht="25.05" customHeight="1" x14ac:dyDescent="0.3">
      <c r="B217" s="397"/>
      <c r="C217" s="402"/>
    </row>
    <row r="218" spans="2:3" ht="25.05" customHeight="1" x14ac:dyDescent="0.3">
      <c r="B218" s="397"/>
      <c r="C218" s="403"/>
    </row>
    <row r="219" spans="2:3" ht="25.05" customHeight="1" x14ac:dyDescent="0.3">
      <c r="B219" s="399"/>
      <c r="C219" s="398"/>
    </row>
    <row r="220" spans="2:3" ht="25.05" customHeight="1" x14ac:dyDescent="0.3">
      <c r="B220" s="397"/>
      <c r="C220" s="402"/>
    </row>
    <row r="221" spans="2:3" ht="25.05" customHeight="1" x14ac:dyDescent="0.3">
      <c r="B221" s="397"/>
      <c r="C221" s="403"/>
    </row>
    <row r="222" spans="2:3" ht="25.05" customHeight="1" x14ac:dyDescent="0.3">
      <c r="B222" s="399"/>
      <c r="C222" s="398"/>
    </row>
    <row r="223" spans="2:3" ht="25.05" customHeight="1" x14ac:dyDescent="0.3">
      <c r="B223" s="397"/>
      <c r="C223" s="402"/>
    </row>
    <row r="224" spans="2:3" ht="25.05" customHeight="1" x14ac:dyDescent="0.3">
      <c r="B224" s="397"/>
      <c r="C224" s="403"/>
    </row>
    <row r="225" spans="2:3" ht="25.05" customHeight="1" x14ac:dyDescent="0.3">
      <c r="B225" s="399"/>
      <c r="C225" s="398"/>
    </row>
    <row r="226" spans="2:3" ht="25.05" customHeight="1" x14ac:dyDescent="0.3">
      <c r="B226" s="397"/>
      <c r="C226" s="402"/>
    </row>
    <row r="227" spans="2:3" ht="25.05" customHeight="1" x14ac:dyDescent="0.3">
      <c r="B227" s="397"/>
      <c r="C227" s="403"/>
    </row>
    <row r="228" spans="2:3" ht="25.05" customHeight="1" x14ac:dyDescent="0.3">
      <c r="B228" s="399"/>
      <c r="C228" s="398"/>
    </row>
    <row r="229" spans="2:3" ht="25.05" customHeight="1" x14ac:dyDescent="0.3">
      <c r="B229" s="397"/>
      <c r="C229" s="402"/>
    </row>
    <row r="230" spans="2:3" ht="25.05" customHeight="1" x14ac:dyDescent="0.3">
      <c r="B230" s="397"/>
      <c r="C230" s="403"/>
    </row>
    <row r="231" spans="2:3" ht="25.05" customHeight="1" x14ac:dyDescent="0.3">
      <c r="B231" s="399"/>
      <c r="C231" s="398"/>
    </row>
    <row r="232" spans="2:3" ht="25.05" customHeight="1" x14ac:dyDescent="0.3">
      <c r="B232" s="397"/>
      <c r="C232" s="402"/>
    </row>
    <row r="233" spans="2:3" ht="25.05" customHeight="1" x14ac:dyDescent="0.3">
      <c r="B233" s="397"/>
      <c r="C233" s="403"/>
    </row>
    <row r="234" spans="2:3" ht="25.05" customHeight="1" x14ac:dyDescent="0.3">
      <c r="B234" s="399"/>
      <c r="C234" s="398"/>
    </row>
    <row r="235" spans="2:3" ht="25.05" customHeight="1" x14ac:dyDescent="0.3">
      <c r="B235" s="397"/>
      <c r="C235" s="402"/>
    </row>
    <row r="236" spans="2:3" ht="25.05" customHeight="1" x14ac:dyDescent="0.3">
      <c r="B236" s="397"/>
      <c r="C236" s="403"/>
    </row>
    <row r="237" spans="2:3" ht="25.05" customHeight="1" x14ac:dyDescent="0.3">
      <c r="B237" s="399"/>
      <c r="C237" s="398"/>
    </row>
    <row r="238" spans="2:3" ht="25.05" customHeight="1" x14ac:dyDescent="0.3">
      <c r="B238" s="397"/>
      <c r="C238" s="402"/>
    </row>
    <row r="239" spans="2:3" ht="25.05" customHeight="1" x14ac:dyDescent="0.3">
      <c r="B239" s="397"/>
      <c r="C239" s="403"/>
    </row>
    <row r="240" spans="2:3" x14ac:dyDescent="0.3">
      <c r="B240" s="399"/>
      <c r="C240" s="398"/>
    </row>
    <row r="241" spans="2:3" x14ac:dyDescent="0.3">
      <c r="B241" s="397"/>
      <c r="C241" s="396"/>
    </row>
    <row r="242" spans="2:3" x14ac:dyDescent="0.3">
      <c r="B242" s="397"/>
      <c r="C242" s="400"/>
    </row>
    <row r="243" spans="2:3" x14ac:dyDescent="0.3">
      <c r="B243" s="399"/>
      <c r="C243" s="398"/>
    </row>
    <row r="244" spans="2:3" x14ac:dyDescent="0.3">
      <c r="B244" s="397"/>
      <c r="C244" s="396"/>
    </row>
    <row r="245" spans="2:3" x14ac:dyDescent="0.3">
      <c r="B245" s="397"/>
      <c r="C245" s="400"/>
    </row>
    <row r="246" spans="2:3" x14ac:dyDescent="0.3">
      <c r="B246" s="399"/>
      <c r="C246" s="398"/>
    </row>
    <row r="247" spans="2:3" x14ac:dyDescent="0.3">
      <c r="B247" s="397"/>
      <c r="C247" s="396"/>
    </row>
    <row r="248" spans="2:3" x14ac:dyDescent="0.3">
      <c r="B248" s="397"/>
      <c r="C248" s="400"/>
    </row>
    <row r="249" spans="2:3" x14ac:dyDescent="0.3">
      <c r="B249" s="399"/>
      <c r="C249" s="398"/>
    </row>
    <row r="250" spans="2:3" x14ac:dyDescent="0.3">
      <c r="B250" s="397"/>
      <c r="C250" s="396"/>
    </row>
    <row r="251" spans="2:3" x14ac:dyDescent="0.3">
      <c r="B251" s="397"/>
      <c r="C251" s="400"/>
    </row>
    <row r="252" spans="2:3" x14ac:dyDescent="0.3">
      <c r="B252" s="399"/>
      <c r="C252" s="398"/>
    </row>
    <row r="253" spans="2:3" x14ac:dyDescent="0.3">
      <c r="B253" s="397"/>
      <c r="C253" s="396"/>
    </row>
    <row r="254" spans="2:3" x14ac:dyDescent="0.3">
      <c r="B254" s="397"/>
      <c r="C254" s="400"/>
    </row>
    <row r="255" spans="2:3" x14ac:dyDescent="0.3">
      <c r="B255" s="399"/>
      <c r="C255" s="398"/>
    </row>
    <row r="256" spans="2:3" x14ac:dyDescent="0.3">
      <c r="B256" s="397"/>
      <c r="C256" s="396"/>
    </row>
    <row r="257" spans="2:3" x14ac:dyDescent="0.3">
      <c r="B257" s="397"/>
      <c r="C257" s="400"/>
    </row>
    <row r="258" spans="2:3" x14ac:dyDescent="0.3">
      <c r="B258" s="399"/>
      <c r="C258" s="398"/>
    </row>
    <row r="259" spans="2:3" x14ac:dyDescent="0.3">
      <c r="B259" s="397"/>
      <c r="C259" s="396"/>
    </row>
    <row r="260" spans="2:3" x14ac:dyDescent="0.3">
      <c r="B260" s="397"/>
      <c r="C260" s="400"/>
    </row>
    <row r="261" spans="2:3" x14ac:dyDescent="0.3">
      <c r="B261" s="399"/>
      <c r="C261" s="398"/>
    </row>
    <row r="262" spans="2:3" x14ac:dyDescent="0.3">
      <c r="B262" s="397"/>
      <c r="C262" s="396"/>
    </row>
    <row r="263" spans="2:3" x14ac:dyDescent="0.3">
      <c r="B263" s="397"/>
      <c r="C263" s="400"/>
    </row>
    <row r="264" spans="2:3" x14ac:dyDescent="0.3">
      <c r="B264" s="399"/>
      <c r="C264" s="398"/>
    </row>
    <row r="265" spans="2:3" x14ac:dyDescent="0.3">
      <c r="B265" s="397"/>
      <c r="C265" s="396"/>
    </row>
    <row r="266" spans="2:3" x14ac:dyDescent="0.3">
      <c r="B266" s="397"/>
      <c r="C266" s="400"/>
    </row>
    <row r="267" spans="2:3" x14ac:dyDescent="0.3">
      <c r="B267" s="399"/>
      <c r="C267" s="398"/>
    </row>
    <row r="268" spans="2:3" x14ac:dyDescent="0.3">
      <c r="B268" s="397"/>
      <c r="C268" s="396"/>
    </row>
    <row r="269" spans="2:3" x14ac:dyDescent="0.3">
      <c r="B269" s="397"/>
      <c r="C269" s="400"/>
    </row>
    <row r="270" spans="2:3" x14ac:dyDescent="0.3">
      <c r="B270" s="399"/>
      <c r="C270" s="398"/>
    </row>
    <row r="271" spans="2:3" x14ac:dyDescent="0.3">
      <c r="B271" s="397"/>
      <c r="C271" s="396"/>
    </row>
    <row r="272" spans="2:3" x14ac:dyDescent="0.3">
      <c r="B272" s="397"/>
      <c r="C272" s="400"/>
    </row>
    <row r="273" spans="2:3" x14ac:dyDescent="0.3">
      <c r="B273" s="399"/>
      <c r="C273" s="398"/>
    </row>
    <row r="274" spans="2:3" x14ac:dyDescent="0.3">
      <c r="B274" s="397"/>
      <c r="C274" s="396"/>
    </row>
    <row r="275" spans="2:3" x14ac:dyDescent="0.3">
      <c r="B275" s="397"/>
      <c r="C275" s="400"/>
    </row>
    <row r="276" spans="2:3" x14ac:dyDescent="0.3">
      <c r="B276" s="399"/>
      <c r="C276" s="398"/>
    </row>
    <row r="277" spans="2:3" x14ac:dyDescent="0.3">
      <c r="B277" s="397"/>
      <c r="C277" s="396"/>
    </row>
    <row r="278" spans="2:3" x14ac:dyDescent="0.3">
      <c r="B278" s="397"/>
      <c r="C278" s="400"/>
    </row>
    <row r="279" spans="2:3" x14ac:dyDescent="0.3">
      <c r="B279" s="399"/>
      <c r="C279" s="398"/>
    </row>
    <row r="280" spans="2:3" x14ac:dyDescent="0.3">
      <c r="B280" s="397"/>
      <c r="C280" s="396"/>
    </row>
    <row r="281" spans="2:3" x14ac:dyDescent="0.3">
      <c r="B281" s="397"/>
      <c r="C281" s="400"/>
    </row>
    <row r="282" spans="2:3" x14ac:dyDescent="0.3">
      <c r="B282" s="399"/>
      <c r="C282" s="398"/>
    </row>
    <row r="283" spans="2:3" x14ac:dyDescent="0.3">
      <c r="B283" s="397"/>
      <c r="C283" s="396"/>
    </row>
    <row r="284" spans="2:3" x14ac:dyDescent="0.3">
      <c r="B284" s="397"/>
      <c r="C284" s="400"/>
    </row>
    <row r="285" spans="2:3" x14ac:dyDescent="0.3">
      <c r="B285" s="399"/>
      <c r="C285" s="398"/>
    </row>
    <row r="286" spans="2:3" x14ac:dyDescent="0.3">
      <c r="B286" s="397"/>
      <c r="C286" s="396"/>
    </row>
    <row r="287" spans="2:3" x14ac:dyDescent="0.3">
      <c r="B287" s="397"/>
      <c r="C287" s="400"/>
    </row>
    <row r="288" spans="2:3" x14ac:dyDescent="0.3">
      <c r="B288" s="399"/>
      <c r="C288" s="398"/>
    </row>
    <row r="289" spans="2:3" x14ac:dyDescent="0.3">
      <c r="B289" s="397"/>
      <c r="C289" s="396"/>
    </row>
    <row r="290" spans="2:3" x14ac:dyDescent="0.3">
      <c r="B290" s="397"/>
      <c r="C290" s="400"/>
    </row>
    <row r="291" spans="2:3" x14ac:dyDescent="0.3">
      <c r="B291" s="399"/>
      <c r="C291" s="398"/>
    </row>
    <row r="292" spans="2:3" x14ac:dyDescent="0.3">
      <c r="B292" s="397"/>
      <c r="C292" s="396"/>
    </row>
    <row r="293" spans="2:3" x14ac:dyDescent="0.3">
      <c r="B293" s="397"/>
      <c r="C293" s="400"/>
    </row>
    <row r="294" spans="2:3" x14ac:dyDescent="0.3">
      <c r="B294" s="399"/>
      <c r="C294" s="398"/>
    </row>
    <row r="295" spans="2:3" x14ac:dyDescent="0.3">
      <c r="B295" s="397"/>
      <c r="C295" s="396"/>
    </row>
    <row r="296" spans="2:3" x14ac:dyDescent="0.3">
      <c r="B296" s="397"/>
      <c r="C296" s="400"/>
    </row>
    <row r="297" spans="2:3" x14ac:dyDescent="0.3">
      <c r="B297" s="399"/>
      <c r="C297" s="398"/>
    </row>
    <row r="298" spans="2:3" x14ac:dyDescent="0.3">
      <c r="B298" s="397"/>
      <c r="C298" s="396"/>
    </row>
    <row r="299" spans="2:3" x14ac:dyDescent="0.3">
      <c r="B299" s="397"/>
      <c r="C299" s="400"/>
    </row>
    <row r="300" spans="2:3" x14ac:dyDescent="0.3">
      <c r="B300" s="399"/>
      <c r="C300" s="398"/>
    </row>
    <row r="301" spans="2:3" x14ac:dyDescent="0.3">
      <c r="B301" s="397"/>
      <c r="C301" s="396"/>
    </row>
    <row r="302" spans="2:3" x14ac:dyDescent="0.3">
      <c r="B302" s="397"/>
      <c r="C302" s="400"/>
    </row>
    <row r="303" spans="2:3" x14ac:dyDescent="0.3">
      <c r="B303" s="399"/>
      <c r="C303" s="398"/>
    </row>
    <row r="304" spans="2:3" x14ac:dyDescent="0.3">
      <c r="B304" s="397"/>
      <c r="C304" s="396"/>
    </row>
    <row r="305" spans="2:3" x14ac:dyDescent="0.3">
      <c r="B305" s="397"/>
      <c r="C305" s="400"/>
    </row>
    <row r="306" spans="2:3" x14ac:dyDescent="0.3">
      <c r="B306" s="399"/>
      <c r="C306" s="398"/>
    </row>
    <row r="307" spans="2:3" x14ac:dyDescent="0.3">
      <c r="B307" s="397"/>
      <c r="C307" s="396"/>
    </row>
    <row r="308" spans="2:3" x14ac:dyDescent="0.3">
      <c r="B308" s="397"/>
      <c r="C308" s="400"/>
    </row>
    <row r="309" spans="2:3" x14ac:dyDescent="0.3">
      <c r="B309" s="399"/>
      <c r="C309" s="398"/>
    </row>
    <row r="310" spans="2:3" x14ac:dyDescent="0.3">
      <c r="B310" s="397"/>
      <c r="C310" s="396"/>
    </row>
    <row r="311" spans="2:3" x14ac:dyDescent="0.3">
      <c r="B311" s="397"/>
      <c r="C311" s="400"/>
    </row>
    <row r="312" spans="2:3" x14ac:dyDescent="0.3">
      <c r="B312" s="399"/>
      <c r="C312" s="398"/>
    </row>
    <row r="313" spans="2:3" x14ac:dyDescent="0.3">
      <c r="B313" s="397"/>
      <c r="C313" s="396"/>
    </row>
    <row r="314" spans="2:3" x14ac:dyDescent="0.3">
      <c r="B314" s="397"/>
      <c r="C314" s="400"/>
    </row>
    <row r="315" spans="2:3" x14ac:dyDescent="0.3">
      <c r="B315" s="399"/>
      <c r="C315" s="398"/>
    </row>
    <row r="316" spans="2:3" x14ac:dyDescent="0.3">
      <c r="B316" s="397"/>
      <c r="C316" s="396"/>
    </row>
    <row r="317" spans="2:3" x14ac:dyDescent="0.3">
      <c r="B317" s="397"/>
      <c r="C317" s="400"/>
    </row>
    <row r="318" spans="2:3" x14ac:dyDescent="0.3">
      <c r="B318" s="399"/>
      <c r="C318" s="398"/>
    </row>
    <row r="319" spans="2:3" x14ac:dyDescent="0.3">
      <c r="B319" s="397"/>
      <c r="C319" s="396"/>
    </row>
    <row r="320" spans="2:3" x14ac:dyDescent="0.3">
      <c r="B320" s="397"/>
      <c r="C320" s="400"/>
    </row>
    <row r="321" spans="2:3" x14ac:dyDescent="0.3">
      <c r="B321" s="399"/>
      <c r="C321" s="398"/>
    </row>
    <row r="322" spans="2:3" x14ac:dyDescent="0.3">
      <c r="B322" s="397"/>
      <c r="C322" s="396"/>
    </row>
    <row r="323" spans="2:3" x14ac:dyDescent="0.3">
      <c r="B323" s="397"/>
      <c r="C323" s="400"/>
    </row>
    <row r="324" spans="2:3" x14ac:dyDescent="0.3">
      <c r="B324" s="399"/>
      <c r="C324" s="398"/>
    </row>
    <row r="325" spans="2:3" x14ac:dyDescent="0.3">
      <c r="B325" s="397"/>
      <c r="C325" s="396"/>
    </row>
    <row r="326" spans="2:3" x14ac:dyDescent="0.3">
      <c r="B326" s="397"/>
      <c r="C326" s="400"/>
    </row>
    <row r="327" spans="2:3" x14ac:dyDescent="0.3">
      <c r="B327" s="399"/>
      <c r="C327" s="398"/>
    </row>
    <row r="328" spans="2:3" x14ac:dyDescent="0.3">
      <c r="B328" s="397"/>
      <c r="C328" s="396"/>
    </row>
    <row r="329" spans="2:3" x14ac:dyDescent="0.3">
      <c r="B329" s="397"/>
      <c r="C329" s="400"/>
    </row>
    <row r="330" spans="2:3" x14ac:dyDescent="0.3">
      <c r="B330" s="399"/>
      <c r="C330" s="398"/>
    </row>
    <row r="331" spans="2:3" x14ac:dyDescent="0.3">
      <c r="B331" s="397"/>
      <c r="C331" s="396"/>
    </row>
    <row r="332" spans="2:3" x14ac:dyDescent="0.3">
      <c r="B332" s="397"/>
      <c r="C332" s="400"/>
    </row>
    <row r="333" spans="2:3" x14ac:dyDescent="0.3">
      <c r="B333" s="399"/>
      <c r="C333" s="398"/>
    </row>
    <row r="334" spans="2:3" x14ac:dyDescent="0.3">
      <c r="B334" s="397"/>
      <c r="C334" s="396"/>
    </row>
    <row r="335" spans="2:3" x14ac:dyDescent="0.3">
      <c r="B335" s="397"/>
      <c r="C335" s="400"/>
    </row>
    <row r="336" spans="2:3" x14ac:dyDescent="0.3">
      <c r="B336" s="399"/>
      <c r="C336" s="398"/>
    </row>
    <row r="337" spans="2:3" x14ac:dyDescent="0.3">
      <c r="B337" s="397"/>
      <c r="C337" s="396"/>
    </row>
    <row r="338" spans="2:3" x14ac:dyDescent="0.3">
      <c r="B338" s="397"/>
      <c r="C338" s="400"/>
    </row>
    <row r="339" spans="2:3" x14ac:dyDescent="0.3">
      <c r="B339" s="399"/>
      <c r="C339" s="398"/>
    </row>
    <row r="340" spans="2:3" x14ac:dyDescent="0.3">
      <c r="B340" s="397"/>
      <c r="C340" s="396"/>
    </row>
    <row r="341" spans="2:3" x14ac:dyDescent="0.3">
      <c r="B341" s="397"/>
      <c r="C341" s="400"/>
    </row>
    <row r="342" spans="2:3" x14ac:dyDescent="0.3">
      <c r="B342" s="399"/>
      <c r="C342" s="398"/>
    </row>
    <row r="343" spans="2:3" x14ac:dyDescent="0.3">
      <c r="B343" s="397"/>
      <c r="C343" s="396"/>
    </row>
    <row r="344" spans="2:3" x14ac:dyDescent="0.3">
      <c r="B344" s="397"/>
      <c r="C344" s="400"/>
    </row>
    <row r="345" spans="2:3" x14ac:dyDescent="0.3">
      <c r="B345" s="399"/>
      <c r="C345" s="398"/>
    </row>
    <row r="346" spans="2:3" x14ac:dyDescent="0.3">
      <c r="B346" s="397"/>
      <c r="C346" s="396"/>
    </row>
    <row r="347" spans="2:3" x14ac:dyDescent="0.3">
      <c r="B347" s="397"/>
      <c r="C347" s="400"/>
    </row>
    <row r="348" spans="2:3" x14ac:dyDescent="0.3">
      <c r="B348" s="399"/>
      <c r="C348" s="398"/>
    </row>
    <row r="349" spans="2:3" x14ac:dyDescent="0.3">
      <c r="B349" s="397"/>
      <c r="C349" s="396"/>
    </row>
    <row r="350" spans="2:3" x14ac:dyDescent="0.3">
      <c r="B350" s="397"/>
      <c r="C350" s="400"/>
    </row>
    <row r="351" spans="2:3" x14ac:dyDescent="0.3">
      <c r="B351" s="399"/>
      <c r="C351" s="398"/>
    </row>
    <row r="352" spans="2:3" x14ac:dyDescent="0.3">
      <c r="B352" s="397"/>
      <c r="C352" s="396"/>
    </row>
    <row r="353" spans="2:3" x14ac:dyDescent="0.3">
      <c r="B353" s="397"/>
      <c r="C353" s="400"/>
    </row>
    <row r="354" spans="2:3" x14ac:dyDescent="0.3">
      <c r="B354" s="399"/>
      <c r="C354" s="398"/>
    </row>
    <row r="355" spans="2:3" x14ac:dyDescent="0.3">
      <c r="B355" s="397"/>
      <c r="C355" s="396"/>
    </row>
    <row r="356" spans="2:3" x14ac:dyDescent="0.3">
      <c r="B356" s="397"/>
      <c r="C356" s="400"/>
    </row>
    <row r="357" spans="2:3" x14ac:dyDescent="0.3">
      <c r="B357" s="399"/>
      <c r="C357" s="398"/>
    </row>
    <row r="358" spans="2:3" x14ac:dyDescent="0.3">
      <c r="B358" s="397"/>
      <c r="C358" s="396"/>
    </row>
    <row r="359" spans="2:3" x14ac:dyDescent="0.3">
      <c r="B359" s="397"/>
      <c r="C359" s="400"/>
    </row>
    <row r="360" spans="2:3" x14ac:dyDescent="0.3">
      <c r="B360" s="399"/>
      <c r="C360" s="398"/>
    </row>
    <row r="361" spans="2:3" x14ac:dyDescent="0.3">
      <c r="B361" s="397"/>
      <c r="C361" s="396"/>
    </row>
    <row r="362" spans="2:3" x14ac:dyDescent="0.3">
      <c r="B362" s="397"/>
      <c r="C362" s="400"/>
    </row>
    <row r="363" spans="2:3" x14ac:dyDescent="0.3">
      <c r="B363" s="399"/>
      <c r="C363" s="398"/>
    </row>
    <row r="364" spans="2:3" x14ac:dyDescent="0.3">
      <c r="B364" s="397"/>
      <c r="C364" s="396"/>
    </row>
    <row r="365" spans="2:3" x14ac:dyDescent="0.3">
      <c r="B365" s="397"/>
      <c r="C365" s="400"/>
    </row>
    <row r="366" spans="2:3" x14ac:dyDescent="0.3">
      <c r="B366" s="399"/>
      <c r="C366" s="398"/>
    </row>
    <row r="367" spans="2:3" x14ac:dyDescent="0.3">
      <c r="B367" s="397"/>
      <c r="C367" s="396"/>
    </row>
    <row r="368" spans="2:3" x14ac:dyDescent="0.3">
      <c r="B368" s="397"/>
      <c r="C368" s="400"/>
    </row>
    <row r="369" spans="2:3" x14ac:dyDescent="0.3">
      <c r="B369" s="399"/>
      <c r="C369" s="398"/>
    </row>
    <row r="370" spans="2:3" x14ac:dyDescent="0.3">
      <c r="B370" s="397"/>
      <c r="C370" s="396"/>
    </row>
    <row r="371" spans="2:3" x14ac:dyDescent="0.3">
      <c r="B371" s="397"/>
      <c r="C371" s="400"/>
    </row>
    <row r="372" spans="2:3" x14ac:dyDescent="0.3">
      <c r="B372" s="399"/>
      <c r="C372" s="398"/>
    </row>
    <row r="373" spans="2:3" x14ac:dyDescent="0.3">
      <c r="B373" s="397"/>
      <c r="C373" s="396"/>
    </row>
    <row r="374" spans="2:3" x14ac:dyDescent="0.3">
      <c r="B374" s="397"/>
      <c r="C374" s="400"/>
    </row>
    <row r="375" spans="2:3" x14ac:dyDescent="0.3">
      <c r="B375" s="399"/>
      <c r="C375" s="398"/>
    </row>
    <row r="376" spans="2:3" x14ac:dyDescent="0.3">
      <c r="B376" s="397"/>
      <c r="C376" s="396"/>
    </row>
    <row r="377" spans="2:3" x14ac:dyDescent="0.3">
      <c r="B377" s="397"/>
      <c r="C377" s="400"/>
    </row>
    <row r="378" spans="2:3" x14ac:dyDescent="0.3">
      <c r="B378" s="399"/>
      <c r="C378" s="398"/>
    </row>
    <row r="379" spans="2:3" x14ac:dyDescent="0.3">
      <c r="B379" s="397"/>
      <c r="C379" s="396"/>
    </row>
    <row r="380" spans="2:3" x14ac:dyDescent="0.3">
      <c r="B380" s="397"/>
      <c r="C380" s="400"/>
    </row>
    <row r="381" spans="2:3" x14ac:dyDescent="0.3">
      <c r="B381" s="399"/>
      <c r="C381" s="398"/>
    </row>
    <row r="382" spans="2:3" x14ac:dyDescent="0.3">
      <c r="B382" s="397"/>
      <c r="C382" s="396"/>
    </row>
    <row r="383" spans="2:3" x14ac:dyDescent="0.3">
      <c r="B383" s="397"/>
      <c r="C383" s="400"/>
    </row>
    <row r="384" spans="2:3" x14ac:dyDescent="0.3">
      <c r="B384" s="399"/>
      <c r="C384" s="398"/>
    </row>
    <row r="385" spans="2:3" x14ac:dyDescent="0.3">
      <c r="B385" s="397"/>
      <c r="C385" s="396"/>
    </row>
    <row r="386" spans="2:3" x14ac:dyDescent="0.3">
      <c r="B386" s="397"/>
      <c r="C386" s="400"/>
    </row>
    <row r="387" spans="2:3" x14ac:dyDescent="0.3">
      <c r="B387" s="399"/>
      <c r="C387" s="398"/>
    </row>
    <row r="388" spans="2:3" x14ac:dyDescent="0.3">
      <c r="B388" s="397"/>
      <c r="C388" s="396"/>
    </row>
    <row r="389" spans="2:3" x14ac:dyDescent="0.3">
      <c r="B389" s="397"/>
      <c r="C389" s="400"/>
    </row>
    <row r="390" spans="2:3" x14ac:dyDescent="0.3">
      <c r="B390" s="399"/>
      <c r="C390" s="398"/>
    </row>
    <row r="391" spans="2:3" x14ac:dyDescent="0.3">
      <c r="B391" s="397"/>
      <c r="C391" s="396"/>
    </row>
    <row r="392" spans="2:3" x14ac:dyDescent="0.3">
      <c r="B392" s="397"/>
      <c r="C392" s="400"/>
    </row>
    <row r="393" spans="2:3" x14ac:dyDescent="0.3">
      <c r="B393" s="399"/>
      <c r="C393" s="398"/>
    </row>
    <row r="394" spans="2:3" x14ac:dyDescent="0.3">
      <c r="B394" s="397"/>
      <c r="C394" s="396"/>
    </row>
    <row r="395" spans="2:3" x14ac:dyDescent="0.3">
      <c r="B395" s="397"/>
      <c r="C395" s="400"/>
    </row>
    <row r="396" spans="2:3" x14ac:dyDescent="0.3">
      <c r="B396" s="399"/>
      <c r="C396" s="398"/>
    </row>
    <row r="397" spans="2:3" x14ac:dyDescent="0.3">
      <c r="B397" s="397"/>
      <c r="C397" s="396"/>
    </row>
    <row r="398" spans="2:3" x14ac:dyDescent="0.3">
      <c r="B398" s="397"/>
      <c r="C398" s="400"/>
    </row>
    <row r="399" spans="2:3" x14ac:dyDescent="0.3">
      <c r="B399" s="399"/>
      <c r="C399" s="398"/>
    </row>
    <row r="400" spans="2:3" x14ac:dyDescent="0.3">
      <c r="B400" s="397"/>
      <c r="C400" s="396"/>
    </row>
    <row r="401" spans="2:3" x14ac:dyDescent="0.3">
      <c r="B401" s="397"/>
      <c r="C401" s="400"/>
    </row>
    <row r="402" spans="2:3" x14ac:dyDescent="0.3">
      <c r="B402" s="399"/>
      <c r="C402" s="398"/>
    </row>
    <row r="403" spans="2:3" x14ac:dyDescent="0.3">
      <c r="B403" s="397"/>
      <c r="C403" s="396"/>
    </row>
    <row r="404" spans="2:3" x14ac:dyDescent="0.3">
      <c r="B404" s="397"/>
      <c r="C404" s="400"/>
    </row>
    <row r="405" spans="2:3" x14ac:dyDescent="0.3">
      <c r="B405" s="399"/>
      <c r="C405" s="398"/>
    </row>
    <row r="406" spans="2:3" x14ac:dyDescent="0.3">
      <c r="B406" s="397"/>
      <c r="C406" s="396"/>
    </row>
    <row r="407" spans="2:3" x14ac:dyDescent="0.3">
      <c r="B407" s="397"/>
      <c r="C407" s="400"/>
    </row>
    <row r="408" spans="2:3" x14ac:dyDescent="0.3">
      <c r="B408" s="399"/>
      <c r="C408" s="398"/>
    </row>
    <row r="409" spans="2:3" x14ac:dyDescent="0.3">
      <c r="B409" s="397"/>
      <c r="C409" s="396"/>
    </row>
    <row r="410" spans="2:3" x14ac:dyDescent="0.3">
      <c r="B410" s="397"/>
      <c r="C410" s="400"/>
    </row>
    <row r="411" spans="2:3" x14ac:dyDescent="0.3">
      <c r="B411" s="399"/>
      <c r="C411" s="398"/>
    </row>
    <row r="412" spans="2:3" x14ac:dyDescent="0.3">
      <c r="B412" s="397"/>
      <c r="C412" s="396"/>
    </row>
    <row r="413" spans="2:3" x14ac:dyDescent="0.3">
      <c r="B413" s="397"/>
      <c r="C413" s="400"/>
    </row>
    <row r="414" spans="2:3" x14ac:dyDescent="0.3">
      <c r="B414" s="399"/>
      <c r="C414" s="398"/>
    </row>
    <row r="415" spans="2:3" x14ac:dyDescent="0.3">
      <c r="B415" s="397"/>
      <c r="C415" s="396"/>
    </row>
    <row r="416" spans="2:3" x14ac:dyDescent="0.3">
      <c r="B416" s="397"/>
      <c r="C416" s="400"/>
    </row>
    <row r="417" spans="2:3" x14ac:dyDescent="0.3">
      <c r="B417" s="399"/>
      <c r="C417" s="398"/>
    </row>
    <row r="418" spans="2:3" x14ac:dyDescent="0.3">
      <c r="B418" s="397"/>
      <c r="C418" s="396"/>
    </row>
    <row r="419" spans="2:3" x14ac:dyDescent="0.3">
      <c r="B419" s="397"/>
      <c r="C419" s="400"/>
    </row>
    <row r="420" spans="2:3" x14ac:dyDescent="0.3">
      <c r="B420" s="399"/>
      <c r="C420" s="398"/>
    </row>
    <row r="421" spans="2:3" x14ac:dyDescent="0.3">
      <c r="B421" s="397"/>
      <c r="C421" s="396"/>
    </row>
    <row r="422" spans="2:3" x14ac:dyDescent="0.3">
      <c r="B422" s="397"/>
      <c r="C422" s="400"/>
    </row>
    <row r="423" spans="2:3" x14ac:dyDescent="0.3">
      <c r="B423" s="399"/>
      <c r="C423" s="398"/>
    </row>
    <row r="424" spans="2:3" x14ac:dyDescent="0.3">
      <c r="B424" s="397"/>
      <c r="C424" s="396"/>
    </row>
    <row r="425" spans="2:3" x14ac:dyDescent="0.3">
      <c r="B425" s="397"/>
      <c r="C425" s="400"/>
    </row>
    <row r="426" spans="2:3" x14ac:dyDescent="0.3">
      <c r="B426" s="399"/>
      <c r="C426" s="398"/>
    </row>
    <row r="427" spans="2:3" x14ac:dyDescent="0.3">
      <c r="B427" s="397"/>
      <c r="C427" s="396"/>
    </row>
    <row r="428" spans="2:3" x14ac:dyDescent="0.3">
      <c r="B428" s="397"/>
      <c r="C428" s="400"/>
    </row>
    <row r="429" spans="2:3" x14ac:dyDescent="0.3">
      <c r="B429" s="399"/>
      <c r="C429" s="398"/>
    </row>
    <row r="430" spans="2:3" x14ac:dyDescent="0.3">
      <c r="B430" s="397"/>
      <c r="C430" s="396"/>
    </row>
    <row r="431" spans="2:3" x14ac:dyDescent="0.3">
      <c r="B431" s="397"/>
      <c r="C431" s="400"/>
    </row>
    <row r="432" spans="2:3" x14ac:dyDescent="0.3">
      <c r="B432" s="399"/>
      <c r="C432" s="398"/>
    </row>
    <row r="433" spans="2:3" x14ac:dyDescent="0.3">
      <c r="B433" s="397"/>
      <c r="C433" s="396"/>
    </row>
    <row r="434" spans="2:3" x14ac:dyDescent="0.3">
      <c r="B434" s="397"/>
      <c r="C434" s="400"/>
    </row>
    <row r="435" spans="2:3" x14ac:dyDescent="0.3">
      <c r="B435" s="399"/>
      <c r="C435" s="398"/>
    </row>
    <row r="436" spans="2:3" x14ac:dyDescent="0.3">
      <c r="B436" s="397"/>
      <c r="C436" s="396"/>
    </row>
    <row r="437" spans="2:3" x14ac:dyDescent="0.3">
      <c r="B437" s="397"/>
      <c r="C437" s="400"/>
    </row>
    <row r="438" spans="2:3" x14ac:dyDescent="0.3">
      <c r="B438" s="399"/>
      <c r="C438" s="398"/>
    </row>
    <row r="439" spans="2:3" x14ac:dyDescent="0.3">
      <c r="B439" s="397"/>
      <c r="C439" s="396"/>
    </row>
    <row r="440" spans="2:3" x14ac:dyDescent="0.3">
      <c r="B440" s="397"/>
      <c r="C440" s="400"/>
    </row>
    <row r="441" spans="2:3" x14ac:dyDescent="0.3">
      <c r="B441" s="399"/>
      <c r="C441" s="398"/>
    </row>
    <row r="442" spans="2:3" x14ac:dyDescent="0.3">
      <c r="B442" s="397"/>
      <c r="C442" s="396"/>
    </row>
    <row r="443" spans="2:3" x14ac:dyDescent="0.3">
      <c r="B443" s="397"/>
      <c r="C443" s="400"/>
    </row>
    <row r="444" spans="2:3" x14ac:dyDescent="0.3">
      <c r="B444" s="399"/>
      <c r="C444" s="398"/>
    </row>
    <row r="445" spans="2:3" x14ac:dyDescent="0.3">
      <c r="B445" s="397"/>
      <c r="C445" s="396"/>
    </row>
    <row r="446" spans="2:3" x14ac:dyDescent="0.3">
      <c r="B446" s="397"/>
      <c r="C446" s="400"/>
    </row>
    <row r="447" spans="2:3" x14ac:dyDescent="0.3">
      <c r="B447" s="399"/>
      <c r="C447" s="398"/>
    </row>
    <row r="448" spans="2:3" x14ac:dyDescent="0.3">
      <c r="B448" s="397"/>
      <c r="C448" s="396"/>
    </row>
    <row r="449" spans="2:3" x14ac:dyDescent="0.3">
      <c r="B449" s="397"/>
      <c r="C449" s="400"/>
    </row>
    <row r="450" spans="2:3" x14ac:dyDescent="0.3">
      <c r="B450" s="399"/>
      <c r="C450" s="398"/>
    </row>
    <row r="451" spans="2:3" x14ac:dyDescent="0.3">
      <c r="B451" s="397"/>
      <c r="C451" s="396"/>
    </row>
    <row r="452" spans="2:3" x14ac:dyDescent="0.3">
      <c r="B452" s="397"/>
      <c r="C452" s="400"/>
    </row>
    <row r="453" spans="2:3" x14ac:dyDescent="0.3">
      <c r="B453" s="399"/>
      <c r="C453" s="398"/>
    </row>
    <row r="454" spans="2:3" x14ac:dyDescent="0.3">
      <c r="B454" s="397"/>
      <c r="C454" s="396"/>
    </row>
    <row r="455" spans="2:3" x14ac:dyDescent="0.3">
      <c r="B455" s="397"/>
      <c r="C455" s="400"/>
    </row>
    <row r="456" spans="2:3" x14ac:dyDescent="0.3">
      <c r="B456" s="399"/>
      <c r="C456" s="398"/>
    </row>
    <row r="457" spans="2:3" x14ac:dyDescent="0.3">
      <c r="B457" s="397"/>
      <c r="C457" s="396"/>
    </row>
    <row r="458" spans="2:3" x14ac:dyDescent="0.3">
      <c r="B458" s="397"/>
      <c r="C458" s="400"/>
    </row>
    <row r="459" spans="2:3" x14ac:dyDescent="0.3">
      <c r="B459" s="399"/>
      <c r="C459" s="398"/>
    </row>
    <row r="460" spans="2:3" x14ac:dyDescent="0.3">
      <c r="B460" s="397"/>
      <c r="C460" s="396"/>
    </row>
    <row r="461" spans="2:3" x14ac:dyDescent="0.3">
      <c r="B461" s="397"/>
      <c r="C461" s="400"/>
    </row>
    <row r="462" spans="2:3" x14ac:dyDescent="0.3">
      <c r="B462" s="399"/>
      <c r="C462" s="398"/>
    </row>
    <row r="463" spans="2:3" x14ac:dyDescent="0.3">
      <c r="B463" s="397"/>
      <c r="C463" s="396"/>
    </row>
    <row r="464" spans="2:3" x14ac:dyDescent="0.3">
      <c r="B464" s="397"/>
      <c r="C464" s="400"/>
    </row>
    <row r="465" spans="2:3" x14ac:dyDescent="0.3">
      <c r="B465" s="399"/>
      <c r="C465" s="398"/>
    </row>
    <row r="466" spans="2:3" x14ac:dyDescent="0.3">
      <c r="B466" s="397"/>
      <c r="C466" s="396"/>
    </row>
    <row r="467" spans="2:3" x14ac:dyDescent="0.3">
      <c r="B467" s="397"/>
      <c r="C467" s="400"/>
    </row>
    <row r="468" spans="2:3" x14ac:dyDescent="0.3">
      <c r="B468" s="399"/>
      <c r="C468" s="398"/>
    </row>
    <row r="469" spans="2:3" x14ac:dyDescent="0.3">
      <c r="B469" s="397"/>
      <c r="C469" s="396"/>
    </row>
    <row r="470" spans="2:3" x14ac:dyDescent="0.3">
      <c r="B470" s="397"/>
      <c r="C470" s="400"/>
    </row>
    <row r="471" spans="2:3" x14ac:dyDescent="0.3">
      <c r="B471" s="399"/>
      <c r="C471" s="398"/>
    </row>
    <row r="472" spans="2:3" x14ac:dyDescent="0.3">
      <c r="B472" s="397"/>
      <c r="C472" s="396"/>
    </row>
    <row r="473" spans="2:3" x14ac:dyDescent="0.3">
      <c r="B473" s="397"/>
      <c r="C473" s="400"/>
    </row>
    <row r="474" spans="2:3" x14ac:dyDescent="0.3">
      <c r="B474" s="399"/>
      <c r="C474" s="398"/>
    </row>
    <row r="475" spans="2:3" x14ac:dyDescent="0.3">
      <c r="B475" s="397"/>
      <c r="C475" s="396"/>
    </row>
    <row r="476" spans="2:3" x14ac:dyDescent="0.3">
      <c r="B476" s="397"/>
      <c r="C476" s="400"/>
    </row>
    <row r="477" spans="2:3" x14ac:dyDescent="0.3">
      <c r="B477" s="399"/>
      <c r="C477" s="398"/>
    </row>
    <row r="478" spans="2:3" x14ac:dyDescent="0.3">
      <c r="B478" s="397"/>
      <c r="C478" s="396"/>
    </row>
    <row r="479" spans="2:3" x14ac:dyDescent="0.3">
      <c r="B479" s="397"/>
      <c r="C479" s="400"/>
    </row>
    <row r="480" spans="2:3" x14ac:dyDescent="0.3">
      <c r="B480" s="399"/>
      <c r="C480" s="398"/>
    </row>
    <row r="481" spans="2:3" x14ac:dyDescent="0.3">
      <c r="B481" s="397"/>
      <c r="C481" s="396"/>
    </row>
    <row r="482" spans="2:3" x14ac:dyDescent="0.3">
      <c r="B482" s="397"/>
      <c r="C482" s="400"/>
    </row>
    <row r="483" spans="2:3" x14ac:dyDescent="0.3">
      <c r="B483" s="399"/>
      <c r="C483" s="398"/>
    </row>
    <row r="484" spans="2:3" x14ac:dyDescent="0.3">
      <c r="B484" s="397"/>
      <c r="C484" s="396"/>
    </row>
    <row r="485" spans="2:3" x14ac:dyDescent="0.3">
      <c r="B485" s="397"/>
      <c r="C485" s="400"/>
    </row>
    <row r="486" spans="2:3" x14ac:dyDescent="0.3">
      <c r="B486" s="399"/>
      <c r="C486" s="398"/>
    </row>
    <row r="487" spans="2:3" x14ac:dyDescent="0.3">
      <c r="B487" s="397"/>
      <c r="C487" s="396"/>
    </row>
    <row r="488" spans="2:3" x14ac:dyDescent="0.3">
      <c r="B488" s="397"/>
      <c r="C488" s="400"/>
    </row>
    <row r="489" spans="2:3" x14ac:dyDescent="0.3">
      <c r="B489" s="399"/>
      <c r="C489" s="398"/>
    </row>
    <row r="490" spans="2:3" x14ac:dyDescent="0.3">
      <c r="B490" s="397"/>
      <c r="C490" s="396"/>
    </row>
    <row r="491" spans="2:3" x14ac:dyDescent="0.3">
      <c r="B491" s="397"/>
      <c r="C491" s="400"/>
    </row>
    <row r="492" spans="2:3" x14ac:dyDescent="0.3">
      <c r="B492" s="399"/>
      <c r="C492" s="398"/>
    </row>
    <row r="493" spans="2:3" x14ac:dyDescent="0.3">
      <c r="B493" s="397"/>
      <c r="C493" s="396"/>
    </row>
    <row r="494" spans="2:3" x14ac:dyDescent="0.3">
      <c r="B494" s="397"/>
      <c r="C494" s="400"/>
    </row>
    <row r="495" spans="2:3" x14ac:dyDescent="0.3">
      <c r="B495" s="399"/>
      <c r="C495" s="398"/>
    </row>
    <row r="496" spans="2:3" x14ac:dyDescent="0.3">
      <c r="B496" s="397"/>
      <c r="C496" s="396"/>
    </row>
    <row r="497" spans="2:3" x14ac:dyDescent="0.3">
      <c r="B497" s="397"/>
      <c r="C497" s="400"/>
    </row>
    <row r="498" spans="2:3" x14ac:dyDescent="0.3">
      <c r="B498" s="399"/>
      <c r="C498" s="398"/>
    </row>
    <row r="499" spans="2:3" x14ac:dyDescent="0.3">
      <c r="B499" s="397"/>
      <c r="C499" s="396"/>
    </row>
    <row r="500" spans="2:3" x14ac:dyDescent="0.3">
      <c r="B500" s="397"/>
      <c r="C500" s="400"/>
    </row>
    <row r="501" spans="2:3" x14ac:dyDescent="0.3">
      <c r="B501" s="399"/>
      <c r="C501" s="398"/>
    </row>
    <row r="502" spans="2:3" x14ac:dyDescent="0.3">
      <c r="B502" s="397"/>
      <c r="C502" s="396"/>
    </row>
    <row r="503" spans="2:3" x14ac:dyDescent="0.3">
      <c r="B503" s="397"/>
      <c r="C503" s="400"/>
    </row>
    <row r="504" spans="2:3" x14ac:dyDescent="0.3">
      <c r="B504" s="399"/>
      <c r="C504" s="398"/>
    </row>
    <row r="505" spans="2:3" x14ac:dyDescent="0.3">
      <c r="B505" s="397"/>
      <c r="C505" s="396"/>
    </row>
    <row r="506" spans="2:3" x14ac:dyDescent="0.3">
      <c r="B506" s="397"/>
      <c r="C506" s="400"/>
    </row>
    <row r="507" spans="2:3" x14ac:dyDescent="0.3">
      <c r="B507" s="399"/>
      <c r="C507" s="398"/>
    </row>
    <row r="508" spans="2:3" x14ac:dyDescent="0.3">
      <c r="B508" s="397"/>
      <c r="C508" s="396"/>
    </row>
    <row r="509" spans="2:3" x14ac:dyDescent="0.3">
      <c r="B509" s="397"/>
      <c r="C509" s="400"/>
    </row>
    <row r="510" spans="2:3" x14ac:dyDescent="0.3">
      <c r="B510" s="399"/>
      <c r="C510" s="398"/>
    </row>
    <row r="511" spans="2:3" x14ac:dyDescent="0.3">
      <c r="B511" s="397"/>
      <c r="C511" s="396"/>
    </row>
    <row r="512" spans="2:3" x14ac:dyDescent="0.3">
      <c r="B512" s="397"/>
      <c r="C512" s="400"/>
    </row>
    <row r="513" spans="2:3" x14ac:dyDescent="0.3">
      <c r="B513" s="399"/>
      <c r="C513" s="398"/>
    </row>
    <row r="514" spans="2:3" x14ac:dyDescent="0.3">
      <c r="B514" s="397"/>
      <c r="C514" s="396"/>
    </row>
    <row r="515" spans="2:3" x14ac:dyDescent="0.3">
      <c r="B515" s="397"/>
      <c r="C515" s="400"/>
    </row>
    <row r="516" spans="2:3" x14ac:dyDescent="0.3">
      <c r="B516" s="399"/>
      <c r="C516" s="398"/>
    </row>
    <row r="517" spans="2:3" x14ac:dyDescent="0.3">
      <c r="B517" s="397"/>
      <c r="C517" s="396"/>
    </row>
    <row r="518" spans="2:3" x14ac:dyDescent="0.3">
      <c r="B518" s="397"/>
      <c r="C518" s="400"/>
    </row>
    <row r="519" spans="2:3" x14ac:dyDescent="0.3">
      <c r="B519" s="399"/>
      <c r="C519" s="398"/>
    </row>
    <row r="520" spans="2:3" x14ac:dyDescent="0.3">
      <c r="B520" s="397"/>
      <c r="C520" s="396"/>
    </row>
    <row r="521" spans="2:3" x14ac:dyDescent="0.3">
      <c r="B521" s="397"/>
      <c r="C521" s="400"/>
    </row>
    <row r="522" spans="2:3" x14ac:dyDescent="0.3">
      <c r="B522" s="399"/>
      <c r="C522" s="398"/>
    </row>
    <row r="523" spans="2:3" x14ac:dyDescent="0.3">
      <c r="B523" s="397"/>
      <c r="C523" s="396"/>
    </row>
    <row r="524" spans="2:3" x14ac:dyDescent="0.3">
      <c r="B524" s="397"/>
      <c r="C524" s="400"/>
    </row>
    <row r="525" spans="2:3" x14ac:dyDescent="0.3">
      <c r="B525" s="399"/>
      <c r="C525" s="398"/>
    </row>
    <row r="526" spans="2:3" x14ac:dyDescent="0.3">
      <c r="B526" s="397"/>
      <c r="C526" s="396"/>
    </row>
    <row r="527" spans="2:3" x14ac:dyDescent="0.3">
      <c r="B527" s="397"/>
      <c r="C527" s="400"/>
    </row>
    <row r="528" spans="2:3" x14ac:dyDescent="0.3">
      <c r="B528" s="399"/>
      <c r="C528" s="398"/>
    </row>
    <row r="529" spans="2:3" x14ac:dyDescent="0.3">
      <c r="B529" s="397"/>
      <c r="C529" s="396"/>
    </row>
    <row r="530" spans="2:3" x14ac:dyDescent="0.3">
      <c r="B530" s="397"/>
      <c r="C530" s="400"/>
    </row>
    <row r="531" spans="2:3" x14ac:dyDescent="0.3">
      <c r="B531" s="399"/>
      <c r="C531" s="398"/>
    </row>
    <row r="532" spans="2:3" x14ac:dyDescent="0.3">
      <c r="B532" s="397"/>
      <c r="C532" s="396"/>
    </row>
    <row r="533" spans="2:3" x14ac:dyDescent="0.3">
      <c r="B533" s="397"/>
      <c r="C533" s="400"/>
    </row>
    <row r="534" spans="2:3" x14ac:dyDescent="0.3">
      <c r="B534" s="399"/>
      <c r="C534" s="398"/>
    </row>
    <row r="535" spans="2:3" x14ac:dyDescent="0.3">
      <c r="B535" s="397"/>
      <c r="C535" s="396"/>
    </row>
    <row r="536" spans="2:3" x14ac:dyDescent="0.3">
      <c r="B536" s="397"/>
      <c r="C536" s="400"/>
    </row>
    <row r="537" spans="2:3" x14ac:dyDescent="0.3">
      <c r="B537" s="399"/>
      <c r="C537" s="398"/>
    </row>
    <row r="538" spans="2:3" x14ac:dyDescent="0.3">
      <c r="B538" s="397"/>
      <c r="C538" s="396"/>
    </row>
    <row r="539" spans="2:3" x14ac:dyDescent="0.3">
      <c r="B539" s="397"/>
      <c r="C539" s="400"/>
    </row>
    <row r="540" spans="2:3" x14ac:dyDescent="0.3">
      <c r="B540" s="399"/>
      <c r="C540" s="398"/>
    </row>
    <row r="541" spans="2:3" x14ac:dyDescent="0.3">
      <c r="B541" s="397"/>
      <c r="C541" s="396"/>
    </row>
    <row r="542" spans="2:3" x14ac:dyDescent="0.3">
      <c r="B542" s="397"/>
      <c r="C542" s="400"/>
    </row>
    <row r="543" spans="2:3" x14ac:dyDescent="0.3">
      <c r="B543" s="399"/>
      <c r="C543" s="398"/>
    </row>
    <row r="544" spans="2:3" x14ac:dyDescent="0.3">
      <c r="B544" s="397"/>
      <c r="C544" s="396"/>
    </row>
    <row r="545" spans="2:3" x14ac:dyDescent="0.3">
      <c r="B545" s="397"/>
      <c r="C545" s="400"/>
    </row>
    <row r="546" spans="2:3" x14ac:dyDescent="0.3">
      <c r="B546" s="399"/>
      <c r="C546" s="398"/>
    </row>
    <row r="547" spans="2:3" x14ac:dyDescent="0.3">
      <c r="B547" s="397"/>
      <c r="C547" s="396"/>
    </row>
    <row r="548" spans="2:3" x14ac:dyDescent="0.3">
      <c r="B548" s="397"/>
      <c r="C548" s="400"/>
    </row>
    <row r="549" spans="2:3" x14ac:dyDescent="0.3">
      <c r="B549" s="399"/>
      <c r="C549" s="398"/>
    </row>
    <row r="550" spans="2:3" x14ac:dyDescent="0.3">
      <c r="B550" s="397"/>
      <c r="C550" s="396"/>
    </row>
    <row r="551" spans="2:3" x14ac:dyDescent="0.3">
      <c r="B551" s="397"/>
      <c r="C551" s="400"/>
    </row>
    <row r="552" spans="2:3" x14ac:dyDescent="0.3">
      <c r="B552" s="399"/>
      <c r="C552" s="398"/>
    </row>
    <row r="553" spans="2:3" x14ac:dyDescent="0.3">
      <c r="B553" s="397"/>
      <c r="C553" s="396"/>
    </row>
    <row r="554" spans="2:3" x14ac:dyDescent="0.3">
      <c r="B554" s="397"/>
      <c r="C554" s="400"/>
    </row>
    <row r="555" spans="2:3" x14ac:dyDescent="0.3">
      <c r="B555" s="399"/>
      <c r="C555" s="398"/>
    </row>
    <row r="556" spans="2:3" x14ac:dyDescent="0.3">
      <c r="B556" s="397"/>
      <c r="C556" s="396"/>
    </row>
    <row r="557" spans="2:3" x14ac:dyDescent="0.3">
      <c r="B557" s="397"/>
      <c r="C557" s="400"/>
    </row>
    <row r="558" spans="2:3" x14ac:dyDescent="0.3">
      <c r="B558" s="399"/>
      <c r="C558" s="398"/>
    </row>
    <row r="559" spans="2:3" x14ac:dyDescent="0.3">
      <c r="B559" s="397"/>
      <c r="C559" s="396"/>
    </row>
    <row r="560" spans="2:3" x14ac:dyDescent="0.3">
      <c r="B560" s="397"/>
      <c r="C560" s="400"/>
    </row>
    <row r="561" spans="2:3" x14ac:dyDescent="0.3">
      <c r="B561" s="399"/>
      <c r="C561" s="398"/>
    </row>
    <row r="562" spans="2:3" x14ac:dyDescent="0.3">
      <c r="B562" s="397"/>
      <c r="C562" s="396"/>
    </row>
    <row r="563" spans="2:3" x14ac:dyDescent="0.3">
      <c r="B563" s="397"/>
      <c r="C563" s="400"/>
    </row>
    <row r="564" spans="2:3" x14ac:dyDescent="0.3">
      <c r="B564" s="399"/>
      <c r="C564" s="398"/>
    </row>
    <row r="565" spans="2:3" x14ac:dyDescent="0.3">
      <c r="B565" s="397"/>
      <c r="C565" s="396"/>
    </row>
    <row r="566" spans="2:3" x14ac:dyDescent="0.3">
      <c r="B566" s="397"/>
      <c r="C566" s="400"/>
    </row>
    <row r="567" spans="2:3" x14ac:dyDescent="0.3">
      <c r="B567" s="399"/>
      <c r="C567" s="398"/>
    </row>
    <row r="568" spans="2:3" x14ac:dyDescent="0.3">
      <c r="B568" s="397"/>
      <c r="C568" s="396"/>
    </row>
    <row r="569" spans="2:3" x14ac:dyDescent="0.3">
      <c r="B569" s="397"/>
      <c r="C569" s="400"/>
    </row>
    <row r="570" spans="2:3" x14ac:dyDescent="0.3">
      <c r="B570" s="399"/>
      <c r="C570" s="398"/>
    </row>
    <row r="571" spans="2:3" x14ac:dyDescent="0.3">
      <c r="B571" s="397"/>
      <c r="C571" s="396"/>
    </row>
    <row r="572" spans="2:3" x14ac:dyDescent="0.3">
      <c r="B572" s="397"/>
      <c r="C572" s="400"/>
    </row>
    <row r="573" spans="2:3" x14ac:dyDescent="0.3">
      <c r="B573" s="399"/>
      <c r="C573" s="398"/>
    </row>
    <row r="574" spans="2:3" x14ac:dyDescent="0.3">
      <c r="B574" s="397"/>
      <c r="C574" s="396"/>
    </row>
    <row r="575" spans="2:3" x14ac:dyDescent="0.3">
      <c r="B575" s="397"/>
      <c r="C575" s="400"/>
    </row>
    <row r="576" spans="2:3" x14ac:dyDescent="0.3">
      <c r="B576" s="399"/>
      <c r="C576" s="398"/>
    </row>
    <row r="577" spans="2:3" x14ac:dyDescent="0.3">
      <c r="B577" s="397"/>
      <c r="C577" s="396"/>
    </row>
    <row r="578" spans="2:3" x14ac:dyDescent="0.3">
      <c r="B578" s="397"/>
      <c r="C578" s="400"/>
    </row>
    <row r="579" spans="2:3" x14ac:dyDescent="0.3">
      <c r="B579" s="399"/>
      <c r="C579" s="398"/>
    </row>
    <row r="580" spans="2:3" x14ac:dyDescent="0.3">
      <c r="B580" s="397"/>
      <c r="C580" s="396"/>
    </row>
    <row r="581" spans="2:3" x14ac:dyDescent="0.3">
      <c r="B581" s="397"/>
      <c r="C581" s="400"/>
    </row>
    <row r="582" spans="2:3" x14ac:dyDescent="0.3">
      <c r="B582" s="399"/>
      <c r="C582" s="398"/>
    </row>
    <row r="583" spans="2:3" x14ac:dyDescent="0.3">
      <c r="B583" s="397"/>
      <c r="C583" s="396"/>
    </row>
    <row r="584" spans="2:3" x14ac:dyDescent="0.3">
      <c r="B584" s="397"/>
      <c r="C584" s="400"/>
    </row>
    <row r="585" spans="2:3" x14ac:dyDescent="0.3">
      <c r="B585" s="399"/>
      <c r="C585" s="398"/>
    </row>
    <row r="586" spans="2:3" x14ac:dyDescent="0.3">
      <c r="B586" s="397"/>
      <c r="C586" s="396"/>
    </row>
    <row r="587" spans="2:3" x14ac:dyDescent="0.3">
      <c r="B587" s="397"/>
      <c r="C587" s="400"/>
    </row>
    <row r="588" spans="2:3" x14ac:dyDescent="0.3">
      <c r="B588" s="399"/>
      <c r="C588" s="398"/>
    </row>
    <row r="589" spans="2:3" x14ac:dyDescent="0.3">
      <c r="B589" s="397"/>
      <c r="C589" s="396"/>
    </row>
    <row r="590" spans="2:3" x14ac:dyDescent="0.3">
      <c r="B590" s="397"/>
      <c r="C590" s="400"/>
    </row>
    <row r="591" spans="2:3" x14ac:dyDescent="0.3">
      <c r="B591" s="399"/>
      <c r="C591" s="398"/>
    </row>
    <row r="592" spans="2:3" x14ac:dyDescent="0.3">
      <c r="B592" s="397"/>
      <c r="C592" s="396"/>
    </row>
    <row r="593" spans="2:3" x14ac:dyDescent="0.3">
      <c r="B593" s="397"/>
      <c r="C593" s="400"/>
    </row>
    <row r="594" spans="2:3" x14ac:dyDescent="0.3">
      <c r="B594" s="399"/>
      <c r="C594" s="398"/>
    </row>
    <row r="595" spans="2:3" x14ac:dyDescent="0.3">
      <c r="B595" s="397"/>
      <c r="C595" s="396"/>
    </row>
    <row r="596" spans="2:3" x14ac:dyDescent="0.3">
      <c r="B596" s="397"/>
      <c r="C596" s="400"/>
    </row>
    <row r="597" spans="2:3" x14ac:dyDescent="0.3">
      <c r="B597" s="399"/>
      <c r="C597" s="398"/>
    </row>
    <row r="598" spans="2:3" x14ac:dyDescent="0.3">
      <c r="B598" s="397"/>
      <c r="C598" s="396"/>
    </row>
    <row r="599" spans="2:3" x14ac:dyDescent="0.3">
      <c r="B599" s="397"/>
      <c r="C599" s="400"/>
    </row>
    <row r="600" spans="2:3" x14ac:dyDescent="0.3">
      <c r="B600" s="399"/>
      <c r="C600" s="398"/>
    </row>
    <row r="601" spans="2:3" x14ac:dyDescent="0.3">
      <c r="B601" s="397"/>
      <c r="C601" s="396"/>
    </row>
    <row r="602" spans="2:3" x14ac:dyDescent="0.3">
      <c r="B602" s="397"/>
      <c r="C602" s="400"/>
    </row>
    <row r="603" spans="2:3" x14ac:dyDescent="0.3">
      <c r="B603" s="399"/>
      <c r="C603" s="398"/>
    </row>
    <row r="604" spans="2:3" x14ac:dyDescent="0.3">
      <c r="B604" s="397"/>
      <c r="C604" s="396"/>
    </row>
    <row r="605" spans="2:3" x14ac:dyDescent="0.3">
      <c r="B605" s="397"/>
      <c r="C605" s="400"/>
    </row>
    <row r="606" spans="2:3" x14ac:dyDescent="0.3">
      <c r="B606" s="399"/>
      <c r="C606" s="398"/>
    </row>
    <row r="607" spans="2:3" x14ac:dyDescent="0.3">
      <c r="B607" s="397"/>
      <c r="C607" s="396"/>
    </row>
  </sheetData>
  <sheetProtection formatCells="0" formatColumns="0" formatRows="0" insertColumns="0" insertRows="0" insertHyperlinks="0" deleteColumns="0" deleteRows="0" sort="0" autoFilter="0" pivotTables="0"/>
  <customSheetViews>
    <customSheetView guid="{079ED3F8-D23E-413F-B7FA-1C4A43A9CEAB}" scale="55" zeroValues="0" printArea="1" view="pageBreakPreview">
      <pane xSplit="1" ySplit="5" topLeftCell="B19" activePane="bottomRight" state="frozen"/>
      <selection pane="bottomRight" activeCell="AG46" sqref="A1:AG46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1"/>
    </customSheetView>
    <customSheetView guid="{BBFF7A3C-7579-4BB0-AAA9-66CE11DC0C92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2"/>
    </customSheetView>
    <customSheetView guid="{386B8780-5573-460C-A780-6C59BEFB4DBF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3"/>
    </customSheetView>
    <customSheetView guid="{748451F5-A0F3-420F-846E-9497A6A574EF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4"/>
    </customSheetView>
  </customSheetViews>
  <conditionalFormatting sqref="D3:AG46">
    <cfRule type="expression" dxfId="15" priority="1">
      <formula>D$5&lt;&gt;"Alta"</formula>
    </cfRule>
  </conditionalFormatting>
  <printOptions horizontalCentered="1"/>
  <pageMargins left="0.23622047244094491" right="0.23622047244094491" top="0.74803149606299213" bottom="0.55118110236220474" header="0.31496062992125984" footer="0.31496062992125984"/>
  <pageSetup paperSize="9" scale="50" orientation="landscape" r:id="rId5"/>
  <rowBreaks count="1" manualBreakCount="1">
    <brk id="26" max="3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2389-4955-44F5-85BB-CFFD350E1957}">
  <sheetPr>
    <pageSetUpPr autoPageBreaks="0"/>
  </sheetPr>
  <dimension ref="A1:AG620"/>
  <sheetViews>
    <sheetView showGridLines="0" showZeros="0" view="pageBreakPreview" zoomScale="55" zoomScaleNormal="40" zoomScaleSheetLayoutView="55" workbookViewId="0">
      <pane xSplit="1" ySplit="5" topLeftCell="B6" activePane="bottomRight" state="frozen"/>
      <selection activeCell="D17" sqref="D17"/>
      <selection pane="topRight" activeCell="D17" sqref="D17"/>
      <selection pane="bottomLeft" activeCell="D17" sqref="D17"/>
      <selection pane="bottomRight" activeCell="A2" sqref="A2:XFD2"/>
    </sheetView>
  </sheetViews>
  <sheetFormatPr baseColWidth="10" defaultColWidth="10.77734375" defaultRowHeight="15.6" x14ac:dyDescent="0.3"/>
  <cols>
    <col min="1" max="1" width="3.21875" style="672" customWidth="1"/>
    <col min="2" max="2" width="7.5546875" style="669" customWidth="1"/>
    <col min="3" max="3" width="31.5546875" style="707" customWidth="1"/>
    <col min="4" max="33" width="6.77734375" style="672" customWidth="1"/>
    <col min="34" max="16384" width="10.77734375" style="672"/>
  </cols>
  <sheetData>
    <row r="1" spans="1:33" s="507" customFormat="1" ht="24" customHeight="1" x14ac:dyDescent="0.45">
      <c r="A1" s="718" t="s">
        <v>272</v>
      </c>
      <c r="B1" s="719"/>
      <c r="C1" s="720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2"/>
      <c r="O1" s="723"/>
      <c r="P1" s="723"/>
      <c r="Q1" s="723"/>
      <c r="R1" s="724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2"/>
      <c r="AF1" s="721"/>
      <c r="AG1" s="721"/>
    </row>
    <row r="2" spans="1:33" s="1093" customFormat="1" ht="25.05" customHeight="1" x14ac:dyDescent="0.3">
      <c r="A2" s="1092"/>
      <c r="B2" s="225" t="str">
        <f>IModulo&amp;" ("&amp;IProfesor&amp;")"</f>
        <v>FPM-it-1-0237 Infra. comunes de teleco en viviendas y edificios (Rafa Sanz)</v>
      </c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O2" s="1095"/>
      <c r="P2" s="1095"/>
      <c r="Q2" s="1095"/>
      <c r="R2" s="1094"/>
      <c r="S2" s="1094"/>
      <c r="T2" s="1094"/>
      <c r="U2" s="1094"/>
      <c r="V2" s="1094"/>
      <c r="W2" s="1094"/>
      <c r="X2" s="1094"/>
      <c r="Y2" s="1094"/>
      <c r="Z2" s="1094"/>
      <c r="AA2" s="1094"/>
      <c r="AB2" s="1094"/>
      <c r="AC2" s="1094"/>
      <c r="AD2" s="1094"/>
      <c r="AF2" s="1094"/>
      <c r="AG2" s="1094"/>
    </row>
    <row r="3" spans="1:33" s="692" customFormat="1" ht="100.05" customHeight="1" x14ac:dyDescent="0.3">
      <c r="A3" s="20"/>
      <c r="B3" s="24" t="s">
        <v>328</v>
      </c>
      <c r="C3" s="688" t="s">
        <v>41</v>
      </c>
      <c r="D3" s="689" t="str">
        <f>AlNo01&amp;CHAR(10)&amp;AlAp01</f>
        <v>nom1 --
ap1 --</v>
      </c>
      <c r="E3" s="690" t="str">
        <f>AlNo02&amp;CHAR(10)&amp;AlAp02</f>
        <v>nom2 --
ap2 --</v>
      </c>
      <c r="F3" s="690" t="str">
        <f>AlNo03&amp;CHAR(10)&amp;AlAp03</f>
        <v>nom3 --
ap3 --</v>
      </c>
      <c r="G3" s="690" t="str">
        <f>AlNo04&amp;CHAR(10)&amp;AlAp04</f>
        <v>nom4 --
ap4 --</v>
      </c>
      <c r="H3" s="691" t="str">
        <f>AlNo05&amp;CHAR(10)&amp;AlAp05</f>
        <v>nom5-----
ap5----</v>
      </c>
      <c r="I3" s="690" t="str">
        <f>AlNo06&amp;CHAR(10)&amp;AlAp06</f>
        <v>nom6-----
ap6------</v>
      </c>
      <c r="J3" s="690" t="str">
        <f>AlNo07&amp;CHAR(10)&amp;AlAp07</f>
        <v xml:space="preserve">
</v>
      </c>
      <c r="K3" s="690" t="str">
        <f>AlNo08&amp;CHAR(10)&amp;AlAp08</f>
        <v xml:space="preserve">
</v>
      </c>
      <c r="L3" s="690" t="str">
        <f>AlNo09&amp;CHAR(10)&amp;AlAp09</f>
        <v xml:space="preserve">
</v>
      </c>
      <c r="M3" s="691" t="str">
        <f>AlNo10&amp;CHAR(10)&amp;AlAp10</f>
        <v xml:space="preserve">
</v>
      </c>
      <c r="N3" s="690" t="str">
        <f>AlNo11&amp;CHAR(10)&amp;AlAp11</f>
        <v xml:space="preserve">
</v>
      </c>
      <c r="O3" s="690" t="str">
        <f>AlNo12&amp;CHAR(10)&amp;AlAp12</f>
        <v xml:space="preserve">
</v>
      </c>
      <c r="P3" s="690" t="str">
        <f>AlNo13&amp;CHAR(10)&amp;AlAp13</f>
        <v xml:space="preserve">
</v>
      </c>
      <c r="Q3" s="690" t="str">
        <f>AlNo14&amp;CHAR(10)&amp;AlAp14</f>
        <v xml:space="preserve">
</v>
      </c>
      <c r="R3" s="691" t="str">
        <f>AlNo15&amp;CHAR(10)&amp;AlAp15</f>
        <v xml:space="preserve">
</v>
      </c>
      <c r="S3" s="690" t="str">
        <f>AlNo16&amp;CHAR(10)&amp;AlAp16</f>
        <v xml:space="preserve">
</v>
      </c>
      <c r="T3" s="690" t="str">
        <f>AlNo17&amp;CHAR(10)&amp;AlAp17</f>
        <v xml:space="preserve">
</v>
      </c>
      <c r="U3" s="690" t="str">
        <f>AlNo18&amp;CHAR(10)&amp;AlAp18</f>
        <v xml:space="preserve">
</v>
      </c>
      <c r="V3" s="690" t="str">
        <f>AlNo19&amp;CHAR(10)&amp;AlAp19</f>
        <v xml:space="preserve">
</v>
      </c>
      <c r="W3" s="691" t="str">
        <f>AlNo20&amp;CHAR(10)&amp;AlAp20</f>
        <v xml:space="preserve">
</v>
      </c>
      <c r="X3" s="690" t="str">
        <f>AlNo21&amp;CHAR(10)&amp;AlAp21</f>
        <v xml:space="preserve">
</v>
      </c>
      <c r="Y3" s="690" t="str">
        <f>AlNo22&amp;CHAR(10)&amp;AlAp22</f>
        <v xml:space="preserve">
</v>
      </c>
      <c r="Z3" s="690" t="str">
        <f>AlNo23&amp;CHAR(10)&amp;AlAp23</f>
        <v xml:space="preserve">
</v>
      </c>
      <c r="AA3" s="690" t="str">
        <f>AlNo24&amp;CHAR(10)&amp;AlAp24</f>
        <v xml:space="preserve">
</v>
      </c>
      <c r="AB3" s="691" t="str">
        <f>AlNo25&amp;CHAR(10)&amp;AlAp25</f>
        <v xml:space="preserve">
</v>
      </c>
      <c r="AC3" s="690" t="str">
        <f>AlNo26&amp;CHAR(10)&amp;AlAp26</f>
        <v xml:space="preserve">
</v>
      </c>
      <c r="AD3" s="690" t="str">
        <f>AlNo27&amp;CHAR(10)&amp;AlAp27</f>
        <v xml:space="preserve">
</v>
      </c>
      <c r="AE3" s="690" t="str">
        <f>AlNo28&amp;CHAR(10)&amp;AlAp28</f>
        <v xml:space="preserve">
</v>
      </c>
      <c r="AF3" s="690" t="str">
        <f>AlNo29&amp;CHAR(10)&amp;AlAp29</f>
        <v xml:space="preserve">
</v>
      </c>
      <c r="AG3" s="691" t="str">
        <f>AlNo30&amp;CHAR(10)&amp;AlAp30</f>
        <v xml:space="preserve">
</v>
      </c>
    </row>
    <row r="4" spans="1:33" s="669" customFormat="1" x14ac:dyDescent="0.3">
      <c r="A4" s="466"/>
      <c r="B4" s="816">
        <f>NPract</f>
        <v>3</v>
      </c>
      <c r="C4" s="76" t="s">
        <v>32</v>
      </c>
      <c r="D4" s="566" t="str">
        <f>AlCo01</f>
        <v>AN01</v>
      </c>
      <c r="E4" s="416" t="str">
        <f>AlCo02</f>
        <v>AN02</v>
      </c>
      <c r="F4" s="416" t="str">
        <f>AlCo03</f>
        <v>AN03</v>
      </c>
      <c r="G4" s="416" t="str">
        <f>AlCo04</f>
        <v>AN04</v>
      </c>
      <c r="H4" s="417" t="str">
        <f>AlCo05</f>
        <v>AN05</v>
      </c>
      <c r="I4" s="416" t="str">
        <f>AlCo06</f>
        <v>AN06</v>
      </c>
      <c r="J4" s="416" t="str">
        <f>AlCo07</f>
        <v/>
      </c>
      <c r="K4" s="416" t="str">
        <f>AlCo08</f>
        <v/>
      </c>
      <c r="L4" s="416" t="str">
        <f>AlCo09</f>
        <v/>
      </c>
      <c r="M4" s="417" t="str">
        <f>AlCo10</f>
        <v/>
      </c>
      <c r="N4" s="416" t="str">
        <f>AlCo11</f>
        <v/>
      </c>
      <c r="O4" s="416" t="str">
        <f>AlCo12</f>
        <v/>
      </c>
      <c r="P4" s="416" t="str">
        <f>AlCo13</f>
        <v/>
      </c>
      <c r="Q4" s="416" t="str">
        <f>AlCo14</f>
        <v/>
      </c>
      <c r="R4" s="417" t="str">
        <f>AlCo15</f>
        <v/>
      </c>
      <c r="S4" s="416" t="str">
        <f>AlCo16</f>
        <v/>
      </c>
      <c r="T4" s="416" t="str">
        <f>AlCo17</f>
        <v/>
      </c>
      <c r="U4" s="416" t="str">
        <f>AlCo18</f>
        <v/>
      </c>
      <c r="V4" s="416" t="str">
        <f>AlCo19</f>
        <v/>
      </c>
      <c r="W4" s="417" t="str">
        <f>AlCo20</f>
        <v/>
      </c>
      <c r="X4" s="416" t="str">
        <f>AlCo21</f>
        <v/>
      </c>
      <c r="Y4" s="416" t="str">
        <f>AlCo22</f>
        <v/>
      </c>
      <c r="Z4" s="416" t="str">
        <f>AlCo23</f>
        <v/>
      </c>
      <c r="AA4" s="416" t="str">
        <f>AlCo24</f>
        <v/>
      </c>
      <c r="AB4" s="417" t="str">
        <f>AlCo25</f>
        <v/>
      </c>
      <c r="AC4" s="416" t="str">
        <f>AlCo26</f>
        <v/>
      </c>
      <c r="AD4" s="416" t="str">
        <f>AlCo27</f>
        <v/>
      </c>
      <c r="AE4" s="416" t="str">
        <f>AlCo28</f>
        <v/>
      </c>
      <c r="AF4" s="416" t="str">
        <f>AlCo29</f>
        <v/>
      </c>
      <c r="AG4" s="417" t="str">
        <f>AlCo30</f>
        <v/>
      </c>
    </row>
    <row r="5" spans="1:33" ht="16.2" thickBot="1" x14ac:dyDescent="0.35">
      <c r="A5" s="13"/>
      <c r="B5" s="694" t="s">
        <v>329</v>
      </c>
      <c r="C5" s="670" t="s">
        <v>129</v>
      </c>
      <c r="D5" s="695" t="str">
        <f>AlEs01</f>
        <v>Alta</v>
      </c>
      <c r="E5" s="416" t="str">
        <f>AlEs02</f>
        <v>Alta</v>
      </c>
      <c r="F5" s="416" t="str">
        <f>AlEs03</f>
        <v>Alta</v>
      </c>
      <c r="G5" s="416" t="str">
        <f>AlEs04</f>
        <v>Alta</v>
      </c>
      <c r="H5" s="417" t="str">
        <f>AlEs05</f>
        <v>Alta</v>
      </c>
      <c r="I5" s="416" t="str">
        <f>AlEs06</f>
        <v>Alta</v>
      </c>
      <c r="J5" s="416">
        <f>AlEs07</f>
        <v>0</v>
      </c>
      <c r="K5" s="416">
        <f>AlEs08</f>
        <v>0</v>
      </c>
      <c r="L5" s="416">
        <f>AlEs09</f>
        <v>0</v>
      </c>
      <c r="M5" s="417">
        <f>AlEs10</f>
        <v>0</v>
      </c>
      <c r="N5" s="416">
        <f>AlEs11</f>
        <v>0</v>
      </c>
      <c r="O5" s="416">
        <f>AlEs12</f>
        <v>0</v>
      </c>
      <c r="P5" s="416">
        <f>AlEs13</f>
        <v>0</v>
      </c>
      <c r="Q5" s="416">
        <f>AlEs14</f>
        <v>0</v>
      </c>
      <c r="R5" s="417">
        <f>AlEs15</f>
        <v>0</v>
      </c>
      <c r="S5" s="416">
        <f>AlEs16</f>
        <v>0</v>
      </c>
      <c r="T5" s="416">
        <f>AlEs17</f>
        <v>0</v>
      </c>
      <c r="U5" s="416">
        <f>AlEs18</f>
        <v>0</v>
      </c>
      <c r="V5" s="416">
        <f>AlEs19</f>
        <v>0</v>
      </c>
      <c r="W5" s="417">
        <f>AlEs20</f>
        <v>0</v>
      </c>
      <c r="X5" s="416">
        <f>AlEs21</f>
        <v>0</v>
      </c>
      <c r="Y5" s="416">
        <f>AlEs22</f>
        <v>0</v>
      </c>
      <c r="Z5" s="416">
        <f>AlEs23</f>
        <v>0</v>
      </c>
      <c r="AA5" s="416">
        <f>AlEs24</f>
        <v>0</v>
      </c>
      <c r="AB5" s="417">
        <f>AlEs25</f>
        <v>0</v>
      </c>
      <c r="AC5" s="416">
        <f>AlEs26</f>
        <v>0</v>
      </c>
      <c r="AD5" s="416">
        <f>AlEs27</f>
        <v>0</v>
      </c>
      <c r="AE5" s="416">
        <f>AlEs28</f>
        <v>0</v>
      </c>
      <c r="AF5" s="416">
        <f>AlEs29</f>
        <v>0</v>
      </c>
      <c r="AG5" s="417">
        <f>AlEs30</f>
        <v>0</v>
      </c>
    </row>
    <row r="6" spans="1:33" s="696" customFormat="1" ht="37.5" customHeight="1" x14ac:dyDescent="0.3">
      <c r="B6" s="697" t="str">
        <f>CoPR01</f>
        <v>Pr01</v>
      </c>
      <c r="C6" s="717" t="str">
        <f>Pract01</f>
        <v>aasds</v>
      </c>
      <c r="D6" s="698"/>
      <c r="E6" s="699"/>
      <c r="F6" s="699"/>
      <c r="G6" s="699"/>
      <c r="H6" s="700"/>
      <c r="I6" s="698"/>
      <c r="J6" s="699"/>
      <c r="K6" s="699"/>
      <c r="L6" s="699"/>
      <c r="M6" s="700"/>
      <c r="N6" s="698"/>
      <c r="O6" s="699"/>
      <c r="P6" s="699"/>
      <c r="Q6" s="699"/>
      <c r="R6" s="700"/>
      <c r="S6" s="698"/>
      <c r="T6" s="699"/>
      <c r="U6" s="699"/>
      <c r="V6" s="699"/>
      <c r="W6" s="700"/>
      <c r="X6" s="698"/>
      <c r="Y6" s="699"/>
      <c r="Z6" s="699"/>
      <c r="AA6" s="699"/>
      <c r="AB6" s="700"/>
      <c r="AC6" s="698"/>
      <c r="AD6" s="699"/>
      <c r="AE6" s="699"/>
      <c r="AF6" s="699"/>
      <c r="AG6" s="700"/>
    </row>
    <row r="7" spans="1:33" s="696" customFormat="1" ht="37.5" customHeight="1" x14ac:dyDescent="0.3">
      <c r="B7" s="697" t="str">
        <f>CoPR02</f>
        <v>Pr02</v>
      </c>
      <c r="C7" s="717" t="str">
        <f>Pract02</f>
        <v>DSDSSDASDA</v>
      </c>
      <c r="D7" s="701"/>
      <c r="E7" s="702"/>
      <c r="F7" s="702"/>
      <c r="G7" s="702"/>
      <c r="H7" s="703"/>
      <c r="I7" s="701"/>
      <c r="J7" s="702"/>
      <c r="K7" s="702"/>
      <c r="L7" s="704"/>
      <c r="M7" s="703"/>
      <c r="N7" s="701"/>
      <c r="O7" s="702"/>
      <c r="P7" s="702"/>
      <c r="Q7" s="702"/>
      <c r="R7" s="703"/>
      <c r="S7" s="701"/>
      <c r="T7" s="702"/>
      <c r="U7" s="702"/>
      <c r="V7" s="702"/>
      <c r="W7" s="703"/>
      <c r="X7" s="701"/>
      <c r="Y7" s="702"/>
      <c r="Z7" s="702"/>
      <c r="AA7" s="702"/>
      <c r="AB7" s="703"/>
      <c r="AC7" s="701"/>
      <c r="AD7" s="702"/>
      <c r="AE7" s="702"/>
      <c r="AF7" s="702"/>
      <c r="AG7" s="703"/>
    </row>
    <row r="8" spans="1:33" s="696" customFormat="1" ht="37.5" customHeight="1" x14ac:dyDescent="0.3">
      <c r="B8" s="697" t="str">
        <f>CoPR03</f>
        <v>Pr03</v>
      </c>
      <c r="C8" s="717" t="str">
        <f>Pract03</f>
        <v xml:space="preserve">jkljkl </v>
      </c>
      <c r="D8" s="679"/>
      <c r="E8" s="680"/>
      <c r="F8" s="680"/>
      <c r="G8" s="680"/>
      <c r="H8" s="705"/>
      <c r="I8" s="679"/>
      <c r="J8" s="680"/>
      <c r="K8" s="680"/>
      <c r="L8" s="680"/>
      <c r="M8" s="705"/>
      <c r="N8" s="679"/>
      <c r="O8" s="680"/>
      <c r="P8" s="680"/>
      <c r="Q8" s="680"/>
      <c r="R8" s="705"/>
      <c r="S8" s="679"/>
      <c r="T8" s="680"/>
      <c r="U8" s="680"/>
      <c r="V8" s="680"/>
      <c r="W8" s="705"/>
      <c r="X8" s="679"/>
      <c r="Y8" s="680"/>
      <c r="Z8" s="680"/>
      <c r="AA8" s="680"/>
      <c r="AB8" s="705"/>
      <c r="AC8" s="679"/>
      <c r="AD8" s="680"/>
      <c r="AE8" s="680"/>
      <c r="AF8" s="680"/>
      <c r="AG8" s="705"/>
    </row>
    <row r="9" spans="1:33" s="696" customFormat="1" ht="37.5" customHeight="1" x14ac:dyDescent="0.3">
      <c r="B9" s="697" t="str">
        <f>CoPR04</f>
        <v/>
      </c>
      <c r="C9" s="717">
        <f>Pract04</f>
        <v>0</v>
      </c>
      <c r="D9" s="679"/>
      <c r="E9" s="680"/>
      <c r="F9" s="680"/>
      <c r="G9" s="680"/>
      <c r="H9" s="705"/>
      <c r="I9" s="679"/>
      <c r="J9" s="680"/>
      <c r="K9" s="680"/>
      <c r="L9" s="680"/>
      <c r="M9" s="705"/>
      <c r="N9" s="679"/>
      <c r="O9" s="680"/>
      <c r="P9" s="680"/>
      <c r="Q9" s="680"/>
      <c r="R9" s="705"/>
      <c r="S9" s="679"/>
      <c r="T9" s="680"/>
      <c r="U9" s="680"/>
      <c r="V9" s="680"/>
      <c r="W9" s="705"/>
      <c r="X9" s="679"/>
      <c r="Y9" s="680"/>
      <c r="Z9" s="680"/>
      <c r="AA9" s="680"/>
      <c r="AB9" s="705"/>
      <c r="AC9" s="679"/>
      <c r="AD9" s="680"/>
      <c r="AE9" s="680"/>
      <c r="AF9" s="680"/>
      <c r="AG9" s="705"/>
    </row>
    <row r="10" spans="1:33" s="696" customFormat="1" ht="37.5" customHeight="1" x14ac:dyDescent="0.3">
      <c r="B10" s="697" t="str">
        <f>CoPR05</f>
        <v/>
      </c>
      <c r="C10" s="717">
        <f>Pract05</f>
        <v>0</v>
      </c>
      <c r="D10" s="679"/>
      <c r="E10" s="680"/>
      <c r="F10" s="680"/>
      <c r="G10" s="680"/>
      <c r="H10" s="705"/>
      <c r="I10" s="679"/>
      <c r="J10" s="680"/>
      <c r="K10" s="680"/>
      <c r="L10" s="680"/>
      <c r="M10" s="705"/>
      <c r="N10" s="679"/>
      <c r="O10" s="680"/>
      <c r="P10" s="680"/>
      <c r="Q10" s="680"/>
      <c r="R10" s="705"/>
      <c r="S10" s="679"/>
      <c r="T10" s="680"/>
      <c r="U10" s="680"/>
      <c r="V10" s="680"/>
      <c r="W10" s="705"/>
      <c r="X10" s="679"/>
      <c r="Y10" s="680"/>
      <c r="Z10" s="680"/>
      <c r="AA10" s="680"/>
      <c r="AB10" s="705"/>
      <c r="AC10" s="679"/>
      <c r="AD10" s="680"/>
      <c r="AE10" s="680"/>
      <c r="AF10" s="680"/>
      <c r="AG10" s="705"/>
    </row>
    <row r="11" spans="1:33" s="696" customFormat="1" ht="37.5" customHeight="1" x14ac:dyDescent="0.3">
      <c r="B11" s="697" t="str">
        <f>CoPR06</f>
        <v/>
      </c>
      <c r="C11" s="717">
        <f>Pract06</f>
        <v>0</v>
      </c>
      <c r="D11" s="679"/>
      <c r="E11" s="680"/>
      <c r="F11" s="680"/>
      <c r="G11" s="680"/>
      <c r="H11" s="705"/>
      <c r="I11" s="679"/>
      <c r="J11" s="680"/>
      <c r="K11" s="680"/>
      <c r="L11" s="680"/>
      <c r="M11" s="705"/>
      <c r="N11" s="679"/>
      <c r="O11" s="680"/>
      <c r="P11" s="680"/>
      <c r="Q11" s="680"/>
      <c r="R11" s="705"/>
      <c r="S11" s="679"/>
      <c r="T11" s="680"/>
      <c r="U11" s="680"/>
      <c r="V11" s="680"/>
      <c r="W11" s="705"/>
      <c r="X11" s="679"/>
      <c r="Y11" s="680"/>
      <c r="Z11" s="680"/>
      <c r="AA11" s="680"/>
      <c r="AB11" s="705"/>
      <c r="AC11" s="679"/>
      <c r="AD11" s="680"/>
      <c r="AE11" s="680"/>
      <c r="AF11" s="680"/>
      <c r="AG11" s="705"/>
    </row>
    <row r="12" spans="1:33" s="696" customFormat="1" ht="37.5" customHeight="1" x14ac:dyDescent="0.3">
      <c r="B12" s="697" t="str">
        <f>CoPR07</f>
        <v/>
      </c>
      <c r="C12" s="717">
        <f>Pract07</f>
        <v>0</v>
      </c>
      <c r="D12" s="679"/>
      <c r="E12" s="680"/>
      <c r="F12" s="680"/>
      <c r="G12" s="680"/>
      <c r="H12" s="705"/>
      <c r="I12" s="679"/>
      <c r="J12" s="680"/>
      <c r="K12" s="680"/>
      <c r="L12" s="680"/>
      <c r="M12" s="705"/>
      <c r="N12" s="679"/>
      <c r="O12" s="680"/>
      <c r="P12" s="680"/>
      <c r="Q12" s="680"/>
      <c r="R12" s="705"/>
      <c r="S12" s="679"/>
      <c r="T12" s="680"/>
      <c r="U12" s="680"/>
      <c r="V12" s="680"/>
      <c r="W12" s="705"/>
      <c r="X12" s="679"/>
      <c r="Y12" s="680"/>
      <c r="Z12" s="680"/>
      <c r="AA12" s="680"/>
      <c r="AB12" s="705"/>
      <c r="AC12" s="679"/>
      <c r="AD12" s="680"/>
      <c r="AE12" s="680"/>
      <c r="AF12" s="680"/>
      <c r="AG12" s="705"/>
    </row>
    <row r="13" spans="1:33" s="696" customFormat="1" ht="37.5" customHeight="1" x14ac:dyDescent="0.3">
      <c r="B13" s="697" t="str">
        <f>CoPR08</f>
        <v/>
      </c>
      <c r="C13" s="717">
        <f>Pract08</f>
        <v>0</v>
      </c>
      <c r="D13" s="679"/>
      <c r="E13" s="680"/>
      <c r="F13" s="680"/>
      <c r="G13" s="680"/>
      <c r="H13" s="705"/>
      <c r="I13" s="679"/>
      <c r="J13" s="680"/>
      <c r="K13" s="680"/>
      <c r="L13" s="680"/>
      <c r="M13" s="705"/>
      <c r="N13" s="679"/>
      <c r="O13" s="680"/>
      <c r="P13" s="680"/>
      <c r="Q13" s="680"/>
      <c r="R13" s="705"/>
      <c r="S13" s="679"/>
      <c r="T13" s="680"/>
      <c r="U13" s="680"/>
      <c r="V13" s="680"/>
      <c r="W13" s="705"/>
      <c r="X13" s="679"/>
      <c r="Y13" s="680"/>
      <c r="Z13" s="680"/>
      <c r="AA13" s="680"/>
      <c r="AB13" s="705"/>
      <c r="AC13" s="679"/>
      <c r="AD13" s="680"/>
      <c r="AE13" s="680"/>
      <c r="AF13" s="680"/>
      <c r="AG13" s="705"/>
    </row>
    <row r="14" spans="1:33" s="696" customFormat="1" ht="37.5" customHeight="1" x14ac:dyDescent="0.3">
      <c r="B14" s="697" t="str">
        <f>CoPR09</f>
        <v/>
      </c>
      <c r="C14" s="717">
        <f>Pract09</f>
        <v>0</v>
      </c>
      <c r="D14" s="679"/>
      <c r="E14" s="680"/>
      <c r="F14" s="680"/>
      <c r="G14" s="680"/>
      <c r="H14" s="705"/>
      <c r="I14" s="679"/>
      <c r="J14" s="680"/>
      <c r="K14" s="680"/>
      <c r="L14" s="680"/>
      <c r="M14" s="705"/>
      <c r="N14" s="679"/>
      <c r="O14" s="680"/>
      <c r="P14" s="680"/>
      <c r="Q14" s="680"/>
      <c r="R14" s="705"/>
      <c r="S14" s="679"/>
      <c r="T14" s="680"/>
      <c r="U14" s="680"/>
      <c r="V14" s="680"/>
      <c r="W14" s="705"/>
      <c r="X14" s="679"/>
      <c r="Y14" s="680"/>
      <c r="Z14" s="680"/>
      <c r="AA14" s="680"/>
      <c r="AB14" s="705"/>
      <c r="AC14" s="679"/>
      <c r="AD14" s="680"/>
      <c r="AE14" s="680"/>
      <c r="AF14" s="680"/>
      <c r="AG14" s="705"/>
    </row>
    <row r="15" spans="1:33" s="696" customFormat="1" ht="37.5" customHeight="1" x14ac:dyDescent="0.3">
      <c r="B15" s="697" t="str">
        <f>CoPR10</f>
        <v/>
      </c>
      <c r="C15" s="717">
        <f>Pract10</f>
        <v>0</v>
      </c>
      <c r="D15" s="679"/>
      <c r="E15" s="680"/>
      <c r="F15" s="680"/>
      <c r="G15" s="680"/>
      <c r="H15" s="705"/>
      <c r="I15" s="679"/>
      <c r="J15" s="680"/>
      <c r="K15" s="680"/>
      <c r="L15" s="680"/>
      <c r="M15" s="705"/>
      <c r="N15" s="679"/>
      <c r="O15" s="680"/>
      <c r="P15" s="680"/>
      <c r="Q15" s="680"/>
      <c r="R15" s="705"/>
      <c r="S15" s="679"/>
      <c r="T15" s="680"/>
      <c r="U15" s="680"/>
      <c r="V15" s="680"/>
      <c r="W15" s="705"/>
      <c r="X15" s="679"/>
      <c r="Y15" s="680"/>
      <c r="Z15" s="680"/>
      <c r="AA15" s="680"/>
      <c r="AB15" s="705"/>
      <c r="AC15" s="679"/>
      <c r="AD15" s="680"/>
      <c r="AE15" s="680"/>
      <c r="AF15" s="680"/>
      <c r="AG15" s="705"/>
    </row>
    <row r="16" spans="1:33" s="696" customFormat="1" ht="37.5" customHeight="1" x14ac:dyDescent="0.3">
      <c r="B16" s="697" t="str">
        <f>CoPR11</f>
        <v/>
      </c>
      <c r="C16" s="717">
        <f>Pract11</f>
        <v>0</v>
      </c>
      <c r="D16" s="679"/>
      <c r="E16" s="680"/>
      <c r="F16" s="680"/>
      <c r="G16" s="680"/>
      <c r="H16" s="705"/>
      <c r="I16" s="679"/>
      <c r="J16" s="680"/>
      <c r="K16" s="680"/>
      <c r="L16" s="680"/>
      <c r="M16" s="705"/>
      <c r="N16" s="679"/>
      <c r="O16" s="680"/>
      <c r="P16" s="680"/>
      <c r="Q16" s="680"/>
      <c r="R16" s="705"/>
      <c r="S16" s="679"/>
      <c r="T16" s="680"/>
      <c r="U16" s="680"/>
      <c r="V16" s="680"/>
      <c r="W16" s="705"/>
      <c r="X16" s="679"/>
      <c r="Y16" s="680"/>
      <c r="Z16" s="680"/>
      <c r="AA16" s="680"/>
      <c r="AB16" s="705"/>
      <c r="AC16" s="679"/>
      <c r="AD16" s="680"/>
      <c r="AE16" s="680"/>
      <c r="AF16" s="680"/>
      <c r="AG16" s="705"/>
    </row>
    <row r="17" spans="2:33" s="696" customFormat="1" ht="37.5" customHeight="1" x14ac:dyDescent="0.3">
      <c r="B17" s="697" t="str">
        <f>CoPR12</f>
        <v/>
      </c>
      <c r="C17" s="717">
        <f>Pract12</f>
        <v>0</v>
      </c>
      <c r="D17" s="679"/>
      <c r="E17" s="680"/>
      <c r="F17" s="680"/>
      <c r="G17" s="680"/>
      <c r="H17" s="705"/>
      <c r="I17" s="679"/>
      <c r="J17" s="680"/>
      <c r="K17" s="680"/>
      <c r="L17" s="680"/>
      <c r="M17" s="705"/>
      <c r="N17" s="679"/>
      <c r="O17" s="680"/>
      <c r="P17" s="680"/>
      <c r="Q17" s="680"/>
      <c r="R17" s="705"/>
      <c r="S17" s="679"/>
      <c r="T17" s="680"/>
      <c r="U17" s="680"/>
      <c r="V17" s="680"/>
      <c r="W17" s="705"/>
      <c r="X17" s="679"/>
      <c r="Y17" s="680"/>
      <c r="Z17" s="680"/>
      <c r="AA17" s="680"/>
      <c r="AB17" s="705"/>
      <c r="AC17" s="679"/>
      <c r="AD17" s="680"/>
      <c r="AE17" s="680"/>
      <c r="AF17" s="680"/>
      <c r="AG17" s="705"/>
    </row>
    <row r="18" spans="2:33" s="696" customFormat="1" ht="37.5" customHeight="1" x14ac:dyDescent="0.3">
      <c r="B18" s="697" t="str">
        <f>CoPR13</f>
        <v/>
      </c>
      <c r="C18" s="717">
        <f>Pract13</f>
        <v>0</v>
      </c>
      <c r="D18" s="679"/>
      <c r="E18" s="680"/>
      <c r="F18" s="680"/>
      <c r="G18" s="680"/>
      <c r="H18" s="705"/>
      <c r="I18" s="679"/>
      <c r="J18" s="680"/>
      <c r="K18" s="680"/>
      <c r="L18" s="680"/>
      <c r="M18" s="705"/>
      <c r="N18" s="679"/>
      <c r="O18" s="680"/>
      <c r="P18" s="680"/>
      <c r="Q18" s="680"/>
      <c r="R18" s="705"/>
      <c r="S18" s="679"/>
      <c r="T18" s="680"/>
      <c r="U18" s="680"/>
      <c r="V18" s="680"/>
      <c r="W18" s="705"/>
      <c r="X18" s="679"/>
      <c r="Y18" s="680"/>
      <c r="Z18" s="680"/>
      <c r="AA18" s="680"/>
      <c r="AB18" s="705"/>
      <c r="AC18" s="679"/>
      <c r="AD18" s="680"/>
      <c r="AE18" s="680"/>
      <c r="AF18" s="680"/>
      <c r="AG18" s="705"/>
    </row>
    <row r="19" spans="2:33" s="696" customFormat="1" ht="37.5" customHeight="1" x14ac:dyDescent="0.3">
      <c r="B19" s="697" t="str">
        <f>CoPR14</f>
        <v/>
      </c>
      <c r="C19" s="751">
        <f>Pract14</f>
        <v>0</v>
      </c>
      <c r="D19" s="679"/>
      <c r="E19" s="680"/>
      <c r="F19" s="680"/>
      <c r="G19" s="680"/>
      <c r="H19" s="705"/>
      <c r="I19" s="679"/>
      <c r="J19" s="680"/>
      <c r="K19" s="680"/>
      <c r="L19" s="680"/>
      <c r="M19" s="705"/>
      <c r="N19" s="679"/>
      <c r="O19" s="680"/>
      <c r="P19" s="680"/>
      <c r="Q19" s="680"/>
      <c r="R19" s="705"/>
      <c r="S19" s="679"/>
      <c r="T19" s="680"/>
      <c r="U19" s="680"/>
      <c r="V19" s="680"/>
      <c r="W19" s="705"/>
      <c r="X19" s="679"/>
      <c r="Y19" s="680"/>
      <c r="Z19" s="680"/>
      <c r="AA19" s="680"/>
      <c r="AB19" s="705"/>
      <c r="AC19" s="679"/>
      <c r="AD19" s="680"/>
      <c r="AE19" s="680"/>
      <c r="AF19" s="680"/>
      <c r="AG19" s="705"/>
    </row>
    <row r="20" spans="2:33" s="696" customFormat="1" ht="37.5" customHeight="1" x14ac:dyDescent="0.3">
      <c r="B20" s="697" t="str">
        <f>CoPR15</f>
        <v/>
      </c>
      <c r="C20" s="751">
        <f>Pract15</f>
        <v>0</v>
      </c>
      <c r="D20" s="679"/>
      <c r="E20" s="680"/>
      <c r="F20" s="680"/>
      <c r="G20" s="680"/>
      <c r="H20" s="705"/>
      <c r="I20" s="679"/>
      <c r="J20" s="680"/>
      <c r="K20" s="680"/>
      <c r="L20" s="680"/>
      <c r="M20" s="705"/>
      <c r="N20" s="679"/>
      <c r="O20" s="680"/>
      <c r="P20" s="680"/>
      <c r="Q20" s="680"/>
      <c r="R20" s="705"/>
      <c r="S20" s="679"/>
      <c r="T20" s="680"/>
      <c r="U20" s="680"/>
      <c r="V20" s="680"/>
      <c r="W20" s="705"/>
      <c r="X20" s="679"/>
      <c r="Y20" s="680"/>
      <c r="Z20" s="680"/>
      <c r="AA20" s="680"/>
      <c r="AB20" s="705"/>
      <c r="AC20" s="679"/>
      <c r="AD20" s="680"/>
      <c r="AE20" s="680"/>
      <c r="AF20" s="680"/>
      <c r="AG20" s="705"/>
    </row>
    <row r="21" spans="2:33" s="696" customFormat="1" ht="37.5" customHeight="1" x14ac:dyDescent="0.3">
      <c r="B21" s="697" t="str">
        <f>CoPR16</f>
        <v/>
      </c>
      <c r="C21" s="751">
        <f>Pract16</f>
        <v>0</v>
      </c>
      <c r="D21" s="679"/>
      <c r="E21" s="680"/>
      <c r="F21" s="680"/>
      <c r="G21" s="680"/>
      <c r="H21" s="705"/>
      <c r="I21" s="679"/>
      <c r="J21" s="680"/>
      <c r="K21" s="680"/>
      <c r="L21" s="680"/>
      <c r="M21" s="705"/>
      <c r="N21" s="679"/>
      <c r="O21" s="680"/>
      <c r="P21" s="680"/>
      <c r="Q21" s="680"/>
      <c r="R21" s="705"/>
      <c r="S21" s="679"/>
      <c r="T21" s="680"/>
      <c r="U21" s="680"/>
      <c r="V21" s="680"/>
      <c r="W21" s="705"/>
      <c r="X21" s="679"/>
      <c r="Y21" s="680"/>
      <c r="Z21" s="680"/>
      <c r="AA21" s="680"/>
      <c r="AB21" s="705"/>
      <c r="AC21" s="679"/>
      <c r="AD21" s="680"/>
      <c r="AE21" s="680"/>
      <c r="AF21" s="680"/>
      <c r="AG21" s="705"/>
    </row>
    <row r="22" spans="2:33" s="696" customFormat="1" ht="37.5" customHeight="1" x14ac:dyDescent="0.3">
      <c r="B22" s="697" t="str">
        <f>CoPR17</f>
        <v/>
      </c>
      <c r="C22" s="717">
        <f>Pract17</f>
        <v>0</v>
      </c>
      <c r="D22" s="679"/>
      <c r="E22" s="680"/>
      <c r="F22" s="680"/>
      <c r="G22" s="680"/>
      <c r="H22" s="705"/>
      <c r="I22" s="679"/>
      <c r="J22" s="680"/>
      <c r="K22" s="680"/>
      <c r="L22" s="680"/>
      <c r="M22" s="705"/>
      <c r="N22" s="679"/>
      <c r="O22" s="680"/>
      <c r="P22" s="680"/>
      <c r="Q22" s="680"/>
      <c r="R22" s="705"/>
      <c r="S22" s="679"/>
      <c r="T22" s="680"/>
      <c r="U22" s="680"/>
      <c r="V22" s="680"/>
      <c r="W22" s="705"/>
      <c r="X22" s="679"/>
      <c r="Y22" s="680"/>
      <c r="Z22" s="680"/>
      <c r="AA22" s="680"/>
      <c r="AB22" s="705"/>
      <c r="AC22" s="679"/>
      <c r="AD22" s="680"/>
      <c r="AE22" s="680"/>
      <c r="AF22" s="680"/>
      <c r="AG22" s="705"/>
    </row>
    <row r="23" spans="2:33" s="696" customFormat="1" ht="37.5" customHeight="1" x14ac:dyDescent="0.3">
      <c r="B23" s="697" t="str">
        <f>CoPR18</f>
        <v/>
      </c>
      <c r="C23" s="717">
        <f>Pract18</f>
        <v>0</v>
      </c>
      <c r="D23" s="679"/>
      <c r="E23" s="680"/>
      <c r="F23" s="680"/>
      <c r="G23" s="680"/>
      <c r="H23" s="705"/>
      <c r="I23" s="679"/>
      <c r="J23" s="680"/>
      <c r="K23" s="680"/>
      <c r="L23" s="680"/>
      <c r="M23" s="705"/>
      <c r="N23" s="679"/>
      <c r="O23" s="680"/>
      <c r="P23" s="680"/>
      <c r="Q23" s="680"/>
      <c r="R23" s="705"/>
      <c r="S23" s="679"/>
      <c r="T23" s="680"/>
      <c r="U23" s="680"/>
      <c r="V23" s="680"/>
      <c r="W23" s="705"/>
      <c r="X23" s="679"/>
      <c r="Y23" s="680"/>
      <c r="Z23" s="680"/>
      <c r="AA23" s="680"/>
      <c r="AB23" s="705"/>
      <c r="AC23" s="679"/>
      <c r="AD23" s="680"/>
      <c r="AE23" s="680"/>
      <c r="AF23" s="680"/>
      <c r="AG23" s="705"/>
    </row>
    <row r="24" spans="2:33" s="696" customFormat="1" ht="37.5" customHeight="1" x14ac:dyDescent="0.3">
      <c r="B24" s="697" t="str">
        <f>CoPR19</f>
        <v/>
      </c>
      <c r="C24" s="717">
        <f>Pract19</f>
        <v>0</v>
      </c>
      <c r="D24" s="679"/>
      <c r="E24" s="680"/>
      <c r="F24" s="680"/>
      <c r="G24" s="680"/>
      <c r="H24" s="705"/>
      <c r="I24" s="679"/>
      <c r="J24" s="680"/>
      <c r="K24" s="680"/>
      <c r="L24" s="680"/>
      <c r="M24" s="705"/>
      <c r="N24" s="679"/>
      <c r="O24" s="680"/>
      <c r="P24" s="680"/>
      <c r="Q24" s="680"/>
      <c r="R24" s="705"/>
      <c r="S24" s="679"/>
      <c r="T24" s="680"/>
      <c r="U24" s="680"/>
      <c r="V24" s="680"/>
      <c r="W24" s="705"/>
      <c r="X24" s="679"/>
      <c r="Y24" s="680"/>
      <c r="Z24" s="680"/>
      <c r="AA24" s="680"/>
      <c r="AB24" s="705"/>
      <c r="AC24" s="679"/>
      <c r="AD24" s="680"/>
      <c r="AE24" s="680"/>
      <c r="AF24" s="680"/>
      <c r="AG24" s="705"/>
    </row>
    <row r="25" spans="2:33" s="696" customFormat="1" ht="37.5" customHeight="1" x14ac:dyDescent="0.3">
      <c r="B25" s="697" t="str">
        <f>CoPR20</f>
        <v/>
      </c>
      <c r="C25" s="717">
        <f>Pract20</f>
        <v>0</v>
      </c>
      <c r="D25" s="679"/>
      <c r="E25" s="680"/>
      <c r="F25" s="680"/>
      <c r="G25" s="680"/>
      <c r="H25" s="705"/>
      <c r="I25" s="679"/>
      <c r="J25" s="680"/>
      <c r="K25" s="680"/>
      <c r="L25" s="680"/>
      <c r="M25" s="705"/>
      <c r="N25" s="679"/>
      <c r="O25" s="680"/>
      <c r="P25" s="680"/>
      <c r="Q25" s="680"/>
      <c r="R25" s="705"/>
      <c r="S25" s="679"/>
      <c r="T25" s="680"/>
      <c r="U25" s="680"/>
      <c r="V25" s="680"/>
      <c r="W25" s="705"/>
      <c r="X25" s="679"/>
      <c r="Y25" s="680"/>
      <c r="Z25" s="680"/>
      <c r="AA25" s="680"/>
      <c r="AB25" s="705"/>
      <c r="AC25" s="679"/>
      <c r="AD25" s="680"/>
      <c r="AE25" s="680"/>
      <c r="AF25" s="680"/>
      <c r="AG25" s="705"/>
    </row>
    <row r="26" spans="2:33" s="696" customFormat="1" ht="37.5" customHeight="1" x14ac:dyDescent="0.3">
      <c r="B26" s="697" t="str">
        <f>CoPR21</f>
        <v/>
      </c>
      <c r="C26" s="717">
        <f>Pract21</f>
        <v>0</v>
      </c>
      <c r="D26" s="679"/>
      <c r="E26" s="680"/>
      <c r="F26" s="680"/>
      <c r="G26" s="680"/>
      <c r="H26" s="705"/>
      <c r="I26" s="679"/>
      <c r="J26" s="680"/>
      <c r="K26" s="680"/>
      <c r="L26" s="680"/>
      <c r="M26" s="705"/>
      <c r="N26" s="679"/>
      <c r="O26" s="680"/>
      <c r="P26" s="680"/>
      <c r="Q26" s="680"/>
      <c r="R26" s="705"/>
      <c r="S26" s="679"/>
      <c r="T26" s="680"/>
      <c r="U26" s="680"/>
      <c r="V26" s="680"/>
      <c r="W26" s="705"/>
      <c r="X26" s="679"/>
      <c r="Y26" s="680"/>
      <c r="Z26" s="680"/>
      <c r="AA26" s="680"/>
      <c r="AB26" s="705"/>
      <c r="AC26" s="679"/>
      <c r="AD26" s="680"/>
      <c r="AE26" s="680"/>
      <c r="AF26" s="680"/>
      <c r="AG26" s="705"/>
    </row>
    <row r="27" spans="2:33" s="696" customFormat="1" ht="37.5" customHeight="1" x14ac:dyDescent="0.3">
      <c r="B27" s="697" t="str">
        <f>CoPR22</f>
        <v/>
      </c>
      <c r="C27" s="717">
        <f>Pract22</f>
        <v>0</v>
      </c>
      <c r="D27" s="679"/>
      <c r="E27" s="680"/>
      <c r="F27" s="680"/>
      <c r="G27" s="680"/>
      <c r="H27" s="705"/>
      <c r="I27" s="679"/>
      <c r="J27" s="680"/>
      <c r="K27" s="680"/>
      <c r="L27" s="680"/>
      <c r="M27" s="705"/>
      <c r="N27" s="679"/>
      <c r="O27" s="680"/>
      <c r="P27" s="680"/>
      <c r="Q27" s="680"/>
      <c r="R27" s="705"/>
      <c r="S27" s="679"/>
      <c r="T27" s="680"/>
      <c r="U27" s="680"/>
      <c r="V27" s="680"/>
      <c r="W27" s="705"/>
      <c r="X27" s="679"/>
      <c r="Y27" s="680"/>
      <c r="Z27" s="680"/>
      <c r="AA27" s="680"/>
      <c r="AB27" s="705"/>
      <c r="AC27" s="679"/>
      <c r="AD27" s="680"/>
      <c r="AE27" s="680"/>
      <c r="AF27" s="680"/>
      <c r="AG27" s="705"/>
    </row>
    <row r="28" spans="2:33" s="696" customFormat="1" ht="37.5" customHeight="1" x14ac:dyDescent="0.3">
      <c r="B28" s="697" t="str">
        <f>CoPR23</f>
        <v/>
      </c>
      <c r="C28" s="717">
        <f>Pract23</f>
        <v>0</v>
      </c>
      <c r="D28" s="679"/>
      <c r="E28" s="680"/>
      <c r="F28" s="680"/>
      <c r="G28" s="680"/>
      <c r="H28" s="705"/>
      <c r="I28" s="679"/>
      <c r="J28" s="680"/>
      <c r="K28" s="680"/>
      <c r="L28" s="680"/>
      <c r="M28" s="705"/>
      <c r="N28" s="679"/>
      <c r="O28" s="680"/>
      <c r="P28" s="680"/>
      <c r="Q28" s="680"/>
      <c r="R28" s="705"/>
      <c r="S28" s="679"/>
      <c r="T28" s="680"/>
      <c r="U28" s="680"/>
      <c r="V28" s="680"/>
      <c r="W28" s="705"/>
      <c r="X28" s="679"/>
      <c r="Y28" s="680"/>
      <c r="Z28" s="680"/>
      <c r="AA28" s="680"/>
      <c r="AB28" s="705"/>
      <c r="AC28" s="679"/>
      <c r="AD28" s="680"/>
      <c r="AE28" s="680"/>
      <c r="AF28" s="680"/>
      <c r="AG28" s="705"/>
    </row>
    <row r="29" spans="2:33" s="696" customFormat="1" ht="37.5" customHeight="1" x14ac:dyDescent="0.3">
      <c r="B29" s="697" t="str">
        <f>CoPR24</f>
        <v/>
      </c>
      <c r="C29" s="717">
        <f>Pract24</f>
        <v>0</v>
      </c>
      <c r="D29" s="679"/>
      <c r="E29" s="680"/>
      <c r="F29" s="680"/>
      <c r="G29" s="680"/>
      <c r="H29" s="705"/>
      <c r="I29" s="679"/>
      <c r="J29" s="680"/>
      <c r="K29" s="680"/>
      <c r="L29" s="680"/>
      <c r="M29" s="705"/>
      <c r="N29" s="679"/>
      <c r="O29" s="680"/>
      <c r="P29" s="680"/>
      <c r="Q29" s="680"/>
      <c r="R29" s="705"/>
      <c r="S29" s="679"/>
      <c r="T29" s="680"/>
      <c r="U29" s="680"/>
      <c r="V29" s="680"/>
      <c r="W29" s="705"/>
      <c r="X29" s="679"/>
      <c r="Y29" s="680"/>
      <c r="Z29" s="680"/>
      <c r="AA29" s="680"/>
      <c r="AB29" s="705"/>
      <c r="AC29" s="679"/>
      <c r="AD29" s="680"/>
      <c r="AE29" s="680"/>
      <c r="AF29" s="680"/>
      <c r="AG29" s="705"/>
    </row>
    <row r="30" spans="2:33" s="696" customFormat="1" ht="37.5" customHeight="1" x14ac:dyDescent="0.3">
      <c r="B30" s="697" t="str">
        <f>CoPR25</f>
        <v/>
      </c>
      <c r="C30" s="717">
        <f>Pract25</f>
        <v>0</v>
      </c>
      <c r="D30" s="679"/>
      <c r="E30" s="680"/>
      <c r="F30" s="680"/>
      <c r="G30" s="680"/>
      <c r="H30" s="705"/>
      <c r="I30" s="679"/>
      <c r="J30" s="680"/>
      <c r="K30" s="680"/>
      <c r="L30" s="680"/>
      <c r="M30" s="705"/>
      <c r="N30" s="679"/>
      <c r="O30" s="680"/>
      <c r="P30" s="680"/>
      <c r="Q30" s="680"/>
      <c r="R30" s="705"/>
      <c r="S30" s="679"/>
      <c r="T30" s="680"/>
      <c r="U30" s="680"/>
      <c r="V30" s="680"/>
      <c r="W30" s="705"/>
      <c r="X30" s="679"/>
      <c r="Y30" s="680"/>
      <c r="Z30" s="680"/>
      <c r="AA30" s="680"/>
      <c r="AB30" s="705"/>
      <c r="AC30" s="679"/>
      <c r="AD30" s="680"/>
      <c r="AE30" s="680"/>
      <c r="AF30" s="680"/>
      <c r="AG30" s="705"/>
    </row>
    <row r="31" spans="2:33" s="696" customFormat="1" ht="37.5" customHeight="1" x14ac:dyDescent="0.3">
      <c r="B31" s="697" t="str">
        <f>CoPR26</f>
        <v/>
      </c>
      <c r="C31" s="717">
        <f>Pract26</f>
        <v>0</v>
      </c>
      <c r="D31" s="679"/>
      <c r="E31" s="680"/>
      <c r="F31" s="680"/>
      <c r="G31" s="680"/>
      <c r="H31" s="705"/>
      <c r="I31" s="679"/>
      <c r="J31" s="680"/>
      <c r="K31" s="680"/>
      <c r="L31" s="680"/>
      <c r="M31" s="705"/>
      <c r="N31" s="679"/>
      <c r="O31" s="680"/>
      <c r="P31" s="680"/>
      <c r="Q31" s="680"/>
      <c r="R31" s="705"/>
      <c r="S31" s="679"/>
      <c r="T31" s="680"/>
      <c r="U31" s="680"/>
      <c r="V31" s="680"/>
      <c r="W31" s="705"/>
      <c r="X31" s="679"/>
      <c r="Y31" s="680"/>
      <c r="Z31" s="680"/>
      <c r="AA31" s="680"/>
      <c r="AB31" s="705"/>
      <c r="AC31" s="679"/>
      <c r="AD31" s="680"/>
      <c r="AE31" s="680"/>
      <c r="AF31" s="680"/>
      <c r="AG31" s="705"/>
    </row>
    <row r="32" spans="2:33" s="696" customFormat="1" ht="37.5" customHeight="1" x14ac:dyDescent="0.3">
      <c r="B32" s="697" t="str">
        <f>CoPR27</f>
        <v/>
      </c>
      <c r="C32" s="717">
        <f>Pract27</f>
        <v>0</v>
      </c>
      <c r="D32" s="679"/>
      <c r="E32" s="680"/>
      <c r="F32" s="680"/>
      <c r="G32" s="680"/>
      <c r="H32" s="705"/>
      <c r="I32" s="679"/>
      <c r="J32" s="680"/>
      <c r="K32" s="680"/>
      <c r="L32" s="680"/>
      <c r="M32" s="705"/>
      <c r="N32" s="679"/>
      <c r="O32" s="680"/>
      <c r="P32" s="680"/>
      <c r="Q32" s="680"/>
      <c r="R32" s="705"/>
      <c r="S32" s="679"/>
      <c r="T32" s="680"/>
      <c r="U32" s="680"/>
      <c r="V32" s="680"/>
      <c r="W32" s="705"/>
      <c r="X32" s="679"/>
      <c r="Y32" s="680"/>
      <c r="Z32" s="680"/>
      <c r="AA32" s="680"/>
      <c r="AB32" s="705"/>
      <c r="AC32" s="679"/>
      <c r="AD32" s="680"/>
      <c r="AE32" s="680"/>
      <c r="AF32" s="680"/>
      <c r="AG32" s="705"/>
    </row>
    <row r="33" spans="2:33" s="696" customFormat="1" ht="37.5" customHeight="1" x14ac:dyDescent="0.3">
      <c r="B33" s="697" t="str">
        <f>CoPR28</f>
        <v/>
      </c>
      <c r="C33" s="717">
        <f>Pract28</f>
        <v>0</v>
      </c>
      <c r="D33" s="679"/>
      <c r="E33" s="680"/>
      <c r="F33" s="680"/>
      <c r="G33" s="680"/>
      <c r="H33" s="705"/>
      <c r="I33" s="679"/>
      <c r="J33" s="680"/>
      <c r="K33" s="680"/>
      <c r="L33" s="680"/>
      <c r="M33" s="705"/>
      <c r="N33" s="679"/>
      <c r="O33" s="680"/>
      <c r="P33" s="680"/>
      <c r="Q33" s="680"/>
      <c r="R33" s="705"/>
      <c r="S33" s="679"/>
      <c r="T33" s="680"/>
      <c r="U33" s="680"/>
      <c r="V33" s="680"/>
      <c r="W33" s="705"/>
      <c r="X33" s="679"/>
      <c r="Y33" s="680"/>
      <c r="Z33" s="680"/>
      <c r="AA33" s="680"/>
      <c r="AB33" s="705"/>
      <c r="AC33" s="679"/>
      <c r="AD33" s="680"/>
      <c r="AE33" s="680"/>
      <c r="AF33" s="680"/>
      <c r="AG33" s="705"/>
    </row>
    <row r="34" spans="2:33" s="696" customFormat="1" ht="37.5" customHeight="1" x14ac:dyDescent="0.3">
      <c r="B34" s="697" t="str">
        <f>CoPR29</f>
        <v/>
      </c>
      <c r="C34" s="717">
        <f>Pract29</f>
        <v>0</v>
      </c>
      <c r="D34" s="679"/>
      <c r="E34" s="680"/>
      <c r="F34" s="680"/>
      <c r="G34" s="680"/>
      <c r="H34" s="705"/>
      <c r="I34" s="679"/>
      <c r="J34" s="680"/>
      <c r="K34" s="680"/>
      <c r="L34" s="680"/>
      <c r="M34" s="705"/>
      <c r="N34" s="679"/>
      <c r="O34" s="680"/>
      <c r="P34" s="680"/>
      <c r="Q34" s="680"/>
      <c r="R34" s="705"/>
      <c r="S34" s="679"/>
      <c r="T34" s="680"/>
      <c r="U34" s="680"/>
      <c r="V34" s="680"/>
      <c r="W34" s="705"/>
      <c r="X34" s="679"/>
      <c r="Y34" s="680"/>
      <c r="Z34" s="680"/>
      <c r="AA34" s="680"/>
      <c r="AB34" s="705"/>
      <c r="AC34" s="679"/>
      <c r="AD34" s="680"/>
      <c r="AE34" s="680"/>
      <c r="AF34" s="680"/>
      <c r="AG34" s="705"/>
    </row>
    <row r="35" spans="2:33" s="696" customFormat="1" ht="37.5" customHeight="1" x14ac:dyDescent="0.3">
      <c r="B35" s="697" t="str">
        <f>CoPR30</f>
        <v/>
      </c>
      <c r="C35" s="717">
        <f>Pract30</f>
        <v>0</v>
      </c>
      <c r="D35" s="679"/>
      <c r="E35" s="680"/>
      <c r="F35" s="680"/>
      <c r="G35" s="680"/>
      <c r="H35" s="705"/>
      <c r="I35" s="679"/>
      <c r="J35" s="680"/>
      <c r="K35" s="680"/>
      <c r="L35" s="680"/>
      <c r="M35" s="705"/>
      <c r="N35" s="679"/>
      <c r="O35" s="680"/>
      <c r="P35" s="680"/>
      <c r="Q35" s="680"/>
      <c r="R35" s="705"/>
      <c r="S35" s="679"/>
      <c r="T35" s="680"/>
      <c r="U35" s="680"/>
      <c r="V35" s="680"/>
      <c r="W35" s="705"/>
      <c r="X35" s="679"/>
      <c r="Y35" s="680"/>
      <c r="Z35" s="680"/>
      <c r="AA35" s="680"/>
      <c r="AB35" s="705"/>
      <c r="AC35" s="679"/>
      <c r="AD35" s="680"/>
      <c r="AE35" s="680"/>
      <c r="AF35" s="680"/>
      <c r="AG35" s="705"/>
    </row>
    <row r="36" spans="2:33" s="696" customFormat="1" ht="37.5" customHeight="1" x14ac:dyDescent="0.3">
      <c r="B36" s="697" t="str">
        <f>CoPR31</f>
        <v/>
      </c>
      <c r="C36" s="717">
        <f>Pract31</f>
        <v>0</v>
      </c>
      <c r="D36" s="679"/>
      <c r="E36" s="680"/>
      <c r="F36" s="680"/>
      <c r="G36" s="680"/>
      <c r="H36" s="705"/>
      <c r="I36" s="679"/>
      <c r="J36" s="680"/>
      <c r="K36" s="680"/>
      <c r="L36" s="680"/>
      <c r="M36" s="705"/>
      <c r="N36" s="679"/>
      <c r="O36" s="680"/>
      <c r="P36" s="680"/>
      <c r="Q36" s="680"/>
      <c r="R36" s="705"/>
      <c r="S36" s="679"/>
      <c r="T36" s="680"/>
      <c r="U36" s="680"/>
      <c r="V36" s="680"/>
      <c r="W36" s="705"/>
      <c r="X36" s="679"/>
      <c r="Y36" s="680"/>
      <c r="Z36" s="680"/>
      <c r="AA36" s="680"/>
      <c r="AB36" s="705"/>
      <c r="AC36" s="679"/>
      <c r="AD36" s="680"/>
      <c r="AE36" s="680"/>
      <c r="AF36" s="680"/>
      <c r="AG36" s="705"/>
    </row>
    <row r="37" spans="2:33" s="696" customFormat="1" ht="37.5" customHeight="1" x14ac:dyDescent="0.3">
      <c r="B37" s="697" t="str">
        <f>CoPR32</f>
        <v/>
      </c>
      <c r="C37" s="717">
        <f>Pract32</f>
        <v>0</v>
      </c>
      <c r="D37" s="679"/>
      <c r="E37" s="680"/>
      <c r="F37" s="680"/>
      <c r="G37" s="680"/>
      <c r="H37" s="705"/>
      <c r="I37" s="679"/>
      <c r="J37" s="680"/>
      <c r="K37" s="680"/>
      <c r="L37" s="680"/>
      <c r="M37" s="705"/>
      <c r="N37" s="679"/>
      <c r="O37" s="680"/>
      <c r="P37" s="680"/>
      <c r="Q37" s="680"/>
      <c r="R37" s="705"/>
      <c r="S37" s="679"/>
      <c r="T37" s="680"/>
      <c r="U37" s="680"/>
      <c r="V37" s="680"/>
      <c r="W37" s="705"/>
      <c r="X37" s="679"/>
      <c r="Y37" s="680"/>
      <c r="Z37" s="680"/>
      <c r="AA37" s="680"/>
      <c r="AB37" s="705"/>
      <c r="AC37" s="679"/>
      <c r="AD37" s="680"/>
      <c r="AE37" s="680"/>
      <c r="AF37" s="680"/>
      <c r="AG37" s="705"/>
    </row>
    <row r="38" spans="2:33" s="696" customFormat="1" ht="37.5" customHeight="1" thickBot="1" x14ac:dyDescent="0.35">
      <c r="B38" s="697" t="str">
        <f>CoPR33</f>
        <v/>
      </c>
      <c r="C38" s="717">
        <f>Pract33</f>
        <v>0</v>
      </c>
      <c r="D38" s="681"/>
      <c r="E38" s="682"/>
      <c r="F38" s="682"/>
      <c r="G38" s="682"/>
      <c r="H38" s="706"/>
      <c r="I38" s="681"/>
      <c r="J38" s="682"/>
      <c r="K38" s="682"/>
      <c r="L38" s="682"/>
      <c r="M38" s="706"/>
      <c r="N38" s="681"/>
      <c r="O38" s="682"/>
      <c r="P38" s="682"/>
      <c r="Q38" s="682"/>
      <c r="R38" s="706"/>
      <c r="S38" s="681"/>
      <c r="T38" s="682"/>
      <c r="U38" s="682"/>
      <c r="V38" s="682"/>
      <c r="W38" s="706"/>
      <c r="X38" s="681"/>
      <c r="Y38" s="682"/>
      <c r="Z38" s="682"/>
      <c r="AA38" s="682"/>
      <c r="AB38" s="706"/>
      <c r="AC38" s="681"/>
      <c r="AD38" s="682"/>
      <c r="AE38" s="682"/>
      <c r="AF38" s="682"/>
      <c r="AG38" s="706"/>
    </row>
    <row r="39" spans="2:33" ht="25.05" customHeight="1" x14ac:dyDescent="0.3">
      <c r="B39" s="399"/>
      <c r="C39" s="401"/>
    </row>
    <row r="40" spans="2:33" ht="25.05" customHeight="1" x14ac:dyDescent="0.3">
      <c r="B40" s="399"/>
      <c r="C40" s="401"/>
    </row>
    <row r="41" spans="2:33" ht="25.05" customHeight="1" x14ac:dyDescent="0.3">
      <c r="B41" s="399"/>
      <c r="C41" s="401"/>
    </row>
    <row r="42" spans="2:33" ht="25.05" customHeight="1" x14ac:dyDescent="0.3">
      <c r="B42" s="399"/>
      <c r="C42" s="401"/>
    </row>
    <row r="43" spans="2:33" ht="25.05" customHeight="1" x14ac:dyDescent="0.3">
      <c r="B43" s="399"/>
      <c r="C43" s="401"/>
    </row>
    <row r="44" spans="2:33" ht="25.05" customHeight="1" x14ac:dyDescent="0.3">
      <c r="B44" s="399"/>
      <c r="C44" s="401"/>
    </row>
    <row r="45" spans="2:33" ht="25.05" customHeight="1" x14ac:dyDescent="0.3">
      <c r="B45" s="399"/>
      <c r="C45" s="401"/>
    </row>
    <row r="46" spans="2:33" ht="25.05" customHeight="1" x14ac:dyDescent="0.3">
      <c r="B46" s="399"/>
      <c r="C46" s="401"/>
    </row>
    <row r="47" spans="2:33" ht="25.05" customHeight="1" x14ac:dyDescent="0.3">
      <c r="B47" s="399"/>
      <c r="C47" s="401"/>
    </row>
    <row r="48" spans="2:33" ht="25.05" customHeight="1" x14ac:dyDescent="0.3">
      <c r="B48" s="399"/>
      <c r="C48" s="401"/>
    </row>
    <row r="49" spans="2:3" ht="25.05" customHeight="1" x14ac:dyDescent="0.3">
      <c r="B49" s="399"/>
      <c r="C49" s="401"/>
    </row>
    <row r="50" spans="2:3" ht="25.05" customHeight="1" x14ac:dyDescent="0.3">
      <c r="B50" s="399"/>
      <c r="C50" s="401"/>
    </row>
    <row r="51" spans="2:3" ht="25.05" customHeight="1" x14ac:dyDescent="0.3">
      <c r="B51" s="399"/>
      <c r="C51" s="401"/>
    </row>
    <row r="52" spans="2:3" ht="25.05" customHeight="1" x14ac:dyDescent="0.3">
      <c r="B52" s="399"/>
      <c r="C52" s="401"/>
    </row>
    <row r="53" spans="2:3" ht="25.05" customHeight="1" x14ac:dyDescent="0.3">
      <c r="B53" s="399"/>
      <c r="C53" s="401"/>
    </row>
    <row r="54" spans="2:3" ht="25.05" customHeight="1" x14ac:dyDescent="0.3">
      <c r="B54" s="399"/>
      <c r="C54" s="401"/>
    </row>
    <row r="55" spans="2:3" ht="25.05" customHeight="1" x14ac:dyDescent="0.3">
      <c r="B55" s="399"/>
      <c r="C55" s="401"/>
    </row>
    <row r="56" spans="2:3" ht="25.05" customHeight="1" x14ac:dyDescent="0.3">
      <c r="B56" s="399"/>
      <c r="C56" s="401"/>
    </row>
    <row r="57" spans="2:3" ht="25.05" customHeight="1" x14ac:dyDescent="0.3">
      <c r="B57" s="399"/>
      <c r="C57" s="401"/>
    </row>
    <row r="58" spans="2:3" ht="25.05" customHeight="1" x14ac:dyDescent="0.3">
      <c r="B58" s="399"/>
      <c r="C58" s="401"/>
    </row>
    <row r="59" spans="2:3" ht="25.05" customHeight="1" x14ac:dyDescent="0.3">
      <c r="B59" s="399"/>
      <c r="C59" s="401"/>
    </row>
    <row r="60" spans="2:3" ht="25.05" customHeight="1" x14ac:dyDescent="0.3">
      <c r="B60" s="399"/>
      <c r="C60" s="401"/>
    </row>
    <row r="61" spans="2:3" ht="25.05" customHeight="1" x14ac:dyDescent="0.3">
      <c r="B61" s="399"/>
      <c r="C61" s="401"/>
    </row>
    <row r="62" spans="2:3" ht="25.05" customHeight="1" x14ac:dyDescent="0.3">
      <c r="B62" s="399"/>
      <c r="C62" s="401"/>
    </row>
    <row r="63" spans="2:3" ht="25.05" customHeight="1" x14ac:dyDescent="0.3">
      <c r="B63" s="399"/>
      <c r="C63" s="401"/>
    </row>
    <row r="64" spans="2:3" ht="25.05" customHeight="1" x14ac:dyDescent="0.3">
      <c r="B64" s="399"/>
      <c r="C64" s="401"/>
    </row>
    <row r="65" spans="2:3" ht="25.05" customHeight="1" x14ac:dyDescent="0.3">
      <c r="B65" s="399"/>
      <c r="C65" s="401"/>
    </row>
    <row r="66" spans="2:3" ht="25.05" customHeight="1" x14ac:dyDescent="0.3">
      <c r="B66" s="399"/>
      <c r="C66" s="401"/>
    </row>
    <row r="67" spans="2:3" ht="25.05" customHeight="1" x14ac:dyDescent="0.3">
      <c r="B67" s="399"/>
      <c r="C67" s="401"/>
    </row>
    <row r="68" spans="2:3" ht="25.05" customHeight="1" x14ac:dyDescent="0.3">
      <c r="B68" s="399"/>
      <c r="C68" s="401"/>
    </row>
    <row r="69" spans="2:3" ht="25.05" customHeight="1" x14ac:dyDescent="0.3">
      <c r="B69" s="399"/>
      <c r="C69" s="401"/>
    </row>
    <row r="70" spans="2:3" ht="25.05" customHeight="1" x14ac:dyDescent="0.3">
      <c r="B70" s="399"/>
      <c r="C70" s="401"/>
    </row>
    <row r="71" spans="2:3" ht="25.05" customHeight="1" x14ac:dyDescent="0.3">
      <c r="B71" s="399"/>
      <c r="C71" s="401"/>
    </row>
    <row r="72" spans="2:3" ht="25.05" customHeight="1" x14ac:dyDescent="0.3">
      <c r="B72" s="399"/>
      <c r="C72" s="401"/>
    </row>
    <row r="73" spans="2:3" ht="25.05" customHeight="1" x14ac:dyDescent="0.3">
      <c r="B73" s="399"/>
      <c r="C73" s="401"/>
    </row>
    <row r="74" spans="2:3" ht="25.05" customHeight="1" x14ac:dyDescent="0.3">
      <c r="B74" s="399"/>
      <c r="C74" s="401"/>
    </row>
    <row r="75" spans="2:3" ht="25.05" customHeight="1" x14ac:dyDescent="0.3">
      <c r="B75" s="399"/>
      <c r="C75" s="401"/>
    </row>
    <row r="76" spans="2:3" ht="25.05" customHeight="1" x14ac:dyDescent="0.3">
      <c r="B76" s="399"/>
      <c r="C76" s="401"/>
    </row>
    <row r="77" spans="2:3" ht="25.05" customHeight="1" x14ac:dyDescent="0.3">
      <c r="B77" s="399"/>
      <c r="C77" s="401"/>
    </row>
    <row r="78" spans="2:3" ht="25.05" customHeight="1" x14ac:dyDescent="0.3">
      <c r="B78" s="399"/>
      <c r="C78" s="401"/>
    </row>
    <row r="79" spans="2:3" ht="25.05" customHeight="1" x14ac:dyDescent="0.3">
      <c r="B79" s="399"/>
      <c r="C79" s="401"/>
    </row>
    <row r="80" spans="2:3" ht="25.05" customHeight="1" x14ac:dyDescent="0.3">
      <c r="B80" s="399"/>
      <c r="C80" s="401"/>
    </row>
    <row r="81" spans="2:3" ht="25.05" customHeight="1" x14ac:dyDescent="0.3">
      <c r="B81" s="399"/>
      <c r="C81" s="401"/>
    </row>
    <row r="82" spans="2:3" ht="25.05" customHeight="1" x14ac:dyDescent="0.3">
      <c r="B82" s="399"/>
      <c r="C82" s="401"/>
    </row>
    <row r="83" spans="2:3" ht="25.05" customHeight="1" x14ac:dyDescent="0.3">
      <c r="B83" s="399"/>
      <c r="C83" s="401"/>
    </row>
    <row r="84" spans="2:3" ht="25.05" customHeight="1" x14ac:dyDescent="0.3">
      <c r="B84" s="399"/>
      <c r="C84" s="401"/>
    </row>
    <row r="85" spans="2:3" ht="25.05" customHeight="1" x14ac:dyDescent="0.3">
      <c r="B85" s="399"/>
      <c r="C85" s="401"/>
    </row>
    <row r="86" spans="2:3" ht="25.05" customHeight="1" x14ac:dyDescent="0.3">
      <c r="B86" s="399"/>
      <c r="C86" s="401"/>
    </row>
    <row r="87" spans="2:3" ht="25.05" customHeight="1" x14ac:dyDescent="0.3">
      <c r="B87" s="399"/>
      <c r="C87" s="401"/>
    </row>
    <row r="88" spans="2:3" ht="25.05" customHeight="1" x14ac:dyDescent="0.3">
      <c r="B88" s="399"/>
      <c r="C88" s="401"/>
    </row>
    <row r="89" spans="2:3" ht="25.05" customHeight="1" x14ac:dyDescent="0.3">
      <c r="B89" s="399"/>
      <c r="C89" s="401"/>
    </row>
    <row r="90" spans="2:3" ht="25.05" customHeight="1" x14ac:dyDescent="0.3">
      <c r="B90" s="399"/>
      <c r="C90" s="401"/>
    </row>
    <row r="91" spans="2:3" ht="25.05" customHeight="1" x14ac:dyDescent="0.3">
      <c r="B91" s="399"/>
      <c r="C91" s="401"/>
    </row>
    <row r="92" spans="2:3" ht="25.05" customHeight="1" x14ac:dyDescent="0.3">
      <c r="B92" s="399"/>
      <c r="C92" s="401"/>
    </row>
    <row r="93" spans="2:3" ht="25.05" customHeight="1" x14ac:dyDescent="0.3">
      <c r="B93" s="399"/>
      <c r="C93" s="401"/>
    </row>
    <row r="94" spans="2:3" ht="25.05" customHeight="1" x14ac:dyDescent="0.3">
      <c r="B94" s="399"/>
      <c r="C94" s="401"/>
    </row>
    <row r="95" spans="2:3" ht="25.05" customHeight="1" x14ac:dyDescent="0.3">
      <c r="B95" s="399"/>
      <c r="C95" s="401"/>
    </row>
    <row r="96" spans="2:3" ht="25.05" customHeight="1" x14ac:dyDescent="0.3">
      <c r="B96" s="399"/>
      <c r="C96" s="401"/>
    </row>
    <row r="97" spans="2:3" ht="25.05" customHeight="1" x14ac:dyDescent="0.3">
      <c r="B97" s="399"/>
      <c r="C97" s="401"/>
    </row>
    <row r="98" spans="2:3" ht="25.05" customHeight="1" x14ac:dyDescent="0.3">
      <c r="B98" s="399"/>
      <c r="C98" s="401"/>
    </row>
    <row r="99" spans="2:3" ht="25.05" customHeight="1" x14ac:dyDescent="0.3">
      <c r="B99" s="399"/>
      <c r="C99" s="401"/>
    </row>
    <row r="100" spans="2:3" ht="25.05" customHeight="1" x14ac:dyDescent="0.3">
      <c r="B100" s="399"/>
      <c r="C100" s="401"/>
    </row>
    <row r="101" spans="2:3" ht="25.05" customHeight="1" x14ac:dyDescent="0.3">
      <c r="B101" s="399"/>
      <c r="C101" s="401"/>
    </row>
    <row r="102" spans="2:3" ht="25.05" customHeight="1" x14ac:dyDescent="0.3">
      <c r="B102" s="399"/>
      <c r="C102" s="401"/>
    </row>
    <row r="103" spans="2:3" ht="25.05" customHeight="1" x14ac:dyDescent="0.3">
      <c r="B103" s="399"/>
      <c r="C103" s="401"/>
    </row>
    <row r="104" spans="2:3" ht="25.05" customHeight="1" x14ac:dyDescent="0.3">
      <c r="B104" s="399"/>
      <c r="C104" s="401"/>
    </row>
    <row r="105" spans="2:3" ht="25.05" customHeight="1" x14ac:dyDescent="0.3">
      <c r="B105" s="399"/>
      <c r="C105" s="401"/>
    </row>
    <row r="106" spans="2:3" ht="25.05" customHeight="1" x14ac:dyDescent="0.3">
      <c r="B106" s="399"/>
      <c r="C106" s="401"/>
    </row>
    <row r="107" spans="2:3" ht="25.05" customHeight="1" x14ac:dyDescent="0.3">
      <c r="B107" s="399"/>
      <c r="C107" s="401"/>
    </row>
    <row r="108" spans="2:3" ht="25.05" customHeight="1" x14ac:dyDescent="0.3">
      <c r="B108" s="399"/>
      <c r="C108" s="401"/>
    </row>
    <row r="109" spans="2:3" ht="25.05" customHeight="1" x14ac:dyDescent="0.3">
      <c r="B109" s="399"/>
      <c r="C109" s="401"/>
    </row>
    <row r="110" spans="2:3" ht="25.05" customHeight="1" x14ac:dyDescent="0.3">
      <c r="B110" s="399"/>
      <c r="C110" s="401"/>
    </row>
    <row r="111" spans="2:3" ht="25.05" customHeight="1" x14ac:dyDescent="0.3">
      <c r="B111" s="399"/>
      <c r="C111" s="401"/>
    </row>
    <row r="112" spans="2:3" ht="25.05" customHeight="1" x14ac:dyDescent="0.3">
      <c r="B112" s="399"/>
      <c r="C112" s="401"/>
    </row>
    <row r="113" spans="2:3" ht="25.05" customHeight="1" x14ac:dyDescent="0.3">
      <c r="B113" s="399"/>
      <c r="C113" s="401"/>
    </row>
    <row r="114" spans="2:3" ht="25.05" customHeight="1" x14ac:dyDescent="0.3">
      <c r="B114" s="399"/>
      <c r="C114" s="401"/>
    </row>
    <row r="115" spans="2:3" ht="25.05" customHeight="1" x14ac:dyDescent="0.3">
      <c r="B115" s="399"/>
      <c r="C115" s="401"/>
    </row>
    <row r="116" spans="2:3" ht="25.05" customHeight="1" x14ac:dyDescent="0.3">
      <c r="B116" s="399"/>
      <c r="C116" s="401"/>
    </row>
    <row r="117" spans="2:3" ht="25.05" customHeight="1" x14ac:dyDescent="0.3">
      <c r="B117" s="399"/>
      <c r="C117" s="401"/>
    </row>
    <row r="118" spans="2:3" ht="25.05" customHeight="1" x14ac:dyDescent="0.3">
      <c r="B118" s="399"/>
      <c r="C118" s="401"/>
    </row>
    <row r="119" spans="2:3" ht="25.05" customHeight="1" x14ac:dyDescent="0.3">
      <c r="B119" s="399"/>
      <c r="C119" s="401"/>
    </row>
    <row r="120" spans="2:3" ht="25.05" customHeight="1" x14ac:dyDescent="0.3">
      <c r="B120" s="399"/>
      <c r="C120" s="401"/>
    </row>
    <row r="121" spans="2:3" ht="25.05" customHeight="1" x14ac:dyDescent="0.3">
      <c r="B121" s="399"/>
      <c r="C121" s="401"/>
    </row>
    <row r="122" spans="2:3" ht="25.05" customHeight="1" x14ac:dyDescent="0.3">
      <c r="B122" s="399"/>
      <c r="C122" s="401"/>
    </row>
    <row r="123" spans="2:3" ht="25.05" customHeight="1" x14ac:dyDescent="0.3">
      <c r="B123" s="399"/>
      <c r="C123" s="401"/>
    </row>
    <row r="124" spans="2:3" ht="25.05" customHeight="1" x14ac:dyDescent="0.3">
      <c r="B124" s="399"/>
      <c r="C124" s="401"/>
    </row>
    <row r="125" spans="2:3" ht="25.05" customHeight="1" x14ac:dyDescent="0.3">
      <c r="B125" s="399"/>
      <c r="C125" s="401"/>
    </row>
    <row r="126" spans="2:3" ht="25.05" customHeight="1" x14ac:dyDescent="0.3">
      <c r="B126" s="399"/>
      <c r="C126" s="401"/>
    </row>
    <row r="127" spans="2:3" ht="25.05" customHeight="1" x14ac:dyDescent="0.3">
      <c r="B127" s="399"/>
      <c r="C127" s="401"/>
    </row>
    <row r="128" spans="2:3" ht="25.05" customHeight="1" x14ac:dyDescent="0.3">
      <c r="B128" s="399"/>
      <c r="C128" s="401"/>
    </row>
    <row r="129" spans="2:3" ht="25.05" customHeight="1" x14ac:dyDescent="0.3">
      <c r="B129" s="399"/>
      <c r="C129" s="401"/>
    </row>
    <row r="130" spans="2:3" ht="25.05" customHeight="1" x14ac:dyDescent="0.3">
      <c r="B130" s="399"/>
      <c r="C130" s="401"/>
    </row>
    <row r="131" spans="2:3" ht="25.05" customHeight="1" x14ac:dyDescent="0.3">
      <c r="B131" s="399"/>
      <c r="C131" s="401"/>
    </row>
    <row r="132" spans="2:3" ht="25.05" customHeight="1" x14ac:dyDescent="0.3">
      <c r="B132" s="399"/>
      <c r="C132" s="401"/>
    </row>
    <row r="133" spans="2:3" ht="25.05" customHeight="1" x14ac:dyDescent="0.3">
      <c r="B133" s="399"/>
      <c r="C133" s="401"/>
    </row>
    <row r="134" spans="2:3" ht="25.05" customHeight="1" x14ac:dyDescent="0.3">
      <c r="B134" s="399"/>
      <c r="C134" s="401"/>
    </row>
    <row r="135" spans="2:3" ht="25.05" customHeight="1" x14ac:dyDescent="0.3">
      <c r="B135" s="399"/>
      <c r="C135" s="401"/>
    </row>
    <row r="136" spans="2:3" ht="25.05" customHeight="1" x14ac:dyDescent="0.3">
      <c r="B136" s="399"/>
      <c r="C136" s="401"/>
    </row>
    <row r="137" spans="2:3" ht="25.05" customHeight="1" x14ac:dyDescent="0.3">
      <c r="B137" s="399"/>
      <c r="C137" s="401"/>
    </row>
    <row r="138" spans="2:3" ht="25.05" customHeight="1" x14ac:dyDescent="0.3">
      <c r="B138" s="399"/>
      <c r="C138" s="401"/>
    </row>
    <row r="139" spans="2:3" ht="25.05" customHeight="1" x14ac:dyDescent="0.3">
      <c r="B139" s="399"/>
      <c r="C139" s="401"/>
    </row>
    <row r="140" spans="2:3" ht="25.05" customHeight="1" x14ac:dyDescent="0.3">
      <c r="B140" s="399"/>
      <c r="C140" s="401"/>
    </row>
    <row r="141" spans="2:3" ht="25.05" customHeight="1" x14ac:dyDescent="0.3">
      <c r="B141" s="399"/>
      <c r="C141" s="401"/>
    </row>
    <row r="142" spans="2:3" ht="25.05" customHeight="1" x14ac:dyDescent="0.3">
      <c r="B142" s="399"/>
      <c r="C142" s="401"/>
    </row>
    <row r="143" spans="2:3" ht="25.05" customHeight="1" x14ac:dyDescent="0.3">
      <c r="B143" s="399"/>
      <c r="C143" s="401"/>
    </row>
    <row r="144" spans="2:3" ht="25.05" customHeight="1" x14ac:dyDescent="0.3">
      <c r="B144" s="399"/>
      <c r="C144" s="401"/>
    </row>
    <row r="145" spans="2:3" ht="25.05" customHeight="1" x14ac:dyDescent="0.3">
      <c r="B145" s="399"/>
      <c r="C145" s="401"/>
    </row>
    <row r="146" spans="2:3" ht="25.05" customHeight="1" x14ac:dyDescent="0.3">
      <c r="B146" s="399"/>
      <c r="C146" s="401"/>
    </row>
    <row r="147" spans="2:3" ht="25.05" customHeight="1" x14ac:dyDescent="0.3">
      <c r="B147" s="399"/>
      <c r="C147" s="401"/>
    </row>
    <row r="148" spans="2:3" ht="25.05" customHeight="1" x14ac:dyDescent="0.3">
      <c r="B148" s="399"/>
      <c r="C148" s="401"/>
    </row>
    <row r="149" spans="2:3" ht="25.05" customHeight="1" x14ac:dyDescent="0.3">
      <c r="B149" s="399"/>
      <c r="C149" s="401"/>
    </row>
    <row r="150" spans="2:3" ht="25.05" customHeight="1" x14ac:dyDescent="0.3">
      <c r="B150" s="399"/>
      <c r="C150" s="401"/>
    </row>
    <row r="151" spans="2:3" ht="25.05" customHeight="1" x14ac:dyDescent="0.3">
      <c r="B151" s="399"/>
      <c r="C151" s="401"/>
    </row>
    <row r="152" spans="2:3" ht="25.05" customHeight="1" x14ac:dyDescent="0.3">
      <c r="B152" s="399"/>
      <c r="C152" s="401"/>
    </row>
    <row r="153" spans="2:3" ht="25.05" customHeight="1" x14ac:dyDescent="0.3">
      <c r="B153" s="399"/>
      <c r="C153" s="401"/>
    </row>
    <row r="154" spans="2:3" ht="25.05" customHeight="1" x14ac:dyDescent="0.3">
      <c r="B154" s="399"/>
      <c r="C154" s="401"/>
    </row>
    <row r="155" spans="2:3" ht="25.05" customHeight="1" x14ac:dyDescent="0.3">
      <c r="B155" s="399"/>
      <c r="C155" s="401"/>
    </row>
    <row r="156" spans="2:3" ht="25.05" customHeight="1" x14ac:dyDescent="0.3">
      <c r="B156" s="399"/>
      <c r="C156" s="401"/>
    </row>
    <row r="157" spans="2:3" ht="25.05" customHeight="1" x14ac:dyDescent="0.3">
      <c r="B157" s="399"/>
      <c r="C157" s="401"/>
    </row>
    <row r="158" spans="2:3" ht="25.05" customHeight="1" x14ac:dyDescent="0.3">
      <c r="B158" s="399"/>
      <c r="C158" s="401"/>
    </row>
    <row r="159" spans="2:3" ht="25.05" customHeight="1" x14ac:dyDescent="0.3">
      <c r="B159" s="399"/>
      <c r="C159" s="401"/>
    </row>
    <row r="160" spans="2:3" ht="25.05" customHeight="1" x14ac:dyDescent="0.3">
      <c r="B160" s="399"/>
      <c r="C160" s="401"/>
    </row>
    <row r="161" spans="2:3" ht="25.05" customHeight="1" x14ac:dyDescent="0.3">
      <c r="B161" s="399"/>
      <c r="C161" s="401"/>
    </row>
    <row r="162" spans="2:3" ht="25.05" customHeight="1" x14ac:dyDescent="0.3">
      <c r="B162" s="399"/>
      <c r="C162" s="401"/>
    </row>
    <row r="163" spans="2:3" ht="25.05" customHeight="1" x14ac:dyDescent="0.3">
      <c r="B163" s="399"/>
      <c r="C163" s="401"/>
    </row>
    <row r="164" spans="2:3" ht="25.05" customHeight="1" x14ac:dyDescent="0.3">
      <c r="B164" s="399"/>
      <c r="C164" s="401"/>
    </row>
    <row r="165" spans="2:3" ht="25.05" customHeight="1" x14ac:dyDescent="0.3">
      <c r="B165" s="399"/>
      <c r="C165" s="401"/>
    </row>
    <row r="166" spans="2:3" ht="25.05" customHeight="1" x14ac:dyDescent="0.3">
      <c r="B166" s="399"/>
      <c r="C166" s="401"/>
    </row>
    <row r="167" spans="2:3" ht="25.05" customHeight="1" x14ac:dyDescent="0.3">
      <c r="B167" s="399"/>
      <c r="C167" s="401"/>
    </row>
    <row r="168" spans="2:3" ht="25.05" customHeight="1" x14ac:dyDescent="0.3">
      <c r="B168" s="399"/>
      <c r="C168" s="401"/>
    </row>
    <row r="169" spans="2:3" ht="25.05" customHeight="1" x14ac:dyDescent="0.3">
      <c r="B169" s="399"/>
      <c r="C169" s="401"/>
    </row>
    <row r="170" spans="2:3" ht="25.05" customHeight="1" x14ac:dyDescent="0.3">
      <c r="B170" s="399"/>
      <c r="C170" s="401"/>
    </row>
    <row r="171" spans="2:3" ht="25.05" customHeight="1" x14ac:dyDescent="0.3">
      <c r="B171" s="399"/>
      <c r="C171" s="401"/>
    </row>
    <row r="172" spans="2:3" ht="25.05" customHeight="1" x14ac:dyDescent="0.3">
      <c r="B172" s="399"/>
      <c r="C172" s="401"/>
    </row>
    <row r="173" spans="2:3" ht="25.05" customHeight="1" x14ac:dyDescent="0.3">
      <c r="B173" s="399"/>
      <c r="C173" s="401"/>
    </row>
    <row r="174" spans="2:3" ht="25.05" customHeight="1" x14ac:dyDescent="0.3">
      <c r="B174" s="399"/>
      <c r="C174" s="401"/>
    </row>
    <row r="175" spans="2:3" ht="25.05" customHeight="1" x14ac:dyDescent="0.3">
      <c r="B175" s="399"/>
      <c r="C175" s="401"/>
    </row>
    <row r="176" spans="2:3" ht="25.05" customHeight="1" x14ac:dyDescent="0.3">
      <c r="B176" s="399"/>
      <c r="C176" s="401"/>
    </row>
    <row r="177" spans="2:3" ht="25.05" customHeight="1" x14ac:dyDescent="0.3">
      <c r="B177" s="399"/>
      <c r="C177" s="401"/>
    </row>
    <row r="178" spans="2:3" ht="25.05" customHeight="1" x14ac:dyDescent="0.3">
      <c r="B178" s="399"/>
      <c r="C178" s="401"/>
    </row>
    <row r="179" spans="2:3" ht="25.05" customHeight="1" x14ac:dyDescent="0.3">
      <c r="B179" s="399"/>
      <c r="C179" s="401"/>
    </row>
    <row r="180" spans="2:3" ht="25.05" customHeight="1" x14ac:dyDescent="0.3">
      <c r="B180" s="399"/>
      <c r="C180" s="401"/>
    </row>
    <row r="181" spans="2:3" ht="25.05" customHeight="1" x14ac:dyDescent="0.3">
      <c r="B181" s="399"/>
      <c r="C181" s="401"/>
    </row>
    <row r="182" spans="2:3" ht="25.05" customHeight="1" x14ac:dyDescent="0.3">
      <c r="B182" s="399"/>
      <c r="C182" s="401"/>
    </row>
    <row r="183" spans="2:3" ht="25.05" customHeight="1" x14ac:dyDescent="0.3">
      <c r="B183" s="399"/>
      <c r="C183" s="401"/>
    </row>
    <row r="184" spans="2:3" ht="25.05" customHeight="1" x14ac:dyDescent="0.3">
      <c r="B184" s="399"/>
      <c r="C184" s="401"/>
    </row>
    <row r="185" spans="2:3" ht="25.05" customHeight="1" x14ac:dyDescent="0.3">
      <c r="B185" s="399"/>
      <c r="C185" s="401"/>
    </row>
    <row r="186" spans="2:3" ht="25.05" customHeight="1" x14ac:dyDescent="0.3">
      <c r="B186" s="399"/>
      <c r="C186" s="401"/>
    </row>
    <row r="187" spans="2:3" ht="25.05" customHeight="1" x14ac:dyDescent="0.3">
      <c r="B187" s="399"/>
      <c r="C187" s="401"/>
    </row>
    <row r="188" spans="2:3" ht="25.05" customHeight="1" x14ac:dyDescent="0.3">
      <c r="B188" s="399"/>
      <c r="C188" s="401"/>
    </row>
    <row r="189" spans="2:3" ht="25.05" customHeight="1" x14ac:dyDescent="0.3">
      <c r="B189" s="399"/>
      <c r="C189" s="401"/>
    </row>
    <row r="190" spans="2:3" ht="25.05" customHeight="1" x14ac:dyDescent="0.3">
      <c r="B190" s="399"/>
      <c r="C190" s="401"/>
    </row>
    <row r="191" spans="2:3" ht="25.05" customHeight="1" x14ac:dyDescent="0.3">
      <c r="B191" s="399"/>
      <c r="C191" s="401"/>
    </row>
    <row r="192" spans="2:3" ht="25.05" customHeight="1" x14ac:dyDescent="0.3">
      <c r="B192" s="399"/>
      <c r="C192" s="401"/>
    </row>
    <row r="193" spans="2:3" ht="25.05" customHeight="1" x14ac:dyDescent="0.3">
      <c r="B193" s="399"/>
      <c r="C193" s="401"/>
    </row>
    <row r="194" spans="2:3" ht="25.05" customHeight="1" x14ac:dyDescent="0.3">
      <c r="B194" s="399"/>
      <c r="C194" s="401"/>
    </row>
    <row r="195" spans="2:3" ht="25.05" customHeight="1" x14ac:dyDescent="0.3">
      <c r="B195" s="399"/>
      <c r="C195" s="401"/>
    </row>
    <row r="196" spans="2:3" ht="25.05" customHeight="1" x14ac:dyDescent="0.3">
      <c r="B196" s="399"/>
      <c r="C196" s="401"/>
    </row>
    <row r="197" spans="2:3" ht="25.05" customHeight="1" x14ac:dyDescent="0.3">
      <c r="B197" s="399"/>
      <c r="C197" s="401"/>
    </row>
    <row r="198" spans="2:3" ht="25.05" customHeight="1" x14ac:dyDescent="0.3">
      <c r="B198" s="399"/>
      <c r="C198" s="401"/>
    </row>
    <row r="199" spans="2:3" ht="25.05" customHeight="1" x14ac:dyDescent="0.3">
      <c r="B199" s="399"/>
      <c r="C199" s="401"/>
    </row>
    <row r="200" spans="2:3" ht="25.05" customHeight="1" x14ac:dyDescent="0.3">
      <c r="B200" s="399"/>
      <c r="C200" s="401"/>
    </row>
    <row r="201" spans="2:3" ht="25.05" customHeight="1" x14ac:dyDescent="0.3">
      <c r="B201" s="399"/>
      <c r="C201" s="401"/>
    </row>
    <row r="202" spans="2:3" ht="25.05" customHeight="1" x14ac:dyDescent="0.3">
      <c r="B202" s="399"/>
      <c r="C202" s="401"/>
    </row>
    <row r="203" spans="2:3" ht="25.05" customHeight="1" x14ac:dyDescent="0.3">
      <c r="B203" s="399"/>
      <c r="C203" s="401"/>
    </row>
    <row r="204" spans="2:3" ht="25.05" customHeight="1" x14ac:dyDescent="0.3">
      <c r="B204" s="399"/>
      <c r="C204" s="401"/>
    </row>
    <row r="205" spans="2:3" ht="25.05" customHeight="1" x14ac:dyDescent="0.3">
      <c r="B205" s="399"/>
      <c r="C205" s="401"/>
    </row>
    <row r="206" spans="2:3" ht="25.05" customHeight="1" x14ac:dyDescent="0.3">
      <c r="B206" s="399"/>
      <c r="C206" s="401"/>
    </row>
    <row r="207" spans="2:3" ht="25.05" customHeight="1" x14ac:dyDescent="0.3">
      <c r="B207" s="399"/>
      <c r="C207" s="401"/>
    </row>
    <row r="208" spans="2:3" ht="25.05" customHeight="1" x14ac:dyDescent="0.3">
      <c r="B208" s="399"/>
      <c r="C208" s="401"/>
    </row>
    <row r="209" spans="2:3" ht="25.05" customHeight="1" x14ac:dyDescent="0.3">
      <c r="B209" s="399"/>
      <c r="C209" s="401"/>
    </row>
    <row r="210" spans="2:3" ht="25.05" customHeight="1" x14ac:dyDescent="0.3">
      <c r="B210" s="399"/>
      <c r="C210" s="401"/>
    </row>
    <row r="211" spans="2:3" ht="25.05" customHeight="1" x14ac:dyDescent="0.3">
      <c r="B211" s="399"/>
      <c r="C211" s="401"/>
    </row>
    <row r="212" spans="2:3" ht="25.05" customHeight="1" x14ac:dyDescent="0.3">
      <c r="B212" s="399"/>
      <c r="C212" s="401"/>
    </row>
    <row r="213" spans="2:3" ht="25.05" customHeight="1" x14ac:dyDescent="0.3">
      <c r="B213" s="399"/>
      <c r="C213" s="401"/>
    </row>
    <row r="214" spans="2:3" ht="25.05" customHeight="1" x14ac:dyDescent="0.3">
      <c r="B214" s="399"/>
      <c r="C214" s="401"/>
    </row>
    <row r="215" spans="2:3" ht="25.05" customHeight="1" x14ac:dyDescent="0.3">
      <c r="B215" s="399"/>
      <c r="C215" s="401"/>
    </row>
    <row r="216" spans="2:3" ht="25.05" customHeight="1" x14ac:dyDescent="0.3">
      <c r="B216" s="399"/>
      <c r="C216" s="401"/>
    </row>
    <row r="217" spans="2:3" ht="25.05" customHeight="1" x14ac:dyDescent="0.3">
      <c r="B217" s="399"/>
      <c r="C217" s="401"/>
    </row>
    <row r="218" spans="2:3" ht="25.05" customHeight="1" x14ac:dyDescent="0.3">
      <c r="B218" s="399"/>
      <c r="C218" s="401"/>
    </row>
    <row r="219" spans="2:3" ht="25.05" customHeight="1" x14ac:dyDescent="0.3">
      <c r="B219" s="399"/>
      <c r="C219" s="401"/>
    </row>
    <row r="220" spans="2:3" ht="25.05" customHeight="1" x14ac:dyDescent="0.3">
      <c r="B220" s="399"/>
      <c r="C220" s="401"/>
    </row>
    <row r="221" spans="2:3" ht="25.05" customHeight="1" x14ac:dyDescent="0.3">
      <c r="B221" s="399"/>
      <c r="C221" s="401"/>
    </row>
    <row r="222" spans="2:3" ht="25.05" customHeight="1" x14ac:dyDescent="0.3">
      <c r="B222" s="399"/>
      <c r="C222" s="401"/>
    </row>
    <row r="223" spans="2:3" ht="25.05" customHeight="1" x14ac:dyDescent="0.3">
      <c r="B223" s="399"/>
      <c r="C223" s="401"/>
    </row>
    <row r="224" spans="2:3" ht="25.05" customHeight="1" x14ac:dyDescent="0.3">
      <c r="B224" s="399"/>
      <c r="C224" s="401"/>
    </row>
    <row r="225" spans="2:3" ht="25.05" customHeight="1" x14ac:dyDescent="0.3">
      <c r="B225" s="399"/>
      <c r="C225" s="401"/>
    </row>
    <row r="226" spans="2:3" ht="25.05" customHeight="1" x14ac:dyDescent="0.3">
      <c r="B226" s="399"/>
      <c r="C226" s="398"/>
    </row>
    <row r="227" spans="2:3" ht="25.05" customHeight="1" x14ac:dyDescent="0.3">
      <c r="B227" s="397"/>
      <c r="C227" s="402"/>
    </row>
    <row r="228" spans="2:3" ht="25.05" customHeight="1" x14ac:dyDescent="0.3">
      <c r="B228" s="397"/>
      <c r="C228" s="403"/>
    </row>
    <row r="229" spans="2:3" ht="25.05" customHeight="1" x14ac:dyDescent="0.3">
      <c r="B229" s="399"/>
      <c r="C229" s="398"/>
    </row>
    <row r="230" spans="2:3" ht="25.05" customHeight="1" x14ac:dyDescent="0.3">
      <c r="B230" s="397"/>
      <c r="C230" s="402"/>
    </row>
    <row r="231" spans="2:3" ht="25.05" customHeight="1" x14ac:dyDescent="0.3">
      <c r="B231" s="397"/>
      <c r="C231" s="403"/>
    </row>
    <row r="232" spans="2:3" ht="25.05" customHeight="1" x14ac:dyDescent="0.3">
      <c r="B232" s="399"/>
      <c r="C232" s="398"/>
    </row>
    <row r="233" spans="2:3" ht="25.05" customHeight="1" x14ac:dyDescent="0.3">
      <c r="B233" s="397"/>
      <c r="C233" s="402"/>
    </row>
    <row r="234" spans="2:3" ht="25.05" customHeight="1" x14ac:dyDescent="0.3">
      <c r="B234" s="397"/>
      <c r="C234" s="403"/>
    </row>
    <row r="235" spans="2:3" ht="25.05" customHeight="1" x14ac:dyDescent="0.3">
      <c r="B235" s="399"/>
      <c r="C235" s="398"/>
    </row>
    <row r="236" spans="2:3" ht="25.05" customHeight="1" x14ac:dyDescent="0.3">
      <c r="B236" s="397"/>
      <c r="C236" s="402"/>
    </row>
    <row r="237" spans="2:3" ht="25.05" customHeight="1" x14ac:dyDescent="0.3">
      <c r="B237" s="397"/>
      <c r="C237" s="403"/>
    </row>
    <row r="238" spans="2:3" ht="25.05" customHeight="1" x14ac:dyDescent="0.3">
      <c r="B238" s="399"/>
      <c r="C238" s="398"/>
    </row>
    <row r="239" spans="2:3" ht="25.05" customHeight="1" x14ac:dyDescent="0.3">
      <c r="B239" s="397"/>
      <c r="C239" s="402"/>
    </row>
    <row r="240" spans="2:3" ht="25.05" customHeight="1" x14ac:dyDescent="0.3">
      <c r="B240" s="397"/>
      <c r="C240" s="403"/>
    </row>
    <row r="241" spans="2:3" ht="25.05" customHeight="1" x14ac:dyDescent="0.3">
      <c r="B241" s="399"/>
      <c r="C241" s="398"/>
    </row>
    <row r="242" spans="2:3" ht="25.05" customHeight="1" x14ac:dyDescent="0.3">
      <c r="B242" s="397"/>
      <c r="C242" s="402"/>
    </row>
    <row r="243" spans="2:3" ht="25.05" customHeight="1" x14ac:dyDescent="0.3">
      <c r="B243" s="397"/>
      <c r="C243" s="403"/>
    </row>
    <row r="244" spans="2:3" ht="25.05" customHeight="1" x14ac:dyDescent="0.3">
      <c r="B244" s="399"/>
      <c r="C244" s="398"/>
    </row>
    <row r="245" spans="2:3" ht="25.05" customHeight="1" x14ac:dyDescent="0.3">
      <c r="B245" s="397"/>
      <c r="C245" s="402"/>
    </row>
    <row r="246" spans="2:3" ht="25.05" customHeight="1" x14ac:dyDescent="0.3">
      <c r="B246" s="397"/>
      <c r="C246" s="403"/>
    </row>
    <row r="247" spans="2:3" ht="25.05" customHeight="1" x14ac:dyDescent="0.3">
      <c r="B247" s="399"/>
      <c r="C247" s="398"/>
    </row>
    <row r="248" spans="2:3" ht="25.05" customHeight="1" x14ac:dyDescent="0.3">
      <c r="B248" s="397"/>
      <c r="C248" s="402"/>
    </row>
    <row r="249" spans="2:3" ht="25.05" customHeight="1" x14ac:dyDescent="0.3">
      <c r="B249" s="397"/>
      <c r="C249" s="403"/>
    </row>
    <row r="250" spans="2:3" ht="25.05" customHeight="1" x14ac:dyDescent="0.3">
      <c r="B250" s="399"/>
      <c r="C250" s="398"/>
    </row>
    <row r="251" spans="2:3" ht="25.05" customHeight="1" x14ac:dyDescent="0.3">
      <c r="B251" s="397"/>
      <c r="C251" s="402"/>
    </row>
    <row r="252" spans="2:3" ht="25.05" customHeight="1" x14ac:dyDescent="0.3">
      <c r="B252" s="397"/>
      <c r="C252" s="403"/>
    </row>
    <row r="253" spans="2:3" x14ac:dyDescent="0.3">
      <c r="B253" s="399"/>
      <c r="C253" s="398"/>
    </row>
    <row r="254" spans="2:3" x14ac:dyDescent="0.3">
      <c r="B254" s="397"/>
      <c r="C254" s="396"/>
    </row>
    <row r="255" spans="2:3" x14ac:dyDescent="0.3">
      <c r="B255" s="397"/>
      <c r="C255" s="400"/>
    </row>
    <row r="256" spans="2:3" x14ac:dyDescent="0.3">
      <c r="B256" s="399"/>
      <c r="C256" s="398"/>
    </row>
    <row r="257" spans="2:3" x14ac:dyDescent="0.3">
      <c r="B257" s="397"/>
      <c r="C257" s="396"/>
    </row>
    <row r="258" spans="2:3" x14ac:dyDescent="0.3">
      <c r="B258" s="397"/>
      <c r="C258" s="400"/>
    </row>
    <row r="259" spans="2:3" x14ac:dyDescent="0.3">
      <c r="B259" s="399"/>
      <c r="C259" s="398"/>
    </row>
    <row r="260" spans="2:3" x14ac:dyDescent="0.3">
      <c r="B260" s="397"/>
      <c r="C260" s="396"/>
    </row>
    <row r="261" spans="2:3" x14ac:dyDescent="0.3">
      <c r="B261" s="397"/>
      <c r="C261" s="400"/>
    </row>
    <row r="262" spans="2:3" x14ac:dyDescent="0.3">
      <c r="B262" s="399"/>
      <c r="C262" s="398"/>
    </row>
    <row r="263" spans="2:3" x14ac:dyDescent="0.3">
      <c r="B263" s="397"/>
      <c r="C263" s="396"/>
    </row>
    <row r="264" spans="2:3" x14ac:dyDescent="0.3">
      <c r="B264" s="397"/>
      <c r="C264" s="400"/>
    </row>
    <row r="265" spans="2:3" x14ac:dyDescent="0.3">
      <c r="B265" s="399"/>
      <c r="C265" s="398"/>
    </row>
    <row r="266" spans="2:3" x14ac:dyDescent="0.3">
      <c r="B266" s="397"/>
      <c r="C266" s="396"/>
    </row>
    <row r="267" spans="2:3" x14ac:dyDescent="0.3">
      <c r="B267" s="397"/>
      <c r="C267" s="400"/>
    </row>
    <row r="268" spans="2:3" x14ac:dyDescent="0.3">
      <c r="B268" s="399"/>
      <c r="C268" s="398"/>
    </row>
    <row r="269" spans="2:3" x14ac:dyDescent="0.3">
      <c r="B269" s="397"/>
      <c r="C269" s="396"/>
    </row>
    <row r="270" spans="2:3" x14ac:dyDescent="0.3">
      <c r="B270" s="397"/>
      <c r="C270" s="400"/>
    </row>
    <row r="271" spans="2:3" x14ac:dyDescent="0.3">
      <c r="B271" s="399"/>
      <c r="C271" s="398"/>
    </row>
    <row r="272" spans="2:3" x14ac:dyDescent="0.3">
      <c r="B272" s="397"/>
      <c r="C272" s="396"/>
    </row>
    <row r="273" spans="2:3" x14ac:dyDescent="0.3">
      <c r="B273" s="397"/>
      <c r="C273" s="400"/>
    </row>
    <row r="274" spans="2:3" x14ac:dyDescent="0.3">
      <c r="B274" s="399"/>
      <c r="C274" s="398"/>
    </row>
    <row r="275" spans="2:3" x14ac:dyDescent="0.3">
      <c r="B275" s="397"/>
      <c r="C275" s="396"/>
    </row>
    <row r="276" spans="2:3" x14ac:dyDescent="0.3">
      <c r="B276" s="397"/>
      <c r="C276" s="400"/>
    </row>
    <row r="277" spans="2:3" x14ac:dyDescent="0.3">
      <c r="B277" s="399"/>
      <c r="C277" s="398"/>
    </row>
    <row r="278" spans="2:3" x14ac:dyDescent="0.3">
      <c r="B278" s="397"/>
      <c r="C278" s="396"/>
    </row>
    <row r="279" spans="2:3" x14ac:dyDescent="0.3">
      <c r="B279" s="397"/>
      <c r="C279" s="400"/>
    </row>
    <row r="280" spans="2:3" x14ac:dyDescent="0.3">
      <c r="B280" s="399"/>
      <c r="C280" s="398"/>
    </row>
    <row r="281" spans="2:3" x14ac:dyDescent="0.3">
      <c r="B281" s="397"/>
      <c r="C281" s="396"/>
    </row>
    <row r="282" spans="2:3" x14ac:dyDescent="0.3">
      <c r="B282" s="397"/>
      <c r="C282" s="400"/>
    </row>
    <row r="283" spans="2:3" x14ac:dyDescent="0.3">
      <c r="B283" s="399"/>
      <c r="C283" s="398"/>
    </row>
    <row r="284" spans="2:3" x14ac:dyDescent="0.3">
      <c r="B284" s="397"/>
      <c r="C284" s="396"/>
    </row>
    <row r="285" spans="2:3" x14ac:dyDescent="0.3">
      <c r="B285" s="397"/>
      <c r="C285" s="400"/>
    </row>
    <row r="286" spans="2:3" x14ac:dyDescent="0.3">
      <c r="B286" s="399"/>
      <c r="C286" s="398"/>
    </row>
    <row r="287" spans="2:3" x14ac:dyDescent="0.3">
      <c r="B287" s="397"/>
      <c r="C287" s="396"/>
    </row>
    <row r="288" spans="2:3" x14ac:dyDescent="0.3">
      <c r="B288" s="397"/>
      <c r="C288" s="400"/>
    </row>
    <row r="289" spans="2:3" x14ac:dyDescent="0.3">
      <c r="B289" s="399"/>
      <c r="C289" s="398"/>
    </row>
    <row r="290" spans="2:3" x14ac:dyDescent="0.3">
      <c r="B290" s="397"/>
      <c r="C290" s="396"/>
    </row>
    <row r="291" spans="2:3" x14ac:dyDescent="0.3">
      <c r="B291" s="397"/>
      <c r="C291" s="400"/>
    </row>
    <row r="292" spans="2:3" x14ac:dyDescent="0.3">
      <c r="B292" s="399"/>
      <c r="C292" s="398"/>
    </row>
    <row r="293" spans="2:3" x14ac:dyDescent="0.3">
      <c r="B293" s="397"/>
      <c r="C293" s="396"/>
    </row>
    <row r="294" spans="2:3" x14ac:dyDescent="0.3">
      <c r="B294" s="397"/>
      <c r="C294" s="400"/>
    </row>
    <row r="295" spans="2:3" x14ac:dyDescent="0.3">
      <c r="B295" s="399"/>
      <c r="C295" s="398"/>
    </row>
    <row r="296" spans="2:3" x14ac:dyDescent="0.3">
      <c r="B296" s="397"/>
      <c r="C296" s="396"/>
    </row>
    <row r="297" spans="2:3" x14ac:dyDescent="0.3">
      <c r="B297" s="397"/>
      <c r="C297" s="400"/>
    </row>
    <row r="298" spans="2:3" x14ac:dyDescent="0.3">
      <c r="B298" s="399"/>
      <c r="C298" s="398"/>
    </row>
    <row r="299" spans="2:3" x14ac:dyDescent="0.3">
      <c r="B299" s="397"/>
      <c r="C299" s="396"/>
    </row>
    <row r="300" spans="2:3" x14ac:dyDescent="0.3">
      <c r="B300" s="397"/>
      <c r="C300" s="400"/>
    </row>
    <row r="301" spans="2:3" x14ac:dyDescent="0.3">
      <c r="B301" s="399"/>
      <c r="C301" s="398"/>
    </row>
    <row r="302" spans="2:3" x14ac:dyDescent="0.3">
      <c r="B302" s="397"/>
      <c r="C302" s="396"/>
    </row>
    <row r="303" spans="2:3" x14ac:dyDescent="0.3">
      <c r="B303" s="397"/>
      <c r="C303" s="400"/>
    </row>
    <row r="304" spans="2:3" x14ac:dyDescent="0.3">
      <c r="B304" s="399"/>
      <c r="C304" s="398"/>
    </row>
    <row r="305" spans="2:3" x14ac:dyDescent="0.3">
      <c r="B305" s="397"/>
      <c r="C305" s="396"/>
    </row>
    <row r="306" spans="2:3" x14ac:dyDescent="0.3">
      <c r="B306" s="397"/>
      <c r="C306" s="400"/>
    </row>
    <row r="307" spans="2:3" x14ac:dyDescent="0.3">
      <c r="B307" s="399"/>
      <c r="C307" s="398"/>
    </row>
    <row r="308" spans="2:3" x14ac:dyDescent="0.3">
      <c r="B308" s="397"/>
      <c r="C308" s="396"/>
    </row>
    <row r="309" spans="2:3" x14ac:dyDescent="0.3">
      <c r="B309" s="397"/>
      <c r="C309" s="400"/>
    </row>
    <row r="310" spans="2:3" x14ac:dyDescent="0.3">
      <c r="B310" s="399"/>
      <c r="C310" s="398"/>
    </row>
    <row r="311" spans="2:3" x14ac:dyDescent="0.3">
      <c r="B311" s="397"/>
      <c r="C311" s="396"/>
    </row>
    <row r="312" spans="2:3" x14ac:dyDescent="0.3">
      <c r="B312" s="397"/>
      <c r="C312" s="400"/>
    </row>
    <row r="313" spans="2:3" x14ac:dyDescent="0.3">
      <c r="B313" s="399"/>
      <c r="C313" s="398"/>
    </row>
    <row r="314" spans="2:3" x14ac:dyDescent="0.3">
      <c r="B314" s="397"/>
      <c r="C314" s="396"/>
    </row>
    <row r="315" spans="2:3" x14ac:dyDescent="0.3">
      <c r="B315" s="397"/>
      <c r="C315" s="400"/>
    </row>
    <row r="316" spans="2:3" x14ac:dyDescent="0.3">
      <c r="B316" s="399"/>
      <c r="C316" s="398"/>
    </row>
    <row r="317" spans="2:3" x14ac:dyDescent="0.3">
      <c r="B317" s="397"/>
      <c r="C317" s="396"/>
    </row>
    <row r="318" spans="2:3" x14ac:dyDescent="0.3">
      <c r="B318" s="397"/>
      <c r="C318" s="400"/>
    </row>
    <row r="319" spans="2:3" x14ac:dyDescent="0.3">
      <c r="B319" s="399"/>
      <c r="C319" s="398"/>
    </row>
    <row r="320" spans="2:3" x14ac:dyDescent="0.3">
      <c r="B320" s="397"/>
      <c r="C320" s="396"/>
    </row>
    <row r="321" spans="2:3" x14ac:dyDescent="0.3">
      <c r="B321" s="397"/>
      <c r="C321" s="400"/>
    </row>
    <row r="322" spans="2:3" x14ac:dyDescent="0.3">
      <c r="B322" s="399"/>
      <c r="C322" s="398"/>
    </row>
    <row r="323" spans="2:3" x14ac:dyDescent="0.3">
      <c r="B323" s="397"/>
      <c r="C323" s="396"/>
    </row>
    <row r="324" spans="2:3" x14ac:dyDescent="0.3">
      <c r="B324" s="397"/>
      <c r="C324" s="400"/>
    </row>
    <row r="325" spans="2:3" x14ac:dyDescent="0.3">
      <c r="B325" s="399"/>
      <c r="C325" s="398"/>
    </row>
    <row r="326" spans="2:3" x14ac:dyDescent="0.3">
      <c r="B326" s="397"/>
      <c r="C326" s="396"/>
    </row>
    <row r="327" spans="2:3" x14ac:dyDescent="0.3">
      <c r="B327" s="397"/>
      <c r="C327" s="400"/>
    </row>
    <row r="328" spans="2:3" x14ac:dyDescent="0.3">
      <c r="B328" s="399"/>
      <c r="C328" s="398"/>
    </row>
    <row r="329" spans="2:3" x14ac:dyDescent="0.3">
      <c r="B329" s="397"/>
      <c r="C329" s="396"/>
    </row>
    <row r="330" spans="2:3" x14ac:dyDescent="0.3">
      <c r="B330" s="397"/>
      <c r="C330" s="400"/>
    </row>
    <row r="331" spans="2:3" x14ac:dyDescent="0.3">
      <c r="B331" s="399"/>
      <c r="C331" s="398"/>
    </row>
    <row r="332" spans="2:3" x14ac:dyDescent="0.3">
      <c r="B332" s="397"/>
      <c r="C332" s="396"/>
    </row>
    <row r="333" spans="2:3" x14ac:dyDescent="0.3">
      <c r="B333" s="397"/>
      <c r="C333" s="400"/>
    </row>
    <row r="334" spans="2:3" x14ac:dyDescent="0.3">
      <c r="B334" s="399"/>
      <c r="C334" s="398"/>
    </row>
    <row r="335" spans="2:3" x14ac:dyDescent="0.3">
      <c r="B335" s="397"/>
      <c r="C335" s="396"/>
    </row>
    <row r="336" spans="2:3" x14ac:dyDescent="0.3">
      <c r="B336" s="397"/>
      <c r="C336" s="400"/>
    </row>
    <row r="337" spans="2:3" x14ac:dyDescent="0.3">
      <c r="B337" s="399"/>
      <c r="C337" s="398"/>
    </row>
    <row r="338" spans="2:3" x14ac:dyDescent="0.3">
      <c r="B338" s="397"/>
      <c r="C338" s="396"/>
    </row>
    <row r="339" spans="2:3" x14ac:dyDescent="0.3">
      <c r="B339" s="397"/>
      <c r="C339" s="400"/>
    </row>
    <row r="340" spans="2:3" x14ac:dyDescent="0.3">
      <c r="B340" s="399"/>
      <c r="C340" s="398"/>
    </row>
    <row r="341" spans="2:3" x14ac:dyDescent="0.3">
      <c r="B341" s="397"/>
      <c r="C341" s="396"/>
    </row>
    <row r="342" spans="2:3" x14ac:dyDescent="0.3">
      <c r="B342" s="397"/>
      <c r="C342" s="400"/>
    </row>
    <row r="343" spans="2:3" x14ac:dyDescent="0.3">
      <c r="B343" s="399"/>
      <c r="C343" s="398"/>
    </row>
    <row r="344" spans="2:3" x14ac:dyDescent="0.3">
      <c r="B344" s="397"/>
      <c r="C344" s="396"/>
    </row>
    <row r="345" spans="2:3" x14ac:dyDescent="0.3">
      <c r="B345" s="397"/>
      <c r="C345" s="400"/>
    </row>
    <row r="346" spans="2:3" x14ac:dyDescent="0.3">
      <c r="B346" s="399"/>
      <c r="C346" s="398"/>
    </row>
    <row r="347" spans="2:3" x14ac:dyDescent="0.3">
      <c r="B347" s="397"/>
      <c r="C347" s="396"/>
    </row>
    <row r="348" spans="2:3" x14ac:dyDescent="0.3">
      <c r="B348" s="397"/>
      <c r="C348" s="400"/>
    </row>
    <row r="349" spans="2:3" x14ac:dyDescent="0.3">
      <c r="B349" s="399"/>
      <c r="C349" s="398"/>
    </row>
    <row r="350" spans="2:3" x14ac:dyDescent="0.3">
      <c r="B350" s="397"/>
      <c r="C350" s="396"/>
    </row>
    <row r="351" spans="2:3" x14ac:dyDescent="0.3">
      <c r="B351" s="397"/>
      <c r="C351" s="400"/>
    </row>
    <row r="352" spans="2:3" x14ac:dyDescent="0.3">
      <c r="B352" s="399"/>
      <c r="C352" s="398"/>
    </row>
    <row r="353" spans="2:3" x14ac:dyDescent="0.3">
      <c r="B353" s="397"/>
      <c r="C353" s="396"/>
    </row>
    <row r="354" spans="2:3" x14ac:dyDescent="0.3">
      <c r="B354" s="397"/>
      <c r="C354" s="400"/>
    </row>
    <row r="355" spans="2:3" x14ac:dyDescent="0.3">
      <c r="B355" s="399"/>
      <c r="C355" s="398"/>
    </row>
    <row r="356" spans="2:3" x14ac:dyDescent="0.3">
      <c r="B356" s="397"/>
      <c r="C356" s="396"/>
    </row>
    <row r="357" spans="2:3" x14ac:dyDescent="0.3">
      <c r="B357" s="397"/>
      <c r="C357" s="400"/>
    </row>
    <row r="358" spans="2:3" x14ac:dyDescent="0.3">
      <c r="B358" s="399"/>
      <c r="C358" s="398"/>
    </row>
    <row r="359" spans="2:3" x14ac:dyDescent="0.3">
      <c r="B359" s="397"/>
      <c r="C359" s="396"/>
    </row>
    <row r="360" spans="2:3" x14ac:dyDescent="0.3">
      <c r="B360" s="397"/>
      <c r="C360" s="400"/>
    </row>
    <row r="361" spans="2:3" x14ac:dyDescent="0.3">
      <c r="B361" s="399"/>
      <c r="C361" s="398"/>
    </row>
    <row r="362" spans="2:3" x14ac:dyDescent="0.3">
      <c r="B362" s="397"/>
      <c r="C362" s="396"/>
    </row>
    <row r="363" spans="2:3" x14ac:dyDescent="0.3">
      <c r="B363" s="397"/>
      <c r="C363" s="400"/>
    </row>
    <row r="364" spans="2:3" x14ac:dyDescent="0.3">
      <c r="B364" s="399"/>
      <c r="C364" s="398"/>
    </row>
    <row r="365" spans="2:3" x14ac:dyDescent="0.3">
      <c r="B365" s="397"/>
      <c r="C365" s="396"/>
    </row>
    <row r="366" spans="2:3" x14ac:dyDescent="0.3">
      <c r="B366" s="397"/>
      <c r="C366" s="400"/>
    </row>
    <row r="367" spans="2:3" x14ac:dyDescent="0.3">
      <c r="B367" s="399"/>
      <c r="C367" s="398"/>
    </row>
    <row r="368" spans="2:3" x14ac:dyDescent="0.3">
      <c r="B368" s="397"/>
      <c r="C368" s="396"/>
    </row>
    <row r="369" spans="2:3" x14ac:dyDescent="0.3">
      <c r="B369" s="397"/>
      <c r="C369" s="400"/>
    </row>
    <row r="370" spans="2:3" x14ac:dyDescent="0.3">
      <c r="B370" s="399"/>
      <c r="C370" s="398"/>
    </row>
    <row r="371" spans="2:3" x14ac:dyDescent="0.3">
      <c r="B371" s="397"/>
      <c r="C371" s="396"/>
    </row>
    <row r="372" spans="2:3" x14ac:dyDescent="0.3">
      <c r="B372" s="397"/>
      <c r="C372" s="400"/>
    </row>
    <row r="373" spans="2:3" x14ac:dyDescent="0.3">
      <c r="B373" s="399"/>
      <c r="C373" s="398"/>
    </row>
    <row r="374" spans="2:3" x14ac:dyDescent="0.3">
      <c r="B374" s="397"/>
      <c r="C374" s="396"/>
    </row>
    <row r="375" spans="2:3" x14ac:dyDescent="0.3">
      <c r="B375" s="397"/>
      <c r="C375" s="400"/>
    </row>
    <row r="376" spans="2:3" x14ac:dyDescent="0.3">
      <c r="B376" s="399"/>
      <c r="C376" s="398"/>
    </row>
    <row r="377" spans="2:3" x14ac:dyDescent="0.3">
      <c r="B377" s="397"/>
      <c r="C377" s="396"/>
    </row>
    <row r="378" spans="2:3" x14ac:dyDescent="0.3">
      <c r="B378" s="397"/>
      <c r="C378" s="400"/>
    </row>
    <row r="379" spans="2:3" x14ac:dyDescent="0.3">
      <c r="B379" s="399"/>
      <c r="C379" s="398"/>
    </row>
    <row r="380" spans="2:3" x14ac:dyDescent="0.3">
      <c r="B380" s="397"/>
      <c r="C380" s="396"/>
    </row>
    <row r="381" spans="2:3" x14ac:dyDescent="0.3">
      <c r="B381" s="397"/>
      <c r="C381" s="400"/>
    </row>
    <row r="382" spans="2:3" x14ac:dyDescent="0.3">
      <c r="B382" s="399"/>
      <c r="C382" s="398"/>
    </row>
    <row r="383" spans="2:3" x14ac:dyDescent="0.3">
      <c r="B383" s="397"/>
      <c r="C383" s="396"/>
    </row>
    <row r="384" spans="2:3" x14ac:dyDescent="0.3">
      <c r="B384" s="397"/>
      <c r="C384" s="400"/>
    </row>
    <row r="385" spans="2:3" x14ac:dyDescent="0.3">
      <c r="B385" s="399"/>
      <c r="C385" s="398"/>
    </row>
    <row r="386" spans="2:3" x14ac:dyDescent="0.3">
      <c r="B386" s="397"/>
      <c r="C386" s="396"/>
    </row>
    <row r="387" spans="2:3" x14ac:dyDescent="0.3">
      <c r="B387" s="397"/>
      <c r="C387" s="400"/>
    </row>
    <row r="388" spans="2:3" x14ac:dyDescent="0.3">
      <c r="B388" s="399"/>
      <c r="C388" s="398"/>
    </row>
    <row r="389" spans="2:3" x14ac:dyDescent="0.3">
      <c r="B389" s="397"/>
      <c r="C389" s="396"/>
    </row>
    <row r="390" spans="2:3" x14ac:dyDescent="0.3">
      <c r="B390" s="397"/>
      <c r="C390" s="400"/>
    </row>
    <row r="391" spans="2:3" x14ac:dyDescent="0.3">
      <c r="B391" s="399"/>
      <c r="C391" s="398"/>
    </row>
    <row r="392" spans="2:3" x14ac:dyDescent="0.3">
      <c r="B392" s="397"/>
      <c r="C392" s="396"/>
    </row>
    <row r="393" spans="2:3" x14ac:dyDescent="0.3">
      <c r="B393" s="397"/>
      <c r="C393" s="400"/>
    </row>
    <row r="394" spans="2:3" x14ac:dyDescent="0.3">
      <c r="B394" s="399"/>
      <c r="C394" s="398"/>
    </row>
    <row r="395" spans="2:3" x14ac:dyDescent="0.3">
      <c r="B395" s="397"/>
      <c r="C395" s="396"/>
    </row>
    <row r="396" spans="2:3" x14ac:dyDescent="0.3">
      <c r="B396" s="397"/>
      <c r="C396" s="400"/>
    </row>
    <row r="397" spans="2:3" x14ac:dyDescent="0.3">
      <c r="B397" s="399"/>
      <c r="C397" s="398"/>
    </row>
    <row r="398" spans="2:3" x14ac:dyDescent="0.3">
      <c r="B398" s="397"/>
      <c r="C398" s="396"/>
    </row>
    <row r="399" spans="2:3" x14ac:dyDescent="0.3">
      <c r="B399" s="397"/>
      <c r="C399" s="400"/>
    </row>
    <row r="400" spans="2:3" x14ac:dyDescent="0.3">
      <c r="B400" s="399"/>
      <c r="C400" s="398"/>
    </row>
    <row r="401" spans="2:3" x14ac:dyDescent="0.3">
      <c r="B401" s="397"/>
      <c r="C401" s="396"/>
    </row>
    <row r="402" spans="2:3" x14ac:dyDescent="0.3">
      <c r="B402" s="397"/>
      <c r="C402" s="400"/>
    </row>
    <row r="403" spans="2:3" x14ac:dyDescent="0.3">
      <c r="B403" s="399"/>
      <c r="C403" s="398"/>
    </row>
    <row r="404" spans="2:3" x14ac:dyDescent="0.3">
      <c r="B404" s="397"/>
      <c r="C404" s="396"/>
    </row>
    <row r="405" spans="2:3" x14ac:dyDescent="0.3">
      <c r="B405" s="397"/>
      <c r="C405" s="400"/>
    </row>
    <row r="406" spans="2:3" x14ac:dyDescent="0.3">
      <c r="B406" s="399"/>
      <c r="C406" s="398"/>
    </row>
    <row r="407" spans="2:3" x14ac:dyDescent="0.3">
      <c r="B407" s="397"/>
      <c r="C407" s="396"/>
    </row>
    <row r="408" spans="2:3" x14ac:dyDescent="0.3">
      <c r="B408" s="397"/>
      <c r="C408" s="400"/>
    </row>
    <row r="409" spans="2:3" x14ac:dyDescent="0.3">
      <c r="B409" s="399"/>
      <c r="C409" s="398"/>
    </row>
    <row r="410" spans="2:3" x14ac:dyDescent="0.3">
      <c r="B410" s="397"/>
      <c r="C410" s="396"/>
    </row>
    <row r="411" spans="2:3" x14ac:dyDescent="0.3">
      <c r="B411" s="397"/>
      <c r="C411" s="400"/>
    </row>
    <row r="412" spans="2:3" x14ac:dyDescent="0.3">
      <c r="B412" s="399"/>
      <c r="C412" s="398"/>
    </row>
    <row r="413" spans="2:3" x14ac:dyDescent="0.3">
      <c r="B413" s="397"/>
      <c r="C413" s="396"/>
    </row>
    <row r="414" spans="2:3" x14ac:dyDescent="0.3">
      <c r="B414" s="397"/>
      <c r="C414" s="400"/>
    </row>
    <row r="415" spans="2:3" x14ac:dyDescent="0.3">
      <c r="B415" s="399"/>
      <c r="C415" s="398"/>
    </row>
    <row r="416" spans="2:3" x14ac:dyDescent="0.3">
      <c r="B416" s="397"/>
      <c r="C416" s="396"/>
    </row>
    <row r="417" spans="2:3" x14ac:dyDescent="0.3">
      <c r="B417" s="397"/>
      <c r="C417" s="400"/>
    </row>
    <row r="418" spans="2:3" x14ac:dyDescent="0.3">
      <c r="B418" s="399"/>
      <c r="C418" s="398"/>
    </row>
    <row r="419" spans="2:3" x14ac:dyDescent="0.3">
      <c r="B419" s="397"/>
      <c r="C419" s="396"/>
    </row>
    <row r="420" spans="2:3" x14ac:dyDescent="0.3">
      <c r="B420" s="397"/>
      <c r="C420" s="400"/>
    </row>
    <row r="421" spans="2:3" x14ac:dyDescent="0.3">
      <c r="B421" s="399"/>
      <c r="C421" s="398"/>
    </row>
    <row r="422" spans="2:3" x14ac:dyDescent="0.3">
      <c r="B422" s="397"/>
      <c r="C422" s="396"/>
    </row>
    <row r="423" spans="2:3" x14ac:dyDescent="0.3">
      <c r="B423" s="397"/>
      <c r="C423" s="400"/>
    </row>
    <row r="424" spans="2:3" x14ac:dyDescent="0.3">
      <c r="B424" s="399"/>
      <c r="C424" s="398"/>
    </row>
    <row r="425" spans="2:3" x14ac:dyDescent="0.3">
      <c r="B425" s="397"/>
      <c r="C425" s="396"/>
    </row>
    <row r="426" spans="2:3" x14ac:dyDescent="0.3">
      <c r="B426" s="397"/>
      <c r="C426" s="400"/>
    </row>
    <row r="427" spans="2:3" x14ac:dyDescent="0.3">
      <c r="B427" s="399"/>
      <c r="C427" s="398"/>
    </row>
    <row r="428" spans="2:3" x14ac:dyDescent="0.3">
      <c r="B428" s="397"/>
      <c r="C428" s="396"/>
    </row>
    <row r="429" spans="2:3" x14ac:dyDescent="0.3">
      <c r="B429" s="397"/>
      <c r="C429" s="400"/>
    </row>
    <row r="430" spans="2:3" x14ac:dyDescent="0.3">
      <c r="B430" s="399"/>
      <c r="C430" s="398"/>
    </row>
    <row r="431" spans="2:3" x14ac:dyDescent="0.3">
      <c r="B431" s="397"/>
      <c r="C431" s="396"/>
    </row>
    <row r="432" spans="2:3" x14ac:dyDescent="0.3">
      <c r="B432" s="397"/>
      <c r="C432" s="400"/>
    </row>
    <row r="433" spans="2:3" x14ac:dyDescent="0.3">
      <c r="B433" s="399"/>
      <c r="C433" s="398"/>
    </row>
    <row r="434" spans="2:3" x14ac:dyDescent="0.3">
      <c r="B434" s="397"/>
      <c r="C434" s="396"/>
    </row>
    <row r="435" spans="2:3" x14ac:dyDescent="0.3">
      <c r="B435" s="397"/>
      <c r="C435" s="400"/>
    </row>
    <row r="436" spans="2:3" x14ac:dyDescent="0.3">
      <c r="B436" s="399"/>
      <c r="C436" s="398"/>
    </row>
    <row r="437" spans="2:3" x14ac:dyDescent="0.3">
      <c r="B437" s="397"/>
      <c r="C437" s="396"/>
    </row>
    <row r="438" spans="2:3" x14ac:dyDescent="0.3">
      <c r="B438" s="397"/>
      <c r="C438" s="400"/>
    </row>
    <row r="439" spans="2:3" x14ac:dyDescent="0.3">
      <c r="B439" s="399"/>
      <c r="C439" s="398"/>
    </row>
    <row r="440" spans="2:3" x14ac:dyDescent="0.3">
      <c r="B440" s="397"/>
      <c r="C440" s="396"/>
    </row>
    <row r="441" spans="2:3" x14ac:dyDescent="0.3">
      <c r="B441" s="397"/>
      <c r="C441" s="400"/>
    </row>
    <row r="442" spans="2:3" x14ac:dyDescent="0.3">
      <c r="B442" s="399"/>
      <c r="C442" s="398"/>
    </row>
    <row r="443" spans="2:3" x14ac:dyDescent="0.3">
      <c r="B443" s="397"/>
      <c r="C443" s="396"/>
    </row>
    <row r="444" spans="2:3" x14ac:dyDescent="0.3">
      <c r="B444" s="397"/>
      <c r="C444" s="400"/>
    </row>
    <row r="445" spans="2:3" x14ac:dyDescent="0.3">
      <c r="B445" s="399"/>
      <c r="C445" s="398"/>
    </row>
    <row r="446" spans="2:3" x14ac:dyDescent="0.3">
      <c r="B446" s="397"/>
      <c r="C446" s="396"/>
    </row>
    <row r="447" spans="2:3" x14ac:dyDescent="0.3">
      <c r="B447" s="397"/>
      <c r="C447" s="400"/>
    </row>
    <row r="448" spans="2:3" x14ac:dyDescent="0.3">
      <c r="B448" s="399"/>
      <c r="C448" s="398"/>
    </row>
    <row r="449" spans="2:3" x14ac:dyDescent="0.3">
      <c r="B449" s="397"/>
      <c r="C449" s="396"/>
    </row>
    <row r="450" spans="2:3" x14ac:dyDescent="0.3">
      <c r="B450" s="397"/>
      <c r="C450" s="400"/>
    </row>
    <row r="451" spans="2:3" x14ac:dyDescent="0.3">
      <c r="B451" s="399"/>
      <c r="C451" s="398"/>
    </row>
    <row r="452" spans="2:3" x14ac:dyDescent="0.3">
      <c r="B452" s="397"/>
      <c r="C452" s="396"/>
    </row>
    <row r="453" spans="2:3" x14ac:dyDescent="0.3">
      <c r="B453" s="397"/>
      <c r="C453" s="400"/>
    </row>
    <row r="454" spans="2:3" x14ac:dyDescent="0.3">
      <c r="B454" s="399"/>
      <c r="C454" s="398"/>
    </row>
    <row r="455" spans="2:3" x14ac:dyDescent="0.3">
      <c r="B455" s="397"/>
      <c r="C455" s="396"/>
    </row>
    <row r="456" spans="2:3" x14ac:dyDescent="0.3">
      <c r="B456" s="397"/>
      <c r="C456" s="400"/>
    </row>
    <row r="457" spans="2:3" x14ac:dyDescent="0.3">
      <c r="B457" s="399"/>
      <c r="C457" s="398"/>
    </row>
    <row r="458" spans="2:3" x14ac:dyDescent="0.3">
      <c r="B458" s="397"/>
      <c r="C458" s="396"/>
    </row>
    <row r="459" spans="2:3" x14ac:dyDescent="0.3">
      <c r="B459" s="397"/>
      <c r="C459" s="400"/>
    </row>
    <row r="460" spans="2:3" x14ac:dyDescent="0.3">
      <c r="B460" s="399"/>
      <c r="C460" s="398"/>
    </row>
    <row r="461" spans="2:3" x14ac:dyDescent="0.3">
      <c r="B461" s="397"/>
      <c r="C461" s="396"/>
    </row>
    <row r="462" spans="2:3" x14ac:dyDescent="0.3">
      <c r="B462" s="397"/>
      <c r="C462" s="400"/>
    </row>
    <row r="463" spans="2:3" x14ac:dyDescent="0.3">
      <c r="B463" s="399"/>
      <c r="C463" s="398"/>
    </row>
    <row r="464" spans="2:3" x14ac:dyDescent="0.3">
      <c r="B464" s="397"/>
      <c r="C464" s="396"/>
    </row>
    <row r="465" spans="2:3" x14ac:dyDescent="0.3">
      <c r="B465" s="397"/>
      <c r="C465" s="400"/>
    </row>
    <row r="466" spans="2:3" x14ac:dyDescent="0.3">
      <c r="B466" s="399"/>
      <c r="C466" s="398"/>
    </row>
    <row r="467" spans="2:3" x14ac:dyDescent="0.3">
      <c r="B467" s="397"/>
      <c r="C467" s="396"/>
    </row>
    <row r="468" spans="2:3" x14ac:dyDescent="0.3">
      <c r="B468" s="397"/>
      <c r="C468" s="400"/>
    </row>
    <row r="469" spans="2:3" x14ac:dyDescent="0.3">
      <c r="B469" s="399"/>
      <c r="C469" s="398"/>
    </row>
    <row r="470" spans="2:3" x14ac:dyDescent="0.3">
      <c r="B470" s="397"/>
      <c r="C470" s="396"/>
    </row>
    <row r="471" spans="2:3" x14ac:dyDescent="0.3">
      <c r="B471" s="397"/>
      <c r="C471" s="400"/>
    </row>
    <row r="472" spans="2:3" x14ac:dyDescent="0.3">
      <c r="B472" s="399"/>
      <c r="C472" s="398"/>
    </row>
    <row r="473" spans="2:3" x14ac:dyDescent="0.3">
      <c r="B473" s="397"/>
      <c r="C473" s="396"/>
    </row>
    <row r="474" spans="2:3" x14ac:dyDescent="0.3">
      <c r="B474" s="397"/>
      <c r="C474" s="400"/>
    </row>
    <row r="475" spans="2:3" x14ac:dyDescent="0.3">
      <c r="B475" s="399"/>
      <c r="C475" s="398"/>
    </row>
    <row r="476" spans="2:3" x14ac:dyDescent="0.3">
      <c r="B476" s="397"/>
      <c r="C476" s="396"/>
    </row>
    <row r="477" spans="2:3" x14ac:dyDescent="0.3">
      <c r="B477" s="397"/>
      <c r="C477" s="400"/>
    </row>
    <row r="478" spans="2:3" x14ac:dyDescent="0.3">
      <c r="B478" s="399"/>
      <c r="C478" s="398"/>
    </row>
    <row r="479" spans="2:3" x14ac:dyDescent="0.3">
      <c r="B479" s="397"/>
      <c r="C479" s="396"/>
    </row>
    <row r="480" spans="2:3" x14ac:dyDescent="0.3">
      <c r="B480" s="397"/>
      <c r="C480" s="400"/>
    </row>
    <row r="481" spans="2:3" x14ac:dyDescent="0.3">
      <c r="B481" s="399"/>
      <c r="C481" s="398"/>
    </row>
    <row r="482" spans="2:3" x14ac:dyDescent="0.3">
      <c r="B482" s="397"/>
      <c r="C482" s="396"/>
    </row>
    <row r="483" spans="2:3" x14ac:dyDescent="0.3">
      <c r="B483" s="397"/>
      <c r="C483" s="400"/>
    </row>
    <row r="484" spans="2:3" x14ac:dyDescent="0.3">
      <c r="B484" s="399"/>
      <c r="C484" s="398"/>
    </row>
    <row r="485" spans="2:3" x14ac:dyDescent="0.3">
      <c r="B485" s="397"/>
      <c r="C485" s="396"/>
    </row>
    <row r="486" spans="2:3" x14ac:dyDescent="0.3">
      <c r="B486" s="397"/>
      <c r="C486" s="400"/>
    </row>
    <row r="487" spans="2:3" x14ac:dyDescent="0.3">
      <c r="B487" s="399"/>
      <c r="C487" s="398"/>
    </row>
    <row r="488" spans="2:3" x14ac:dyDescent="0.3">
      <c r="B488" s="397"/>
      <c r="C488" s="396"/>
    </row>
    <row r="489" spans="2:3" x14ac:dyDescent="0.3">
      <c r="B489" s="397"/>
      <c r="C489" s="400"/>
    </row>
    <row r="490" spans="2:3" x14ac:dyDescent="0.3">
      <c r="B490" s="399"/>
      <c r="C490" s="398"/>
    </row>
    <row r="491" spans="2:3" x14ac:dyDescent="0.3">
      <c r="B491" s="397"/>
      <c r="C491" s="396"/>
    </row>
    <row r="492" spans="2:3" x14ac:dyDescent="0.3">
      <c r="B492" s="397"/>
      <c r="C492" s="400"/>
    </row>
    <row r="493" spans="2:3" x14ac:dyDescent="0.3">
      <c r="B493" s="399"/>
      <c r="C493" s="398"/>
    </row>
    <row r="494" spans="2:3" x14ac:dyDescent="0.3">
      <c r="B494" s="397"/>
      <c r="C494" s="396"/>
    </row>
    <row r="495" spans="2:3" x14ac:dyDescent="0.3">
      <c r="B495" s="397"/>
      <c r="C495" s="400"/>
    </row>
    <row r="496" spans="2:3" x14ac:dyDescent="0.3">
      <c r="B496" s="399"/>
      <c r="C496" s="398"/>
    </row>
    <row r="497" spans="2:3" x14ac:dyDescent="0.3">
      <c r="B497" s="397"/>
      <c r="C497" s="396"/>
    </row>
    <row r="498" spans="2:3" x14ac:dyDescent="0.3">
      <c r="B498" s="397"/>
      <c r="C498" s="400"/>
    </row>
    <row r="499" spans="2:3" x14ac:dyDescent="0.3">
      <c r="B499" s="399"/>
      <c r="C499" s="398"/>
    </row>
    <row r="500" spans="2:3" x14ac:dyDescent="0.3">
      <c r="B500" s="397"/>
      <c r="C500" s="396"/>
    </row>
    <row r="501" spans="2:3" x14ac:dyDescent="0.3">
      <c r="B501" s="397"/>
      <c r="C501" s="400"/>
    </row>
    <row r="502" spans="2:3" x14ac:dyDescent="0.3">
      <c r="B502" s="399"/>
      <c r="C502" s="398"/>
    </row>
    <row r="503" spans="2:3" x14ac:dyDescent="0.3">
      <c r="B503" s="397"/>
      <c r="C503" s="396"/>
    </row>
    <row r="504" spans="2:3" x14ac:dyDescent="0.3">
      <c r="B504" s="397"/>
      <c r="C504" s="400"/>
    </row>
    <row r="505" spans="2:3" x14ac:dyDescent="0.3">
      <c r="B505" s="399"/>
      <c r="C505" s="398"/>
    </row>
    <row r="506" spans="2:3" x14ac:dyDescent="0.3">
      <c r="B506" s="397"/>
      <c r="C506" s="396"/>
    </row>
    <row r="507" spans="2:3" x14ac:dyDescent="0.3">
      <c r="B507" s="397"/>
      <c r="C507" s="400"/>
    </row>
    <row r="508" spans="2:3" x14ac:dyDescent="0.3">
      <c r="B508" s="399"/>
      <c r="C508" s="398"/>
    </row>
    <row r="509" spans="2:3" x14ac:dyDescent="0.3">
      <c r="B509" s="397"/>
      <c r="C509" s="396"/>
    </row>
    <row r="510" spans="2:3" x14ac:dyDescent="0.3">
      <c r="B510" s="397"/>
      <c r="C510" s="400"/>
    </row>
    <row r="511" spans="2:3" x14ac:dyDescent="0.3">
      <c r="B511" s="399"/>
      <c r="C511" s="398"/>
    </row>
    <row r="512" spans="2:3" x14ac:dyDescent="0.3">
      <c r="B512" s="397"/>
      <c r="C512" s="396"/>
    </row>
    <row r="513" spans="2:3" x14ac:dyDescent="0.3">
      <c r="B513" s="397"/>
      <c r="C513" s="400"/>
    </row>
    <row r="514" spans="2:3" x14ac:dyDescent="0.3">
      <c r="B514" s="399"/>
      <c r="C514" s="398"/>
    </row>
    <row r="515" spans="2:3" x14ac:dyDescent="0.3">
      <c r="B515" s="397"/>
      <c r="C515" s="396"/>
    </row>
    <row r="516" spans="2:3" x14ac:dyDescent="0.3">
      <c r="B516" s="397"/>
      <c r="C516" s="400"/>
    </row>
    <row r="517" spans="2:3" x14ac:dyDescent="0.3">
      <c r="B517" s="399"/>
      <c r="C517" s="398"/>
    </row>
    <row r="518" spans="2:3" x14ac:dyDescent="0.3">
      <c r="B518" s="397"/>
      <c r="C518" s="396"/>
    </row>
    <row r="519" spans="2:3" x14ac:dyDescent="0.3">
      <c r="B519" s="397"/>
      <c r="C519" s="400"/>
    </row>
    <row r="520" spans="2:3" x14ac:dyDescent="0.3">
      <c r="B520" s="399"/>
      <c r="C520" s="398"/>
    </row>
    <row r="521" spans="2:3" x14ac:dyDescent="0.3">
      <c r="B521" s="397"/>
      <c r="C521" s="396"/>
    </row>
    <row r="522" spans="2:3" x14ac:dyDescent="0.3">
      <c r="B522" s="397"/>
      <c r="C522" s="400"/>
    </row>
    <row r="523" spans="2:3" x14ac:dyDescent="0.3">
      <c r="B523" s="399"/>
      <c r="C523" s="398"/>
    </row>
    <row r="524" spans="2:3" x14ac:dyDescent="0.3">
      <c r="B524" s="397"/>
      <c r="C524" s="396"/>
    </row>
    <row r="525" spans="2:3" x14ac:dyDescent="0.3">
      <c r="B525" s="397"/>
      <c r="C525" s="400"/>
    </row>
    <row r="526" spans="2:3" x14ac:dyDescent="0.3">
      <c r="B526" s="399"/>
      <c r="C526" s="398"/>
    </row>
    <row r="527" spans="2:3" x14ac:dyDescent="0.3">
      <c r="B527" s="397"/>
      <c r="C527" s="396"/>
    </row>
    <row r="528" spans="2:3" x14ac:dyDescent="0.3">
      <c r="B528" s="397"/>
      <c r="C528" s="400"/>
    </row>
    <row r="529" spans="2:3" x14ac:dyDescent="0.3">
      <c r="B529" s="399"/>
      <c r="C529" s="398"/>
    </row>
    <row r="530" spans="2:3" x14ac:dyDescent="0.3">
      <c r="B530" s="397"/>
      <c r="C530" s="396"/>
    </row>
    <row r="531" spans="2:3" x14ac:dyDescent="0.3">
      <c r="B531" s="397"/>
      <c r="C531" s="400"/>
    </row>
    <row r="532" spans="2:3" x14ac:dyDescent="0.3">
      <c r="B532" s="399"/>
      <c r="C532" s="398"/>
    </row>
    <row r="533" spans="2:3" x14ac:dyDescent="0.3">
      <c r="B533" s="397"/>
      <c r="C533" s="396"/>
    </row>
    <row r="534" spans="2:3" x14ac:dyDescent="0.3">
      <c r="B534" s="397"/>
      <c r="C534" s="400"/>
    </row>
    <row r="535" spans="2:3" x14ac:dyDescent="0.3">
      <c r="B535" s="399"/>
      <c r="C535" s="398"/>
    </row>
    <row r="536" spans="2:3" x14ac:dyDescent="0.3">
      <c r="B536" s="397"/>
      <c r="C536" s="396"/>
    </row>
    <row r="537" spans="2:3" x14ac:dyDescent="0.3">
      <c r="B537" s="397"/>
      <c r="C537" s="400"/>
    </row>
    <row r="538" spans="2:3" x14ac:dyDescent="0.3">
      <c r="B538" s="399"/>
      <c r="C538" s="398"/>
    </row>
    <row r="539" spans="2:3" x14ac:dyDescent="0.3">
      <c r="B539" s="397"/>
      <c r="C539" s="396"/>
    </row>
    <row r="540" spans="2:3" x14ac:dyDescent="0.3">
      <c r="B540" s="397"/>
      <c r="C540" s="400"/>
    </row>
    <row r="541" spans="2:3" x14ac:dyDescent="0.3">
      <c r="B541" s="399"/>
      <c r="C541" s="398"/>
    </row>
    <row r="542" spans="2:3" x14ac:dyDescent="0.3">
      <c r="B542" s="397"/>
      <c r="C542" s="396"/>
    </row>
    <row r="543" spans="2:3" x14ac:dyDescent="0.3">
      <c r="B543" s="397"/>
      <c r="C543" s="400"/>
    </row>
    <row r="544" spans="2:3" x14ac:dyDescent="0.3">
      <c r="B544" s="399"/>
      <c r="C544" s="398"/>
    </row>
    <row r="545" spans="2:3" x14ac:dyDescent="0.3">
      <c r="B545" s="397"/>
      <c r="C545" s="396"/>
    </row>
    <row r="546" spans="2:3" x14ac:dyDescent="0.3">
      <c r="B546" s="397"/>
      <c r="C546" s="400"/>
    </row>
    <row r="547" spans="2:3" x14ac:dyDescent="0.3">
      <c r="B547" s="399"/>
      <c r="C547" s="398"/>
    </row>
    <row r="548" spans="2:3" x14ac:dyDescent="0.3">
      <c r="B548" s="397"/>
      <c r="C548" s="396"/>
    </row>
    <row r="549" spans="2:3" x14ac:dyDescent="0.3">
      <c r="B549" s="397"/>
      <c r="C549" s="400"/>
    </row>
    <row r="550" spans="2:3" x14ac:dyDescent="0.3">
      <c r="B550" s="399"/>
      <c r="C550" s="398"/>
    </row>
    <row r="551" spans="2:3" x14ac:dyDescent="0.3">
      <c r="B551" s="397"/>
      <c r="C551" s="396"/>
    </row>
    <row r="552" spans="2:3" x14ac:dyDescent="0.3">
      <c r="B552" s="397"/>
      <c r="C552" s="400"/>
    </row>
    <row r="553" spans="2:3" x14ac:dyDescent="0.3">
      <c r="B553" s="399"/>
      <c r="C553" s="398"/>
    </row>
    <row r="554" spans="2:3" x14ac:dyDescent="0.3">
      <c r="B554" s="397"/>
      <c r="C554" s="396"/>
    </row>
    <row r="555" spans="2:3" x14ac:dyDescent="0.3">
      <c r="B555" s="397"/>
      <c r="C555" s="400"/>
    </row>
    <row r="556" spans="2:3" x14ac:dyDescent="0.3">
      <c r="B556" s="399"/>
      <c r="C556" s="398"/>
    </row>
    <row r="557" spans="2:3" x14ac:dyDescent="0.3">
      <c r="B557" s="397"/>
      <c r="C557" s="396"/>
    </row>
    <row r="558" spans="2:3" x14ac:dyDescent="0.3">
      <c r="B558" s="397"/>
      <c r="C558" s="400"/>
    </row>
    <row r="559" spans="2:3" x14ac:dyDescent="0.3">
      <c r="B559" s="399"/>
      <c r="C559" s="398"/>
    </row>
    <row r="560" spans="2:3" x14ac:dyDescent="0.3">
      <c r="B560" s="397"/>
      <c r="C560" s="396"/>
    </row>
    <row r="561" spans="2:3" x14ac:dyDescent="0.3">
      <c r="B561" s="397"/>
      <c r="C561" s="400"/>
    </row>
    <row r="562" spans="2:3" x14ac:dyDescent="0.3">
      <c r="B562" s="399"/>
      <c r="C562" s="398"/>
    </row>
    <row r="563" spans="2:3" x14ac:dyDescent="0.3">
      <c r="B563" s="397"/>
      <c r="C563" s="396"/>
    </row>
    <row r="564" spans="2:3" x14ac:dyDescent="0.3">
      <c r="B564" s="397"/>
      <c r="C564" s="400"/>
    </row>
    <row r="565" spans="2:3" x14ac:dyDescent="0.3">
      <c r="B565" s="399"/>
      <c r="C565" s="398"/>
    </row>
    <row r="566" spans="2:3" x14ac:dyDescent="0.3">
      <c r="B566" s="397"/>
      <c r="C566" s="396"/>
    </row>
    <row r="567" spans="2:3" x14ac:dyDescent="0.3">
      <c r="B567" s="397"/>
      <c r="C567" s="400"/>
    </row>
    <row r="568" spans="2:3" x14ac:dyDescent="0.3">
      <c r="B568" s="399"/>
      <c r="C568" s="398"/>
    </row>
    <row r="569" spans="2:3" x14ac:dyDescent="0.3">
      <c r="B569" s="397"/>
      <c r="C569" s="396"/>
    </row>
    <row r="570" spans="2:3" x14ac:dyDescent="0.3">
      <c r="B570" s="397"/>
      <c r="C570" s="400"/>
    </row>
    <row r="571" spans="2:3" x14ac:dyDescent="0.3">
      <c r="B571" s="399"/>
      <c r="C571" s="398"/>
    </row>
    <row r="572" spans="2:3" x14ac:dyDescent="0.3">
      <c r="B572" s="397"/>
      <c r="C572" s="396"/>
    </row>
    <row r="573" spans="2:3" x14ac:dyDescent="0.3">
      <c r="B573" s="397"/>
      <c r="C573" s="400"/>
    </row>
    <row r="574" spans="2:3" x14ac:dyDescent="0.3">
      <c r="B574" s="399"/>
      <c r="C574" s="398"/>
    </row>
    <row r="575" spans="2:3" x14ac:dyDescent="0.3">
      <c r="B575" s="397"/>
      <c r="C575" s="396"/>
    </row>
    <row r="576" spans="2:3" x14ac:dyDescent="0.3">
      <c r="B576" s="397"/>
      <c r="C576" s="400"/>
    </row>
    <row r="577" spans="2:3" x14ac:dyDescent="0.3">
      <c r="B577" s="399"/>
      <c r="C577" s="398"/>
    </row>
    <row r="578" spans="2:3" x14ac:dyDescent="0.3">
      <c r="B578" s="397"/>
      <c r="C578" s="396"/>
    </row>
    <row r="579" spans="2:3" x14ac:dyDescent="0.3">
      <c r="B579" s="397"/>
      <c r="C579" s="400"/>
    </row>
    <row r="580" spans="2:3" x14ac:dyDescent="0.3">
      <c r="B580" s="399"/>
      <c r="C580" s="398"/>
    </row>
    <row r="581" spans="2:3" x14ac:dyDescent="0.3">
      <c r="B581" s="397"/>
      <c r="C581" s="396"/>
    </row>
    <row r="582" spans="2:3" x14ac:dyDescent="0.3">
      <c r="B582" s="397"/>
      <c r="C582" s="400"/>
    </row>
    <row r="583" spans="2:3" x14ac:dyDescent="0.3">
      <c r="B583" s="399"/>
      <c r="C583" s="398"/>
    </row>
    <row r="584" spans="2:3" x14ac:dyDescent="0.3">
      <c r="B584" s="397"/>
      <c r="C584" s="396"/>
    </row>
    <row r="585" spans="2:3" x14ac:dyDescent="0.3">
      <c r="B585" s="397"/>
      <c r="C585" s="400"/>
    </row>
    <row r="586" spans="2:3" x14ac:dyDescent="0.3">
      <c r="B586" s="399"/>
      <c r="C586" s="398"/>
    </row>
    <row r="587" spans="2:3" x14ac:dyDescent="0.3">
      <c r="B587" s="397"/>
      <c r="C587" s="396"/>
    </row>
    <row r="588" spans="2:3" x14ac:dyDescent="0.3">
      <c r="B588" s="397"/>
      <c r="C588" s="400"/>
    </row>
    <row r="589" spans="2:3" x14ac:dyDescent="0.3">
      <c r="B589" s="399"/>
      <c r="C589" s="398"/>
    </row>
    <row r="590" spans="2:3" x14ac:dyDescent="0.3">
      <c r="B590" s="397"/>
      <c r="C590" s="396"/>
    </row>
    <row r="591" spans="2:3" x14ac:dyDescent="0.3">
      <c r="B591" s="397"/>
      <c r="C591" s="400"/>
    </row>
    <row r="592" spans="2:3" x14ac:dyDescent="0.3">
      <c r="B592" s="399"/>
      <c r="C592" s="398"/>
    </row>
    <row r="593" spans="2:3" x14ac:dyDescent="0.3">
      <c r="B593" s="397"/>
      <c r="C593" s="396"/>
    </row>
    <row r="594" spans="2:3" x14ac:dyDescent="0.3">
      <c r="B594" s="397"/>
      <c r="C594" s="400"/>
    </row>
    <row r="595" spans="2:3" x14ac:dyDescent="0.3">
      <c r="B595" s="399"/>
      <c r="C595" s="398"/>
    </row>
    <row r="596" spans="2:3" x14ac:dyDescent="0.3">
      <c r="B596" s="397"/>
      <c r="C596" s="396"/>
    </row>
    <row r="597" spans="2:3" x14ac:dyDescent="0.3">
      <c r="B597" s="397"/>
      <c r="C597" s="400"/>
    </row>
    <row r="598" spans="2:3" x14ac:dyDescent="0.3">
      <c r="B598" s="399"/>
      <c r="C598" s="398"/>
    </row>
    <row r="599" spans="2:3" x14ac:dyDescent="0.3">
      <c r="B599" s="397"/>
      <c r="C599" s="396"/>
    </row>
    <row r="600" spans="2:3" x14ac:dyDescent="0.3">
      <c r="B600" s="397"/>
      <c r="C600" s="400"/>
    </row>
    <row r="601" spans="2:3" x14ac:dyDescent="0.3">
      <c r="B601" s="399"/>
      <c r="C601" s="398"/>
    </row>
    <row r="602" spans="2:3" x14ac:dyDescent="0.3">
      <c r="B602" s="397"/>
      <c r="C602" s="396"/>
    </row>
    <row r="603" spans="2:3" x14ac:dyDescent="0.3">
      <c r="B603" s="397"/>
      <c r="C603" s="400"/>
    </row>
    <row r="604" spans="2:3" x14ac:dyDescent="0.3">
      <c r="B604" s="399"/>
      <c r="C604" s="398"/>
    </row>
    <row r="605" spans="2:3" x14ac:dyDescent="0.3">
      <c r="B605" s="397"/>
      <c r="C605" s="396"/>
    </row>
    <row r="606" spans="2:3" x14ac:dyDescent="0.3">
      <c r="B606" s="397"/>
      <c r="C606" s="400"/>
    </row>
    <row r="607" spans="2:3" x14ac:dyDescent="0.3">
      <c r="B607" s="399"/>
      <c r="C607" s="398"/>
    </row>
    <row r="608" spans="2:3" x14ac:dyDescent="0.3">
      <c r="B608" s="397"/>
      <c r="C608" s="396"/>
    </row>
    <row r="609" spans="2:3" x14ac:dyDescent="0.3">
      <c r="B609" s="397"/>
      <c r="C609" s="400"/>
    </row>
    <row r="610" spans="2:3" x14ac:dyDescent="0.3">
      <c r="B610" s="399"/>
      <c r="C610" s="398"/>
    </row>
    <row r="611" spans="2:3" x14ac:dyDescent="0.3">
      <c r="B611" s="397"/>
      <c r="C611" s="396"/>
    </row>
    <row r="612" spans="2:3" x14ac:dyDescent="0.3">
      <c r="B612" s="397"/>
      <c r="C612" s="400"/>
    </row>
    <row r="613" spans="2:3" x14ac:dyDescent="0.3">
      <c r="B613" s="399"/>
      <c r="C613" s="398"/>
    </row>
    <row r="614" spans="2:3" x14ac:dyDescent="0.3">
      <c r="B614" s="397"/>
      <c r="C614" s="396"/>
    </row>
    <row r="615" spans="2:3" x14ac:dyDescent="0.3">
      <c r="B615" s="397"/>
      <c r="C615" s="400"/>
    </row>
    <row r="616" spans="2:3" x14ac:dyDescent="0.3">
      <c r="B616" s="399"/>
      <c r="C616" s="398"/>
    </row>
    <row r="617" spans="2:3" x14ac:dyDescent="0.3">
      <c r="B617" s="397"/>
      <c r="C617" s="396"/>
    </row>
    <row r="618" spans="2:3" x14ac:dyDescent="0.3">
      <c r="B618" s="397"/>
      <c r="C618" s="400"/>
    </row>
    <row r="619" spans="2:3" x14ac:dyDescent="0.3">
      <c r="B619" s="399"/>
      <c r="C619" s="398"/>
    </row>
    <row r="620" spans="2:3" x14ac:dyDescent="0.3">
      <c r="B620" s="397"/>
      <c r="C620" s="396"/>
    </row>
  </sheetData>
  <sheetProtection formatCells="0" formatColumns="0" formatRows="0" insertColumns="0" insertRows="0" insertHyperlinks="0" deleteColumns="0" deleteRows="0" sort="0" autoFilter="0" pivotTables="0"/>
  <customSheetViews>
    <customSheetView guid="{079ED3F8-D23E-413F-B7FA-1C4A43A9CEAB}" scale="20" zeroValues="0" printArea="1" view="pageBreakPreview">
      <pane xSplit="1" ySplit="5" topLeftCell="B6" activePane="bottomRight" state="frozen"/>
      <selection pane="bottomRight" activeCell="AG38" sqref="B1:AG38"/>
      <pageMargins left="0.23622047244094491" right="0.23622047244094491" top="0.74803149606299213" bottom="0.55118110236220474" header="0.31496062992125984" footer="0.31496062992125984"/>
      <printOptions horizontalCentered="1"/>
      <pageSetup paperSize="9" scale="31" fitToHeight="0" orientation="landscape" r:id="rId1"/>
    </customSheetView>
    <customSheetView guid="{BBFF7A3C-7579-4BB0-AAA9-66CE11DC0C92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2"/>
    </customSheetView>
    <customSheetView guid="{386B8780-5573-460C-A780-6C59BEFB4DBF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3"/>
    </customSheetView>
    <customSheetView guid="{748451F5-A0F3-420F-846E-9497A6A574EF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4"/>
    </customSheetView>
  </customSheetViews>
  <conditionalFormatting sqref="D3:AG38">
    <cfRule type="expression" dxfId="14" priority="1">
      <formula>D$5&lt;&gt;"Alta"</formula>
    </cfRule>
  </conditionalFormatting>
  <printOptions horizontalCentered="1"/>
  <pageMargins left="0.23622047244094491" right="0.23622047244094491" top="0.74803149606299213" bottom="0.55118110236220474" header="0.31496062992125984" footer="0.31496062992125984"/>
  <pageSetup paperSize="9" scale="55" fitToHeight="0" orientation="landscape" r:id="rId5"/>
  <rowBreaks count="1" manualBreakCount="1">
    <brk id="21" max="3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933A-B74F-411B-AA9F-2DBE964C2D05}">
  <sheetPr>
    <tabColor theme="0"/>
    <pageSetUpPr autoPageBreaks="0"/>
  </sheetPr>
  <dimension ref="A1:W36"/>
  <sheetViews>
    <sheetView showGridLines="0" showZeros="0" view="pageBreakPreview" zoomScale="70" zoomScaleNormal="70" zoomScaleSheetLayoutView="70" workbookViewId="0">
      <pane ySplit="5" topLeftCell="A6" activePane="bottomLeft" state="frozen"/>
      <selection activeCell="D17" sqref="D17"/>
      <selection pane="bottomLeft" activeCell="O8" sqref="O8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11.21875" style="109" customWidth="1"/>
    <col min="5" max="22" width="11.21875" style="17" customWidth="1"/>
    <col min="23" max="23" width="3.44140625" style="17" customWidth="1"/>
    <col min="24" max="16384" width="11.44140625" style="17"/>
  </cols>
  <sheetData>
    <row r="1" spans="1:23" ht="24" customHeight="1" thickBot="1" x14ac:dyDescent="0.5">
      <c r="A1" s="457" t="s">
        <v>376</v>
      </c>
      <c r="B1" s="457"/>
      <c r="C1" s="457"/>
      <c r="D1" s="909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1204">
        <f ca="1">FechaHoy</f>
        <v>46099</v>
      </c>
      <c r="U1" s="1204"/>
      <c r="V1" s="1204"/>
      <c r="W1" s="457"/>
    </row>
    <row r="2" spans="1:23" ht="18" customHeight="1" x14ac:dyDescent="0.45">
      <c r="A2" s="448"/>
      <c r="B2" s="667" t="str">
        <f>IModulo&amp;" ("&amp;IProfesor&amp;")"</f>
        <v>FPM-it-1-0237 Infra. comunes de teleco en viviendas y edificios (Rafa Sanz)</v>
      </c>
      <c r="J2" s="418"/>
      <c r="L2" s="418"/>
      <c r="M2" s="418"/>
      <c r="N2" s="418"/>
      <c r="O2" s="418"/>
      <c r="P2" s="418"/>
      <c r="R2" s="418"/>
      <c r="S2" s="418"/>
      <c r="T2" s="418"/>
      <c r="U2" s="418"/>
      <c r="V2" s="418"/>
      <c r="W2" s="448"/>
    </row>
    <row r="3" spans="1:23" ht="18.600000000000001" customHeight="1" x14ac:dyDescent="0.45">
      <c r="A3" s="448"/>
      <c r="D3" s="915"/>
      <c r="E3" s="255" t="s">
        <v>215</v>
      </c>
      <c r="F3" s="255"/>
      <c r="G3" s="255"/>
      <c r="H3" s="255"/>
      <c r="I3" s="255"/>
      <c r="J3" s="917"/>
      <c r="K3" s="257" t="s">
        <v>216</v>
      </c>
      <c r="L3" s="257"/>
      <c r="M3" s="257"/>
      <c r="N3" s="257"/>
      <c r="O3" s="257"/>
      <c r="P3" s="919"/>
      <c r="Q3" s="259" t="s">
        <v>217</v>
      </c>
      <c r="R3" s="259"/>
      <c r="S3" s="259"/>
      <c r="T3" s="259"/>
      <c r="U3" s="259"/>
      <c r="V3" s="920"/>
      <c r="W3" s="448"/>
    </row>
    <row r="4" spans="1:23" s="13" customFormat="1" ht="18.600000000000001" customHeight="1" x14ac:dyDescent="0.45">
      <c r="B4" s="448"/>
      <c r="C4" s="113"/>
      <c r="D4" s="908"/>
      <c r="E4" s="1217">
        <f>PonCEContenidos</f>
        <v>0.3</v>
      </c>
      <c r="F4" s="1217"/>
      <c r="G4" s="1218"/>
      <c r="H4" s="910">
        <f>PonCEEjercicios</f>
        <v>0.3</v>
      </c>
      <c r="I4" s="910">
        <f>PonCEPracticas</f>
        <v>0.4</v>
      </c>
      <c r="J4" s="911">
        <f>PonCEActitud</f>
        <v>0</v>
      </c>
      <c r="K4" s="1217">
        <f>PonCEContenidos</f>
        <v>0.3</v>
      </c>
      <c r="L4" s="1217"/>
      <c r="M4" s="1218"/>
      <c r="N4" s="910">
        <f>PonCEEjercicios</f>
        <v>0.3</v>
      </c>
      <c r="O4" s="910">
        <f>PonCEPracticas</f>
        <v>0.4</v>
      </c>
      <c r="P4" s="911">
        <f>PonCEActitud</f>
        <v>0</v>
      </c>
      <c r="Q4" s="1217">
        <f>PonCEContenidos</f>
        <v>0.3</v>
      </c>
      <c r="R4" s="1217"/>
      <c r="S4" s="1218"/>
      <c r="T4" s="910">
        <f>PonCEEjercicios</f>
        <v>0.3</v>
      </c>
      <c r="U4" s="910">
        <f>PonCEPracticas</f>
        <v>0.4</v>
      </c>
      <c r="V4" s="911">
        <f>PonCEActitud</f>
        <v>0</v>
      </c>
    </row>
    <row r="5" spans="1:23" s="13" customFormat="1" ht="30" customHeight="1" thickBot="1" x14ac:dyDescent="0.35">
      <c r="B5" s="46" t="s">
        <v>312</v>
      </c>
      <c r="C5" s="306" t="s">
        <v>311</v>
      </c>
      <c r="D5" s="916" t="s">
        <v>40</v>
      </c>
      <c r="E5" s="914" t="s">
        <v>256</v>
      </c>
      <c r="F5" s="912" t="s">
        <v>256</v>
      </c>
      <c r="G5" s="912" t="s">
        <v>256</v>
      </c>
      <c r="H5" s="913" t="s">
        <v>250</v>
      </c>
      <c r="I5" s="913" t="s">
        <v>129</v>
      </c>
      <c r="J5" s="918" t="s">
        <v>135</v>
      </c>
      <c r="K5" s="914" t="s">
        <v>256</v>
      </c>
      <c r="L5" s="912" t="s">
        <v>256</v>
      </c>
      <c r="M5" s="912" t="s">
        <v>256</v>
      </c>
      <c r="N5" s="913" t="s">
        <v>250</v>
      </c>
      <c r="O5" s="913" t="s">
        <v>129</v>
      </c>
      <c r="P5" s="918" t="s">
        <v>135</v>
      </c>
      <c r="Q5" s="914" t="s">
        <v>256</v>
      </c>
      <c r="R5" s="912" t="s">
        <v>256</v>
      </c>
      <c r="S5" s="912" t="s">
        <v>256</v>
      </c>
      <c r="T5" s="913" t="s">
        <v>250</v>
      </c>
      <c r="U5" s="913" t="s">
        <v>129</v>
      </c>
      <c r="V5" s="918" t="s">
        <v>135</v>
      </c>
    </row>
    <row r="6" spans="1:23" s="13" customFormat="1" ht="60" customHeight="1" x14ac:dyDescent="0.3">
      <c r="B6" s="926" t="str">
        <f>AlCo01</f>
        <v>AN01</v>
      </c>
      <c r="C6" s="927" t="str">
        <f>AlNo01&amp;CHAR(10)&amp;AlAp01</f>
        <v>nom1 --
ap1 --</v>
      </c>
      <c r="D6" s="928" t="str">
        <f>AlEs01</f>
        <v>Alta</v>
      </c>
      <c r="E6" s="929"/>
      <c r="F6" s="930"/>
      <c r="G6" s="930"/>
      <c r="H6" s="930"/>
      <c r="I6" s="930"/>
      <c r="J6" s="931"/>
      <c r="K6" s="929"/>
      <c r="L6" s="930"/>
      <c r="M6" s="930"/>
      <c r="N6" s="930"/>
      <c r="O6" s="930"/>
      <c r="P6" s="931"/>
      <c r="Q6" s="929"/>
      <c r="R6" s="930"/>
      <c r="S6" s="930"/>
      <c r="T6" s="930"/>
      <c r="U6" s="930"/>
      <c r="V6" s="931"/>
    </row>
    <row r="7" spans="1:23" s="13" customFormat="1" ht="60" customHeight="1" x14ac:dyDescent="0.3">
      <c r="B7" s="932" t="str">
        <f>AlCo02</f>
        <v>AN02</v>
      </c>
      <c r="C7" s="921" t="str">
        <f>AlNo02&amp;CHAR(10)&amp;AlAp02</f>
        <v>nom2 --
ap2 --</v>
      </c>
      <c r="D7" s="922" t="str">
        <f>AlEs02</f>
        <v>Alta</v>
      </c>
      <c r="E7" s="923"/>
      <c r="F7" s="924"/>
      <c r="G7" s="924"/>
      <c r="H7" s="924"/>
      <c r="I7" s="924"/>
      <c r="J7" s="925"/>
      <c r="K7" s="923"/>
      <c r="L7" s="924"/>
      <c r="M7" s="924"/>
      <c r="N7" s="924"/>
      <c r="O7" s="924"/>
      <c r="P7" s="925"/>
      <c r="Q7" s="933"/>
      <c r="R7" s="924"/>
      <c r="S7" s="924"/>
      <c r="T7" s="924"/>
      <c r="U7" s="924"/>
      <c r="V7" s="925"/>
    </row>
    <row r="8" spans="1:23" s="13" customFormat="1" ht="60" customHeight="1" x14ac:dyDescent="0.3">
      <c r="B8" s="932" t="str">
        <f>AlCo03</f>
        <v>AN03</v>
      </c>
      <c r="C8" s="921" t="str">
        <f>AlNo03&amp;CHAR(10)&amp;AlAp03</f>
        <v>nom3 --
ap3 --</v>
      </c>
      <c r="D8" s="934" t="str">
        <f>AlEs03</f>
        <v>Alta</v>
      </c>
      <c r="E8" s="933"/>
      <c r="F8" s="924"/>
      <c r="G8" s="924"/>
      <c r="H8" s="924"/>
      <c r="I8" s="924"/>
      <c r="J8" s="925"/>
      <c r="K8" s="933"/>
      <c r="L8" s="924"/>
      <c r="M8" s="924"/>
      <c r="N8" s="924"/>
      <c r="O8" s="924"/>
      <c r="P8" s="925"/>
      <c r="Q8" s="933"/>
      <c r="R8" s="924"/>
      <c r="S8" s="924"/>
      <c r="T8" s="924"/>
      <c r="U8" s="924"/>
      <c r="V8" s="925"/>
    </row>
    <row r="9" spans="1:23" s="13" customFormat="1" ht="60" customHeight="1" x14ac:dyDescent="0.3">
      <c r="B9" s="932" t="str">
        <f>AlCo04</f>
        <v>AN04</v>
      </c>
      <c r="C9" s="921" t="str">
        <f>AlNo04&amp;CHAR(10)&amp;AlAp04</f>
        <v>nom4 --
ap4 --</v>
      </c>
      <c r="D9" s="934" t="str">
        <f>AlEs04</f>
        <v>Alta</v>
      </c>
      <c r="E9" s="933"/>
      <c r="F9" s="924"/>
      <c r="G9" s="924"/>
      <c r="H9" s="924"/>
      <c r="I9" s="924"/>
      <c r="J9" s="925"/>
      <c r="K9" s="933"/>
      <c r="L9" s="924"/>
      <c r="M9" s="924"/>
      <c r="N9" s="924"/>
      <c r="O9" s="924"/>
      <c r="P9" s="925"/>
      <c r="Q9" s="933"/>
      <c r="R9" s="924"/>
      <c r="S9" s="924"/>
      <c r="T9" s="924"/>
      <c r="U9" s="924"/>
      <c r="V9" s="925"/>
    </row>
    <row r="10" spans="1:23" s="13" customFormat="1" ht="60" customHeight="1" x14ac:dyDescent="0.3">
      <c r="B10" s="897" t="str">
        <f>AlCo05</f>
        <v>AN05</v>
      </c>
      <c r="C10" s="901" t="str">
        <f>AlNo05&amp;CHAR(10)&amp;AlAp05</f>
        <v>nom5-----
ap5----</v>
      </c>
      <c r="D10" s="898" t="str">
        <f>AlEs05</f>
        <v>Alta</v>
      </c>
      <c r="E10" s="904"/>
      <c r="F10" s="415"/>
      <c r="G10" s="415"/>
      <c r="H10" s="415"/>
      <c r="I10" s="415"/>
      <c r="J10" s="906"/>
      <c r="K10" s="904"/>
      <c r="L10" s="415"/>
      <c r="M10" s="415"/>
      <c r="N10" s="415"/>
      <c r="O10" s="415"/>
      <c r="P10" s="906"/>
      <c r="Q10" s="904"/>
      <c r="R10" s="415"/>
      <c r="S10" s="415"/>
      <c r="T10" s="415"/>
      <c r="U10" s="415"/>
      <c r="V10" s="906"/>
    </row>
    <row r="11" spans="1:23" s="13" customFormat="1" ht="60" customHeight="1" x14ac:dyDescent="0.3">
      <c r="B11" s="935" t="str">
        <f>AlCo06</f>
        <v>AN06</v>
      </c>
      <c r="C11" s="936" t="str">
        <f>AlNo06&amp;CHAR(10)&amp;AlAp06</f>
        <v>nom6-----
ap6------</v>
      </c>
      <c r="D11" s="937" t="str">
        <f>AlEs06</f>
        <v>Alta</v>
      </c>
      <c r="E11" s="938"/>
      <c r="F11" s="939"/>
      <c r="G11" s="939"/>
      <c r="H11" s="939"/>
      <c r="I11" s="939"/>
      <c r="J11" s="940"/>
      <c r="K11" s="938"/>
      <c r="L11" s="939"/>
      <c r="M11" s="939"/>
      <c r="N11" s="939"/>
      <c r="O11" s="939"/>
      <c r="P11" s="940"/>
      <c r="Q11" s="938"/>
      <c r="R11" s="939"/>
      <c r="S11" s="939"/>
      <c r="T11" s="939"/>
      <c r="U11" s="939"/>
      <c r="V11" s="940"/>
    </row>
    <row r="12" spans="1:23" s="13" customFormat="1" ht="60" customHeight="1" x14ac:dyDescent="0.3">
      <c r="B12" s="941" t="str">
        <f>AlCo07</f>
        <v/>
      </c>
      <c r="C12" s="921" t="str">
        <f>AlNo07&amp;CHAR(10)&amp;AlAp07</f>
        <v xml:space="preserve">
</v>
      </c>
      <c r="D12" s="934">
        <f>AlEs07</f>
        <v>0</v>
      </c>
      <c r="E12" s="933"/>
      <c r="F12" s="924"/>
      <c r="G12" s="924"/>
      <c r="H12" s="924"/>
      <c r="I12" s="924"/>
      <c r="J12" s="925"/>
      <c r="K12" s="933"/>
      <c r="L12" s="924"/>
      <c r="M12" s="924"/>
      <c r="N12" s="924"/>
      <c r="O12" s="924"/>
      <c r="P12" s="925"/>
      <c r="Q12" s="933"/>
      <c r="R12" s="924"/>
      <c r="S12" s="924"/>
      <c r="T12" s="924"/>
      <c r="U12" s="924"/>
      <c r="V12" s="925"/>
    </row>
    <row r="13" spans="1:23" s="13" customFormat="1" ht="60" customHeight="1" x14ac:dyDescent="0.3">
      <c r="B13" s="941" t="str">
        <f>AlCo08</f>
        <v/>
      </c>
      <c r="C13" s="921" t="str">
        <f>AlNo08&amp;CHAR(10)&amp;AlAp08</f>
        <v xml:space="preserve">
</v>
      </c>
      <c r="D13" s="934">
        <f>AlEs08</f>
        <v>0</v>
      </c>
      <c r="E13" s="933"/>
      <c r="F13" s="924"/>
      <c r="G13" s="924"/>
      <c r="H13" s="924"/>
      <c r="I13" s="924"/>
      <c r="J13" s="925"/>
      <c r="K13" s="933"/>
      <c r="L13" s="924"/>
      <c r="M13" s="924"/>
      <c r="N13" s="924"/>
      <c r="O13" s="924"/>
      <c r="P13" s="925"/>
      <c r="Q13" s="933"/>
      <c r="R13" s="924"/>
      <c r="S13" s="924"/>
      <c r="T13" s="924"/>
      <c r="U13" s="924"/>
      <c r="V13" s="925"/>
    </row>
    <row r="14" spans="1:23" s="13" customFormat="1" ht="60" customHeight="1" x14ac:dyDescent="0.3">
      <c r="B14" s="941" t="str">
        <f>AlCo09</f>
        <v/>
      </c>
      <c r="C14" s="921" t="str">
        <f>AlNo09&amp;CHAR(10)&amp;AlAp09</f>
        <v xml:space="preserve">
</v>
      </c>
      <c r="D14" s="934">
        <f>AlEs09</f>
        <v>0</v>
      </c>
      <c r="E14" s="933"/>
      <c r="F14" s="924"/>
      <c r="G14" s="924"/>
      <c r="H14" s="924"/>
      <c r="I14" s="924"/>
      <c r="J14" s="925"/>
      <c r="K14" s="933"/>
      <c r="L14" s="924"/>
      <c r="M14" s="924"/>
      <c r="N14" s="924"/>
      <c r="O14" s="924"/>
      <c r="P14" s="925"/>
      <c r="Q14" s="933"/>
      <c r="R14" s="924"/>
      <c r="S14" s="924"/>
      <c r="T14" s="924"/>
      <c r="U14" s="924"/>
      <c r="V14" s="925"/>
    </row>
    <row r="15" spans="1:23" s="13" customFormat="1" ht="60" customHeight="1" x14ac:dyDescent="0.3">
      <c r="B15" s="902" t="str">
        <f>AlCo10</f>
        <v/>
      </c>
      <c r="C15" s="903" t="str">
        <f>AlNo10&amp;CHAR(10)&amp;AlAp10</f>
        <v xml:space="preserve">
</v>
      </c>
      <c r="D15" s="898">
        <f>AlEs10</f>
        <v>0</v>
      </c>
      <c r="E15" s="904"/>
      <c r="F15" s="415"/>
      <c r="G15" s="415"/>
      <c r="H15" s="415"/>
      <c r="I15" s="415"/>
      <c r="J15" s="906"/>
      <c r="K15" s="904"/>
      <c r="L15" s="415"/>
      <c r="M15" s="415"/>
      <c r="N15" s="415"/>
      <c r="O15" s="415"/>
      <c r="P15" s="906"/>
      <c r="Q15" s="904"/>
      <c r="R15" s="415"/>
      <c r="S15" s="415"/>
      <c r="T15" s="415"/>
      <c r="U15" s="415"/>
      <c r="V15" s="906"/>
    </row>
    <row r="16" spans="1:23" s="13" customFormat="1" ht="60" customHeight="1" x14ac:dyDescent="0.3">
      <c r="B16" s="935" t="str">
        <f>AlCo11</f>
        <v/>
      </c>
      <c r="C16" s="936" t="str">
        <f>AlNo11&amp;CHAR(10)&amp;AlAp11</f>
        <v xml:space="preserve">
</v>
      </c>
      <c r="D16" s="937">
        <f>AlEs11</f>
        <v>0</v>
      </c>
      <c r="E16" s="938"/>
      <c r="F16" s="939"/>
      <c r="G16" s="939"/>
      <c r="H16" s="939"/>
      <c r="I16" s="939"/>
      <c r="J16" s="940"/>
      <c r="K16" s="938"/>
      <c r="L16" s="939"/>
      <c r="M16" s="939"/>
      <c r="N16" s="939"/>
      <c r="O16" s="939"/>
      <c r="P16" s="940"/>
      <c r="Q16" s="938"/>
      <c r="R16" s="939"/>
      <c r="S16" s="939"/>
      <c r="T16" s="939"/>
      <c r="U16" s="939"/>
      <c r="V16" s="940"/>
    </row>
    <row r="17" spans="2:22" s="13" customFormat="1" ht="60" customHeight="1" x14ac:dyDescent="0.3">
      <c r="B17" s="941" t="str">
        <f>AlCo12</f>
        <v/>
      </c>
      <c r="C17" s="921" t="str">
        <f>AlNo12&amp;CHAR(10)&amp;AlAp12</f>
        <v xml:space="preserve">
</v>
      </c>
      <c r="D17" s="934">
        <f>AlEs12</f>
        <v>0</v>
      </c>
      <c r="E17" s="933"/>
      <c r="F17" s="924"/>
      <c r="G17" s="924"/>
      <c r="H17" s="924"/>
      <c r="I17" s="924"/>
      <c r="J17" s="925"/>
      <c r="K17" s="933"/>
      <c r="L17" s="924"/>
      <c r="M17" s="924"/>
      <c r="N17" s="924"/>
      <c r="O17" s="924"/>
      <c r="P17" s="925"/>
      <c r="Q17" s="933"/>
      <c r="R17" s="924"/>
      <c r="S17" s="924"/>
      <c r="T17" s="924"/>
      <c r="U17" s="924"/>
      <c r="V17" s="925"/>
    </row>
    <row r="18" spans="2:22" s="13" customFormat="1" ht="60" customHeight="1" x14ac:dyDescent="0.3">
      <c r="B18" s="941" t="str">
        <f>AlCo13</f>
        <v/>
      </c>
      <c r="C18" s="921" t="str">
        <f>AlNo13&amp;CHAR(10)&amp;AlAp13</f>
        <v xml:space="preserve">
</v>
      </c>
      <c r="D18" s="934">
        <f>AlEs13</f>
        <v>0</v>
      </c>
      <c r="E18" s="933"/>
      <c r="F18" s="924"/>
      <c r="G18" s="924"/>
      <c r="H18" s="924"/>
      <c r="I18" s="924"/>
      <c r="J18" s="925"/>
      <c r="K18" s="933"/>
      <c r="L18" s="924"/>
      <c r="M18" s="924"/>
      <c r="N18" s="924"/>
      <c r="O18" s="924"/>
      <c r="P18" s="925"/>
      <c r="Q18" s="933"/>
      <c r="R18" s="924"/>
      <c r="S18" s="924"/>
      <c r="T18" s="924"/>
      <c r="U18" s="924"/>
      <c r="V18" s="925"/>
    </row>
    <row r="19" spans="2:22" s="13" customFormat="1" ht="60" customHeight="1" x14ac:dyDescent="0.3">
      <c r="B19" s="941" t="str">
        <f>AlCo14</f>
        <v/>
      </c>
      <c r="C19" s="921" t="str">
        <f>AlNo14&amp;CHAR(10)&amp;AlAp14</f>
        <v xml:space="preserve">
</v>
      </c>
      <c r="D19" s="934">
        <f>AlEs14</f>
        <v>0</v>
      </c>
      <c r="E19" s="933"/>
      <c r="F19" s="924"/>
      <c r="G19" s="924"/>
      <c r="H19" s="924"/>
      <c r="I19" s="924"/>
      <c r="J19" s="925"/>
      <c r="K19" s="933"/>
      <c r="L19" s="924"/>
      <c r="M19" s="924"/>
      <c r="N19" s="924"/>
      <c r="O19" s="924"/>
      <c r="P19" s="925"/>
      <c r="Q19" s="933"/>
      <c r="R19" s="924"/>
      <c r="S19" s="924"/>
      <c r="T19" s="924"/>
      <c r="U19" s="924"/>
      <c r="V19" s="925"/>
    </row>
    <row r="20" spans="2:22" s="13" customFormat="1" ht="60" customHeight="1" x14ac:dyDescent="0.3">
      <c r="B20" s="902" t="str">
        <f>AlCo15</f>
        <v/>
      </c>
      <c r="C20" s="899" t="str">
        <f>AlNo15&amp;CHAR(10)&amp;AlAp15</f>
        <v xml:space="preserve">
</v>
      </c>
      <c r="D20" s="898">
        <f>AlEs15</f>
        <v>0</v>
      </c>
      <c r="E20" s="904"/>
      <c r="F20" s="415"/>
      <c r="G20" s="415"/>
      <c r="H20" s="415"/>
      <c r="I20" s="415"/>
      <c r="J20" s="906"/>
      <c r="K20" s="904"/>
      <c r="L20" s="415"/>
      <c r="M20" s="415"/>
      <c r="N20" s="415"/>
      <c r="O20" s="415"/>
      <c r="P20" s="906"/>
      <c r="Q20" s="904"/>
      <c r="R20" s="415"/>
      <c r="S20" s="415"/>
      <c r="T20" s="415"/>
      <c r="U20" s="415"/>
      <c r="V20" s="906"/>
    </row>
    <row r="21" spans="2:22" s="13" customFormat="1" ht="60" customHeight="1" x14ac:dyDescent="0.3">
      <c r="B21" s="942" t="str">
        <f>AlCo16</f>
        <v/>
      </c>
      <c r="C21" s="927" t="str">
        <f>AlNo16&amp;CHAR(10)&amp;AlAp16</f>
        <v xml:space="preserve">
</v>
      </c>
      <c r="D21" s="943">
        <f>AlEs16</f>
        <v>0</v>
      </c>
      <c r="E21" s="944"/>
      <c r="F21" s="930"/>
      <c r="G21" s="930"/>
      <c r="H21" s="930"/>
      <c r="I21" s="930"/>
      <c r="J21" s="931"/>
      <c r="K21" s="944"/>
      <c r="L21" s="930"/>
      <c r="M21" s="930"/>
      <c r="N21" s="930"/>
      <c r="O21" s="930"/>
      <c r="P21" s="931"/>
      <c r="Q21" s="944"/>
      <c r="R21" s="930"/>
      <c r="S21" s="930"/>
      <c r="T21" s="930"/>
      <c r="U21" s="930"/>
      <c r="V21" s="931"/>
    </row>
    <row r="22" spans="2:22" s="13" customFormat="1" ht="60" customHeight="1" x14ac:dyDescent="0.3">
      <c r="B22" s="941" t="str">
        <f>AlCo17</f>
        <v/>
      </c>
      <c r="C22" s="921" t="str">
        <f>AlNo17&amp;CHAR(10)&amp;AlAp17</f>
        <v xml:space="preserve">
</v>
      </c>
      <c r="D22" s="934">
        <f>AlEs17</f>
        <v>0</v>
      </c>
      <c r="E22" s="933"/>
      <c r="F22" s="924"/>
      <c r="G22" s="924"/>
      <c r="H22" s="924"/>
      <c r="I22" s="924"/>
      <c r="J22" s="925"/>
      <c r="K22" s="933"/>
      <c r="L22" s="924"/>
      <c r="M22" s="924"/>
      <c r="N22" s="924"/>
      <c r="O22" s="924"/>
      <c r="P22" s="925"/>
      <c r="Q22" s="933"/>
      <c r="R22" s="924"/>
      <c r="S22" s="924"/>
      <c r="T22" s="924"/>
      <c r="U22" s="924"/>
      <c r="V22" s="925"/>
    </row>
    <row r="23" spans="2:22" s="13" customFormat="1" ht="60" customHeight="1" x14ac:dyDescent="0.3">
      <c r="B23" s="941" t="str">
        <f>AlCo18</f>
        <v/>
      </c>
      <c r="C23" s="921" t="str">
        <f>AlNo18&amp;CHAR(10)&amp;AlAp18</f>
        <v xml:space="preserve">
</v>
      </c>
      <c r="D23" s="934">
        <f>AlEs18</f>
        <v>0</v>
      </c>
      <c r="E23" s="933"/>
      <c r="F23" s="924"/>
      <c r="G23" s="924"/>
      <c r="H23" s="924"/>
      <c r="I23" s="924"/>
      <c r="J23" s="925"/>
      <c r="K23" s="933"/>
      <c r="L23" s="924"/>
      <c r="M23" s="924"/>
      <c r="N23" s="924"/>
      <c r="O23" s="924"/>
      <c r="P23" s="925"/>
      <c r="Q23" s="933"/>
      <c r="R23" s="924"/>
      <c r="S23" s="924"/>
      <c r="T23" s="924"/>
      <c r="U23" s="924"/>
      <c r="V23" s="925"/>
    </row>
    <row r="24" spans="2:22" s="13" customFormat="1" ht="60" customHeight="1" x14ac:dyDescent="0.3">
      <c r="B24" s="941" t="str">
        <f>AlCo19</f>
        <v/>
      </c>
      <c r="C24" s="921" t="str">
        <f>AlNo19&amp;CHAR(10)&amp;AlAp19</f>
        <v xml:space="preserve">
</v>
      </c>
      <c r="D24" s="934">
        <f>AlEs19</f>
        <v>0</v>
      </c>
      <c r="E24" s="933"/>
      <c r="F24" s="924"/>
      <c r="G24" s="924"/>
      <c r="H24" s="924"/>
      <c r="I24" s="924"/>
      <c r="J24" s="925"/>
      <c r="K24" s="933"/>
      <c r="L24" s="924"/>
      <c r="M24" s="924"/>
      <c r="N24" s="924"/>
      <c r="O24" s="924"/>
      <c r="P24" s="925"/>
      <c r="Q24" s="933"/>
      <c r="R24" s="924"/>
      <c r="S24" s="924"/>
      <c r="T24" s="924"/>
      <c r="U24" s="924"/>
      <c r="V24" s="925"/>
    </row>
    <row r="25" spans="2:22" s="13" customFormat="1" ht="60" customHeight="1" x14ac:dyDescent="0.3">
      <c r="B25" s="902" t="str">
        <f>AlCo20</f>
        <v/>
      </c>
      <c r="C25" s="903" t="str">
        <f>AlNo20&amp;CHAR(10)&amp;AlAp20</f>
        <v xml:space="preserve">
</v>
      </c>
      <c r="D25" s="898">
        <f>AlEs20</f>
        <v>0</v>
      </c>
      <c r="E25" s="904"/>
      <c r="F25" s="415"/>
      <c r="G25" s="415"/>
      <c r="H25" s="415"/>
      <c r="I25" s="415"/>
      <c r="J25" s="907"/>
      <c r="K25" s="905"/>
      <c r="L25" s="415"/>
      <c r="M25" s="415"/>
      <c r="N25" s="415"/>
      <c r="O25" s="415"/>
      <c r="P25" s="906"/>
      <c r="Q25" s="904"/>
      <c r="R25" s="415"/>
      <c r="S25" s="415"/>
      <c r="T25" s="415"/>
      <c r="U25" s="415"/>
      <c r="V25" s="906"/>
    </row>
    <row r="26" spans="2:22" s="13" customFormat="1" ht="60" customHeight="1" x14ac:dyDescent="0.3">
      <c r="B26" s="935" t="str">
        <f>AlCo21</f>
        <v/>
      </c>
      <c r="C26" s="936" t="str">
        <f>AlNo21&amp;CHAR(10)&amp;AlAp21</f>
        <v xml:space="preserve">
</v>
      </c>
      <c r="D26" s="937">
        <f>AlEs21</f>
        <v>0</v>
      </c>
      <c r="E26" s="938"/>
      <c r="F26" s="939"/>
      <c r="G26" s="939"/>
      <c r="H26" s="939"/>
      <c r="I26" s="939"/>
      <c r="J26" s="945"/>
      <c r="K26" s="946"/>
      <c r="L26" s="939"/>
      <c r="M26" s="939"/>
      <c r="N26" s="939"/>
      <c r="O26" s="939"/>
      <c r="P26" s="940"/>
      <c r="Q26" s="938"/>
      <c r="R26" s="939"/>
      <c r="S26" s="939"/>
      <c r="T26" s="939"/>
      <c r="U26" s="939"/>
      <c r="V26" s="940"/>
    </row>
    <row r="27" spans="2:22" s="13" customFormat="1" ht="60" customHeight="1" x14ac:dyDescent="0.3">
      <c r="B27" s="941" t="str">
        <f>AlCo22</f>
        <v/>
      </c>
      <c r="C27" s="921" t="str">
        <f>AlNo22&amp;CHAR(10)&amp;AlAp22</f>
        <v xml:space="preserve">
</v>
      </c>
      <c r="D27" s="934">
        <f>AlEs22</f>
        <v>0</v>
      </c>
      <c r="E27" s="933"/>
      <c r="F27" s="924"/>
      <c r="G27" s="924"/>
      <c r="H27" s="924"/>
      <c r="I27" s="924"/>
      <c r="J27" s="947"/>
      <c r="K27" s="948"/>
      <c r="L27" s="924"/>
      <c r="M27" s="924"/>
      <c r="N27" s="924"/>
      <c r="O27" s="924"/>
      <c r="P27" s="925"/>
      <c r="Q27" s="933"/>
      <c r="R27" s="924"/>
      <c r="S27" s="924"/>
      <c r="T27" s="924"/>
      <c r="U27" s="924"/>
      <c r="V27" s="925"/>
    </row>
    <row r="28" spans="2:22" s="13" customFormat="1" ht="60" customHeight="1" x14ac:dyDescent="0.3">
      <c r="B28" s="941" t="str">
        <f>AlCo23</f>
        <v/>
      </c>
      <c r="C28" s="921" t="str">
        <f>AlNo23&amp;CHAR(10)&amp;AlAp23</f>
        <v xml:space="preserve">
</v>
      </c>
      <c r="D28" s="934">
        <f>AlEs23</f>
        <v>0</v>
      </c>
      <c r="E28" s="933"/>
      <c r="F28" s="924"/>
      <c r="G28" s="924"/>
      <c r="H28" s="924"/>
      <c r="I28" s="924"/>
      <c r="J28" s="925"/>
      <c r="K28" s="933"/>
      <c r="L28" s="924"/>
      <c r="M28" s="924"/>
      <c r="N28" s="924"/>
      <c r="O28" s="924"/>
      <c r="P28" s="925"/>
      <c r="Q28" s="933"/>
      <c r="R28" s="924"/>
      <c r="S28" s="924"/>
      <c r="T28" s="924"/>
      <c r="U28" s="924"/>
      <c r="V28" s="925"/>
    </row>
    <row r="29" spans="2:22" s="13" customFormat="1" ht="60" customHeight="1" x14ac:dyDescent="0.3">
      <c r="B29" s="941" t="str">
        <f>AlCo24</f>
        <v/>
      </c>
      <c r="C29" s="921" t="str">
        <f>AlNo24&amp;CHAR(10)&amp;AlAp24</f>
        <v xml:space="preserve">
</v>
      </c>
      <c r="D29" s="934">
        <f>AlEs24</f>
        <v>0</v>
      </c>
      <c r="E29" s="933"/>
      <c r="F29" s="924"/>
      <c r="G29" s="924"/>
      <c r="H29" s="924"/>
      <c r="I29" s="924"/>
      <c r="J29" s="925"/>
      <c r="K29" s="933"/>
      <c r="L29" s="924"/>
      <c r="M29" s="924"/>
      <c r="N29" s="924"/>
      <c r="O29" s="924"/>
      <c r="P29" s="925"/>
      <c r="Q29" s="933"/>
      <c r="R29" s="924"/>
      <c r="S29" s="924"/>
      <c r="T29" s="924"/>
      <c r="U29" s="924"/>
      <c r="V29" s="925"/>
    </row>
    <row r="30" spans="2:22" s="13" customFormat="1" ht="60" customHeight="1" x14ac:dyDescent="0.3">
      <c r="B30" s="902" t="str">
        <f>AlCo25</f>
        <v/>
      </c>
      <c r="C30" s="903" t="str">
        <f>AlNo25&amp;CHAR(10)&amp;AlAp25</f>
        <v xml:space="preserve">
</v>
      </c>
      <c r="D30" s="898">
        <f>AlEs25</f>
        <v>0</v>
      </c>
      <c r="E30" s="904"/>
      <c r="F30" s="415"/>
      <c r="G30" s="415"/>
      <c r="H30" s="415"/>
      <c r="I30" s="415"/>
      <c r="J30" s="906"/>
      <c r="K30" s="904"/>
      <c r="L30" s="415"/>
      <c r="M30" s="415"/>
      <c r="N30" s="415"/>
      <c r="O30" s="415"/>
      <c r="P30" s="906"/>
      <c r="Q30" s="904"/>
      <c r="R30" s="415"/>
      <c r="S30" s="415"/>
      <c r="T30" s="415"/>
      <c r="U30" s="415"/>
      <c r="V30" s="906"/>
    </row>
    <row r="31" spans="2:22" s="13" customFormat="1" ht="60" customHeight="1" x14ac:dyDescent="0.3">
      <c r="B31" s="935" t="str">
        <f>AlCo26</f>
        <v/>
      </c>
      <c r="C31" s="936" t="str">
        <f>AlNo26&amp;CHAR(10)&amp;AlAp26</f>
        <v xml:space="preserve">
</v>
      </c>
      <c r="D31" s="937">
        <f>AlEs26</f>
        <v>0</v>
      </c>
      <c r="E31" s="938"/>
      <c r="F31" s="939"/>
      <c r="G31" s="939"/>
      <c r="H31" s="939"/>
      <c r="I31" s="939"/>
      <c r="J31" s="940"/>
      <c r="K31" s="938"/>
      <c r="L31" s="939"/>
      <c r="M31" s="939"/>
      <c r="N31" s="939"/>
      <c r="O31" s="939"/>
      <c r="P31" s="940"/>
      <c r="Q31" s="938"/>
      <c r="R31" s="939"/>
      <c r="S31" s="939"/>
      <c r="T31" s="939"/>
      <c r="U31" s="939"/>
      <c r="V31" s="940"/>
    </row>
    <row r="32" spans="2:22" s="13" customFormat="1" ht="60" customHeight="1" x14ac:dyDescent="0.3">
      <c r="B32" s="941" t="str">
        <f>AlCo27</f>
        <v/>
      </c>
      <c r="C32" s="921" t="str">
        <f>AlNo27&amp;CHAR(10)&amp;AlAp27</f>
        <v xml:space="preserve">
</v>
      </c>
      <c r="D32" s="934">
        <f>AlEs27</f>
        <v>0</v>
      </c>
      <c r="E32" s="933"/>
      <c r="F32" s="924"/>
      <c r="G32" s="924"/>
      <c r="H32" s="924"/>
      <c r="I32" s="924"/>
      <c r="J32" s="925"/>
      <c r="K32" s="933"/>
      <c r="L32" s="924"/>
      <c r="M32" s="924"/>
      <c r="N32" s="924"/>
      <c r="O32" s="924"/>
      <c r="P32" s="925"/>
      <c r="Q32" s="933"/>
      <c r="R32" s="924"/>
      <c r="S32" s="924"/>
      <c r="T32" s="924"/>
      <c r="U32" s="924"/>
      <c r="V32" s="925"/>
    </row>
    <row r="33" spans="1:23" s="13" customFormat="1" ht="60" customHeight="1" x14ac:dyDescent="0.3">
      <c r="B33" s="941" t="str">
        <f>AlCo28</f>
        <v/>
      </c>
      <c r="C33" s="921" t="str">
        <f>AlNo28&amp;CHAR(10)&amp;AlAp28</f>
        <v xml:space="preserve">
</v>
      </c>
      <c r="D33" s="934">
        <f>AlEs28</f>
        <v>0</v>
      </c>
      <c r="E33" s="933"/>
      <c r="F33" s="924"/>
      <c r="G33" s="924"/>
      <c r="H33" s="924"/>
      <c r="I33" s="924"/>
      <c r="J33" s="925"/>
      <c r="K33" s="933"/>
      <c r="L33" s="924"/>
      <c r="M33" s="924"/>
      <c r="N33" s="924"/>
      <c r="O33" s="924"/>
      <c r="P33" s="925"/>
      <c r="Q33" s="933"/>
      <c r="R33" s="924"/>
      <c r="S33" s="924"/>
      <c r="T33" s="924"/>
      <c r="U33" s="924"/>
      <c r="V33" s="925"/>
    </row>
    <row r="34" spans="1:23" s="13" customFormat="1" ht="60" customHeight="1" x14ac:dyDescent="0.3">
      <c r="B34" s="941" t="str">
        <f>AlCo29</f>
        <v/>
      </c>
      <c r="C34" s="921" t="str">
        <f>AlNo29&amp;CHAR(10)&amp;AlAp29</f>
        <v xml:space="preserve">
</v>
      </c>
      <c r="D34" s="934">
        <f>AlEs29</f>
        <v>0</v>
      </c>
      <c r="E34" s="933"/>
      <c r="F34" s="924"/>
      <c r="G34" s="924"/>
      <c r="H34" s="924"/>
      <c r="I34" s="924"/>
      <c r="J34" s="925"/>
      <c r="K34" s="933"/>
      <c r="L34" s="924"/>
      <c r="M34" s="924"/>
      <c r="N34" s="924"/>
      <c r="O34" s="924"/>
      <c r="P34" s="925"/>
      <c r="Q34" s="933"/>
      <c r="R34" s="924"/>
      <c r="S34" s="924"/>
      <c r="T34" s="924"/>
      <c r="U34" s="924"/>
      <c r="V34" s="925"/>
    </row>
    <row r="35" spans="1:23" s="13" customFormat="1" ht="60" customHeight="1" x14ac:dyDescent="0.3">
      <c r="B35" s="902" t="str">
        <f>AlCo30</f>
        <v/>
      </c>
      <c r="C35" s="903" t="str">
        <f>AlNo30&amp;CHAR(10)&amp;AlAp30</f>
        <v xml:space="preserve">
</v>
      </c>
      <c r="D35" s="898">
        <f>AlEs30</f>
        <v>0</v>
      </c>
      <c r="E35" s="904"/>
      <c r="F35" s="415"/>
      <c r="G35" s="415"/>
      <c r="H35" s="415"/>
      <c r="I35" s="415"/>
      <c r="J35" s="906"/>
      <c r="K35" s="904"/>
      <c r="L35" s="415"/>
      <c r="M35" s="415"/>
      <c r="N35" s="415"/>
      <c r="O35" s="415"/>
      <c r="P35" s="906"/>
      <c r="Q35" s="904"/>
      <c r="R35" s="415"/>
      <c r="S35" s="415"/>
      <c r="T35" s="415"/>
      <c r="U35" s="415"/>
      <c r="V35" s="906"/>
    </row>
    <row r="36" spans="1:23" ht="18.75" customHeight="1" thickBot="1" x14ac:dyDescent="0.5">
      <c r="A36" s="457"/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</row>
  </sheetData>
  <mergeCells count="4">
    <mergeCell ref="E4:G4"/>
    <mergeCell ref="K4:M4"/>
    <mergeCell ref="Q4:S4"/>
    <mergeCell ref="T1:V1"/>
  </mergeCells>
  <phoneticPr fontId="6" type="noConversion"/>
  <conditionalFormatting sqref="B6:V35">
    <cfRule type="expression" dxfId="13" priority="5">
      <formula>AND($D6&lt;&gt;"Alta")</formula>
    </cfRule>
  </conditionalFormatting>
  <pageMargins left="0.59055118110236227" right="0.39370078740157483" top="0.59055118110236227" bottom="0.39370078740157483" header="0" footer="0"/>
  <pageSetup paperSize="9" scale="50" fitToWidth="3" fitToHeight="3" pageOrder="overThenDown" orientation="landscape" r:id="rId1"/>
  <rowBreaks count="1" manualBreakCount="1">
    <brk id="20" max="2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73DD-4A0A-4AC4-8782-0F232C1C8EDE}">
  <sheetPr>
    <pageSetUpPr autoPageBreaks="0" fitToPage="1"/>
  </sheetPr>
  <dimension ref="A1:L878"/>
  <sheetViews>
    <sheetView showGridLines="0" showZeros="0" view="pageBreakPreview" zoomScale="70" zoomScaleNormal="80" zoomScaleSheetLayoutView="70" workbookViewId="0">
      <pane ySplit="4" topLeftCell="A5" activePane="bottomLeft" state="frozen"/>
      <selection activeCell="D17" sqref="D17"/>
      <selection pane="bottomLeft" activeCell="B2" sqref="B2"/>
    </sheetView>
  </sheetViews>
  <sheetFormatPr baseColWidth="10" defaultColWidth="10.77734375" defaultRowHeight="15.6" x14ac:dyDescent="0.3"/>
  <cols>
    <col min="1" max="1" width="3.21875" style="672" customWidth="1"/>
    <col min="2" max="3" width="7.21875" style="669" customWidth="1"/>
    <col min="4" max="4" width="7.77734375" style="669" bestFit="1" customWidth="1"/>
    <col min="5" max="5" width="10.77734375" style="669" customWidth="1"/>
    <col min="6" max="6" width="5.77734375" style="746" bestFit="1" customWidth="1"/>
    <col min="7" max="11" width="7.21875" style="672" customWidth="1"/>
    <col min="12" max="12" width="90.77734375" style="672" customWidth="1"/>
    <col min="13" max="16384" width="10.77734375" style="672"/>
  </cols>
  <sheetData>
    <row r="1" spans="1:12" s="684" customFormat="1" ht="24" customHeight="1" thickBot="1" x14ac:dyDescent="0.5">
      <c r="A1" s="487" t="s">
        <v>273</v>
      </c>
      <c r="B1" s="708"/>
      <c r="C1" s="708"/>
      <c r="D1" s="708"/>
      <c r="E1" s="708"/>
      <c r="F1" s="783"/>
      <c r="G1" s="709"/>
      <c r="H1" s="709"/>
      <c r="I1" s="709"/>
      <c r="J1" s="709"/>
      <c r="K1" s="709"/>
      <c r="L1" s="479">
        <f ca="1">FechaHoy</f>
        <v>46099</v>
      </c>
    </row>
    <row r="2" spans="1:12" s="13" customFormat="1" ht="18" customHeight="1" x14ac:dyDescent="0.3">
      <c r="A2" s="98"/>
      <c r="B2" s="667" t="str">
        <f>IModulo&amp;" ("&amp;IProfesor&amp;")"</f>
        <v>FPM-it-1-0237 Infra. comunes de teleco en viviendas y edificios (Rafa Sanz)</v>
      </c>
      <c r="C2" s="466"/>
      <c r="D2" s="466"/>
      <c r="E2" s="15"/>
      <c r="F2" s="286"/>
      <c r="H2" s="15"/>
      <c r="I2" s="15"/>
      <c r="J2" s="15"/>
      <c r="K2" s="15"/>
    </row>
    <row r="3" spans="1:12" s="669" customFormat="1" x14ac:dyDescent="0.3">
      <c r="A3" s="466"/>
      <c r="B3" s="668">
        <f>NClase</f>
        <v>138</v>
      </c>
      <c r="C3" s="685" t="s">
        <v>287</v>
      </c>
      <c r="D3" s="146"/>
      <c r="F3" s="784"/>
    </row>
    <row r="4" spans="1:12" x14ac:dyDescent="0.3">
      <c r="A4" s="13"/>
      <c r="B4" s="670" t="s">
        <v>253</v>
      </c>
      <c r="C4" s="670" t="s">
        <v>54</v>
      </c>
      <c r="D4" s="670" t="s">
        <v>154</v>
      </c>
      <c r="E4" s="670" t="s">
        <v>23</v>
      </c>
      <c r="F4" s="671" t="s">
        <v>288</v>
      </c>
      <c r="G4" s="671" t="s">
        <v>256</v>
      </c>
      <c r="H4" s="686" t="s">
        <v>248</v>
      </c>
      <c r="I4" s="686" t="s">
        <v>247</v>
      </c>
      <c r="J4" s="686" t="s">
        <v>73</v>
      </c>
      <c r="K4" s="686" t="s">
        <v>246</v>
      </c>
      <c r="L4" s="686" t="s">
        <v>251</v>
      </c>
    </row>
    <row r="5" spans="1:12" ht="50.1" customHeight="1" x14ac:dyDescent="0.3">
      <c r="B5" s="673">
        <v>1</v>
      </c>
      <c r="C5" s="674" t="str">
        <f>MID(Vdias,(WEEKDAY(E5,2)-1)*3+1,3)</f>
        <v>Lun</v>
      </c>
      <c r="D5" s="675">
        <f>E5</f>
        <v>45915</v>
      </c>
      <c r="E5" s="674">
        <f>IF(B5&gt;NClase,"--",IFERROR(VLOOKUP(B5,Flts!$H$14:$I$349,2,FALSE),E4))</f>
        <v>45915</v>
      </c>
      <c r="F5" s="785">
        <f>IF(B5&gt;NClase,"--",IFERROR(_xlfn.XLOOKUP(B5,Flts!$H$14:$H$349,Flts!$AS$14:$AS$349),F4))</f>
        <v>1</v>
      </c>
      <c r="G5" s="674" t="str">
        <f>IF(B5&gt;NClase,"--",IFERROR(_xlfn.XLOOKUP(B5,Flts!$H$14:$H$349,Flts!$E$14:$E$349),G4))</f>
        <v>UD00</v>
      </c>
      <c r="H5" s="687"/>
      <c r="I5" s="687"/>
      <c r="J5" s="687"/>
      <c r="K5" s="687"/>
      <c r="L5" s="716"/>
    </row>
    <row r="6" spans="1:12" ht="50.1" customHeight="1" x14ac:dyDescent="0.3">
      <c r="B6" s="673">
        <f>IF(NClase&gt;=MAX(B$5:$B5)+1,B5+1,"--")</f>
        <v>2</v>
      </c>
      <c r="C6" s="674" t="str">
        <f t="shared" ref="C6:C69" si="0">IF(AND(B6&lt;NClase,E5&lt;&gt;E6),IFERROR(MID(Vdias,(WEEKDAY(E6,2)-1)*3+1,3),C5),"--")</f>
        <v>Mar</v>
      </c>
      <c r="D6" s="675">
        <f t="shared" ref="D6:D69" si="1">E6</f>
        <v>45916</v>
      </c>
      <c r="E6" s="674">
        <f>IF(B6&gt;NClase,"--",IFERROR(VLOOKUP(B6,Flts!$H$14:$I$349,2,FALSE),E5))</f>
        <v>45916</v>
      </c>
      <c r="F6" s="785">
        <f>IF(B6&gt;NClase,"--",IFERROR(_xlfn.XLOOKUP(B6,Flts!$H$14:$H$349,Flts!$AS$14:$AS$349),F5))</f>
        <v>1</v>
      </c>
      <c r="G6" s="674" t="str">
        <f>IF(B6&gt;NClase,"--",IFERROR(_xlfn.XLOOKUP(B6,Flts!$H$14:$H$349,Flts!$E$14:$E$349),G5))</f>
        <v>UD01</v>
      </c>
      <c r="H6" s="687"/>
      <c r="I6" s="687"/>
      <c r="J6" s="687"/>
      <c r="K6" s="687"/>
      <c r="L6" s="716"/>
    </row>
    <row r="7" spans="1:12" ht="50.1" customHeight="1" x14ac:dyDescent="0.3">
      <c r="B7" s="673">
        <f>IF(NClase&gt;=MAX(B$5:$B6)+1,B6+1,"--")</f>
        <v>3</v>
      </c>
      <c r="C7" s="674" t="str">
        <f t="shared" si="0"/>
        <v>Mié</v>
      </c>
      <c r="D7" s="675">
        <f t="shared" si="1"/>
        <v>45917</v>
      </c>
      <c r="E7" s="674">
        <f>IF(B7&gt;NClase,"--",IFERROR(VLOOKUP(B7,Flts!$H$14:$I$349,2,FALSE),E6))</f>
        <v>45917</v>
      </c>
      <c r="F7" s="785">
        <f>IF(B7&gt;NClase,"--",IFERROR(_xlfn.XLOOKUP(B7,Flts!$H$14:$H$349,Flts!$AS$14:$AS$349),F6))</f>
        <v>1</v>
      </c>
      <c r="G7" s="674" t="str">
        <f>IF(B7&gt;NClase,"--",IFERROR(_xlfn.XLOOKUP(B7,Flts!$H$14:$H$349,Flts!$E$14:$E$349),G6))</f>
        <v>UD01</v>
      </c>
      <c r="H7" s="687"/>
      <c r="I7" s="687"/>
      <c r="J7" s="687"/>
      <c r="K7" s="687"/>
      <c r="L7" s="716"/>
    </row>
    <row r="8" spans="1:12" ht="50.1" customHeight="1" x14ac:dyDescent="0.3">
      <c r="B8" s="673">
        <f>IF(NClase&gt;=MAX(B$5:$B7)+1,B7+1,"--")</f>
        <v>4</v>
      </c>
      <c r="C8" s="674" t="str">
        <f t="shared" si="0"/>
        <v>Jue</v>
      </c>
      <c r="D8" s="675">
        <f t="shared" si="1"/>
        <v>45918</v>
      </c>
      <c r="E8" s="674">
        <f>IF(B8&gt;NClase,"--",IFERROR(VLOOKUP(B8,Flts!$H$14:$I$349,2,FALSE),E7))</f>
        <v>45918</v>
      </c>
      <c r="F8" s="785">
        <f>IF(B8&gt;NClase,"--",IFERROR(_xlfn.XLOOKUP(B8,Flts!$H$14:$H$349,Flts!$AS$14:$AS$349),F7))</f>
        <v>1</v>
      </c>
      <c r="G8" s="674" t="str">
        <f>IF(B8&gt;NClase,"--",IFERROR(_xlfn.XLOOKUP(B8,Flts!$H$14:$H$349,Flts!$E$14:$E$349),G7))</f>
        <v>UD01</v>
      </c>
      <c r="H8" s="687"/>
      <c r="I8" s="687"/>
      <c r="J8" s="687"/>
      <c r="K8" s="687"/>
      <c r="L8" s="716"/>
    </row>
    <row r="9" spans="1:12" ht="50.1" customHeight="1" x14ac:dyDescent="0.3">
      <c r="B9" s="673">
        <f>IF(NClase&gt;=MAX(B$5:$B8)+1,B8+1,"--")</f>
        <v>5</v>
      </c>
      <c r="C9" s="674" t="str">
        <f t="shared" si="0"/>
        <v>Vie</v>
      </c>
      <c r="D9" s="675">
        <f t="shared" si="1"/>
        <v>45919</v>
      </c>
      <c r="E9" s="674">
        <f>IF(B9&gt;NClase,"--",IFERROR(VLOOKUP(B9,Flts!$H$14:$I$349,2,FALSE),E8))</f>
        <v>45919</v>
      </c>
      <c r="F9" s="785">
        <f>IF(B9&gt;NClase,"--",IFERROR(_xlfn.XLOOKUP(B9,Flts!$H$14:$H$349,Flts!$AS$14:$AS$349),F8))</f>
        <v>1</v>
      </c>
      <c r="G9" s="674" t="str">
        <f>IF(B9&gt;NClase,"--",IFERROR(_xlfn.XLOOKUP(B9,Flts!$H$14:$H$349,Flts!$E$14:$E$349),G8))</f>
        <v>UD01</v>
      </c>
      <c r="H9" s="687"/>
      <c r="I9" s="687"/>
      <c r="J9" s="687"/>
      <c r="K9" s="687"/>
      <c r="L9" s="716"/>
    </row>
    <row r="10" spans="1:12" ht="50.1" customHeight="1" x14ac:dyDescent="0.3">
      <c r="B10" s="673">
        <f>IF(NClase&gt;=MAX(B$5:$B9)+1,B9+1,"--")</f>
        <v>6</v>
      </c>
      <c r="C10" s="674" t="str">
        <f t="shared" si="0"/>
        <v>Lun</v>
      </c>
      <c r="D10" s="675">
        <f t="shared" si="1"/>
        <v>45922</v>
      </c>
      <c r="E10" s="674">
        <f>IF(B10&gt;NClase,"--",IFERROR(VLOOKUP(B10,Flts!$H$14:$I$349,2,FALSE),E9))</f>
        <v>45922</v>
      </c>
      <c r="F10" s="785">
        <f>IF(B10&gt;NClase,"--",IFERROR(_xlfn.XLOOKUP(B10,Flts!$H$14:$H$349,Flts!$AS$14:$AS$349),F9))</f>
        <v>1</v>
      </c>
      <c r="G10" s="674" t="str">
        <f>IF(B10&gt;NClase,"--",IFERROR(_xlfn.XLOOKUP(B10,Flts!$H$14:$H$349,Flts!$E$14:$E$349),G9))</f>
        <v>UD01</v>
      </c>
      <c r="H10" s="687"/>
      <c r="I10" s="687"/>
      <c r="J10" s="687"/>
      <c r="K10" s="687"/>
      <c r="L10" s="716"/>
    </row>
    <row r="11" spans="1:12" ht="50.1" customHeight="1" x14ac:dyDescent="0.3">
      <c r="B11" s="673">
        <f>IF(NClase&gt;=MAX(B$5:$B10)+1,B10+1,"--")</f>
        <v>7</v>
      </c>
      <c r="C11" s="674" t="str">
        <f t="shared" si="0"/>
        <v>Mar</v>
      </c>
      <c r="D11" s="675">
        <f t="shared" si="1"/>
        <v>45923</v>
      </c>
      <c r="E11" s="674">
        <f>IF(B11&gt;NClase,"--",IFERROR(VLOOKUP(B11,Flts!$H$14:$I$349,2,FALSE),E10))</f>
        <v>45923</v>
      </c>
      <c r="F11" s="785">
        <f>IF(B11&gt;NClase,"--",IFERROR(_xlfn.XLOOKUP(B11,Flts!$H$14:$H$349,Flts!$AS$14:$AS$349),F10))</f>
        <v>1</v>
      </c>
      <c r="G11" s="674" t="str">
        <f>IF(B11&gt;NClase,"--",IFERROR(_xlfn.XLOOKUP(B11,Flts!$H$14:$H$349,Flts!$E$14:$E$349),G10))</f>
        <v>UD01</v>
      </c>
      <c r="H11" s="687"/>
      <c r="I11" s="687"/>
      <c r="J11" s="687"/>
      <c r="K11" s="687"/>
      <c r="L11" s="716"/>
    </row>
    <row r="12" spans="1:12" ht="50.1" customHeight="1" x14ac:dyDescent="0.3">
      <c r="B12" s="673">
        <f>IF(NClase&gt;=MAX(B$5:$B11)+1,B11+1,"--")</f>
        <v>8</v>
      </c>
      <c r="C12" s="674" t="str">
        <f t="shared" si="0"/>
        <v>Mié</v>
      </c>
      <c r="D12" s="675">
        <f t="shared" si="1"/>
        <v>45924</v>
      </c>
      <c r="E12" s="674">
        <f>IF(B12&gt;NClase,"--",IFERROR(VLOOKUP(B12,Flts!$H$14:$I$349,2,FALSE),E11))</f>
        <v>45924</v>
      </c>
      <c r="F12" s="785">
        <f>IF(B12&gt;NClase,"--",IFERROR(_xlfn.XLOOKUP(B12,Flts!$H$14:$H$349,Flts!$AS$14:$AS$349),F11))</f>
        <v>1</v>
      </c>
      <c r="G12" s="674" t="str">
        <f>IF(B12&gt;NClase,"--",IFERROR(_xlfn.XLOOKUP(B12,Flts!$H$14:$H$349,Flts!$E$14:$E$349),G11))</f>
        <v>UD01</v>
      </c>
      <c r="H12" s="687"/>
      <c r="I12" s="687"/>
      <c r="J12" s="687"/>
      <c r="K12" s="687"/>
      <c r="L12" s="716"/>
    </row>
    <row r="13" spans="1:12" ht="50.1" customHeight="1" x14ac:dyDescent="0.3">
      <c r="B13" s="673">
        <f>IF(NClase&gt;=MAX(B$5:$B12)+1,B12+1,"--")</f>
        <v>9</v>
      </c>
      <c r="C13" s="674" t="str">
        <f t="shared" si="0"/>
        <v>Jue</v>
      </c>
      <c r="D13" s="675">
        <f t="shared" si="1"/>
        <v>45925</v>
      </c>
      <c r="E13" s="674">
        <f>IF(B13&gt;NClase,"--",IFERROR(VLOOKUP(B13,Flts!$H$14:$I$349,2,FALSE),E12))</f>
        <v>45925</v>
      </c>
      <c r="F13" s="785">
        <f>IF(B13&gt;NClase,"--",IFERROR(_xlfn.XLOOKUP(B13,Flts!$H$14:$H$349,Flts!$AS$14:$AS$349),F12))</f>
        <v>1</v>
      </c>
      <c r="G13" s="674" t="str">
        <f>IF(B13&gt;NClase,"--",IFERROR(_xlfn.XLOOKUP(B13,Flts!$H$14:$H$349,Flts!$E$14:$E$349),G12))</f>
        <v>UD01</v>
      </c>
      <c r="H13" s="687"/>
      <c r="I13" s="687"/>
      <c r="J13" s="687"/>
      <c r="K13" s="687"/>
      <c r="L13" s="716"/>
    </row>
    <row r="14" spans="1:12" ht="50.1" customHeight="1" x14ac:dyDescent="0.3">
      <c r="B14" s="673">
        <f>IF(NClase&gt;=MAX(B$5:$B13)+1,B13+1,"--")</f>
        <v>10</v>
      </c>
      <c r="C14" s="674" t="str">
        <f t="shared" si="0"/>
        <v>Vie</v>
      </c>
      <c r="D14" s="675">
        <f t="shared" si="1"/>
        <v>45926</v>
      </c>
      <c r="E14" s="674">
        <f>IF(B14&gt;NClase,"--",IFERROR(VLOOKUP(B14,Flts!$H$14:$I$349,2,FALSE),E13))</f>
        <v>45926</v>
      </c>
      <c r="F14" s="785">
        <f>IF(B14&gt;NClase,"--",IFERROR(_xlfn.XLOOKUP(B14,Flts!$H$14:$H$349,Flts!$AS$14:$AS$349),F13))</f>
        <v>1</v>
      </c>
      <c r="G14" s="674" t="str">
        <f>IF(B14&gt;NClase,"--",IFERROR(_xlfn.XLOOKUP(B14,Flts!$H$14:$H$349,Flts!$E$14:$E$349),G13))</f>
        <v>UD01</v>
      </c>
      <c r="H14" s="687"/>
      <c r="I14" s="687"/>
      <c r="J14" s="687"/>
      <c r="K14" s="687"/>
      <c r="L14" s="716"/>
    </row>
    <row r="15" spans="1:12" ht="50.1" customHeight="1" x14ac:dyDescent="0.3">
      <c r="B15" s="673">
        <f>IF(NClase&gt;=MAX(B$5:$B14)+1,B14+1,"--")</f>
        <v>11</v>
      </c>
      <c r="C15" s="674" t="str">
        <f t="shared" si="0"/>
        <v>Lun</v>
      </c>
      <c r="D15" s="675">
        <f t="shared" si="1"/>
        <v>45929</v>
      </c>
      <c r="E15" s="674">
        <f>IF(B15&gt;NClase,"--",IFERROR(VLOOKUP(B15,Flts!$H$14:$I$349,2,FALSE),E14))</f>
        <v>45929</v>
      </c>
      <c r="F15" s="785">
        <f>IF(B15&gt;NClase,"--",IFERROR(_xlfn.XLOOKUP(B15,Flts!$H$14:$H$349,Flts!$AS$14:$AS$349),F14))</f>
        <v>1</v>
      </c>
      <c r="G15" s="674" t="str">
        <f>IF(B15&gt;NClase,"--",IFERROR(_xlfn.XLOOKUP(B15,Flts!$H$14:$H$349,Flts!$E$14:$E$349),G14))</f>
        <v>UD01</v>
      </c>
      <c r="H15" s="687"/>
      <c r="I15" s="687"/>
      <c r="J15" s="687"/>
      <c r="K15" s="687"/>
      <c r="L15" s="716"/>
    </row>
    <row r="16" spans="1:12" ht="50.1" customHeight="1" x14ac:dyDescent="0.3">
      <c r="B16" s="673">
        <f>IF(NClase&gt;=MAX(B$5:$B15)+1,B15+1,"--")</f>
        <v>12</v>
      </c>
      <c r="C16" s="674" t="str">
        <f t="shared" si="0"/>
        <v>Mar</v>
      </c>
      <c r="D16" s="675">
        <f t="shared" si="1"/>
        <v>45930</v>
      </c>
      <c r="E16" s="674">
        <f>IF(B16&gt;NClase,"--",IFERROR(VLOOKUP(B16,Flts!$H$14:$I$349,2,FALSE),E15))</f>
        <v>45930</v>
      </c>
      <c r="F16" s="785">
        <f>IF(B16&gt;NClase,"--",IFERROR(_xlfn.XLOOKUP(B16,Flts!$H$14:$H$349,Flts!$AS$14:$AS$349),F15))</f>
        <v>1</v>
      </c>
      <c r="G16" s="674" t="str">
        <f>IF(B16&gt;NClase,"--",IFERROR(_xlfn.XLOOKUP(B16,Flts!$H$14:$H$349,Flts!$E$14:$E$349),G15))</f>
        <v>UD01</v>
      </c>
      <c r="H16" s="687"/>
      <c r="I16" s="687"/>
      <c r="J16" s="687"/>
      <c r="K16" s="687"/>
      <c r="L16" s="716"/>
    </row>
    <row r="17" spans="2:12" ht="50.1" customHeight="1" x14ac:dyDescent="0.3">
      <c r="B17" s="673">
        <f>IF(NClase&gt;=MAX(B$5:$B16)+1,B16+1,"--")</f>
        <v>13</v>
      </c>
      <c r="C17" s="674" t="str">
        <f t="shared" si="0"/>
        <v>Mié</v>
      </c>
      <c r="D17" s="675">
        <f t="shared" si="1"/>
        <v>45931</v>
      </c>
      <c r="E17" s="674">
        <f>IF(B17&gt;NClase,"--",IFERROR(VLOOKUP(B17,Flts!$H$14:$I$349,2,FALSE),E16))</f>
        <v>45931</v>
      </c>
      <c r="F17" s="785">
        <f>IF(B17&gt;NClase,"--",IFERROR(_xlfn.XLOOKUP(B17,Flts!$H$14:$H$349,Flts!$AS$14:$AS$349),F16))</f>
        <v>1</v>
      </c>
      <c r="G17" s="674" t="str">
        <f>IF(B17&gt;NClase,"--",IFERROR(_xlfn.XLOOKUP(B17,Flts!$H$14:$H$349,Flts!$E$14:$E$349),G16))</f>
        <v>UD01</v>
      </c>
      <c r="H17" s="687"/>
      <c r="I17" s="687"/>
      <c r="J17" s="687"/>
      <c r="K17" s="687"/>
      <c r="L17" s="716"/>
    </row>
    <row r="18" spans="2:12" ht="50.1" customHeight="1" x14ac:dyDescent="0.3">
      <c r="B18" s="673">
        <f>IF(NClase&gt;=MAX(B$5:$B17)+1,B17+1,"--")</f>
        <v>14</v>
      </c>
      <c r="C18" s="674" t="str">
        <f t="shared" si="0"/>
        <v>Jue</v>
      </c>
      <c r="D18" s="675">
        <f t="shared" si="1"/>
        <v>45932</v>
      </c>
      <c r="E18" s="674">
        <f>IF(B18&gt;NClase,"--",IFERROR(VLOOKUP(B18,Flts!$H$14:$I$349,2,FALSE),E17))</f>
        <v>45932</v>
      </c>
      <c r="F18" s="785">
        <f>IF(B18&gt;NClase,"--",IFERROR(_xlfn.XLOOKUP(B18,Flts!$H$14:$H$349,Flts!$AS$14:$AS$349),F17))</f>
        <v>1</v>
      </c>
      <c r="G18" s="674" t="str">
        <f>IF(B18&gt;NClase,"--",IFERROR(_xlfn.XLOOKUP(B18,Flts!$H$14:$H$349,Flts!$E$14:$E$349),G17))</f>
        <v>UD01</v>
      </c>
      <c r="H18" s="687"/>
      <c r="I18" s="687"/>
      <c r="J18" s="687"/>
      <c r="K18" s="687"/>
      <c r="L18" s="716"/>
    </row>
    <row r="19" spans="2:12" ht="50.1" customHeight="1" x14ac:dyDescent="0.3">
      <c r="B19" s="673">
        <f>IF(NClase&gt;=MAX(B$5:$B18)+1,B18+1,"--")</f>
        <v>15</v>
      </c>
      <c r="C19" s="748" t="str">
        <f t="shared" si="0"/>
        <v>Vie</v>
      </c>
      <c r="D19" s="675">
        <f t="shared" si="1"/>
        <v>45933</v>
      </c>
      <c r="E19" s="674">
        <f>IF(B19&gt;NClase,"--",IFERROR(VLOOKUP(B19,Flts!$H$14:$I$349,2,FALSE),E18))</f>
        <v>45933</v>
      </c>
      <c r="F19" s="785">
        <f>IF(B19&gt;NClase,"--",IFERROR(_xlfn.XLOOKUP(B19,Flts!$H$14:$H$349,Flts!$AS$14:$AS$349),F18))</f>
        <v>1</v>
      </c>
      <c r="G19" s="674" t="str">
        <f>IF(B19&gt;NClase,"--",IFERROR(_xlfn.XLOOKUP(B19,Flts!$H$14:$H$349,Flts!$E$14:$E$349),G18))</f>
        <v>UD01</v>
      </c>
      <c r="H19" s="687"/>
      <c r="I19" s="687"/>
      <c r="J19" s="687"/>
      <c r="K19" s="687"/>
      <c r="L19" s="716"/>
    </row>
    <row r="20" spans="2:12" ht="50.1" customHeight="1" x14ac:dyDescent="0.3">
      <c r="B20" s="673">
        <f>IF(NClase&gt;=MAX(B$5:$B19)+1,B19+1,"--")</f>
        <v>16</v>
      </c>
      <c r="C20" s="748" t="str">
        <f t="shared" si="0"/>
        <v>Lun</v>
      </c>
      <c r="D20" s="675">
        <f t="shared" si="1"/>
        <v>45936</v>
      </c>
      <c r="E20" s="674">
        <f>IF(B20&gt;NClase,"--",IFERROR(VLOOKUP(B20,Flts!$H$14:$I$349,2,FALSE),E19))</f>
        <v>45936</v>
      </c>
      <c r="F20" s="785">
        <f>IF(B20&gt;NClase,"--",IFERROR(_xlfn.XLOOKUP(B20,Flts!$H$14:$H$349,Flts!$AS$14:$AS$349),F19))</f>
        <v>1</v>
      </c>
      <c r="G20" s="674" t="str">
        <f>IF(B20&gt;NClase,"--",IFERROR(_xlfn.XLOOKUP(B20,Flts!$H$14:$H$349,Flts!$E$14:$E$349),G19))</f>
        <v>UD01</v>
      </c>
      <c r="H20" s="687"/>
      <c r="I20" s="687"/>
      <c r="J20" s="687"/>
      <c r="K20" s="687"/>
      <c r="L20" s="716"/>
    </row>
    <row r="21" spans="2:12" ht="50.1" customHeight="1" x14ac:dyDescent="0.3">
      <c r="B21" s="673">
        <f>IF(NClase&gt;=MAX(B$5:$B20)+1,B20+1,"--")</f>
        <v>17</v>
      </c>
      <c r="C21" s="748" t="str">
        <f t="shared" si="0"/>
        <v>Mar</v>
      </c>
      <c r="D21" s="675">
        <f t="shared" si="1"/>
        <v>45937</v>
      </c>
      <c r="E21" s="674">
        <f>IF(B21&gt;NClase,"--",IFERROR(VLOOKUP(B21,Flts!$H$14:$I$349,2,FALSE),E20))</f>
        <v>45937</v>
      </c>
      <c r="F21" s="785">
        <f>IF(B21&gt;NClase,"--",IFERROR(_xlfn.XLOOKUP(B21,Flts!$H$14:$H$349,Flts!$AS$14:$AS$349),F20))</f>
        <v>1</v>
      </c>
      <c r="G21" s="674" t="str">
        <f>IF(B21&gt;NClase,"--",IFERROR(_xlfn.XLOOKUP(B21,Flts!$H$14:$H$349,Flts!$E$14:$E$349),G20))</f>
        <v>UD01</v>
      </c>
      <c r="H21" s="687"/>
      <c r="I21" s="687"/>
      <c r="J21" s="687"/>
      <c r="K21" s="687"/>
      <c r="L21" s="716"/>
    </row>
    <row r="22" spans="2:12" ht="50.1" customHeight="1" x14ac:dyDescent="0.3">
      <c r="B22" s="673">
        <f>IF(NClase&gt;=MAX(B$5:$B21)+1,B21+1,"--")</f>
        <v>18</v>
      </c>
      <c r="C22" s="674" t="str">
        <f t="shared" si="0"/>
        <v>Mié</v>
      </c>
      <c r="D22" s="675">
        <f t="shared" si="1"/>
        <v>45938</v>
      </c>
      <c r="E22" s="674">
        <f>IF(B22&gt;NClase,"--",IFERROR(VLOOKUP(B22,Flts!$H$14:$I$349,2,FALSE),E21))</f>
        <v>45938</v>
      </c>
      <c r="F22" s="785">
        <f>IF(B22&gt;NClase,"--",IFERROR(_xlfn.XLOOKUP(B22,Flts!$H$14:$H$349,Flts!$AS$14:$AS$349),F21))</f>
        <v>1</v>
      </c>
      <c r="G22" s="674" t="str">
        <f>IF(B22&gt;NClase,"--",IFERROR(_xlfn.XLOOKUP(B22,Flts!$H$14:$H$349,Flts!$E$14:$E$349),G21))</f>
        <v>UD01</v>
      </c>
      <c r="H22" s="687"/>
      <c r="I22" s="687"/>
      <c r="J22" s="687"/>
      <c r="K22" s="687"/>
      <c r="L22" s="716"/>
    </row>
    <row r="23" spans="2:12" ht="50.1" customHeight="1" x14ac:dyDescent="0.3">
      <c r="B23" s="673">
        <f>IF(NClase&gt;=MAX(B$5:$B22)+1,B22+1,"--")</f>
        <v>19</v>
      </c>
      <c r="C23" s="674" t="str">
        <f t="shared" si="0"/>
        <v>Jue</v>
      </c>
      <c r="D23" s="675">
        <f t="shared" si="1"/>
        <v>45939</v>
      </c>
      <c r="E23" s="674">
        <f>IF(B23&gt;NClase,"--",IFERROR(VLOOKUP(B23,Flts!$H$14:$I$349,2,FALSE),E22))</f>
        <v>45939</v>
      </c>
      <c r="F23" s="785">
        <f>IF(B23&gt;NClase,"--",IFERROR(_xlfn.XLOOKUP(B23,Flts!$H$14:$H$349,Flts!$AS$14:$AS$349),F22))</f>
        <v>1</v>
      </c>
      <c r="G23" s="674" t="str">
        <f>IF(B23&gt;NClase,"--",IFERROR(_xlfn.XLOOKUP(B23,Flts!$H$14:$H$349,Flts!$E$14:$E$349),G22))</f>
        <v>UD01</v>
      </c>
      <c r="H23" s="687"/>
      <c r="I23" s="687"/>
      <c r="J23" s="687"/>
      <c r="K23" s="687"/>
      <c r="L23" s="716"/>
    </row>
    <row r="24" spans="2:12" ht="50.1" customHeight="1" x14ac:dyDescent="0.3">
      <c r="B24" s="673">
        <f>IF(NClase&gt;=MAX(B$5:$B23)+1,B23+1,"--")</f>
        <v>20</v>
      </c>
      <c r="C24" s="674" t="str">
        <f t="shared" si="0"/>
        <v>Mar</v>
      </c>
      <c r="D24" s="675">
        <f t="shared" si="1"/>
        <v>45944</v>
      </c>
      <c r="E24" s="674">
        <f>IF(B24&gt;NClase,"--",IFERROR(VLOOKUP(B24,Flts!$H$14:$I$349,2,FALSE),E23))</f>
        <v>45944</v>
      </c>
      <c r="F24" s="785">
        <f>IF(B24&gt;NClase,"--",IFERROR(_xlfn.XLOOKUP(B24,Flts!$H$14:$H$349,Flts!$AS$14:$AS$349),F23))</f>
        <v>1</v>
      </c>
      <c r="G24" s="674" t="str">
        <f>IF(B24&gt;NClase,"--",IFERROR(_xlfn.XLOOKUP(B24,Flts!$H$14:$H$349,Flts!$E$14:$E$349),G23))</f>
        <v>UD01</v>
      </c>
      <c r="H24" s="687"/>
      <c r="I24" s="687"/>
      <c r="J24" s="687"/>
      <c r="K24" s="687"/>
      <c r="L24" s="716"/>
    </row>
    <row r="25" spans="2:12" ht="50.1" customHeight="1" x14ac:dyDescent="0.3">
      <c r="B25" s="673">
        <f>IF(NClase&gt;=MAX(B$5:$B24)+1,B24+1,"--")</f>
        <v>21</v>
      </c>
      <c r="C25" s="674" t="str">
        <f t="shared" si="0"/>
        <v>Mié</v>
      </c>
      <c r="D25" s="675">
        <f t="shared" si="1"/>
        <v>45945</v>
      </c>
      <c r="E25" s="674">
        <f>IF(B25&gt;NClase,"--",IFERROR(VLOOKUP(B25,Flts!$H$14:$I$349,2,FALSE),E24))</f>
        <v>45945</v>
      </c>
      <c r="F25" s="785">
        <f>IF(B25&gt;NClase,"--",IFERROR(_xlfn.XLOOKUP(B25,Flts!$H$14:$H$349,Flts!$AS$14:$AS$349),F24))</f>
        <v>1</v>
      </c>
      <c r="G25" s="674" t="str">
        <f>IF(B25&gt;NClase,"--",IFERROR(_xlfn.XLOOKUP(B25,Flts!$H$14:$H$349,Flts!$E$14:$E$349),G24))</f>
        <v>UD01</v>
      </c>
      <c r="H25" s="687"/>
      <c r="I25" s="687"/>
      <c r="J25" s="687"/>
      <c r="K25" s="687"/>
      <c r="L25" s="716"/>
    </row>
    <row r="26" spans="2:12" ht="50.1" customHeight="1" x14ac:dyDescent="0.3">
      <c r="B26" s="673">
        <f>IF(NClase&gt;=MAX(B$5:$B25)+1,B25+1,"--")</f>
        <v>22</v>
      </c>
      <c r="C26" s="674" t="str">
        <f t="shared" si="0"/>
        <v>Jue</v>
      </c>
      <c r="D26" s="675">
        <f t="shared" si="1"/>
        <v>45946</v>
      </c>
      <c r="E26" s="674">
        <f>IF(B26&gt;NClase,"--",IFERROR(VLOOKUP(B26,Flts!$H$14:$I$349,2,FALSE),E25))</f>
        <v>45946</v>
      </c>
      <c r="F26" s="785">
        <f>IF(B26&gt;NClase,"--",IFERROR(_xlfn.XLOOKUP(B26,Flts!$H$14:$H$349,Flts!$AS$14:$AS$349),F25))</f>
        <v>1</v>
      </c>
      <c r="G26" s="674" t="str">
        <f>IF(B26&gt;NClase,"--",IFERROR(_xlfn.XLOOKUP(B26,Flts!$H$14:$H$349,Flts!$E$14:$E$349),G25))</f>
        <v>UD01</v>
      </c>
      <c r="H26" s="687"/>
      <c r="I26" s="687"/>
      <c r="J26" s="687"/>
      <c r="K26" s="687"/>
      <c r="L26" s="716"/>
    </row>
    <row r="27" spans="2:12" ht="50.1" customHeight="1" x14ac:dyDescent="0.3">
      <c r="B27" s="673">
        <f>IF(NClase&gt;=MAX(B$5:$B26)+1,B26+1,"--")</f>
        <v>23</v>
      </c>
      <c r="C27" s="674" t="str">
        <f t="shared" si="0"/>
        <v>Vie</v>
      </c>
      <c r="D27" s="675">
        <f t="shared" si="1"/>
        <v>45947</v>
      </c>
      <c r="E27" s="674">
        <f>IF(B27&gt;NClase,"--",IFERROR(VLOOKUP(B27,Flts!$H$14:$I$349,2,FALSE),E26))</f>
        <v>45947</v>
      </c>
      <c r="F27" s="785">
        <f>IF(B27&gt;NClase,"--",IFERROR(_xlfn.XLOOKUP(B27,Flts!$H$14:$H$349,Flts!$AS$14:$AS$349),F26))</f>
        <v>1</v>
      </c>
      <c r="G27" s="674" t="str">
        <f>IF(B27&gt;NClase,"--",IFERROR(_xlfn.XLOOKUP(B27,Flts!$H$14:$H$349,Flts!$E$14:$E$349),G26))</f>
        <v>UD01</v>
      </c>
      <c r="H27" s="687"/>
      <c r="I27" s="687"/>
      <c r="J27" s="687"/>
      <c r="K27" s="687"/>
      <c r="L27" s="716"/>
    </row>
    <row r="28" spans="2:12" ht="50.1" customHeight="1" x14ac:dyDescent="0.3">
      <c r="B28" s="673">
        <f>IF(NClase&gt;=MAX(B$5:$B27)+1,B27+1,"--")</f>
        <v>24</v>
      </c>
      <c r="C28" s="674" t="str">
        <f t="shared" si="0"/>
        <v>Lun</v>
      </c>
      <c r="D28" s="675">
        <f t="shared" si="1"/>
        <v>45950</v>
      </c>
      <c r="E28" s="674">
        <f>IF(B28&gt;NClase,"--",IFERROR(VLOOKUP(B28,Flts!$H$14:$I$349,2,FALSE),E27))</f>
        <v>45950</v>
      </c>
      <c r="F28" s="785">
        <f>IF(B28&gt;NClase,"--",IFERROR(_xlfn.XLOOKUP(B28,Flts!$H$14:$H$349,Flts!$AS$14:$AS$349),F27))</f>
        <v>1</v>
      </c>
      <c r="G28" s="674" t="str">
        <f>IF(B28&gt;NClase,"--",IFERROR(_xlfn.XLOOKUP(B28,Flts!$H$14:$H$349,Flts!$E$14:$E$349),G27))</f>
        <v>UD01</v>
      </c>
      <c r="H28" s="687"/>
      <c r="I28" s="687"/>
      <c r="J28" s="687"/>
      <c r="K28" s="687"/>
      <c r="L28" s="716"/>
    </row>
    <row r="29" spans="2:12" ht="50.1" customHeight="1" x14ac:dyDescent="0.3">
      <c r="B29" s="673">
        <f>IF(NClase&gt;=MAX(B$5:$B28)+1,B28+1,"--")</f>
        <v>25</v>
      </c>
      <c r="C29" s="674" t="str">
        <f t="shared" si="0"/>
        <v>Mar</v>
      </c>
      <c r="D29" s="675">
        <f t="shared" si="1"/>
        <v>45951</v>
      </c>
      <c r="E29" s="674">
        <f>IF(B29&gt;NClase,"--",IFERROR(VLOOKUP(B29,Flts!$H$14:$I$349,2,FALSE),E28))</f>
        <v>45951</v>
      </c>
      <c r="F29" s="785">
        <f>IF(B29&gt;NClase,"--",IFERROR(_xlfn.XLOOKUP(B29,Flts!$H$14:$H$349,Flts!$AS$14:$AS$349),F28))</f>
        <v>1</v>
      </c>
      <c r="G29" s="674" t="str">
        <f>IF(B29&gt;NClase,"--",IFERROR(_xlfn.XLOOKUP(B29,Flts!$H$14:$H$349,Flts!$E$14:$E$349),G28))</f>
        <v>UD01</v>
      </c>
      <c r="H29" s="687"/>
      <c r="I29" s="687"/>
      <c r="J29" s="687"/>
      <c r="K29" s="687"/>
      <c r="L29" s="716"/>
    </row>
    <row r="30" spans="2:12" ht="50.1" customHeight="1" x14ac:dyDescent="0.3">
      <c r="B30" s="673">
        <f>IF(NClase&gt;=MAX(B$5:$B29)+1,B29+1,"--")</f>
        <v>26</v>
      </c>
      <c r="C30" s="674" t="str">
        <f t="shared" si="0"/>
        <v>Mié</v>
      </c>
      <c r="D30" s="675">
        <f t="shared" si="1"/>
        <v>45952</v>
      </c>
      <c r="E30" s="674">
        <f>IF(B30&gt;NClase,"--",IFERROR(VLOOKUP(B30,Flts!$H$14:$I$349,2,FALSE),E29))</f>
        <v>45952</v>
      </c>
      <c r="F30" s="785">
        <f>IF(B30&gt;NClase,"--",IFERROR(_xlfn.XLOOKUP(B30,Flts!$H$14:$H$349,Flts!$AS$14:$AS$349),F29))</f>
        <v>1</v>
      </c>
      <c r="G30" s="674" t="str">
        <f>IF(B30&gt;NClase,"--",IFERROR(_xlfn.XLOOKUP(B30,Flts!$H$14:$H$349,Flts!$E$14:$E$349),G29))</f>
        <v>UD01</v>
      </c>
      <c r="H30" s="687"/>
      <c r="I30" s="687"/>
      <c r="J30" s="687"/>
      <c r="K30" s="687"/>
      <c r="L30" s="716"/>
    </row>
    <row r="31" spans="2:12" ht="50.1" customHeight="1" x14ac:dyDescent="0.3">
      <c r="B31" s="673">
        <f>IF(NClase&gt;=MAX(B$5:$B30)+1,B30+1,"--")</f>
        <v>27</v>
      </c>
      <c r="C31" s="674" t="str">
        <f t="shared" si="0"/>
        <v>Jue</v>
      </c>
      <c r="D31" s="675">
        <f t="shared" si="1"/>
        <v>45953</v>
      </c>
      <c r="E31" s="674">
        <f>IF(B31&gt;NClase,"--",IFERROR(VLOOKUP(B31,Flts!$H$14:$I$349,2,FALSE),E30))</f>
        <v>45953</v>
      </c>
      <c r="F31" s="785">
        <f>IF(B31&gt;NClase,"--",IFERROR(_xlfn.XLOOKUP(B31,Flts!$H$14:$H$349,Flts!$AS$14:$AS$349),F30))</f>
        <v>1</v>
      </c>
      <c r="G31" s="674" t="str">
        <f>IF(B31&gt;NClase,"--",IFERROR(_xlfn.XLOOKUP(B31,Flts!$H$14:$H$349,Flts!$E$14:$E$349),G30))</f>
        <v>UD01</v>
      </c>
      <c r="H31" s="687"/>
      <c r="I31" s="687"/>
      <c r="J31" s="687"/>
      <c r="K31" s="687"/>
      <c r="L31" s="716"/>
    </row>
    <row r="32" spans="2:12" ht="50.1" customHeight="1" x14ac:dyDescent="0.3">
      <c r="B32" s="673">
        <f>IF(NClase&gt;=MAX(B$5:$B31)+1,B31+1,"--")</f>
        <v>28</v>
      </c>
      <c r="C32" s="674" t="str">
        <f t="shared" si="0"/>
        <v>Vie</v>
      </c>
      <c r="D32" s="675">
        <f t="shared" si="1"/>
        <v>45954</v>
      </c>
      <c r="E32" s="674">
        <f>IF(B32&gt;NClase,"--",IFERROR(VLOOKUP(B32,Flts!$H$14:$I$349,2,FALSE),E31))</f>
        <v>45954</v>
      </c>
      <c r="F32" s="785">
        <f>IF(B32&gt;NClase,"--",IFERROR(_xlfn.XLOOKUP(B32,Flts!$H$14:$H$349,Flts!$AS$14:$AS$349),F31))</f>
        <v>1</v>
      </c>
      <c r="G32" s="674" t="str">
        <f>IF(B32&gt;NClase,"--",IFERROR(_xlfn.XLOOKUP(B32,Flts!$H$14:$H$349,Flts!$E$14:$E$349),G31))</f>
        <v>UD01</v>
      </c>
      <c r="H32" s="687"/>
      <c r="I32" s="687"/>
      <c r="J32" s="687"/>
      <c r="K32" s="687"/>
      <c r="L32" s="716"/>
    </row>
    <row r="33" spans="2:12" ht="50.1" customHeight="1" x14ac:dyDescent="0.3">
      <c r="B33" s="673">
        <f>IF(NClase&gt;=MAX(B$5:$B32)+1,B32+1,"--")</f>
        <v>29</v>
      </c>
      <c r="C33" s="674" t="str">
        <f t="shared" si="0"/>
        <v>Lun</v>
      </c>
      <c r="D33" s="675">
        <f t="shared" si="1"/>
        <v>45957</v>
      </c>
      <c r="E33" s="674">
        <f>IF(B33&gt;NClase,"--",IFERROR(VLOOKUP(B33,Flts!$H$14:$I$349,2,FALSE),E32))</f>
        <v>45957</v>
      </c>
      <c r="F33" s="785">
        <f>IF(B33&gt;NClase,"--",IFERROR(_xlfn.XLOOKUP(B33,Flts!$H$14:$H$349,Flts!$AS$14:$AS$349),F32))</f>
        <v>1</v>
      </c>
      <c r="G33" s="674" t="str">
        <f>IF(B33&gt;NClase,"--",IFERROR(_xlfn.XLOOKUP(B33,Flts!$H$14:$H$349,Flts!$E$14:$E$349),G32))</f>
        <v>UD01</v>
      </c>
      <c r="H33" s="687"/>
      <c r="I33" s="687"/>
      <c r="J33" s="687"/>
      <c r="K33" s="687"/>
      <c r="L33" s="716"/>
    </row>
    <row r="34" spans="2:12" ht="50.1" customHeight="1" x14ac:dyDescent="0.3">
      <c r="B34" s="673">
        <f>IF(NClase&gt;=MAX(B$5:$B33)+1,B33+1,"--")</f>
        <v>30</v>
      </c>
      <c r="C34" s="674" t="str">
        <f t="shared" si="0"/>
        <v>Mar</v>
      </c>
      <c r="D34" s="675">
        <f t="shared" si="1"/>
        <v>45958</v>
      </c>
      <c r="E34" s="674">
        <f>IF(B34&gt;NClase,"--",IFERROR(VLOOKUP(B34,Flts!$H$14:$I$349,2,FALSE),E33))</f>
        <v>45958</v>
      </c>
      <c r="F34" s="785">
        <f>IF(B34&gt;NClase,"--",IFERROR(_xlfn.XLOOKUP(B34,Flts!$H$14:$H$349,Flts!$AS$14:$AS$349),F33))</f>
        <v>1</v>
      </c>
      <c r="G34" s="674" t="str">
        <f>IF(B34&gt;NClase,"--",IFERROR(_xlfn.XLOOKUP(B34,Flts!$H$14:$H$349,Flts!$E$14:$E$349),G33))</f>
        <v>UD01</v>
      </c>
      <c r="H34" s="687"/>
      <c r="I34" s="687"/>
      <c r="J34" s="687"/>
      <c r="K34" s="687"/>
      <c r="L34" s="716"/>
    </row>
    <row r="35" spans="2:12" ht="50.1" customHeight="1" x14ac:dyDescent="0.3">
      <c r="B35" s="673">
        <f>IF(NClase&gt;=MAX(B$5:$B34)+1,B34+1,"--")</f>
        <v>31</v>
      </c>
      <c r="C35" s="674" t="str">
        <f t="shared" si="0"/>
        <v>Mié</v>
      </c>
      <c r="D35" s="675">
        <f t="shared" si="1"/>
        <v>45959</v>
      </c>
      <c r="E35" s="674">
        <f>IF(B35&gt;NClase,"--",IFERROR(VLOOKUP(B35,Flts!$H$14:$I$349,2,FALSE),E34))</f>
        <v>45959</v>
      </c>
      <c r="F35" s="785">
        <f>IF(B35&gt;NClase,"--",IFERROR(_xlfn.XLOOKUP(B35,Flts!$H$14:$H$349,Flts!$AS$14:$AS$349),F34))</f>
        <v>1</v>
      </c>
      <c r="G35" s="674" t="str">
        <f>IF(B35&gt;NClase,"--",IFERROR(_xlfn.XLOOKUP(B35,Flts!$H$14:$H$349,Flts!$E$14:$E$349),G34))</f>
        <v>UD01</v>
      </c>
      <c r="H35" s="687"/>
      <c r="I35" s="687"/>
      <c r="J35" s="687"/>
      <c r="K35" s="687"/>
      <c r="L35" s="716"/>
    </row>
    <row r="36" spans="2:12" ht="50.1" customHeight="1" x14ac:dyDescent="0.3">
      <c r="B36" s="673">
        <f>IF(NClase&gt;=MAX(B$5:$B35)+1,B35+1,"--")</f>
        <v>32</v>
      </c>
      <c r="C36" s="674" t="str">
        <f t="shared" si="0"/>
        <v>Jue</v>
      </c>
      <c r="D36" s="675">
        <f t="shared" si="1"/>
        <v>45960</v>
      </c>
      <c r="E36" s="674">
        <f>IF(B36&gt;NClase,"--",IFERROR(VLOOKUP(B36,Flts!$H$14:$I$349,2,FALSE),E35))</f>
        <v>45960</v>
      </c>
      <c r="F36" s="785">
        <f>IF(B36&gt;NClase,"--",IFERROR(_xlfn.XLOOKUP(B36,Flts!$H$14:$H$349,Flts!$AS$14:$AS$349),F35))</f>
        <v>1</v>
      </c>
      <c r="G36" s="674" t="str">
        <f>IF(B36&gt;NClase,"--",IFERROR(_xlfn.XLOOKUP(B36,Flts!$H$14:$H$349,Flts!$E$14:$E$349),G35))</f>
        <v>UD01</v>
      </c>
      <c r="H36" s="687"/>
      <c r="I36" s="687"/>
      <c r="J36" s="687"/>
      <c r="K36" s="687"/>
      <c r="L36" s="716"/>
    </row>
    <row r="37" spans="2:12" ht="50.1" customHeight="1" x14ac:dyDescent="0.3">
      <c r="B37" s="673">
        <f>IF(NClase&gt;=MAX(B$5:$B36)+1,B36+1,"--")</f>
        <v>33</v>
      </c>
      <c r="C37" s="674" t="str">
        <f t="shared" si="0"/>
        <v>Vie</v>
      </c>
      <c r="D37" s="675">
        <f t="shared" si="1"/>
        <v>45961</v>
      </c>
      <c r="E37" s="674">
        <f>IF(B37&gt;NClase,"--",IFERROR(VLOOKUP(B37,Flts!$H$14:$I$349,2,FALSE),E36))</f>
        <v>45961</v>
      </c>
      <c r="F37" s="785">
        <f>IF(B37&gt;NClase,"--",IFERROR(_xlfn.XLOOKUP(B37,Flts!$H$14:$H$349,Flts!$AS$14:$AS$349),F36))</f>
        <v>1</v>
      </c>
      <c r="G37" s="674" t="str">
        <f>IF(B37&gt;NClase,"--",IFERROR(_xlfn.XLOOKUP(B37,Flts!$H$14:$H$349,Flts!$E$14:$E$349),G36))</f>
        <v>UD01</v>
      </c>
      <c r="H37" s="687"/>
      <c r="I37" s="687"/>
      <c r="J37" s="687"/>
      <c r="K37" s="687"/>
      <c r="L37" s="716"/>
    </row>
    <row r="38" spans="2:12" ht="50.1" customHeight="1" x14ac:dyDescent="0.3">
      <c r="B38" s="673">
        <f>IF(NClase&gt;=MAX(B$5:$B37)+1,B37+1,"--")</f>
        <v>34</v>
      </c>
      <c r="C38" s="674" t="str">
        <f t="shared" si="0"/>
        <v>Mar</v>
      </c>
      <c r="D38" s="675">
        <f t="shared" si="1"/>
        <v>45965</v>
      </c>
      <c r="E38" s="674">
        <f>IF(B38&gt;NClase,"--",IFERROR(VLOOKUP(B38,Flts!$H$14:$I$349,2,FALSE),E37))</f>
        <v>45965</v>
      </c>
      <c r="F38" s="785">
        <f>IF(B38&gt;NClase,"--",IFERROR(_xlfn.XLOOKUP(B38,Flts!$H$14:$H$349,Flts!$AS$14:$AS$349),F37))</f>
        <v>1</v>
      </c>
      <c r="G38" s="674" t="str">
        <f>IF(B38&gt;NClase,"--",IFERROR(_xlfn.XLOOKUP(B38,Flts!$H$14:$H$349,Flts!$E$14:$E$349),G37))</f>
        <v>UD01</v>
      </c>
      <c r="H38" s="687"/>
      <c r="I38" s="687"/>
      <c r="J38" s="687"/>
      <c r="K38" s="687"/>
      <c r="L38" s="716"/>
    </row>
    <row r="39" spans="2:12" ht="50.1" customHeight="1" x14ac:dyDescent="0.3">
      <c r="B39" s="673">
        <f>IF(NClase&gt;=MAX(B$5:$B38)+1,B38+1,"--")</f>
        <v>35</v>
      </c>
      <c r="C39" s="674" t="str">
        <f t="shared" si="0"/>
        <v>Mié</v>
      </c>
      <c r="D39" s="675">
        <f t="shared" si="1"/>
        <v>45966</v>
      </c>
      <c r="E39" s="674">
        <f>IF(B39&gt;NClase,"--",IFERROR(VLOOKUP(B39,Flts!$H$14:$I$349,2,FALSE),E38))</f>
        <v>45966</v>
      </c>
      <c r="F39" s="785">
        <f>IF(B39&gt;NClase,"--",IFERROR(_xlfn.XLOOKUP(B39,Flts!$H$14:$H$349,Flts!$AS$14:$AS$349),F38))</f>
        <v>1</v>
      </c>
      <c r="G39" s="674" t="str">
        <f>IF(B39&gt;NClase,"--",IFERROR(_xlfn.XLOOKUP(B39,Flts!$H$14:$H$349,Flts!$E$14:$E$349),G38))</f>
        <v>UD01</v>
      </c>
      <c r="H39" s="687"/>
      <c r="I39" s="687"/>
      <c r="J39" s="687"/>
      <c r="K39" s="687"/>
      <c r="L39" s="716"/>
    </row>
    <row r="40" spans="2:12" ht="50.1" customHeight="1" x14ac:dyDescent="0.3">
      <c r="B40" s="673">
        <f>IF(NClase&gt;=MAX(B$5:$B39)+1,B39+1,"--")</f>
        <v>36</v>
      </c>
      <c r="C40" s="674" t="str">
        <f t="shared" si="0"/>
        <v>Jue</v>
      </c>
      <c r="D40" s="675">
        <f t="shared" si="1"/>
        <v>45967</v>
      </c>
      <c r="E40" s="674">
        <f>IF(B40&gt;NClase,"--",IFERROR(VLOOKUP(B40,Flts!$H$14:$I$349,2,FALSE),E39))</f>
        <v>45967</v>
      </c>
      <c r="F40" s="785">
        <f>IF(B40&gt;NClase,"--",IFERROR(_xlfn.XLOOKUP(B40,Flts!$H$14:$H$349,Flts!$AS$14:$AS$349),F39))</f>
        <v>1</v>
      </c>
      <c r="G40" s="674" t="str">
        <f>IF(B40&gt;NClase,"--",IFERROR(_xlfn.XLOOKUP(B40,Flts!$H$14:$H$349,Flts!$E$14:$E$349),G39))</f>
        <v>UD02</v>
      </c>
      <c r="H40" s="687"/>
      <c r="I40" s="687"/>
      <c r="J40" s="687"/>
      <c r="K40" s="687"/>
      <c r="L40" s="716"/>
    </row>
    <row r="41" spans="2:12" ht="50.1" customHeight="1" x14ac:dyDescent="0.3">
      <c r="B41" s="673">
        <f>IF(NClase&gt;=MAX(B$5:$B40)+1,B40+1,"--")</f>
        <v>37</v>
      </c>
      <c r="C41" s="674" t="str">
        <f t="shared" si="0"/>
        <v>Vie</v>
      </c>
      <c r="D41" s="675">
        <f t="shared" si="1"/>
        <v>45968</v>
      </c>
      <c r="E41" s="674">
        <f>IF(B41&gt;NClase,"--",IFERROR(VLOOKUP(B41,Flts!$H$14:$I$349,2,FALSE),E40))</f>
        <v>45968</v>
      </c>
      <c r="F41" s="785">
        <f>IF(B41&gt;NClase,"--",IFERROR(_xlfn.XLOOKUP(B41,Flts!$H$14:$H$349,Flts!$AS$14:$AS$349),F40))</f>
        <v>1</v>
      </c>
      <c r="G41" s="674" t="str">
        <f>IF(B41&gt;NClase,"--",IFERROR(_xlfn.XLOOKUP(B41,Flts!$H$14:$H$349,Flts!$E$14:$E$349),G40))</f>
        <v>UD02</v>
      </c>
      <c r="H41" s="687"/>
      <c r="I41" s="687"/>
      <c r="J41" s="687"/>
      <c r="K41" s="687"/>
      <c r="L41" s="716"/>
    </row>
    <row r="42" spans="2:12" ht="50.1" customHeight="1" x14ac:dyDescent="0.3">
      <c r="B42" s="673">
        <f>IF(NClase&gt;=MAX(B$5:$B41)+1,B41+1,"--")</f>
        <v>38</v>
      </c>
      <c r="C42" s="674" t="str">
        <f t="shared" si="0"/>
        <v>Lun</v>
      </c>
      <c r="D42" s="675">
        <f t="shared" si="1"/>
        <v>45971</v>
      </c>
      <c r="E42" s="674">
        <f>IF(B42&gt;NClase,"--",IFERROR(VLOOKUP(B42,Flts!$H$14:$I$349,2,FALSE),E41))</f>
        <v>45971</v>
      </c>
      <c r="F42" s="785">
        <f>IF(B42&gt;NClase,"--",IFERROR(_xlfn.XLOOKUP(B42,Flts!$H$14:$H$349,Flts!$AS$14:$AS$349),F41))</f>
        <v>1</v>
      </c>
      <c r="G42" s="674" t="str">
        <f>IF(B42&gt;NClase,"--",IFERROR(_xlfn.XLOOKUP(B42,Flts!$H$14:$H$349,Flts!$E$14:$E$349),G41))</f>
        <v>UD02</v>
      </c>
      <c r="H42" s="687"/>
      <c r="I42" s="687"/>
      <c r="J42" s="687"/>
      <c r="K42" s="687"/>
      <c r="L42" s="716"/>
    </row>
    <row r="43" spans="2:12" ht="50.1" customHeight="1" x14ac:dyDescent="0.3">
      <c r="B43" s="673">
        <f>IF(NClase&gt;=MAX(B$5:$B42)+1,B42+1,"--")</f>
        <v>39</v>
      </c>
      <c r="C43" s="674" t="str">
        <f t="shared" si="0"/>
        <v>Mar</v>
      </c>
      <c r="D43" s="675">
        <f t="shared" si="1"/>
        <v>45972</v>
      </c>
      <c r="E43" s="674">
        <f>IF(B43&gt;NClase,"--",IFERROR(VLOOKUP(B43,Flts!$H$14:$I$349,2,FALSE),E42))</f>
        <v>45972</v>
      </c>
      <c r="F43" s="785">
        <f>IF(B43&gt;NClase,"--",IFERROR(_xlfn.XLOOKUP(B43,Flts!$H$14:$H$349,Flts!$AS$14:$AS$349),F42))</f>
        <v>1</v>
      </c>
      <c r="G43" s="674" t="str">
        <f>IF(B43&gt;NClase,"--",IFERROR(_xlfn.XLOOKUP(B43,Flts!$H$14:$H$349,Flts!$E$14:$E$349),G42))</f>
        <v>UD02</v>
      </c>
      <c r="H43" s="687"/>
      <c r="I43" s="687"/>
      <c r="J43" s="687"/>
      <c r="K43" s="687"/>
      <c r="L43" s="716"/>
    </row>
    <row r="44" spans="2:12" ht="50.1" customHeight="1" x14ac:dyDescent="0.3">
      <c r="B44" s="673">
        <f>IF(NClase&gt;=MAX(B$5:$B43)+1,B43+1,"--")</f>
        <v>40</v>
      </c>
      <c r="C44" s="674" t="str">
        <f t="shared" si="0"/>
        <v>Mié</v>
      </c>
      <c r="D44" s="675">
        <f t="shared" si="1"/>
        <v>45973</v>
      </c>
      <c r="E44" s="674">
        <f>IF(B44&gt;NClase,"--",IFERROR(VLOOKUP(B44,Flts!$H$14:$I$349,2,FALSE),E43))</f>
        <v>45973</v>
      </c>
      <c r="F44" s="785">
        <f>IF(B44&gt;NClase,"--",IFERROR(_xlfn.XLOOKUP(B44,Flts!$H$14:$H$349,Flts!$AS$14:$AS$349),F43))</f>
        <v>1</v>
      </c>
      <c r="G44" s="674" t="str">
        <f>IF(B44&gt;NClase,"--",IFERROR(_xlfn.XLOOKUP(B44,Flts!$H$14:$H$349,Flts!$E$14:$E$349),G43))</f>
        <v>UD02</v>
      </c>
      <c r="H44" s="687"/>
      <c r="I44" s="687"/>
      <c r="J44" s="687"/>
      <c r="K44" s="687"/>
      <c r="L44" s="716"/>
    </row>
    <row r="45" spans="2:12" ht="50.1" customHeight="1" x14ac:dyDescent="0.3">
      <c r="B45" s="673">
        <f>IF(NClase&gt;=MAX(B$5:$B44)+1,B44+1,"--")</f>
        <v>41</v>
      </c>
      <c r="C45" s="674" t="str">
        <f t="shared" si="0"/>
        <v>Jue</v>
      </c>
      <c r="D45" s="675">
        <f t="shared" si="1"/>
        <v>45974</v>
      </c>
      <c r="E45" s="674">
        <f>IF(B45&gt;NClase,"--",IFERROR(VLOOKUP(B45,Flts!$H$14:$I$349,2,FALSE),E44))</f>
        <v>45974</v>
      </c>
      <c r="F45" s="785">
        <f>IF(B45&gt;NClase,"--",IFERROR(_xlfn.XLOOKUP(B45,Flts!$H$14:$H$349,Flts!$AS$14:$AS$349),F44))</f>
        <v>1</v>
      </c>
      <c r="G45" s="674" t="str">
        <f>IF(B45&gt;NClase,"--",IFERROR(_xlfn.XLOOKUP(B45,Flts!$H$14:$H$349,Flts!$E$14:$E$349),G44))</f>
        <v>UD02</v>
      </c>
      <c r="H45" s="687"/>
      <c r="I45" s="687"/>
      <c r="J45" s="687"/>
      <c r="K45" s="687"/>
      <c r="L45" s="716"/>
    </row>
    <row r="46" spans="2:12" ht="50.1" customHeight="1" x14ac:dyDescent="0.3">
      <c r="B46" s="673">
        <f>IF(NClase&gt;=MAX(B$5:$B45)+1,B45+1,"--")</f>
        <v>42</v>
      </c>
      <c r="C46" s="674" t="str">
        <f t="shared" si="0"/>
        <v>Vie</v>
      </c>
      <c r="D46" s="675">
        <f t="shared" si="1"/>
        <v>45975</v>
      </c>
      <c r="E46" s="674">
        <f>IF(B46&gt;NClase,"--",IFERROR(VLOOKUP(B46,Flts!$H$14:$I$349,2,FALSE),E45))</f>
        <v>45975</v>
      </c>
      <c r="F46" s="785">
        <f>IF(B46&gt;NClase,"--",IFERROR(_xlfn.XLOOKUP(B46,Flts!$H$14:$H$349,Flts!$AS$14:$AS$349),F45))</f>
        <v>1</v>
      </c>
      <c r="G46" s="674" t="str">
        <f>IF(B46&gt;NClase,"--",IFERROR(_xlfn.XLOOKUP(B46,Flts!$H$14:$H$349,Flts!$E$14:$E$349),G45))</f>
        <v>UD02</v>
      </c>
      <c r="H46" s="687"/>
      <c r="I46" s="687"/>
      <c r="J46" s="687"/>
      <c r="K46" s="687"/>
      <c r="L46" s="716"/>
    </row>
    <row r="47" spans="2:12" ht="50.1" customHeight="1" x14ac:dyDescent="0.3">
      <c r="B47" s="673">
        <f>IF(NClase&gt;=MAX(B$5:$B46)+1,B46+1,"--")</f>
        <v>43</v>
      </c>
      <c r="C47" s="674" t="str">
        <f t="shared" si="0"/>
        <v>Lun</v>
      </c>
      <c r="D47" s="675">
        <f t="shared" si="1"/>
        <v>45978</v>
      </c>
      <c r="E47" s="674">
        <f>IF(B47&gt;NClase,"--",IFERROR(VLOOKUP(B47,Flts!$H$14:$I$349,2,FALSE),E46))</f>
        <v>45978</v>
      </c>
      <c r="F47" s="785">
        <f>IF(B47&gt;NClase,"--",IFERROR(_xlfn.XLOOKUP(B47,Flts!$H$14:$H$349,Flts!$AS$14:$AS$349),F46))</f>
        <v>1</v>
      </c>
      <c r="G47" s="674" t="str">
        <f>IF(B47&gt;NClase,"--",IFERROR(_xlfn.XLOOKUP(B47,Flts!$H$14:$H$349,Flts!$E$14:$E$349),G46))</f>
        <v>UD02</v>
      </c>
      <c r="H47" s="687"/>
      <c r="I47" s="687"/>
      <c r="J47" s="687"/>
      <c r="K47" s="687"/>
      <c r="L47" s="716"/>
    </row>
    <row r="48" spans="2:12" ht="50.1" customHeight="1" x14ac:dyDescent="0.3">
      <c r="B48" s="673">
        <f>IF(NClase&gt;=MAX(B$5:$B47)+1,B47+1,"--")</f>
        <v>44</v>
      </c>
      <c r="C48" s="674" t="str">
        <f t="shared" si="0"/>
        <v>Mar</v>
      </c>
      <c r="D48" s="675">
        <f t="shared" si="1"/>
        <v>45979</v>
      </c>
      <c r="E48" s="674">
        <f>IF(B48&gt;NClase,"--",IFERROR(VLOOKUP(B48,Flts!$H$14:$I$349,2,FALSE),E47))</f>
        <v>45979</v>
      </c>
      <c r="F48" s="785">
        <f>IF(B48&gt;NClase,"--",IFERROR(_xlfn.XLOOKUP(B48,Flts!$H$14:$H$349,Flts!$AS$14:$AS$349),F47))</f>
        <v>1</v>
      </c>
      <c r="G48" s="674" t="str">
        <f>IF(B48&gt;NClase,"--",IFERROR(_xlfn.XLOOKUP(B48,Flts!$H$14:$H$349,Flts!$E$14:$E$349),G47))</f>
        <v>UD02</v>
      </c>
      <c r="H48" s="687"/>
      <c r="I48" s="687"/>
      <c r="J48" s="687"/>
      <c r="K48" s="687"/>
      <c r="L48" s="716"/>
    </row>
    <row r="49" spans="2:12" ht="50.1" customHeight="1" x14ac:dyDescent="0.3">
      <c r="B49" s="673">
        <f>IF(NClase&gt;=MAX(B$5:$B48)+1,B48+1,"--")</f>
        <v>45</v>
      </c>
      <c r="C49" s="674" t="str">
        <f t="shared" si="0"/>
        <v>Mié</v>
      </c>
      <c r="D49" s="675">
        <f t="shared" si="1"/>
        <v>45980</v>
      </c>
      <c r="E49" s="674">
        <f>IF(B49&gt;NClase,"--",IFERROR(VLOOKUP(B49,Flts!$H$14:$I$349,2,FALSE),E48))</f>
        <v>45980</v>
      </c>
      <c r="F49" s="785">
        <f>IF(B49&gt;NClase,"--",IFERROR(_xlfn.XLOOKUP(B49,Flts!$H$14:$H$349,Flts!$AS$14:$AS$349),F48))</f>
        <v>1</v>
      </c>
      <c r="G49" s="674" t="str">
        <f>IF(B49&gt;NClase,"--",IFERROR(_xlfn.XLOOKUP(B49,Flts!$H$14:$H$349,Flts!$E$14:$E$349),G48))</f>
        <v>UD02</v>
      </c>
      <c r="H49" s="687"/>
      <c r="I49" s="687"/>
      <c r="J49" s="687"/>
      <c r="K49" s="687"/>
      <c r="L49" s="716"/>
    </row>
    <row r="50" spans="2:12" ht="50.1" customHeight="1" x14ac:dyDescent="0.3">
      <c r="B50" s="673">
        <f>IF(NClase&gt;=MAX(B$5:$B49)+1,B49+1,"--")</f>
        <v>46</v>
      </c>
      <c r="C50" s="674" t="str">
        <f t="shared" si="0"/>
        <v>Jue</v>
      </c>
      <c r="D50" s="675">
        <f t="shared" si="1"/>
        <v>45981</v>
      </c>
      <c r="E50" s="674">
        <f>IF(B50&gt;NClase,"--",IFERROR(VLOOKUP(B50,Flts!$H$14:$I$349,2,FALSE),E49))</f>
        <v>45981</v>
      </c>
      <c r="F50" s="785">
        <f>IF(B50&gt;NClase,"--",IFERROR(_xlfn.XLOOKUP(B50,Flts!$H$14:$H$349,Flts!$AS$14:$AS$349),F49))</f>
        <v>1</v>
      </c>
      <c r="G50" s="674" t="str">
        <f>IF(B50&gt;NClase,"--",IFERROR(_xlfn.XLOOKUP(B50,Flts!$H$14:$H$349,Flts!$E$14:$E$349),G49))</f>
        <v>UD02</v>
      </c>
      <c r="H50" s="687"/>
      <c r="I50" s="687"/>
      <c r="J50" s="687"/>
      <c r="K50" s="687"/>
      <c r="L50" s="716"/>
    </row>
    <row r="51" spans="2:12" ht="50.1" customHeight="1" x14ac:dyDescent="0.3">
      <c r="B51" s="673">
        <f>IF(NClase&gt;=MAX(B$5:$B50)+1,B50+1,"--")</f>
        <v>47</v>
      </c>
      <c r="C51" s="674" t="str">
        <f t="shared" si="0"/>
        <v>Vie</v>
      </c>
      <c r="D51" s="675">
        <f t="shared" si="1"/>
        <v>45982</v>
      </c>
      <c r="E51" s="674">
        <f>IF(B51&gt;NClase,"--",IFERROR(VLOOKUP(B51,Flts!$H$14:$I$349,2,FALSE),E50))</f>
        <v>45982</v>
      </c>
      <c r="F51" s="785">
        <f>IF(B51&gt;NClase,"--",IFERROR(_xlfn.XLOOKUP(B51,Flts!$H$14:$H$349,Flts!$AS$14:$AS$349),F50))</f>
        <v>1</v>
      </c>
      <c r="G51" s="674" t="str">
        <f>IF(B51&gt;NClase,"--",IFERROR(_xlfn.XLOOKUP(B51,Flts!$H$14:$H$349,Flts!$E$14:$E$349),G50))</f>
        <v>UD02</v>
      </c>
      <c r="H51" s="687"/>
      <c r="I51" s="687"/>
      <c r="J51" s="687"/>
      <c r="K51" s="687"/>
      <c r="L51" s="716"/>
    </row>
    <row r="52" spans="2:12" ht="50.1" customHeight="1" x14ac:dyDescent="0.3">
      <c r="B52" s="673">
        <f>IF(NClase&gt;=MAX(B$5:$B51)+1,B51+1,"--")</f>
        <v>48</v>
      </c>
      <c r="C52" s="674" t="str">
        <f t="shared" si="0"/>
        <v>Lun</v>
      </c>
      <c r="D52" s="675">
        <f t="shared" si="1"/>
        <v>45985</v>
      </c>
      <c r="E52" s="674">
        <f>IF(B52&gt;NClase,"--",IFERROR(VLOOKUP(B52,Flts!$H$14:$I$349,2,FALSE),E51))</f>
        <v>45985</v>
      </c>
      <c r="F52" s="785">
        <f>IF(B52&gt;NClase,"--",IFERROR(_xlfn.XLOOKUP(B52,Flts!$H$14:$H$349,Flts!$AS$14:$AS$349),F51))</f>
        <v>1</v>
      </c>
      <c r="G52" s="674" t="str">
        <f>IF(B52&gt;NClase,"--",IFERROR(_xlfn.XLOOKUP(B52,Flts!$H$14:$H$349,Flts!$E$14:$E$349),G51))</f>
        <v>UD02</v>
      </c>
      <c r="H52" s="687"/>
      <c r="I52" s="687"/>
      <c r="J52" s="687"/>
      <c r="K52" s="687"/>
      <c r="L52" s="716"/>
    </row>
    <row r="53" spans="2:12" ht="50.1" customHeight="1" x14ac:dyDescent="0.3">
      <c r="B53" s="673">
        <f>IF(NClase&gt;=MAX(B$5:$B52)+1,B52+1,"--")</f>
        <v>49</v>
      </c>
      <c r="C53" s="674" t="str">
        <f t="shared" si="0"/>
        <v>Mar</v>
      </c>
      <c r="D53" s="675">
        <f t="shared" si="1"/>
        <v>45986</v>
      </c>
      <c r="E53" s="674">
        <f>IF(B53&gt;NClase,"--",IFERROR(VLOOKUP(B53,Flts!$H$14:$I$349,2,FALSE),E52))</f>
        <v>45986</v>
      </c>
      <c r="F53" s="785">
        <f>IF(B53&gt;NClase,"--",IFERROR(_xlfn.XLOOKUP(B53,Flts!$H$14:$H$349,Flts!$AS$14:$AS$349),F52))</f>
        <v>1</v>
      </c>
      <c r="G53" s="674" t="str">
        <f>IF(B53&gt;NClase,"--",IFERROR(_xlfn.XLOOKUP(B53,Flts!$H$14:$H$349,Flts!$E$14:$E$349),G52))</f>
        <v>UD02</v>
      </c>
      <c r="H53" s="687"/>
      <c r="I53" s="687"/>
      <c r="J53" s="687"/>
      <c r="K53" s="687"/>
      <c r="L53" s="716"/>
    </row>
    <row r="54" spans="2:12" ht="50.1" customHeight="1" x14ac:dyDescent="0.3">
      <c r="B54" s="673">
        <f>IF(NClase&gt;=MAX(B$5:$B53)+1,B53+1,"--")</f>
        <v>50</v>
      </c>
      <c r="C54" s="674" t="str">
        <f t="shared" si="0"/>
        <v>Mié</v>
      </c>
      <c r="D54" s="675">
        <f t="shared" si="1"/>
        <v>45987</v>
      </c>
      <c r="E54" s="674">
        <f>IF(B54&gt;NClase,"--",IFERROR(VLOOKUP(B54,Flts!$H$14:$I$349,2,FALSE),E53))</f>
        <v>45987</v>
      </c>
      <c r="F54" s="785">
        <f>IF(B54&gt;NClase,"--",IFERROR(_xlfn.XLOOKUP(B54,Flts!$H$14:$H$349,Flts!$AS$14:$AS$349),F53))</f>
        <v>1</v>
      </c>
      <c r="G54" s="674" t="str">
        <f>IF(B54&gt;NClase,"--",IFERROR(_xlfn.XLOOKUP(B54,Flts!$H$14:$H$349,Flts!$E$14:$E$349),G53))</f>
        <v>UD02</v>
      </c>
      <c r="H54" s="687"/>
      <c r="I54" s="687"/>
      <c r="J54" s="687"/>
      <c r="K54" s="687"/>
      <c r="L54" s="716"/>
    </row>
    <row r="55" spans="2:12" ht="50.1" customHeight="1" x14ac:dyDescent="0.3">
      <c r="B55" s="673">
        <f>IF(NClase&gt;=MAX(B$5:$B54)+1,B54+1,"--")</f>
        <v>51</v>
      </c>
      <c r="C55" s="674" t="str">
        <f t="shared" si="0"/>
        <v>Jue</v>
      </c>
      <c r="D55" s="675">
        <f t="shared" si="1"/>
        <v>45988</v>
      </c>
      <c r="E55" s="674">
        <f>IF(B55&gt;NClase,"--",IFERROR(VLOOKUP(B55,Flts!$H$14:$I$349,2,FALSE),E54))</f>
        <v>45988</v>
      </c>
      <c r="F55" s="785">
        <f>IF(B55&gt;NClase,"--",IFERROR(_xlfn.XLOOKUP(B55,Flts!$H$14:$H$349,Flts!$AS$14:$AS$349),F54))</f>
        <v>1</v>
      </c>
      <c r="G55" s="674" t="str">
        <f>IF(B55&gt;NClase,"--",IFERROR(_xlfn.XLOOKUP(B55,Flts!$H$14:$H$349,Flts!$E$14:$E$349),G54))</f>
        <v>UD02</v>
      </c>
      <c r="H55" s="687"/>
      <c r="I55" s="687"/>
      <c r="J55" s="687"/>
      <c r="K55" s="687"/>
      <c r="L55" s="716"/>
    </row>
    <row r="56" spans="2:12" ht="50.1" customHeight="1" x14ac:dyDescent="0.3">
      <c r="B56" s="673">
        <f>IF(NClase&gt;=MAX(B$5:$B55)+1,B55+1,"--")</f>
        <v>52</v>
      </c>
      <c r="C56" s="674" t="str">
        <f t="shared" si="0"/>
        <v>Vie</v>
      </c>
      <c r="D56" s="675">
        <f t="shared" si="1"/>
        <v>45989</v>
      </c>
      <c r="E56" s="674">
        <f>IF(B56&gt;NClase,"--",IFERROR(VLOOKUP(B56,Flts!$H$14:$I$349,2,FALSE),E55))</f>
        <v>45989</v>
      </c>
      <c r="F56" s="785">
        <f>IF(B56&gt;NClase,"--",IFERROR(_xlfn.XLOOKUP(B56,Flts!$H$14:$H$349,Flts!$AS$14:$AS$349),F55))</f>
        <v>1</v>
      </c>
      <c r="G56" s="674" t="str">
        <f>IF(B56&gt;NClase,"--",IFERROR(_xlfn.XLOOKUP(B56,Flts!$H$14:$H$349,Flts!$E$14:$E$349),G55))</f>
        <v>UD02</v>
      </c>
      <c r="H56" s="687"/>
      <c r="I56" s="687"/>
      <c r="J56" s="687"/>
      <c r="K56" s="687"/>
      <c r="L56" s="716"/>
    </row>
    <row r="57" spans="2:12" ht="50.1" customHeight="1" x14ac:dyDescent="0.3">
      <c r="B57" s="673">
        <f>IF(NClase&gt;=MAX(B$5:$B56)+1,B56+1,"--")</f>
        <v>53</v>
      </c>
      <c r="C57" s="674" t="str">
        <f t="shared" si="0"/>
        <v>Lun</v>
      </c>
      <c r="D57" s="675">
        <f t="shared" si="1"/>
        <v>45992</v>
      </c>
      <c r="E57" s="674">
        <f>IF(B57&gt;NClase,"--",IFERROR(VLOOKUP(B57,Flts!$H$14:$I$349,2,FALSE),E56))</f>
        <v>45992</v>
      </c>
      <c r="F57" s="785">
        <f>IF(B57&gt;NClase,"--",IFERROR(_xlfn.XLOOKUP(B57,Flts!$H$14:$H$349,Flts!$AS$14:$AS$349),F56))</f>
        <v>1</v>
      </c>
      <c r="G57" s="674" t="str">
        <f>IF(B57&gt;NClase,"--",IFERROR(_xlfn.XLOOKUP(B57,Flts!$H$14:$H$349,Flts!$E$14:$E$349),G56))</f>
        <v>UD02</v>
      </c>
      <c r="H57" s="687"/>
      <c r="I57" s="687"/>
      <c r="J57" s="687"/>
      <c r="K57" s="687"/>
      <c r="L57" s="716"/>
    </row>
    <row r="58" spans="2:12" ht="50.1" customHeight="1" x14ac:dyDescent="0.3">
      <c r="B58" s="673">
        <f>IF(NClase&gt;=MAX(B$5:$B57)+1,B57+1,"--")</f>
        <v>54</v>
      </c>
      <c r="C58" s="674" t="str">
        <f t="shared" si="0"/>
        <v>Mar</v>
      </c>
      <c r="D58" s="675">
        <f t="shared" si="1"/>
        <v>45993</v>
      </c>
      <c r="E58" s="674">
        <f>IF(B58&gt;NClase,"--",IFERROR(VLOOKUP(B58,Flts!$H$14:$I$349,2,FALSE),E57))</f>
        <v>45993</v>
      </c>
      <c r="F58" s="785">
        <f>IF(B58&gt;NClase,"--",IFERROR(_xlfn.XLOOKUP(B58,Flts!$H$14:$H$349,Flts!$AS$14:$AS$349),F57))</f>
        <v>1</v>
      </c>
      <c r="G58" s="674" t="str">
        <f>IF(B58&gt;NClase,"--",IFERROR(_xlfn.XLOOKUP(B58,Flts!$H$14:$H$349,Flts!$E$14:$E$349),G57))</f>
        <v>UD02</v>
      </c>
      <c r="H58" s="687"/>
      <c r="I58" s="687"/>
      <c r="J58" s="687"/>
      <c r="K58" s="687"/>
      <c r="L58" s="716"/>
    </row>
    <row r="59" spans="2:12" ht="50.1" customHeight="1" x14ac:dyDescent="0.3">
      <c r="B59" s="673">
        <f>IF(NClase&gt;=MAX(B$5:$B58)+1,B58+1,"--")</f>
        <v>55</v>
      </c>
      <c r="C59" s="674" t="str">
        <f t="shared" si="0"/>
        <v>Mié</v>
      </c>
      <c r="D59" s="675">
        <f t="shared" si="1"/>
        <v>45994</v>
      </c>
      <c r="E59" s="674">
        <f>IF(B59&gt;NClase,"--",IFERROR(VLOOKUP(B59,Flts!$H$14:$I$349,2,FALSE),E58))</f>
        <v>45994</v>
      </c>
      <c r="F59" s="785">
        <f>IF(B59&gt;NClase,"--",IFERROR(_xlfn.XLOOKUP(B59,Flts!$H$14:$H$349,Flts!$AS$14:$AS$349),F58))</f>
        <v>1</v>
      </c>
      <c r="G59" s="674" t="str">
        <f>IF(B59&gt;NClase,"--",IFERROR(_xlfn.XLOOKUP(B59,Flts!$H$14:$H$349,Flts!$E$14:$E$349),G58))</f>
        <v>UD02</v>
      </c>
      <c r="H59" s="687"/>
      <c r="I59" s="687"/>
      <c r="J59" s="687"/>
      <c r="K59" s="687"/>
      <c r="L59" s="716"/>
    </row>
    <row r="60" spans="2:12" ht="50.1" customHeight="1" x14ac:dyDescent="0.3">
      <c r="B60" s="673">
        <f>IF(NClase&gt;=MAX(B$5:$B59)+1,B59+1,"--")</f>
        <v>56</v>
      </c>
      <c r="C60" s="674" t="str">
        <f t="shared" si="0"/>
        <v>Jue</v>
      </c>
      <c r="D60" s="675">
        <f t="shared" si="1"/>
        <v>45995</v>
      </c>
      <c r="E60" s="674">
        <f>IF(B60&gt;NClase,"--",IFERROR(VLOOKUP(B60,Flts!$H$14:$I$349,2,FALSE),E59))</f>
        <v>45995</v>
      </c>
      <c r="F60" s="785">
        <f>IF(B60&gt;NClase,"--",IFERROR(_xlfn.XLOOKUP(B60,Flts!$H$14:$H$349,Flts!$AS$14:$AS$349),F59))</f>
        <v>1</v>
      </c>
      <c r="G60" s="674" t="str">
        <f>IF(B60&gt;NClase,"--",IFERROR(_xlfn.XLOOKUP(B60,Flts!$H$14:$H$349,Flts!$E$14:$E$349),G59))</f>
        <v>UD02</v>
      </c>
      <c r="H60" s="687"/>
      <c r="I60" s="687"/>
      <c r="J60" s="687"/>
      <c r="K60" s="687"/>
      <c r="L60" s="716"/>
    </row>
    <row r="61" spans="2:12" ht="50.1" customHeight="1" x14ac:dyDescent="0.3">
      <c r="B61" s="673">
        <f>IF(NClase&gt;=MAX(B$5:$B60)+1,B60+1,"--")</f>
        <v>57</v>
      </c>
      <c r="C61" s="674" t="str">
        <f t="shared" si="0"/>
        <v>Vie</v>
      </c>
      <c r="D61" s="675">
        <f t="shared" si="1"/>
        <v>45996</v>
      </c>
      <c r="E61" s="674">
        <f>IF(B61&gt;NClase,"--",IFERROR(VLOOKUP(B61,Flts!$H$14:$I$349,2,FALSE),E60))</f>
        <v>45996</v>
      </c>
      <c r="F61" s="785">
        <f>IF(B61&gt;NClase,"--",IFERROR(_xlfn.XLOOKUP(B61,Flts!$H$14:$H$349,Flts!$AS$14:$AS$349),F60))</f>
        <v>1</v>
      </c>
      <c r="G61" s="674" t="str">
        <f>IF(B61&gt;NClase,"--",IFERROR(_xlfn.XLOOKUP(B61,Flts!$H$14:$H$349,Flts!$E$14:$E$349),G60))</f>
        <v>UD02</v>
      </c>
      <c r="H61" s="687"/>
      <c r="I61" s="687"/>
      <c r="J61" s="687"/>
      <c r="K61" s="687"/>
      <c r="L61" s="716"/>
    </row>
    <row r="62" spans="2:12" ht="50.1" customHeight="1" x14ac:dyDescent="0.3">
      <c r="B62" s="673">
        <f>IF(NClase&gt;=MAX(B$5:$B61)+1,B61+1,"--")</f>
        <v>58</v>
      </c>
      <c r="C62" s="674" t="str">
        <f t="shared" si="0"/>
        <v>Mar</v>
      </c>
      <c r="D62" s="675">
        <f t="shared" si="1"/>
        <v>46000</v>
      </c>
      <c r="E62" s="674">
        <f>IF(B62&gt;NClase,"--",IFERROR(VLOOKUP(B62,Flts!$H$14:$I$349,2,FALSE),E61))</f>
        <v>46000</v>
      </c>
      <c r="F62" s="785">
        <f>IF(B62&gt;NClase,"--",IFERROR(_xlfn.XLOOKUP(B62,Flts!$H$14:$H$349,Flts!$AS$14:$AS$349),F61))</f>
        <v>1</v>
      </c>
      <c r="G62" s="674" t="str">
        <f>IF(B62&gt;NClase,"--",IFERROR(_xlfn.XLOOKUP(B62,Flts!$H$14:$H$349,Flts!$E$14:$E$349),G61))</f>
        <v>UD02</v>
      </c>
      <c r="H62" s="687"/>
      <c r="I62" s="687"/>
      <c r="J62" s="687"/>
      <c r="K62" s="687"/>
      <c r="L62" s="716"/>
    </row>
    <row r="63" spans="2:12" ht="50.1" customHeight="1" x14ac:dyDescent="0.3">
      <c r="B63" s="673">
        <f>IF(NClase&gt;=MAX(B$5:$B62)+1,B62+1,"--")</f>
        <v>59</v>
      </c>
      <c r="C63" s="674" t="str">
        <f t="shared" si="0"/>
        <v>Mié</v>
      </c>
      <c r="D63" s="675">
        <f t="shared" si="1"/>
        <v>46001</v>
      </c>
      <c r="E63" s="674">
        <f>IF(B63&gt;NClase,"--",IFERROR(VLOOKUP(B63,Flts!$H$14:$I$349,2,FALSE),E62))</f>
        <v>46001</v>
      </c>
      <c r="F63" s="785">
        <f>IF(B63&gt;NClase,"--",IFERROR(_xlfn.XLOOKUP(B63,Flts!$H$14:$H$349,Flts!$AS$14:$AS$349),F62))</f>
        <v>1</v>
      </c>
      <c r="G63" s="674" t="str">
        <f>IF(B63&gt;NClase,"--",IFERROR(_xlfn.XLOOKUP(B63,Flts!$H$14:$H$349,Flts!$E$14:$E$349),G62))</f>
        <v>UD02</v>
      </c>
      <c r="H63" s="687"/>
      <c r="I63" s="687"/>
      <c r="J63" s="687"/>
      <c r="K63" s="687"/>
      <c r="L63" s="716"/>
    </row>
    <row r="64" spans="2:12" ht="50.1" customHeight="1" x14ac:dyDescent="0.3">
      <c r="B64" s="673">
        <f>IF(NClase&gt;=MAX(B$5:$B63)+1,B63+1,"--")</f>
        <v>60</v>
      </c>
      <c r="C64" s="674" t="str">
        <f t="shared" si="0"/>
        <v>Jue</v>
      </c>
      <c r="D64" s="675">
        <f t="shared" si="1"/>
        <v>46002</v>
      </c>
      <c r="E64" s="674">
        <f>IF(B64&gt;NClase,"--",IFERROR(VLOOKUP(B64,Flts!$H$14:$I$349,2,FALSE),E63))</f>
        <v>46002</v>
      </c>
      <c r="F64" s="785">
        <f>IF(B64&gt;NClase,"--",IFERROR(_xlfn.XLOOKUP(B64,Flts!$H$14:$H$349,Flts!$AS$14:$AS$349),F63))</f>
        <v>1</v>
      </c>
      <c r="G64" s="674" t="str">
        <f>IF(B64&gt;NClase,"--",IFERROR(_xlfn.XLOOKUP(B64,Flts!$H$14:$H$349,Flts!$E$14:$E$349),G63))</f>
        <v>UD02</v>
      </c>
      <c r="H64" s="687"/>
      <c r="I64" s="687"/>
      <c r="J64" s="687"/>
      <c r="K64" s="687"/>
      <c r="L64" s="716"/>
    </row>
    <row r="65" spans="2:12" ht="50.1" customHeight="1" x14ac:dyDescent="0.3">
      <c r="B65" s="673">
        <f>IF(NClase&gt;=MAX(B$5:$B64)+1,B64+1,"--")</f>
        <v>61</v>
      </c>
      <c r="C65" s="674" t="str">
        <f t="shared" si="0"/>
        <v>Vie</v>
      </c>
      <c r="D65" s="675">
        <f t="shared" si="1"/>
        <v>46003</v>
      </c>
      <c r="E65" s="674">
        <f>IF(B65&gt;NClase,"--",IFERROR(VLOOKUP(B65,Flts!$H$14:$I$349,2,FALSE),E64))</f>
        <v>46003</v>
      </c>
      <c r="F65" s="785">
        <f>IF(B65&gt;NClase,"--",IFERROR(_xlfn.XLOOKUP(B65,Flts!$H$14:$H$349,Flts!$AS$14:$AS$349),F64))</f>
        <v>1</v>
      </c>
      <c r="G65" s="674" t="str">
        <f>IF(B65&gt;NClase,"--",IFERROR(_xlfn.XLOOKUP(B65,Flts!$H$14:$H$349,Flts!$E$14:$E$349),G64))</f>
        <v>UD02</v>
      </c>
      <c r="H65" s="687"/>
      <c r="I65" s="687"/>
      <c r="J65" s="687"/>
      <c r="K65" s="687"/>
      <c r="L65" s="716"/>
    </row>
    <row r="66" spans="2:12" ht="50.1" customHeight="1" x14ac:dyDescent="0.3">
      <c r="B66" s="673">
        <f>IF(NClase&gt;=MAX(B$5:$B65)+1,B65+1,"--")</f>
        <v>62</v>
      </c>
      <c r="C66" s="674" t="str">
        <f t="shared" si="0"/>
        <v>Lun</v>
      </c>
      <c r="D66" s="675">
        <f t="shared" si="1"/>
        <v>46006</v>
      </c>
      <c r="E66" s="674">
        <f>IF(B66&gt;NClase,"--",IFERROR(VLOOKUP(B66,Flts!$H$14:$I$349,2,FALSE),E65))</f>
        <v>46006</v>
      </c>
      <c r="F66" s="785">
        <f>IF(B66&gt;NClase,"--",IFERROR(_xlfn.XLOOKUP(B66,Flts!$H$14:$H$349,Flts!$AS$14:$AS$349),F65))</f>
        <v>1</v>
      </c>
      <c r="G66" s="674" t="str">
        <f>IF(B66&gt;NClase,"--",IFERROR(_xlfn.XLOOKUP(B66,Flts!$H$14:$H$349,Flts!$E$14:$E$349),G65))</f>
        <v>UD02</v>
      </c>
      <c r="H66" s="687"/>
      <c r="I66" s="687"/>
      <c r="J66" s="687"/>
      <c r="K66" s="687"/>
      <c r="L66" s="716"/>
    </row>
    <row r="67" spans="2:12" ht="50.1" customHeight="1" x14ac:dyDescent="0.3">
      <c r="B67" s="673">
        <f>IF(NClase&gt;=MAX(B$5:$B66)+1,B66+1,"--")</f>
        <v>63</v>
      </c>
      <c r="C67" s="674" t="str">
        <f t="shared" si="0"/>
        <v>Mar</v>
      </c>
      <c r="D67" s="675">
        <f t="shared" si="1"/>
        <v>46007</v>
      </c>
      <c r="E67" s="674">
        <f>IF(B67&gt;NClase,"--",IFERROR(VLOOKUP(B67,Flts!$H$14:$I$349,2,FALSE),E66))</f>
        <v>46007</v>
      </c>
      <c r="F67" s="785">
        <f>IF(B67&gt;NClase,"--",IFERROR(_xlfn.XLOOKUP(B67,Flts!$H$14:$H$349,Flts!$AS$14:$AS$349),F66))</f>
        <v>1</v>
      </c>
      <c r="G67" s="674" t="str">
        <f>IF(B67&gt;NClase,"--",IFERROR(_xlfn.XLOOKUP(B67,Flts!$H$14:$H$349,Flts!$E$14:$E$349),G66))</f>
        <v>UD02</v>
      </c>
      <c r="H67" s="687"/>
      <c r="I67" s="687"/>
      <c r="J67" s="687"/>
      <c r="K67" s="687"/>
      <c r="L67" s="716"/>
    </row>
    <row r="68" spans="2:12" ht="50.1" customHeight="1" x14ac:dyDescent="0.3">
      <c r="B68" s="673">
        <f>IF(NClase&gt;=MAX(B$5:$B67)+1,B67+1,"--")</f>
        <v>64</v>
      </c>
      <c r="C68" s="674" t="str">
        <f t="shared" si="0"/>
        <v>Mié</v>
      </c>
      <c r="D68" s="675">
        <f t="shared" si="1"/>
        <v>46008</v>
      </c>
      <c r="E68" s="674">
        <f>IF(B68&gt;NClase,"--",IFERROR(VLOOKUP(B68,Flts!$H$14:$I$349,2,FALSE),E67))</f>
        <v>46008</v>
      </c>
      <c r="F68" s="785">
        <f>IF(B68&gt;NClase,"--",IFERROR(_xlfn.XLOOKUP(B68,Flts!$H$14:$H$349,Flts!$AS$14:$AS$349),F67))</f>
        <v>1</v>
      </c>
      <c r="G68" s="674" t="str">
        <f>IF(B68&gt;NClase,"--",IFERROR(_xlfn.XLOOKUP(B68,Flts!$H$14:$H$349,Flts!$E$14:$E$349),G67))</f>
        <v>UD02</v>
      </c>
      <c r="H68" s="687"/>
      <c r="I68" s="687"/>
      <c r="J68" s="687"/>
      <c r="K68" s="687"/>
      <c r="L68" s="716"/>
    </row>
    <row r="69" spans="2:12" ht="50.1" customHeight="1" x14ac:dyDescent="0.3">
      <c r="B69" s="673">
        <f>IF(NClase&gt;=MAX(B$5:$B68)+1,B68+1,"--")</f>
        <v>65</v>
      </c>
      <c r="C69" s="674" t="str">
        <f t="shared" si="0"/>
        <v>Jue</v>
      </c>
      <c r="D69" s="675">
        <f t="shared" si="1"/>
        <v>46009</v>
      </c>
      <c r="E69" s="674">
        <f>IF(B69&gt;NClase,"--",IFERROR(VLOOKUP(B69,Flts!$H$14:$I$349,2,FALSE),E68))</f>
        <v>46009</v>
      </c>
      <c r="F69" s="785">
        <f>IF(B69&gt;NClase,"--",IFERROR(_xlfn.XLOOKUP(B69,Flts!$H$14:$H$349,Flts!$AS$14:$AS$349),F68))</f>
        <v>1</v>
      </c>
      <c r="G69" s="674" t="str">
        <f>IF(B69&gt;NClase,"--",IFERROR(_xlfn.XLOOKUP(B69,Flts!$H$14:$H$349,Flts!$E$14:$E$349),G68))</f>
        <v>UD02</v>
      </c>
      <c r="H69" s="687"/>
      <c r="I69" s="687"/>
      <c r="J69" s="687"/>
      <c r="K69" s="687"/>
      <c r="L69" s="716"/>
    </row>
    <row r="70" spans="2:12" ht="50.1" customHeight="1" x14ac:dyDescent="0.3">
      <c r="B70" s="673">
        <f>IF(NClase&gt;=MAX(B$5:$B69)+1,B69+1,"--")</f>
        <v>66</v>
      </c>
      <c r="C70" s="674" t="str">
        <f t="shared" ref="C70:C133" si="2">IF(AND(B70&lt;NClase,E69&lt;&gt;E70),IFERROR(MID(Vdias,(WEEKDAY(E70,2)-1)*3+1,3),C69),"--")</f>
        <v>Vie</v>
      </c>
      <c r="D70" s="675">
        <f t="shared" ref="D70:D133" si="3">E70</f>
        <v>46010</v>
      </c>
      <c r="E70" s="674">
        <f>IF(B70&gt;NClase,"--",IFERROR(VLOOKUP(B70,Flts!$H$14:$I$349,2,FALSE),E69))</f>
        <v>46010</v>
      </c>
      <c r="F70" s="785">
        <f>IF(B70&gt;NClase,"--",IFERROR(_xlfn.XLOOKUP(B70,Flts!$H$14:$H$349,Flts!$AS$14:$AS$349),F69))</f>
        <v>1</v>
      </c>
      <c r="G70" s="674" t="str">
        <f>IF(B70&gt;NClase,"--",IFERROR(_xlfn.XLOOKUP(B70,Flts!$H$14:$H$349,Flts!$E$14:$E$349),G69))</f>
        <v>UD02</v>
      </c>
      <c r="H70" s="687"/>
      <c r="I70" s="687"/>
      <c r="J70" s="687"/>
      <c r="K70" s="687"/>
      <c r="L70" s="716"/>
    </row>
    <row r="71" spans="2:12" ht="50.1" customHeight="1" x14ac:dyDescent="0.3">
      <c r="B71" s="673">
        <f>IF(NClase&gt;=MAX(B$5:$B70)+1,B70+1,"--")</f>
        <v>67</v>
      </c>
      <c r="C71" s="674" t="str">
        <f t="shared" si="2"/>
        <v>Mié</v>
      </c>
      <c r="D71" s="675">
        <f t="shared" si="3"/>
        <v>46029</v>
      </c>
      <c r="E71" s="674">
        <f>IF(B71&gt;NClase,"--",IFERROR(VLOOKUP(B71,Flts!$H$14:$I$349,2,FALSE),E70))</f>
        <v>46029</v>
      </c>
      <c r="F71" s="785">
        <f>IF(B71&gt;NClase,"--",IFERROR(_xlfn.XLOOKUP(B71,Flts!$H$14:$H$349,Flts!$AS$14:$AS$349),F70))</f>
        <v>1</v>
      </c>
      <c r="G71" s="674" t="str">
        <f>IF(B71&gt;NClase,"--",IFERROR(_xlfn.XLOOKUP(B71,Flts!$H$14:$H$349,Flts!$E$14:$E$349),G70))</f>
        <v>UD02</v>
      </c>
      <c r="H71" s="687"/>
      <c r="I71" s="687"/>
      <c r="J71" s="687"/>
      <c r="K71" s="687"/>
      <c r="L71" s="716"/>
    </row>
    <row r="72" spans="2:12" ht="50.1" customHeight="1" x14ac:dyDescent="0.3">
      <c r="B72" s="673">
        <f>IF(NClase&gt;=MAX(B$5:$B71)+1,B71+1,"--")</f>
        <v>68</v>
      </c>
      <c r="C72" s="674" t="str">
        <f t="shared" si="2"/>
        <v>Jue</v>
      </c>
      <c r="D72" s="675">
        <f t="shared" si="3"/>
        <v>46030</v>
      </c>
      <c r="E72" s="674">
        <f>IF(B72&gt;NClase,"--",IFERROR(VLOOKUP(B72,Flts!$H$14:$I$349,2,FALSE),E71))</f>
        <v>46030</v>
      </c>
      <c r="F72" s="785">
        <f>IF(B72&gt;NClase,"--",IFERROR(_xlfn.XLOOKUP(B72,Flts!$H$14:$H$349,Flts!$AS$14:$AS$349),F71))</f>
        <v>1</v>
      </c>
      <c r="G72" s="674" t="str">
        <f>IF(B72&gt;NClase,"--",IFERROR(_xlfn.XLOOKUP(B72,Flts!$H$14:$H$349,Flts!$E$14:$E$349),G71))</f>
        <v>UD02</v>
      </c>
      <c r="H72" s="687"/>
      <c r="I72" s="687"/>
      <c r="J72" s="687"/>
      <c r="K72" s="687"/>
      <c r="L72" s="716"/>
    </row>
    <row r="73" spans="2:12" ht="50.1" customHeight="1" x14ac:dyDescent="0.3">
      <c r="B73" s="673">
        <f>IF(NClase&gt;=MAX(B$5:$B72)+1,B72+1,"--")</f>
        <v>69</v>
      </c>
      <c r="C73" s="674" t="str">
        <f t="shared" si="2"/>
        <v>Vie</v>
      </c>
      <c r="D73" s="675">
        <f t="shared" si="3"/>
        <v>46031</v>
      </c>
      <c r="E73" s="674">
        <f>IF(B73&gt;NClase,"--",IFERROR(VLOOKUP(B73,Flts!$H$14:$I$349,2,FALSE),E72))</f>
        <v>46031</v>
      </c>
      <c r="F73" s="785">
        <f>IF(B73&gt;NClase,"--",IFERROR(_xlfn.XLOOKUP(B73,Flts!$H$14:$H$349,Flts!$AS$14:$AS$349),F72))</f>
        <v>1</v>
      </c>
      <c r="G73" s="674" t="str">
        <f>IF(B73&gt;NClase,"--",IFERROR(_xlfn.XLOOKUP(B73,Flts!$H$14:$H$349,Flts!$E$14:$E$349),G72))</f>
        <v>UD02</v>
      </c>
      <c r="H73" s="687"/>
      <c r="I73" s="687"/>
      <c r="J73" s="687"/>
      <c r="K73" s="687"/>
      <c r="L73" s="716"/>
    </row>
    <row r="74" spans="2:12" ht="50.1" customHeight="1" x14ac:dyDescent="0.3">
      <c r="B74" s="673">
        <f>IF(NClase&gt;=MAX(B$5:$B73)+1,B73+1,"--")</f>
        <v>70</v>
      </c>
      <c r="C74" s="674" t="str">
        <f t="shared" si="2"/>
        <v>Lun</v>
      </c>
      <c r="D74" s="675">
        <f t="shared" si="3"/>
        <v>46034</v>
      </c>
      <c r="E74" s="674">
        <f>IF(B74&gt;NClase,"--",IFERROR(VLOOKUP(B74,Flts!$H$14:$I$349,2,FALSE),E73))</f>
        <v>46034</v>
      </c>
      <c r="F74" s="785">
        <f>IF(B74&gt;NClase,"--",IFERROR(_xlfn.XLOOKUP(B74,Flts!$H$14:$H$349,Flts!$AS$14:$AS$349),F73))</f>
        <v>1</v>
      </c>
      <c r="G74" s="674" t="str">
        <f>IF(B74&gt;NClase,"--",IFERROR(_xlfn.XLOOKUP(B74,Flts!$H$14:$H$349,Flts!$E$14:$E$349),G73))</f>
        <v>UD02</v>
      </c>
      <c r="H74" s="687"/>
      <c r="I74" s="687"/>
      <c r="J74" s="687"/>
      <c r="K74" s="687"/>
      <c r="L74" s="716"/>
    </row>
    <row r="75" spans="2:12" ht="50.1" customHeight="1" x14ac:dyDescent="0.3">
      <c r="B75" s="673">
        <f>IF(NClase&gt;=MAX(B$5:$B74)+1,B74+1,"--")</f>
        <v>71</v>
      </c>
      <c r="C75" s="674" t="str">
        <f t="shared" si="2"/>
        <v>Mar</v>
      </c>
      <c r="D75" s="675">
        <f t="shared" si="3"/>
        <v>46035</v>
      </c>
      <c r="E75" s="674">
        <f>IF(B75&gt;NClase,"--",IFERROR(VLOOKUP(B75,Flts!$H$14:$I$349,2,FALSE),E74))</f>
        <v>46035</v>
      </c>
      <c r="F75" s="785">
        <f>IF(B75&gt;NClase,"--",IFERROR(_xlfn.XLOOKUP(B75,Flts!$H$14:$H$349,Flts!$AS$14:$AS$349),F74))</f>
        <v>1</v>
      </c>
      <c r="G75" s="674" t="str">
        <f>IF(B75&gt;NClase,"--",IFERROR(_xlfn.XLOOKUP(B75,Flts!$H$14:$H$349,Flts!$E$14:$E$349),G74))</f>
        <v>UD02</v>
      </c>
      <c r="H75" s="687"/>
      <c r="I75" s="687"/>
      <c r="J75" s="687"/>
      <c r="K75" s="687"/>
      <c r="L75" s="716"/>
    </row>
    <row r="76" spans="2:12" ht="50.1" customHeight="1" x14ac:dyDescent="0.3">
      <c r="B76" s="673">
        <f>IF(NClase&gt;=MAX(B$5:$B75)+1,B75+1,"--")</f>
        <v>72</v>
      </c>
      <c r="C76" s="674" t="str">
        <f t="shared" si="2"/>
        <v>Mié</v>
      </c>
      <c r="D76" s="675">
        <f t="shared" si="3"/>
        <v>46036</v>
      </c>
      <c r="E76" s="674">
        <f>IF(B76&gt;NClase,"--",IFERROR(VLOOKUP(B76,Flts!$H$14:$I$349,2,FALSE),E75))</f>
        <v>46036</v>
      </c>
      <c r="F76" s="785">
        <f>IF(B76&gt;NClase,"--",IFERROR(_xlfn.XLOOKUP(B76,Flts!$H$14:$H$349,Flts!$AS$14:$AS$349),F75))</f>
        <v>1</v>
      </c>
      <c r="G76" s="674" t="str">
        <f>IF(B76&gt;NClase,"--",IFERROR(_xlfn.XLOOKUP(B76,Flts!$H$14:$H$349,Flts!$E$14:$E$349),G75))</f>
        <v>UD02</v>
      </c>
      <c r="H76" s="687"/>
      <c r="I76" s="687"/>
      <c r="J76" s="687"/>
      <c r="K76" s="687"/>
      <c r="L76" s="716"/>
    </row>
    <row r="77" spans="2:12" ht="50.1" customHeight="1" x14ac:dyDescent="0.3">
      <c r="B77" s="673">
        <f>IF(NClase&gt;=MAX(B$5:$B76)+1,B76+1,"--")</f>
        <v>73</v>
      </c>
      <c r="C77" s="674" t="str">
        <f t="shared" si="2"/>
        <v>Jue</v>
      </c>
      <c r="D77" s="675">
        <f t="shared" si="3"/>
        <v>46037</v>
      </c>
      <c r="E77" s="674">
        <f>IF(B77&gt;NClase,"--",IFERROR(VLOOKUP(B77,Flts!$H$14:$I$349,2,FALSE),E76))</f>
        <v>46037</v>
      </c>
      <c r="F77" s="785">
        <f>IF(B77&gt;NClase,"--",IFERROR(_xlfn.XLOOKUP(B77,Flts!$H$14:$H$349,Flts!$AS$14:$AS$349),F76))</f>
        <v>1</v>
      </c>
      <c r="G77" s="674" t="str">
        <f>IF(B77&gt;NClase,"--",IFERROR(_xlfn.XLOOKUP(B77,Flts!$H$14:$H$349,Flts!$E$14:$E$349),G76))</f>
        <v>UD02</v>
      </c>
      <c r="H77" s="687"/>
      <c r="I77" s="687"/>
      <c r="J77" s="687"/>
      <c r="K77" s="687"/>
      <c r="L77" s="716"/>
    </row>
    <row r="78" spans="2:12" ht="50.1" customHeight="1" x14ac:dyDescent="0.3">
      <c r="B78" s="673">
        <f>IF(NClase&gt;=MAX(B$5:$B77)+1,B77+1,"--")</f>
        <v>74</v>
      </c>
      <c r="C78" s="674" t="str">
        <f t="shared" si="2"/>
        <v>Vie</v>
      </c>
      <c r="D78" s="675">
        <f t="shared" si="3"/>
        <v>46038</v>
      </c>
      <c r="E78" s="674">
        <f>IF(B78&gt;NClase,"--",IFERROR(VLOOKUP(B78,Flts!$H$14:$I$349,2,FALSE),E77))</f>
        <v>46038</v>
      </c>
      <c r="F78" s="785">
        <f>IF(B78&gt;NClase,"--",IFERROR(_xlfn.XLOOKUP(B78,Flts!$H$14:$H$349,Flts!$AS$14:$AS$349),F77))</f>
        <v>1</v>
      </c>
      <c r="G78" s="674" t="str">
        <f>IF(B78&gt;NClase,"--",IFERROR(_xlfn.XLOOKUP(B78,Flts!$H$14:$H$349,Flts!$E$14:$E$349),G77))</f>
        <v>UD02</v>
      </c>
      <c r="H78" s="687"/>
      <c r="I78" s="687"/>
      <c r="J78" s="687"/>
      <c r="K78" s="687"/>
      <c r="L78" s="716"/>
    </row>
    <row r="79" spans="2:12" ht="50.1" customHeight="1" x14ac:dyDescent="0.3">
      <c r="B79" s="673">
        <f>IF(NClase&gt;=MAX(B$5:$B78)+1,B78+1,"--")</f>
        <v>75</v>
      </c>
      <c r="C79" s="674" t="str">
        <f t="shared" si="2"/>
        <v>Lun</v>
      </c>
      <c r="D79" s="675">
        <f t="shared" si="3"/>
        <v>46041</v>
      </c>
      <c r="E79" s="674">
        <f>IF(B79&gt;NClase,"--",IFERROR(VLOOKUP(B79,Flts!$H$14:$I$349,2,FALSE),E78))</f>
        <v>46041</v>
      </c>
      <c r="F79" s="785">
        <f>IF(B79&gt;NClase,"--",IFERROR(_xlfn.XLOOKUP(B79,Flts!$H$14:$H$349,Flts!$AS$14:$AS$349),F78))</f>
        <v>1</v>
      </c>
      <c r="G79" s="674" t="str">
        <f>IF(B79&gt;NClase,"--",IFERROR(_xlfn.XLOOKUP(B79,Flts!$H$14:$H$349,Flts!$E$14:$E$349),G78))</f>
        <v>UD02</v>
      </c>
      <c r="H79" s="687"/>
      <c r="I79" s="687"/>
      <c r="J79" s="687"/>
      <c r="K79" s="687"/>
      <c r="L79" s="716"/>
    </row>
    <row r="80" spans="2:12" ht="50.1" customHeight="1" x14ac:dyDescent="0.3">
      <c r="B80" s="673">
        <f>IF(NClase&gt;=MAX(B$5:$B79)+1,B79+1,"--")</f>
        <v>76</v>
      </c>
      <c r="C80" s="674" t="str">
        <f t="shared" si="2"/>
        <v>Mar</v>
      </c>
      <c r="D80" s="675">
        <f t="shared" si="3"/>
        <v>46042</v>
      </c>
      <c r="E80" s="674">
        <f>IF(B80&gt;NClase,"--",IFERROR(VLOOKUP(B80,Flts!$H$14:$I$349,2,FALSE),E79))</f>
        <v>46042</v>
      </c>
      <c r="F80" s="785">
        <f>IF(B80&gt;NClase,"--",IFERROR(_xlfn.XLOOKUP(B80,Flts!$H$14:$H$349,Flts!$AS$14:$AS$349),F79))</f>
        <v>1</v>
      </c>
      <c r="G80" s="674" t="str">
        <f>IF(B80&gt;NClase,"--",IFERROR(_xlfn.XLOOKUP(B80,Flts!$H$14:$H$349,Flts!$E$14:$E$349),G79))</f>
        <v>UD02</v>
      </c>
      <c r="H80" s="687"/>
      <c r="I80" s="687"/>
      <c r="J80" s="687"/>
      <c r="K80" s="687"/>
      <c r="L80" s="716"/>
    </row>
    <row r="81" spans="2:12" ht="50.1" customHeight="1" x14ac:dyDescent="0.3">
      <c r="B81" s="673">
        <f>IF(NClase&gt;=MAX(B$5:$B80)+1,B80+1,"--")</f>
        <v>77</v>
      </c>
      <c r="C81" s="674" t="str">
        <f t="shared" si="2"/>
        <v>Mié</v>
      </c>
      <c r="D81" s="675">
        <f t="shared" si="3"/>
        <v>46043</v>
      </c>
      <c r="E81" s="674">
        <f>IF(B81&gt;NClase,"--",IFERROR(VLOOKUP(B81,Flts!$H$14:$I$349,2,FALSE),E80))</f>
        <v>46043</v>
      </c>
      <c r="F81" s="785">
        <f>IF(B81&gt;NClase,"--",IFERROR(_xlfn.XLOOKUP(B81,Flts!$H$14:$H$349,Flts!$AS$14:$AS$349),F80))</f>
        <v>1</v>
      </c>
      <c r="G81" s="674" t="str">
        <f>IF(B81&gt;NClase,"--",IFERROR(_xlfn.XLOOKUP(B81,Flts!$H$14:$H$349,Flts!$E$14:$E$349),G80))</f>
        <v>UD02</v>
      </c>
      <c r="H81" s="687"/>
      <c r="I81" s="687"/>
      <c r="J81" s="687"/>
      <c r="K81" s="687"/>
      <c r="L81" s="716"/>
    </row>
    <row r="82" spans="2:12" ht="50.1" customHeight="1" x14ac:dyDescent="0.3">
      <c r="B82" s="673">
        <f>IF(NClase&gt;=MAX(B$5:$B81)+1,B81+1,"--")</f>
        <v>78</v>
      </c>
      <c r="C82" s="674" t="str">
        <f t="shared" si="2"/>
        <v>Jue</v>
      </c>
      <c r="D82" s="675">
        <f t="shared" si="3"/>
        <v>46044</v>
      </c>
      <c r="E82" s="674">
        <f>IF(B82&gt;NClase,"--",IFERROR(VLOOKUP(B82,Flts!$H$14:$I$349,2,FALSE),E81))</f>
        <v>46044</v>
      </c>
      <c r="F82" s="785">
        <f>IF(B82&gt;NClase,"--",IFERROR(_xlfn.XLOOKUP(B82,Flts!$H$14:$H$349,Flts!$AS$14:$AS$349),F81))</f>
        <v>1</v>
      </c>
      <c r="G82" s="674" t="str">
        <f>IF(B82&gt;NClase,"--",IFERROR(_xlfn.XLOOKUP(B82,Flts!$H$14:$H$349,Flts!$E$14:$E$349),G81))</f>
        <v>UD02</v>
      </c>
      <c r="H82" s="687"/>
      <c r="I82" s="687"/>
      <c r="J82" s="687"/>
      <c r="K82" s="687"/>
      <c r="L82" s="716"/>
    </row>
    <row r="83" spans="2:12" ht="50.1" customHeight="1" x14ac:dyDescent="0.3">
      <c r="B83" s="673">
        <f>IF(NClase&gt;=MAX(B$5:$B82)+1,B82+1,"--")</f>
        <v>79</v>
      </c>
      <c r="C83" s="674" t="str">
        <f t="shared" si="2"/>
        <v>Vie</v>
      </c>
      <c r="D83" s="675">
        <f t="shared" si="3"/>
        <v>46045</v>
      </c>
      <c r="E83" s="674">
        <f>IF(B83&gt;NClase,"--",IFERROR(VLOOKUP(B83,Flts!$H$14:$I$349,2,FALSE),E82))</f>
        <v>46045</v>
      </c>
      <c r="F83" s="785">
        <f>IF(B83&gt;NClase,"--",IFERROR(_xlfn.XLOOKUP(B83,Flts!$H$14:$H$349,Flts!$AS$14:$AS$349),F82))</f>
        <v>1</v>
      </c>
      <c r="G83" s="674" t="str">
        <f>IF(B83&gt;NClase,"--",IFERROR(_xlfn.XLOOKUP(B83,Flts!$H$14:$H$349,Flts!$E$14:$E$349),G82))</f>
        <v>UD02</v>
      </c>
      <c r="H83" s="687"/>
      <c r="I83" s="687"/>
      <c r="J83" s="687"/>
      <c r="K83" s="687"/>
      <c r="L83" s="716"/>
    </row>
    <row r="84" spans="2:12" ht="50.1" customHeight="1" x14ac:dyDescent="0.3">
      <c r="B84" s="673">
        <f>IF(NClase&gt;=MAX(B$5:$B83)+1,B83+1,"--")</f>
        <v>80</v>
      </c>
      <c r="C84" s="674" t="str">
        <f t="shared" si="2"/>
        <v>Lun</v>
      </c>
      <c r="D84" s="675">
        <f t="shared" si="3"/>
        <v>46048</v>
      </c>
      <c r="E84" s="674">
        <f>IF(B84&gt;NClase,"--",IFERROR(VLOOKUP(B84,Flts!$H$14:$I$349,2,FALSE),E83))</f>
        <v>46048</v>
      </c>
      <c r="F84" s="785">
        <f>IF(B84&gt;NClase,"--",IFERROR(_xlfn.XLOOKUP(B84,Flts!$H$14:$H$349,Flts!$AS$14:$AS$349),F83))</f>
        <v>1</v>
      </c>
      <c r="G84" s="674" t="str">
        <f>IF(B84&gt;NClase,"--",IFERROR(_xlfn.XLOOKUP(B84,Flts!$H$14:$H$349,Flts!$E$14:$E$349),G83))</f>
        <v/>
      </c>
      <c r="H84" s="687"/>
      <c r="I84" s="687"/>
      <c r="J84" s="687"/>
      <c r="K84" s="687"/>
      <c r="L84" s="716"/>
    </row>
    <row r="85" spans="2:12" ht="50.1" customHeight="1" x14ac:dyDescent="0.3">
      <c r="B85" s="673">
        <f>IF(NClase&gt;=MAX(B$5:$B84)+1,B84+1,"--")</f>
        <v>81</v>
      </c>
      <c r="C85" s="674" t="str">
        <f t="shared" si="2"/>
        <v>Mar</v>
      </c>
      <c r="D85" s="675">
        <f t="shared" si="3"/>
        <v>46049</v>
      </c>
      <c r="E85" s="674">
        <f>IF(B85&gt;NClase,"--",IFERROR(VLOOKUP(B85,Flts!$H$14:$I$349,2,FALSE),E84))</f>
        <v>46049</v>
      </c>
      <c r="F85" s="785">
        <f>IF(B85&gt;NClase,"--",IFERROR(_xlfn.XLOOKUP(B85,Flts!$H$14:$H$349,Flts!$AS$14:$AS$349),F84))</f>
        <v>1</v>
      </c>
      <c r="G85" s="674" t="str">
        <f>IF(B85&gt;NClase,"--",IFERROR(_xlfn.XLOOKUP(B85,Flts!$H$14:$H$349,Flts!$E$14:$E$349),G84))</f>
        <v/>
      </c>
      <c r="H85" s="687"/>
      <c r="I85" s="687"/>
      <c r="J85" s="687"/>
      <c r="K85" s="687"/>
      <c r="L85" s="716"/>
    </row>
    <row r="86" spans="2:12" ht="50.1" customHeight="1" x14ac:dyDescent="0.3">
      <c r="B86" s="673">
        <f>IF(NClase&gt;=MAX(B$5:$B85)+1,B85+1,"--")</f>
        <v>82</v>
      </c>
      <c r="C86" s="674" t="str">
        <f t="shared" si="2"/>
        <v>Mié</v>
      </c>
      <c r="D86" s="675">
        <f t="shared" si="3"/>
        <v>46050</v>
      </c>
      <c r="E86" s="674">
        <f>IF(B86&gt;NClase,"--",IFERROR(VLOOKUP(B86,Flts!$H$14:$I$349,2,FALSE),E85))</f>
        <v>46050</v>
      </c>
      <c r="F86" s="785">
        <f>IF(B86&gt;NClase,"--",IFERROR(_xlfn.XLOOKUP(B86,Flts!$H$14:$H$349,Flts!$AS$14:$AS$349),F85))</f>
        <v>1</v>
      </c>
      <c r="G86" s="674" t="str">
        <f>IF(B86&gt;NClase,"--",IFERROR(_xlfn.XLOOKUP(B86,Flts!$H$14:$H$349,Flts!$E$14:$E$349),G85))</f>
        <v/>
      </c>
      <c r="H86" s="687"/>
      <c r="I86" s="687"/>
      <c r="J86" s="687"/>
      <c r="K86" s="687"/>
      <c r="L86" s="716"/>
    </row>
    <row r="87" spans="2:12" ht="50.1" customHeight="1" x14ac:dyDescent="0.3">
      <c r="B87" s="673">
        <f>IF(NClase&gt;=MAX(B$5:$B86)+1,B86+1,"--")</f>
        <v>83</v>
      </c>
      <c r="C87" s="674" t="str">
        <f t="shared" si="2"/>
        <v>Vie</v>
      </c>
      <c r="D87" s="675">
        <f t="shared" si="3"/>
        <v>46052</v>
      </c>
      <c r="E87" s="674">
        <f>IF(B87&gt;NClase,"--",IFERROR(VLOOKUP(B87,Flts!$H$14:$I$349,2,FALSE),E86))</f>
        <v>46052</v>
      </c>
      <c r="F87" s="785">
        <f>IF(B87&gt;NClase,"--",IFERROR(_xlfn.XLOOKUP(B87,Flts!$H$14:$H$349,Flts!$AS$14:$AS$349),F86))</f>
        <v>1</v>
      </c>
      <c r="G87" s="674" t="str">
        <f>IF(B87&gt;NClase,"--",IFERROR(_xlfn.XLOOKUP(B87,Flts!$H$14:$H$349,Flts!$E$14:$E$349),G86))</f>
        <v/>
      </c>
      <c r="H87" s="687"/>
      <c r="I87" s="687"/>
      <c r="J87" s="687"/>
      <c r="K87" s="687"/>
      <c r="L87" s="716"/>
    </row>
    <row r="88" spans="2:12" ht="50.1" customHeight="1" x14ac:dyDescent="0.3">
      <c r="B88" s="673">
        <f>IF(NClase&gt;=MAX(B$5:$B87)+1,B87+1,"--")</f>
        <v>84</v>
      </c>
      <c r="C88" s="674" t="str">
        <f t="shared" si="2"/>
        <v>Lun</v>
      </c>
      <c r="D88" s="675">
        <f t="shared" si="3"/>
        <v>46083</v>
      </c>
      <c r="E88" s="674">
        <f>IF(B88&gt;NClase,"--",IFERROR(VLOOKUP(B88,Flts!$H$14:$I$349,2,FALSE),E87))</f>
        <v>46083</v>
      </c>
      <c r="F88" s="785">
        <f>IF(B88&gt;NClase,"--",IFERROR(_xlfn.XLOOKUP(B88,Flts!$H$14:$H$349,Flts!$AS$14:$AS$349),F87))</f>
        <v>1</v>
      </c>
      <c r="G88" s="674" t="str">
        <f>IF(B88&gt;NClase,"--",IFERROR(_xlfn.XLOOKUP(B88,Flts!$H$14:$H$349,Flts!$E$14:$E$349),G87))</f>
        <v/>
      </c>
      <c r="H88" s="687"/>
      <c r="I88" s="687"/>
      <c r="J88" s="687"/>
      <c r="K88" s="687"/>
      <c r="L88" s="716"/>
    </row>
    <row r="89" spans="2:12" ht="50.1" customHeight="1" x14ac:dyDescent="0.3">
      <c r="B89" s="673">
        <f>IF(NClase&gt;=MAX(B$5:$B88)+1,B88+1,"--")</f>
        <v>85</v>
      </c>
      <c r="C89" s="674" t="str">
        <f t="shared" si="2"/>
        <v>Mar</v>
      </c>
      <c r="D89" s="675">
        <f t="shared" si="3"/>
        <v>46084</v>
      </c>
      <c r="E89" s="674">
        <f>IF(B89&gt;NClase,"--",IFERROR(VLOOKUP(B89,Flts!$H$14:$I$349,2,FALSE),E88))</f>
        <v>46084</v>
      </c>
      <c r="F89" s="785">
        <f>IF(B89&gt;NClase,"--",IFERROR(_xlfn.XLOOKUP(B89,Flts!$H$14:$H$349,Flts!$AS$14:$AS$349),F88))</f>
        <v>1</v>
      </c>
      <c r="G89" s="674" t="str">
        <f>IF(B89&gt;NClase,"--",IFERROR(_xlfn.XLOOKUP(B89,Flts!$H$14:$H$349,Flts!$E$14:$E$349),G88))</f>
        <v/>
      </c>
      <c r="H89" s="687"/>
      <c r="I89" s="687"/>
      <c r="J89" s="687"/>
      <c r="K89" s="687"/>
      <c r="L89" s="716"/>
    </row>
    <row r="90" spans="2:12" ht="50.1" customHeight="1" x14ac:dyDescent="0.3">
      <c r="B90" s="673">
        <f>IF(NClase&gt;=MAX(B$5:$B89)+1,B89+1,"--")</f>
        <v>86</v>
      </c>
      <c r="C90" s="674" t="str">
        <f t="shared" si="2"/>
        <v>Mié</v>
      </c>
      <c r="D90" s="675">
        <f t="shared" si="3"/>
        <v>46085</v>
      </c>
      <c r="E90" s="674">
        <f>IF(B90&gt;NClase,"--",IFERROR(VLOOKUP(B90,Flts!$H$14:$I$349,2,FALSE),E89))</f>
        <v>46085</v>
      </c>
      <c r="F90" s="785">
        <f>IF(B90&gt;NClase,"--",IFERROR(_xlfn.XLOOKUP(B90,Flts!$H$14:$H$349,Flts!$AS$14:$AS$349),F89))</f>
        <v>1</v>
      </c>
      <c r="G90" s="674" t="str">
        <f>IF(B90&gt;NClase,"--",IFERROR(_xlfn.XLOOKUP(B90,Flts!$H$14:$H$349,Flts!$E$14:$E$349),G89))</f>
        <v/>
      </c>
      <c r="H90" s="687"/>
      <c r="I90" s="687"/>
      <c r="J90" s="687"/>
      <c r="K90" s="687"/>
      <c r="L90" s="716"/>
    </row>
    <row r="91" spans="2:12" ht="50.1" customHeight="1" x14ac:dyDescent="0.3">
      <c r="B91" s="673">
        <f>IF(NClase&gt;=MAX(B$5:$B90)+1,B90+1,"--")</f>
        <v>87</v>
      </c>
      <c r="C91" s="674" t="str">
        <f t="shared" si="2"/>
        <v>Jue</v>
      </c>
      <c r="D91" s="675">
        <f t="shared" si="3"/>
        <v>46086</v>
      </c>
      <c r="E91" s="674">
        <f>IF(B91&gt;NClase,"--",IFERROR(VLOOKUP(B91,Flts!$H$14:$I$349,2,FALSE),E90))</f>
        <v>46086</v>
      </c>
      <c r="F91" s="785">
        <f>IF(B91&gt;NClase,"--",IFERROR(_xlfn.XLOOKUP(B91,Flts!$H$14:$H$349,Flts!$AS$14:$AS$349),F90))</f>
        <v>1</v>
      </c>
      <c r="G91" s="674" t="str">
        <f>IF(B91&gt;NClase,"--",IFERROR(_xlfn.XLOOKUP(B91,Flts!$H$14:$H$349,Flts!$E$14:$E$349),G90))</f>
        <v/>
      </c>
      <c r="H91" s="687"/>
      <c r="I91" s="687"/>
      <c r="J91" s="687"/>
      <c r="K91" s="687"/>
      <c r="L91" s="716"/>
    </row>
    <row r="92" spans="2:12" ht="50.1" customHeight="1" x14ac:dyDescent="0.3">
      <c r="B92" s="673">
        <f>IF(NClase&gt;=MAX(B$5:$B91)+1,B91+1,"--")</f>
        <v>88</v>
      </c>
      <c r="C92" s="674" t="str">
        <f t="shared" si="2"/>
        <v>Lun</v>
      </c>
      <c r="D92" s="675">
        <f t="shared" si="3"/>
        <v>46090</v>
      </c>
      <c r="E92" s="674">
        <f>IF(B92&gt;NClase,"--",IFERROR(VLOOKUP(B92,Flts!$H$14:$I$349,2,FALSE),E91))</f>
        <v>46090</v>
      </c>
      <c r="F92" s="785">
        <f>IF(B92&gt;NClase,"--",IFERROR(_xlfn.XLOOKUP(B92,Flts!$H$14:$H$349,Flts!$AS$14:$AS$349),F91))</f>
        <v>1</v>
      </c>
      <c r="G92" s="674" t="str">
        <f>IF(B92&gt;NClase,"--",IFERROR(_xlfn.XLOOKUP(B92,Flts!$H$14:$H$349,Flts!$E$14:$E$349),G91))</f>
        <v/>
      </c>
      <c r="H92" s="687"/>
      <c r="I92" s="687"/>
      <c r="J92" s="687"/>
      <c r="K92" s="687"/>
      <c r="L92" s="716"/>
    </row>
    <row r="93" spans="2:12" ht="50.1" customHeight="1" x14ac:dyDescent="0.3">
      <c r="B93" s="673">
        <f>IF(NClase&gt;=MAX(B$5:$B92)+1,B92+1,"--")</f>
        <v>89</v>
      </c>
      <c r="C93" s="674" t="str">
        <f t="shared" si="2"/>
        <v>Mar</v>
      </c>
      <c r="D93" s="675">
        <f t="shared" si="3"/>
        <v>46091</v>
      </c>
      <c r="E93" s="674">
        <f>IF(B93&gt;NClase,"--",IFERROR(VLOOKUP(B93,Flts!$H$14:$I$349,2,FALSE),E92))</f>
        <v>46091</v>
      </c>
      <c r="F93" s="785">
        <f>IF(B93&gt;NClase,"--",IFERROR(_xlfn.XLOOKUP(B93,Flts!$H$14:$H$349,Flts!$AS$14:$AS$349),F92))</f>
        <v>1</v>
      </c>
      <c r="G93" s="674" t="str">
        <f>IF(B93&gt;NClase,"--",IFERROR(_xlfn.XLOOKUP(B93,Flts!$H$14:$H$349,Flts!$E$14:$E$349),G92))</f>
        <v/>
      </c>
      <c r="H93" s="687"/>
      <c r="I93" s="687"/>
      <c r="J93" s="687"/>
      <c r="K93" s="687"/>
      <c r="L93" s="716"/>
    </row>
    <row r="94" spans="2:12" ht="50.1" customHeight="1" x14ac:dyDescent="0.3">
      <c r="B94" s="673">
        <f>IF(NClase&gt;=MAX(B$5:$B93)+1,B93+1,"--")</f>
        <v>90</v>
      </c>
      <c r="C94" s="674" t="str">
        <f t="shared" si="2"/>
        <v>Mié</v>
      </c>
      <c r="D94" s="675">
        <f t="shared" si="3"/>
        <v>46092</v>
      </c>
      <c r="E94" s="674">
        <f>IF(B94&gt;NClase,"--",IFERROR(VLOOKUP(B94,Flts!$H$14:$I$349,2,FALSE),E93))</f>
        <v>46092</v>
      </c>
      <c r="F94" s="785">
        <f>IF(B94&gt;NClase,"--",IFERROR(_xlfn.XLOOKUP(B94,Flts!$H$14:$H$349,Flts!$AS$14:$AS$349),F93))</f>
        <v>1</v>
      </c>
      <c r="G94" s="674" t="str">
        <f>IF(B94&gt;NClase,"--",IFERROR(_xlfn.XLOOKUP(B94,Flts!$H$14:$H$349,Flts!$E$14:$E$349),G93))</f>
        <v/>
      </c>
      <c r="H94" s="687"/>
      <c r="I94" s="687"/>
      <c r="J94" s="687"/>
      <c r="K94" s="687"/>
      <c r="L94" s="716"/>
    </row>
    <row r="95" spans="2:12" ht="50.1" customHeight="1" x14ac:dyDescent="0.3">
      <c r="B95" s="673">
        <f>IF(NClase&gt;=MAX(B$5:$B94)+1,B94+1,"--")</f>
        <v>91</v>
      </c>
      <c r="C95" s="674" t="str">
        <f t="shared" si="2"/>
        <v>Jue</v>
      </c>
      <c r="D95" s="675">
        <f t="shared" si="3"/>
        <v>46093</v>
      </c>
      <c r="E95" s="674">
        <f>IF(B95&gt;NClase,"--",IFERROR(VLOOKUP(B95,Flts!$H$14:$I$349,2,FALSE),E94))</f>
        <v>46093</v>
      </c>
      <c r="F95" s="785">
        <f>IF(B95&gt;NClase,"--",IFERROR(_xlfn.XLOOKUP(B95,Flts!$H$14:$H$349,Flts!$AS$14:$AS$349),F94))</f>
        <v>1</v>
      </c>
      <c r="G95" s="674" t="str">
        <f>IF(B95&gt;NClase,"--",IFERROR(_xlfn.XLOOKUP(B95,Flts!$H$14:$H$349,Flts!$E$14:$E$349),G94))</f>
        <v/>
      </c>
      <c r="H95" s="687"/>
      <c r="I95" s="687"/>
      <c r="J95" s="687"/>
      <c r="K95" s="687"/>
      <c r="L95" s="716"/>
    </row>
    <row r="96" spans="2:12" ht="50.1" customHeight="1" x14ac:dyDescent="0.3">
      <c r="B96" s="673">
        <f>IF(NClase&gt;=MAX(B$5:$B95)+1,B95+1,"--")</f>
        <v>92</v>
      </c>
      <c r="C96" s="674" t="str">
        <f t="shared" si="2"/>
        <v>Vie</v>
      </c>
      <c r="D96" s="675">
        <f t="shared" si="3"/>
        <v>46094</v>
      </c>
      <c r="E96" s="674">
        <f>IF(B96&gt;NClase,"--",IFERROR(VLOOKUP(B96,Flts!$H$14:$I$349,2,FALSE),E95))</f>
        <v>46094</v>
      </c>
      <c r="F96" s="785">
        <f>IF(B96&gt;NClase,"--",IFERROR(_xlfn.XLOOKUP(B96,Flts!$H$14:$H$349,Flts!$AS$14:$AS$349),F95))</f>
        <v>1</v>
      </c>
      <c r="G96" s="674" t="str">
        <f>IF(B96&gt;NClase,"--",IFERROR(_xlfn.XLOOKUP(B96,Flts!$H$14:$H$349,Flts!$E$14:$E$349),G95))</f>
        <v/>
      </c>
      <c r="H96" s="687"/>
      <c r="I96" s="687"/>
      <c r="J96" s="687"/>
      <c r="K96" s="687"/>
      <c r="L96" s="716"/>
    </row>
    <row r="97" spans="2:12" ht="50.1" customHeight="1" x14ac:dyDescent="0.3">
      <c r="B97" s="673">
        <f>IF(NClase&gt;=MAX(B$5:$B96)+1,B96+1,"--")</f>
        <v>93</v>
      </c>
      <c r="C97" s="674" t="str">
        <f t="shared" si="2"/>
        <v>Lun</v>
      </c>
      <c r="D97" s="675">
        <f t="shared" si="3"/>
        <v>46097</v>
      </c>
      <c r="E97" s="674">
        <f>IF(B97&gt;NClase,"--",IFERROR(VLOOKUP(B97,Flts!$H$14:$I$349,2,FALSE),E96))</f>
        <v>46097</v>
      </c>
      <c r="F97" s="785">
        <f>IF(B97&gt;NClase,"--",IFERROR(_xlfn.XLOOKUP(B97,Flts!$H$14:$H$349,Flts!$AS$14:$AS$349),F96))</f>
        <v>1</v>
      </c>
      <c r="G97" s="674" t="str">
        <f>IF(B97&gt;NClase,"--",IFERROR(_xlfn.XLOOKUP(B97,Flts!$H$14:$H$349,Flts!$E$14:$E$349),G96))</f>
        <v/>
      </c>
      <c r="H97" s="687"/>
      <c r="I97" s="687"/>
      <c r="J97" s="687"/>
      <c r="K97" s="687"/>
      <c r="L97" s="716"/>
    </row>
    <row r="98" spans="2:12" ht="50.1" customHeight="1" x14ac:dyDescent="0.3">
      <c r="B98" s="673">
        <f>IF(NClase&gt;=MAX(B$5:$B97)+1,B97+1,"--")</f>
        <v>94</v>
      </c>
      <c r="C98" s="674" t="str">
        <f t="shared" si="2"/>
        <v>Mar</v>
      </c>
      <c r="D98" s="675">
        <f t="shared" si="3"/>
        <v>46098</v>
      </c>
      <c r="E98" s="674">
        <f>IF(B98&gt;NClase,"--",IFERROR(VLOOKUP(B98,Flts!$H$14:$I$349,2,FALSE),E97))</f>
        <v>46098</v>
      </c>
      <c r="F98" s="785">
        <f>IF(B98&gt;NClase,"--",IFERROR(_xlfn.XLOOKUP(B98,Flts!$H$14:$H$349,Flts!$AS$14:$AS$349),F97))</f>
        <v>1</v>
      </c>
      <c r="G98" s="674" t="str">
        <f>IF(B98&gt;NClase,"--",IFERROR(_xlfn.XLOOKUP(B98,Flts!$H$14:$H$349,Flts!$E$14:$E$349),G97))</f>
        <v/>
      </c>
      <c r="H98" s="687"/>
      <c r="I98" s="687"/>
      <c r="J98" s="687"/>
      <c r="K98" s="687"/>
      <c r="L98" s="716"/>
    </row>
    <row r="99" spans="2:12" ht="50.1" customHeight="1" x14ac:dyDescent="0.3">
      <c r="B99" s="673">
        <f>IF(NClase&gt;=MAX(B$5:$B98)+1,B98+1,"--")</f>
        <v>95</v>
      </c>
      <c r="C99" s="674" t="str">
        <f t="shared" si="2"/>
        <v>Mié</v>
      </c>
      <c r="D99" s="675">
        <f t="shared" si="3"/>
        <v>46099</v>
      </c>
      <c r="E99" s="674">
        <f>IF(B99&gt;NClase,"--",IFERROR(VLOOKUP(B99,Flts!$H$14:$I$349,2,FALSE),E98))</f>
        <v>46099</v>
      </c>
      <c r="F99" s="785">
        <f>IF(B99&gt;NClase,"--",IFERROR(_xlfn.XLOOKUP(B99,Flts!$H$14:$H$349,Flts!$AS$14:$AS$349),F98))</f>
        <v>1</v>
      </c>
      <c r="G99" s="674" t="str">
        <f>IF(B99&gt;NClase,"--",IFERROR(_xlfn.XLOOKUP(B99,Flts!$H$14:$H$349,Flts!$E$14:$E$349),G98))</f>
        <v/>
      </c>
      <c r="H99" s="687"/>
      <c r="I99" s="687"/>
      <c r="J99" s="687"/>
      <c r="K99" s="687"/>
      <c r="L99" s="716"/>
    </row>
    <row r="100" spans="2:12" ht="50.1" customHeight="1" x14ac:dyDescent="0.3">
      <c r="B100" s="673">
        <f>IF(NClase&gt;=MAX(B$5:$B99)+1,B99+1,"--")</f>
        <v>96</v>
      </c>
      <c r="C100" s="674" t="str">
        <f t="shared" si="2"/>
        <v>Jue</v>
      </c>
      <c r="D100" s="675">
        <f t="shared" si="3"/>
        <v>46100</v>
      </c>
      <c r="E100" s="674">
        <f>IF(B100&gt;NClase,"--",IFERROR(VLOOKUP(B100,Flts!$H$14:$I$349,2,FALSE),E99))</f>
        <v>46100</v>
      </c>
      <c r="F100" s="785">
        <f>IF(B100&gt;NClase,"--",IFERROR(_xlfn.XLOOKUP(B100,Flts!$H$14:$H$349,Flts!$AS$14:$AS$349),F99))</f>
        <v>1</v>
      </c>
      <c r="G100" s="674" t="str">
        <f>IF(B100&gt;NClase,"--",IFERROR(_xlfn.XLOOKUP(B100,Flts!$H$14:$H$349,Flts!$E$14:$E$349),G99))</f>
        <v/>
      </c>
      <c r="H100" s="687"/>
      <c r="I100" s="687"/>
      <c r="J100" s="687"/>
      <c r="K100" s="687"/>
      <c r="L100" s="716"/>
    </row>
    <row r="101" spans="2:12" ht="50.1" customHeight="1" x14ac:dyDescent="0.3">
      <c r="B101" s="673">
        <f>IF(NClase&gt;=MAX(B$5:$B100)+1,B100+1,"--")</f>
        <v>97</v>
      </c>
      <c r="C101" s="674" t="str">
        <f t="shared" si="2"/>
        <v>Vie</v>
      </c>
      <c r="D101" s="675">
        <f t="shared" si="3"/>
        <v>46101</v>
      </c>
      <c r="E101" s="674">
        <f>IF(B101&gt;NClase,"--",IFERROR(VLOOKUP(B101,Flts!$H$14:$I$349,2,FALSE),E100))</f>
        <v>46101</v>
      </c>
      <c r="F101" s="785">
        <f>IF(B101&gt;NClase,"--",IFERROR(_xlfn.XLOOKUP(B101,Flts!$H$14:$H$349,Flts!$AS$14:$AS$349),F100))</f>
        <v>1</v>
      </c>
      <c r="G101" s="674" t="str">
        <f>IF(B101&gt;NClase,"--",IFERROR(_xlfn.XLOOKUP(B101,Flts!$H$14:$H$349,Flts!$E$14:$E$349),G100))</f>
        <v/>
      </c>
      <c r="H101" s="687"/>
      <c r="I101" s="687"/>
      <c r="J101" s="687"/>
      <c r="K101" s="687"/>
      <c r="L101" s="716"/>
    </row>
    <row r="102" spans="2:12" ht="50.1" customHeight="1" x14ac:dyDescent="0.3">
      <c r="B102" s="673">
        <f>IF(NClase&gt;=MAX(B$5:$B101)+1,B101+1,"--")</f>
        <v>98</v>
      </c>
      <c r="C102" s="674" t="str">
        <f t="shared" si="2"/>
        <v>Lun</v>
      </c>
      <c r="D102" s="675">
        <f t="shared" si="3"/>
        <v>46104</v>
      </c>
      <c r="E102" s="674">
        <f>IF(B102&gt;NClase,"--",IFERROR(VLOOKUP(B102,Flts!$H$14:$I$349,2,FALSE),E101))</f>
        <v>46104</v>
      </c>
      <c r="F102" s="785">
        <f>IF(B102&gt;NClase,"--",IFERROR(_xlfn.XLOOKUP(B102,Flts!$H$14:$H$349,Flts!$AS$14:$AS$349),F101))</f>
        <v>1</v>
      </c>
      <c r="G102" s="674" t="str">
        <f>IF(B102&gt;NClase,"--",IFERROR(_xlfn.XLOOKUP(B102,Flts!$H$14:$H$349,Flts!$E$14:$E$349),G101))</f>
        <v/>
      </c>
      <c r="H102" s="687"/>
      <c r="I102" s="687"/>
      <c r="J102" s="687"/>
      <c r="K102" s="687"/>
      <c r="L102" s="716"/>
    </row>
    <row r="103" spans="2:12" ht="50.1" customHeight="1" x14ac:dyDescent="0.3">
      <c r="B103" s="673">
        <f>IF(NClase&gt;=MAX(B$5:$B102)+1,B102+1,"--")</f>
        <v>99</v>
      </c>
      <c r="C103" s="674" t="str">
        <f t="shared" si="2"/>
        <v>Mar</v>
      </c>
      <c r="D103" s="675">
        <f t="shared" si="3"/>
        <v>46105</v>
      </c>
      <c r="E103" s="674">
        <f>IF(B103&gt;NClase,"--",IFERROR(VLOOKUP(B103,Flts!$H$14:$I$349,2,FALSE),E102))</f>
        <v>46105</v>
      </c>
      <c r="F103" s="785">
        <f>IF(B103&gt;NClase,"--",IFERROR(_xlfn.XLOOKUP(B103,Flts!$H$14:$H$349,Flts!$AS$14:$AS$349),F102))</f>
        <v>1</v>
      </c>
      <c r="G103" s="674" t="str">
        <f>IF(B103&gt;NClase,"--",IFERROR(_xlfn.XLOOKUP(B103,Flts!$H$14:$H$349,Flts!$E$14:$E$349),G102))</f>
        <v/>
      </c>
      <c r="H103" s="687"/>
      <c r="I103" s="687"/>
      <c r="J103" s="687"/>
      <c r="K103" s="687"/>
      <c r="L103" s="716"/>
    </row>
    <row r="104" spans="2:12" ht="50.1" customHeight="1" x14ac:dyDescent="0.3">
      <c r="B104" s="673">
        <f>IF(NClase&gt;=MAX(B$5:$B103)+1,B103+1,"--")</f>
        <v>100</v>
      </c>
      <c r="C104" s="674" t="str">
        <f t="shared" si="2"/>
        <v>Mié</v>
      </c>
      <c r="D104" s="675">
        <f t="shared" si="3"/>
        <v>46106</v>
      </c>
      <c r="E104" s="674">
        <f>IF(B104&gt;NClase,"--",IFERROR(VLOOKUP(B104,Flts!$H$14:$I$349,2,FALSE),E103))</f>
        <v>46106</v>
      </c>
      <c r="F104" s="785">
        <f>IF(B104&gt;NClase,"--",IFERROR(_xlfn.XLOOKUP(B104,Flts!$H$14:$H$349,Flts!$AS$14:$AS$349),F103))</f>
        <v>1</v>
      </c>
      <c r="G104" s="674" t="str">
        <f>IF(B104&gt;NClase,"--",IFERROR(_xlfn.XLOOKUP(B104,Flts!$H$14:$H$349,Flts!$E$14:$E$349),G103))</f>
        <v/>
      </c>
      <c r="H104" s="687"/>
      <c r="I104" s="687"/>
      <c r="J104" s="687"/>
      <c r="K104" s="687"/>
      <c r="L104" s="716"/>
    </row>
    <row r="105" spans="2:12" ht="50.1" customHeight="1" x14ac:dyDescent="0.3">
      <c r="B105" s="673">
        <f>IF(NClase&gt;=MAX(B$5:$B104)+1,B104+1,"--")</f>
        <v>101</v>
      </c>
      <c r="C105" s="674" t="str">
        <f t="shared" si="2"/>
        <v>Jue</v>
      </c>
      <c r="D105" s="675">
        <f t="shared" si="3"/>
        <v>46107</v>
      </c>
      <c r="E105" s="674">
        <f>IF(B105&gt;NClase,"--",IFERROR(VLOOKUP(B105,Flts!$H$14:$I$349,2,FALSE),E104))</f>
        <v>46107</v>
      </c>
      <c r="F105" s="785">
        <f>IF(B105&gt;NClase,"--",IFERROR(_xlfn.XLOOKUP(B105,Flts!$H$14:$H$349,Flts!$AS$14:$AS$349),F104))</f>
        <v>1</v>
      </c>
      <c r="G105" s="674" t="str">
        <f>IF(B105&gt;NClase,"--",IFERROR(_xlfn.XLOOKUP(B105,Flts!$H$14:$H$349,Flts!$E$14:$E$349),G104))</f>
        <v/>
      </c>
      <c r="H105" s="687"/>
      <c r="I105" s="687"/>
      <c r="J105" s="687"/>
      <c r="K105" s="687"/>
      <c r="L105" s="716"/>
    </row>
    <row r="106" spans="2:12" ht="50.1" customHeight="1" x14ac:dyDescent="0.3">
      <c r="B106" s="673">
        <f>IF(NClase&gt;=MAX(B$5:$B105)+1,B105+1,"--")</f>
        <v>102</v>
      </c>
      <c r="C106" s="674" t="str">
        <f t="shared" si="2"/>
        <v>Vie</v>
      </c>
      <c r="D106" s="675">
        <f t="shared" si="3"/>
        <v>46108</v>
      </c>
      <c r="E106" s="674">
        <f>IF(B106&gt;NClase,"--",IFERROR(VLOOKUP(B106,Flts!$H$14:$I$349,2,FALSE),E105))</f>
        <v>46108</v>
      </c>
      <c r="F106" s="785">
        <f>IF(B106&gt;NClase,"--",IFERROR(_xlfn.XLOOKUP(B106,Flts!$H$14:$H$349,Flts!$AS$14:$AS$349),F105))</f>
        <v>1</v>
      </c>
      <c r="G106" s="674" t="str">
        <f>IF(B106&gt;NClase,"--",IFERROR(_xlfn.XLOOKUP(B106,Flts!$H$14:$H$349,Flts!$E$14:$E$349),G105))</f>
        <v/>
      </c>
      <c r="H106" s="687"/>
      <c r="I106" s="687"/>
      <c r="J106" s="687"/>
      <c r="K106" s="687"/>
      <c r="L106" s="716"/>
    </row>
    <row r="107" spans="2:12" ht="50.1" customHeight="1" x14ac:dyDescent="0.3">
      <c r="B107" s="673">
        <f>IF(NClase&gt;=MAX(B$5:$B106)+1,B106+1,"--")</f>
        <v>103</v>
      </c>
      <c r="C107" s="674" t="str">
        <f t="shared" si="2"/>
        <v>Mar</v>
      </c>
      <c r="D107" s="675">
        <f t="shared" si="3"/>
        <v>46119</v>
      </c>
      <c r="E107" s="674">
        <f>IF(B107&gt;NClase,"--",IFERROR(VLOOKUP(B107,Flts!$H$14:$I$349,2,FALSE),E106))</f>
        <v>46119</v>
      </c>
      <c r="F107" s="785">
        <f>IF(B107&gt;NClase,"--",IFERROR(_xlfn.XLOOKUP(B107,Flts!$H$14:$H$349,Flts!$AS$14:$AS$349),F106))</f>
        <v>1</v>
      </c>
      <c r="G107" s="674" t="str">
        <f>IF(B107&gt;NClase,"--",IFERROR(_xlfn.XLOOKUP(B107,Flts!$H$14:$H$349,Flts!$E$14:$E$349),G106))</f>
        <v/>
      </c>
      <c r="H107" s="687"/>
      <c r="I107" s="687"/>
      <c r="J107" s="687"/>
      <c r="K107" s="687"/>
      <c r="L107" s="716"/>
    </row>
    <row r="108" spans="2:12" ht="50.1" customHeight="1" x14ac:dyDescent="0.3">
      <c r="B108" s="673">
        <f>IF(NClase&gt;=MAX(B$5:$B107)+1,B107+1,"--")</f>
        <v>104</v>
      </c>
      <c r="C108" s="674" t="str">
        <f t="shared" si="2"/>
        <v>Mié</v>
      </c>
      <c r="D108" s="675">
        <f t="shared" si="3"/>
        <v>46120</v>
      </c>
      <c r="E108" s="674">
        <f>IF(B108&gt;NClase,"--",IFERROR(VLOOKUP(B108,Flts!$H$14:$I$349,2,FALSE),E107))</f>
        <v>46120</v>
      </c>
      <c r="F108" s="785">
        <f>IF(B108&gt;NClase,"--",IFERROR(_xlfn.XLOOKUP(B108,Flts!$H$14:$H$349,Flts!$AS$14:$AS$349),F107))</f>
        <v>1</v>
      </c>
      <c r="G108" s="674" t="str">
        <f>IF(B108&gt;NClase,"--",IFERROR(_xlfn.XLOOKUP(B108,Flts!$H$14:$H$349,Flts!$E$14:$E$349),G107))</f>
        <v/>
      </c>
      <c r="H108" s="687"/>
      <c r="I108" s="687"/>
      <c r="J108" s="687"/>
      <c r="K108" s="687"/>
      <c r="L108" s="716"/>
    </row>
    <row r="109" spans="2:12" ht="50.1" customHeight="1" x14ac:dyDescent="0.3">
      <c r="B109" s="673">
        <f>IF(NClase&gt;=MAX(B$5:$B108)+1,B108+1,"--")</f>
        <v>105</v>
      </c>
      <c r="C109" s="674" t="str">
        <f t="shared" si="2"/>
        <v>Jue</v>
      </c>
      <c r="D109" s="675">
        <f t="shared" si="3"/>
        <v>46121</v>
      </c>
      <c r="E109" s="674">
        <f>IF(B109&gt;NClase,"--",IFERROR(VLOOKUP(B109,Flts!$H$14:$I$349,2,FALSE),E108))</f>
        <v>46121</v>
      </c>
      <c r="F109" s="785">
        <f>IF(B109&gt;NClase,"--",IFERROR(_xlfn.XLOOKUP(B109,Flts!$H$14:$H$349,Flts!$AS$14:$AS$349),F108))</f>
        <v>1</v>
      </c>
      <c r="G109" s="674" t="str">
        <f>IF(B109&gt;NClase,"--",IFERROR(_xlfn.XLOOKUP(B109,Flts!$H$14:$H$349,Flts!$E$14:$E$349),G108))</f>
        <v/>
      </c>
      <c r="H109" s="687"/>
      <c r="I109" s="687"/>
      <c r="J109" s="687"/>
      <c r="K109" s="687"/>
      <c r="L109" s="716"/>
    </row>
    <row r="110" spans="2:12" ht="50.1" customHeight="1" x14ac:dyDescent="0.3">
      <c r="B110" s="673">
        <f>IF(NClase&gt;=MAX(B$5:$B109)+1,B109+1,"--")</f>
        <v>106</v>
      </c>
      <c r="C110" s="674" t="str">
        <f t="shared" si="2"/>
        <v>Vie</v>
      </c>
      <c r="D110" s="675">
        <f t="shared" si="3"/>
        <v>46122</v>
      </c>
      <c r="E110" s="674">
        <f>IF(B110&gt;NClase,"--",IFERROR(VLOOKUP(B110,Flts!$H$14:$I$349,2,FALSE),E109))</f>
        <v>46122</v>
      </c>
      <c r="F110" s="785">
        <f>IF(B110&gt;NClase,"--",IFERROR(_xlfn.XLOOKUP(B110,Flts!$H$14:$H$349,Flts!$AS$14:$AS$349),F109))</f>
        <v>1</v>
      </c>
      <c r="G110" s="674" t="str">
        <f>IF(B110&gt;NClase,"--",IFERROR(_xlfn.XLOOKUP(B110,Flts!$H$14:$H$349,Flts!$E$14:$E$349),G109))</f>
        <v/>
      </c>
      <c r="H110" s="687"/>
      <c r="I110" s="687"/>
      <c r="J110" s="687"/>
      <c r="K110" s="687"/>
      <c r="L110" s="716"/>
    </row>
    <row r="111" spans="2:12" ht="50.1" customHeight="1" x14ac:dyDescent="0.3">
      <c r="B111" s="673">
        <f>IF(NClase&gt;=MAX(B$5:$B110)+1,B110+1,"--")</f>
        <v>107</v>
      </c>
      <c r="C111" s="674" t="str">
        <f t="shared" si="2"/>
        <v>Lun</v>
      </c>
      <c r="D111" s="675">
        <f t="shared" si="3"/>
        <v>46125</v>
      </c>
      <c r="E111" s="674">
        <f>IF(B111&gt;NClase,"--",IFERROR(VLOOKUP(B111,Flts!$H$14:$I$349,2,FALSE),E110))</f>
        <v>46125</v>
      </c>
      <c r="F111" s="785">
        <f>IF(B111&gt;NClase,"--",IFERROR(_xlfn.XLOOKUP(B111,Flts!$H$14:$H$349,Flts!$AS$14:$AS$349),F110))</f>
        <v>1</v>
      </c>
      <c r="G111" s="674" t="str">
        <f>IF(B111&gt;NClase,"--",IFERROR(_xlfn.XLOOKUP(B111,Flts!$H$14:$H$349,Flts!$E$14:$E$349),G110))</f>
        <v/>
      </c>
      <c r="H111" s="687"/>
      <c r="I111" s="687"/>
      <c r="J111" s="687"/>
      <c r="K111" s="687"/>
      <c r="L111" s="716"/>
    </row>
    <row r="112" spans="2:12" ht="50.1" customHeight="1" x14ac:dyDescent="0.3">
      <c r="B112" s="673">
        <f>IF(NClase&gt;=MAX(B$5:$B111)+1,B111+1,"--")</f>
        <v>108</v>
      </c>
      <c r="C112" s="674" t="str">
        <f t="shared" si="2"/>
        <v>Mar</v>
      </c>
      <c r="D112" s="675">
        <f t="shared" si="3"/>
        <v>46126</v>
      </c>
      <c r="E112" s="674">
        <f>IF(B112&gt;NClase,"--",IFERROR(VLOOKUP(B112,Flts!$H$14:$I$349,2,FALSE),E111))</f>
        <v>46126</v>
      </c>
      <c r="F112" s="785">
        <f>IF(B112&gt;NClase,"--",IFERROR(_xlfn.XLOOKUP(B112,Flts!$H$14:$H$349,Flts!$AS$14:$AS$349),F111))</f>
        <v>1</v>
      </c>
      <c r="G112" s="674" t="str">
        <f>IF(B112&gt;NClase,"--",IFERROR(_xlfn.XLOOKUP(B112,Flts!$H$14:$H$349,Flts!$E$14:$E$349),G111))</f>
        <v/>
      </c>
      <c r="H112" s="687"/>
      <c r="I112" s="687"/>
      <c r="J112" s="687"/>
      <c r="K112" s="687"/>
      <c r="L112" s="716"/>
    </row>
    <row r="113" spans="2:12" ht="50.1" customHeight="1" x14ac:dyDescent="0.3">
      <c r="B113" s="673">
        <f>IF(NClase&gt;=MAX(B$5:$B112)+1,B112+1,"--")</f>
        <v>109</v>
      </c>
      <c r="C113" s="674" t="str">
        <f t="shared" si="2"/>
        <v>Mié</v>
      </c>
      <c r="D113" s="675">
        <f t="shared" si="3"/>
        <v>46127</v>
      </c>
      <c r="E113" s="674">
        <f>IF(B113&gt;NClase,"--",IFERROR(VLOOKUP(B113,Flts!$H$14:$I$349,2,FALSE),E112))</f>
        <v>46127</v>
      </c>
      <c r="F113" s="785">
        <f>IF(B113&gt;NClase,"--",IFERROR(_xlfn.XLOOKUP(B113,Flts!$H$14:$H$349,Flts!$AS$14:$AS$349),F112))</f>
        <v>1</v>
      </c>
      <c r="G113" s="674" t="str">
        <f>IF(B113&gt;NClase,"--",IFERROR(_xlfn.XLOOKUP(B113,Flts!$H$14:$H$349,Flts!$E$14:$E$349),G112))</f>
        <v/>
      </c>
      <c r="H113" s="687"/>
      <c r="I113" s="687"/>
      <c r="J113" s="687"/>
      <c r="K113" s="687"/>
      <c r="L113" s="716"/>
    </row>
    <row r="114" spans="2:12" ht="50.1" customHeight="1" x14ac:dyDescent="0.3">
      <c r="B114" s="673">
        <f>IF(NClase&gt;=MAX(B$5:$B113)+1,B113+1,"--")</f>
        <v>110</v>
      </c>
      <c r="C114" s="674" t="str">
        <f t="shared" si="2"/>
        <v>Jue</v>
      </c>
      <c r="D114" s="675">
        <f t="shared" si="3"/>
        <v>46128</v>
      </c>
      <c r="E114" s="674">
        <f>IF(B114&gt;NClase,"--",IFERROR(VLOOKUP(B114,Flts!$H$14:$I$349,2,FALSE),E113))</f>
        <v>46128</v>
      </c>
      <c r="F114" s="785">
        <f>IF(B114&gt;NClase,"--",IFERROR(_xlfn.XLOOKUP(B114,Flts!$H$14:$H$349,Flts!$AS$14:$AS$349),F113))</f>
        <v>1</v>
      </c>
      <c r="G114" s="674" t="str">
        <f>IF(B114&gt;NClase,"--",IFERROR(_xlfn.XLOOKUP(B114,Flts!$H$14:$H$349,Flts!$E$14:$E$349),G113))</f>
        <v/>
      </c>
      <c r="H114" s="687"/>
      <c r="I114" s="687"/>
      <c r="J114" s="687"/>
      <c r="K114" s="687"/>
      <c r="L114" s="716"/>
    </row>
    <row r="115" spans="2:12" ht="50.1" customHeight="1" x14ac:dyDescent="0.3">
      <c r="B115" s="673">
        <f>IF(NClase&gt;=MAX(B$5:$B114)+1,B114+1,"--")</f>
        <v>111</v>
      </c>
      <c r="C115" s="674" t="str">
        <f t="shared" si="2"/>
        <v>Vie</v>
      </c>
      <c r="D115" s="675">
        <f t="shared" si="3"/>
        <v>46129</v>
      </c>
      <c r="E115" s="674">
        <f>IF(B115&gt;NClase,"--",IFERROR(VLOOKUP(B115,Flts!$H$14:$I$349,2,FALSE),E114))</f>
        <v>46129</v>
      </c>
      <c r="F115" s="785">
        <f>IF(B115&gt;NClase,"--",IFERROR(_xlfn.XLOOKUP(B115,Flts!$H$14:$H$349,Flts!$AS$14:$AS$349),F114))</f>
        <v>1</v>
      </c>
      <c r="G115" s="674" t="str">
        <f>IF(B115&gt;NClase,"--",IFERROR(_xlfn.XLOOKUP(B115,Flts!$H$14:$H$349,Flts!$E$14:$E$349),G114))</f>
        <v/>
      </c>
      <c r="H115" s="687"/>
      <c r="I115" s="687"/>
      <c r="J115" s="687"/>
      <c r="K115" s="687"/>
      <c r="L115" s="716"/>
    </row>
    <row r="116" spans="2:12" ht="50.1" customHeight="1" x14ac:dyDescent="0.3">
      <c r="B116" s="673">
        <f>IF(NClase&gt;=MAX(B$5:$B115)+1,B115+1,"--")</f>
        <v>112</v>
      </c>
      <c r="C116" s="674" t="str">
        <f t="shared" si="2"/>
        <v>Lun</v>
      </c>
      <c r="D116" s="675">
        <f t="shared" si="3"/>
        <v>46132</v>
      </c>
      <c r="E116" s="674">
        <f>IF(B116&gt;NClase,"--",IFERROR(VLOOKUP(B116,Flts!$H$14:$I$349,2,FALSE),E115))</f>
        <v>46132</v>
      </c>
      <c r="F116" s="785">
        <f>IF(B116&gt;NClase,"--",IFERROR(_xlfn.XLOOKUP(B116,Flts!$H$14:$H$349,Flts!$AS$14:$AS$349),F115))</f>
        <v>1</v>
      </c>
      <c r="G116" s="674" t="str">
        <f>IF(B116&gt;NClase,"--",IFERROR(_xlfn.XLOOKUP(B116,Flts!$H$14:$H$349,Flts!$E$14:$E$349),G115))</f>
        <v/>
      </c>
      <c r="H116" s="687"/>
      <c r="I116" s="687"/>
      <c r="J116" s="687"/>
      <c r="K116" s="687"/>
      <c r="L116" s="716"/>
    </row>
    <row r="117" spans="2:12" ht="50.1" customHeight="1" x14ac:dyDescent="0.3">
      <c r="B117" s="673">
        <f>IF(NClase&gt;=MAX(B$5:$B116)+1,B116+1,"--")</f>
        <v>113</v>
      </c>
      <c r="C117" s="674" t="str">
        <f t="shared" si="2"/>
        <v>Mar</v>
      </c>
      <c r="D117" s="675">
        <f t="shared" si="3"/>
        <v>46133</v>
      </c>
      <c r="E117" s="674">
        <f>IF(B117&gt;NClase,"--",IFERROR(VLOOKUP(B117,Flts!$H$14:$I$349,2,FALSE),E116))</f>
        <v>46133</v>
      </c>
      <c r="F117" s="785">
        <f>IF(B117&gt;NClase,"--",IFERROR(_xlfn.XLOOKUP(B117,Flts!$H$14:$H$349,Flts!$AS$14:$AS$349),F116))</f>
        <v>1</v>
      </c>
      <c r="G117" s="674" t="str">
        <f>IF(B117&gt;NClase,"--",IFERROR(_xlfn.XLOOKUP(B117,Flts!$H$14:$H$349,Flts!$E$14:$E$349),G116))</f>
        <v/>
      </c>
      <c r="H117" s="687"/>
      <c r="I117" s="687"/>
      <c r="J117" s="687"/>
      <c r="K117" s="687"/>
      <c r="L117" s="716"/>
    </row>
    <row r="118" spans="2:12" ht="50.1" customHeight="1" x14ac:dyDescent="0.3">
      <c r="B118" s="673">
        <f>IF(NClase&gt;=MAX(B$5:$B117)+1,B117+1,"--")</f>
        <v>114</v>
      </c>
      <c r="C118" s="674" t="str">
        <f t="shared" si="2"/>
        <v>Mié</v>
      </c>
      <c r="D118" s="675">
        <f t="shared" si="3"/>
        <v>46134</v>
      </c>
      <c r="E118" s="674">
        <f>IF(B118&gt;NClase,"--",IFERROR(VLOOKUP(B118,Flts!$H$14:$I$349,2,FALSE),E117))</f>
        <v>46134</v>
      </c>
      <c r="F118" s="785">
        <f>IF(B118&gt;NClase,"--",IFERROR(_xlfn.XLOOKUP(B118,Flts!$H$14:$H$349,Flts!$AS$14:$AS$349),F117))</f>
        <v>1</v>
      </c>
      <c r="G118" s="674" t="str">
        <f>IF(B118&gt;NClase,"--",IFERROR(_xlfn.XLOOKUP(B118,Flts!$H$14:$H$349,Flts!$E$14:$E$349),G117))</f>
        <v/>
      </c>
      <c r="H118" s="687"/>
      <c r="I118" s="687"/>
      <c r="J118" s="687"/>
      <c r="K118" s="687"/>
      <c r="L118" s="716"/>
    </row>
    <row r="119" spans="2:12" ht="50.1" customHeight="1" x14ac:dyDescent="0.3">
      <c r="B119" s="673">
        <f>IF(NClase&gt;=MAX(B$5:$B118)+1,B118+1,"--")</f>
        <v>115</v>
      </c>
      <c r="C119" s="674" t="str">
        <f t="shared" si="2"/>
        <v>Lun</v>
      </c>
      <c r="D119" s="675">
        <f t="shared" si="3"/>
        <v>46139</v>
      </c>
      <c r="E119" s="674">
        <f>IF(B119&gt;NClase,"--",IFERROR(VLOOKUP(B119,Flts!$H$14:$I$349,2,FALSE),E118))</f>
        <v>46139</v>
      </c>
      <c r="F119" s="785">
        <f>IF(B119&gt;NClase,"--",IFERROR(_xlfn.XLOOKUP(B119,Flts!$H$14:$H$349,Flts!$AS$14:$AS$349),F118))</f>
        <v>1</v>
      </c>
      <c r="G119" s="674" t="str">
        <f>IF(B119&gt;NClase,"--",IFERROR(_xlfn.XLOOKUP(B119,Flts!$H$14:$H$349,Flts!$E$14:$E$349),G118))</f>
        <v/>
      </c>
      <c r="H119" s="687"/>
      <c r="I119" s="687"/>
      <c r="J119" s="687"/>
      <c r="K119" s="687"/>
      <c r="L119" s="716"/>
    </row>
    <row r="120" spans="2:12" ht="50.1" customHeight="1" x14ac:dyDescent="0.3">
      <c r="B120" s="673">
        <f>IF(NClase&gt;=MAX(B$5:$B119)+1,B119+1,"--")</f>
        <v>116</v>
      </c>
      <c r="C120" s="674" t="str">
        <f t="shared" si="2"/>
        <v>Mar</v>
      </c>
      <c r="D120" s="675">
        <f t="shared" si="3"/>
        <v>46140</v>
      </c>
      <c r="E120" s="674">
        <f>IF(B120&gt;NClase,"--",IFERROR(VLOOKUP(B120,Flts!$H$14:$I$349,2,FALSE),E119))</f>
        <v>46140</v>
      </c>
      <c r="F120" s="785">
        <f>IF(B120&gt;NClase,"--",IFERROR(_xlfn.XLOOKUP(B120,Flts!$H$14:$H$349,Flts!$AS$14:$AS$349),F119))</f>
        <v>1</v>
      </c>
      <c r="G120" s="674" t="str">
        <f>IF(B120&gt;NClase,"--",IFERROR(_xlfn.XLOOKUP(B120,Flts!$H$14:$H$349,Flts!$E$14:$E$349),G119))</f>
        <v/>
      </c>
      <c r="H120" s="687"/>
      <c r="I120" s="687"/>
      <c r="J120" s="687"/>
      <c r="K120" s="687"/>
      <c r="L120" s="716"/>
    </row>
    <row r="121" spans="2:12" ht="50.1" customHeight="1" x14ac:dyDescent="0.3">
      <c r="B121" s="673">
        <f>IF(NClase&gt;=MAX(B$5:$B120)+1,B120+1,"--")</f>
        <v>117</v>
      </c>
      <c r="C121" s="674" t="str">
        <f t="shared" si="2"/>
        <v>Mié</v>
      </c>
      <c r="D121" s="675">
        <f t="shared" si="3"/>
        <v>46141</v>
      </c>
      <c r="E121" s="674">
        <f>IF(B121&gt;NClase,"--",IFERROR(VLOOKUP(B121,Flts!$H$14:$I$349,2,FALSE),E120))</f>
        <v>46141</v>
      </c>
      <c r="F121" s="785">
        <f>IF(B121&gt;NClase,"--",IFERROR(_xlfn.XLOOKUP(B121,Flts!$H$14:$H$349,Flts!$AS$14:$AS$349),F120))</f>
        <v>1</v>
      </c>
      <c r="G121" s="674" t="str">
        <f>IF(B121&gt;NClase,"--",IFERROR(_xlfn.XLOOKUP(B121,Flts!$H$14:$H$349,Flts!$E$14:$E$349),G120))</f>
        <v/>
      </c>
      <c r="H121" s="687"/>
      <c r="I121" s="687"/>
      <c r="J121" s="687"/>
      <c r="K121" s="687"/>
      <c r="L121" s="716"/>
    </row>
    <row r="122" spans="2:12" ht="50.1" customHeight="1" x14ac:dyDescent="0.3">
      <c r="B122" s="673">
        <f>IF(NClase&gt;=MAX(B$5:$B121)+1,B121+1,"--")</f>
        <v>118</v>
      </c>
      <c r="C122" s="674" t="str">
        <f t="shared" si="2"/>
        <v>Jue</v>
      </c>
      <c r="D122" s="675">
        <f t="shared" si="3"/>
        <v>46142</v>
      </c>
      <c r="E122" s="674">
        <f>IF(B122&gt;NClase,"--",IFERROR(VLOOKUP(B122,Flts!$H$14:$I$349,2,FALSE),E121))</f>
        <v>46142</v>
      </c>
      <c r="F122" s="785">
        <f>IF(B122&gt;NClase,"--",IFERROR(_xlfn.XLOOKUP(B122,Flts!$H$14:$H$349,Flts!$AS$14:$AS$349),F121))</f>
        <v>1</v>
      </c>
      <c r="G122" s="674" t="str">
        <f>IF(B122&gt;NClase,"--",IFERROR(_xlfn.XLOOKUP(B122,Flts!$H$14:$H$349,Flts!$E$14:$E$349),G121))</f>
        <v/>
      </c>
      <c r="H122" s="687"/>
      <c r="I122" s="687"/>
      <c r="J122" s="687"/>
      <c r="K122" s="687"/>
      <c r="L122" s="716"/>
    </row>
    <row r="123" spans="2:12" ht="50.1" customHeight="1" x14ac:dyDescent="0.3">
      <c r="B123" s="673">
        <f>IF(NClase&gt;=MAX(B$5:$B122)+1,B122+1,"--")</f>
        <v>119</v>
      </c>
      <c r="C123" s="674" t="str">
        <f t="shared" si="2"/>
        <v>Lun</v>
      </c>
      <c r="D123" s="675">
        <f t="shared" si="3"/>
        <v>46146</v>
      </c>
      <c r="E123" s="674">
        <f>IF(B123&gt;NClase,"--",IFERROR(VLOOKUP(B123,Flts!$H$14:$I$349,2,FALSE),E122))</f>
        <v>46146</v>
      </c>
      <c r="F123" s="785">
        <f>IF(B123&gt;NClase,"--",IFERROR(_xlfn.XLOOKUP(B123,Flts!$H$14:$H$349,Flts!$AS$14:$AS$349),F122))</f>
        <v>1</v>
      </c>
      <c r="G123" s="674" t="str">
        <f>IF(B123&gt;NClase,"--",IFERROR(_xlfn.XLOOKUP(B123,Flts!$H$14:$H$349,Flts!$E$14:$E$349),G122))</f>
        <v/>
      </c>
      <c r="H123" s="687"/>
      <c r="I123" s="687"/>
      <c r="J123" s="687"/>
      <c r="K123" s="687"/>
      <c r="L123" s="716"/>
    </row>
    <row r="124" spans="2:12" ht="50.1" customHeight="1" x14ac:dyDescent="0.3">
      <c r="B124" s="673">
        <f>IF(NClase&gt;=MAX(B$5:$B123)+1,B123+1,"--")</f>
        <v>120</v>
      </c>
      <c r="C124" s="674" t="str">
        <f t="shared" si="2"/>
        <v>Mar</v>
      </c>
      <c r="D124" s="675">
        <f t="shared" si="3"/>
        <v>46147</v>
      </c>
      <c r="E124" s="674">
        <f>IF(B124&gt;NClase,"--",IFERROR(VLOOKUP(B124,Flts!$H$14:$I$349,2,FALSE),E123))</f>
        <v>46147</v>
      </c>
      <c r="F124" s="785">
        <f>IF(B124&gt;NClase,"--",IFERROR(_xlfn.XLOOKUP(B124,Flts!$H$14:$H$349,Flts!$AS$14:$AS$349),F123))</f>
        <v>1</v>
      </c>
      <c r="G124" s="674" t="str">
        <f>IF(B124&gt;NClase,"--",IFERROR(_xlfn.XLOOKUP(B124,Flts!$H$14:$H$349,Flts!$E$14:$E$349),G123))</f>
        <v/>
      </c>
      <c r="H124" s="687"/>
      <c r="I124" s="687"/>
      <c r="J124" s="687"/>
      <c r="K124" s="687"/>
      <c r="L124" s="716"/>
    </row>
    <row r="125" spans="2:12" ht="50.1" customHeight="1" x14ac:dyDescent="0.3">
      <c r="B125" s="673">
        <f>IF(NClase&gt;=MAX(B$5:$B124)+1,B124+1,"--")</f>
        <v>121</v>
      </c>
      <c r="C125" s="674" t="str">
        <f t="shared" si="2"/>
        <v>Mié</v>
      </c>
      <c r="D125" s="675">
        <f t="shared" si="3"/>
        <v>46148</v>
      </c>
      <c r="E125" s="674">
        <f>IF(B125&gt;NClase,"--",IFERROR(VLOOKUP(B125,Flts!$H$14:$I$349,2,FALSE),E124))</f>
        <v>46148</v>
      </c>
      <c r="F125" s="785">
        <f>IF(B125&gt;NClase,"--",IFERROR(_xlfn.XLOOKUP(B125,Flts!$H$14:$H$349,Flts!$AS$14:$AS$349),F124))</f>
        <v>1</v>
      </c>
      <c r="G125" s="674" t="str">
        <f>IF(B125&gt;NClase,"--",IFERROR(_xlfn.XLOOKUP(B125,Flts!$H$14:$H$349,Flts!$E$14:$E$349),G124))</f>
        <v/>
      </c>
      <c r="H125" s="687"/>
      <c r="I125" s="687"/>
      <c r="J125" s="687"/>
      <c r="K125" s="687"/>
      <c r="L125" s="716"/>
    </row>
    <row r="126" spans="2:12" ht="50.1" customHeight="1" x14ac:dyDescent="0.3">
      <c r="B126" s="673">
        <f>IF(NClase&gt;=MAX(B$5:$B125)+1,B125+1,"--")</f>
        <v>122</v>
      </c>
      <c r="C126" s="674" t="str">
        <f t="shared" si="2"/>
        <v>Jue</v>
      </c>
      <c r="D126" s="675">
        <f t="shared" si="3"/>
        <v>46149</v>
      </c>
      <c r="E126" s="674">
        <f>IF(B126&gt;NClase,"--",IFERROR(VLOOKUP(B126,Flts!$H$14:$I$349,2,FALSE),E125))</f>
        <v>46149</v>
      </c>
      <c r="F126" s="785">
        <f>IF(B126&gt;NClase,"--",IFERROR(_xlfn.XLOOKUP(B126,Flts!$H$14:$H$349,Flts!$AS$14:$AS$349),F125))</f>
        <v>1</v>
      </c>
      <c r="G126" s="674" t="str">
        <f>IF(B126&gt;NClase,"--",IFERROR(_xlfn.XLOOKUP(B126,Flts!$H$14:$H$349,Flts!$E$14:$E$349),G125))</f>
        <v/>
      </c>
      <c r="H126" s="687"/>
      <c r="I126" s="687"/>
      <c r="J126" s="687"/>
      <c r="K126" s="687"/>
      <c r="L126" s="716"/>
    </row>
    <row r="127" spans="2:12" ht="50.1" customHeight="1" x14ac:dyDescent="0.3">
      <c r="B127" s="673">
        <f>IF(NClase&gt;=MAX(B$5:$B126)+1,B126+1,"--")</f>
        <v>123</v>
      </c>
      <c r="C127" s="674" t="str">
        <f t="shared" si="2"/>
        <v>Vie</v>
      </c>
      <c r="D127" s="675">
        <f t="shared" si="3"/>
        <v>46150</v>
      </c>
      <c r="E127" s="674">
        <f>IF(B127&gt;NClase,"--",IFERROR(VLOOKUP(B127,Flts!$H$14:$I$349,2,FALSE),E126))</f>
        <v>46150</v>
      </c>
      <c r="F127" s="785">
        <f>IF(B127&gt;NClase,"--",IFERROR(_xlfn.XLOOKUP(B127,Flts!$H$14:$H$349,Flts!$AS$14:$AS$349),F126))</f>
        <v>1</v>
      </c>
      <c r="G127" s="674" t="str">
        <f>IF(B127&gt;NClase,"--",IFERROR(_xlfn.XLOOKUP(B127,Flts!$H$14:$H$349,Flts!$E$14:$E$349),G126))</f>
        <v/>
      </c>
      <c r="H127" s="687"/>
      <c r="I127" s="687"/>
      <c r="J127" s="687"/>
      <c r="K127" s="687"/>
      <c r="L127" s="716"/>
    </row>
    <row r="128" spans="2:12" ht="50.1" customHeight="1" x14ac:dyDescent="0.3">
      <c r="B128" s="673">
        <f>IF(NClase&gt;=MAX(B$5:$B127)+1,B127+1,"--")</f>
        <v>124</v>
      </c>
      <c r="C128" s="674" t="str">
        <f t="shared" si="2"/>
        <v>Lun</v>
      </c>
      <c r="D128" s="675">
        <f t="shared" si="3"/>
        <v>46153</v>
      </c>
      <c r="E128" s="674">
        <f>IF(B128&gt;NClase,"--",IFERROR(VLOOKUP(B128,Flts!$H$14:$I$349,2,FALSE),E127))</f>
        <v>46153</v>
      </c>
      <c r="F128" s="785">
        <f>IF(B128&gt;NClase,"--",IFERROR(_xlfn.XLOOKUP(B128,Flts!$H$14:$H$349,Flts!$AS$14:$AS$349),F127))</f>
        <v>1</v>
      </c>
      <c r="G128" s="674" t="str">
        <f>IF(B128&gt;NClase,"--",IFERROR(_xlfn.XLOOKUP(B128,Flts!$H$14:$H$349,Flts!$E$14:$E$349),G127))</f>
        <v/>
      </c>
      <c r="H128" s="687"/>
      <c r="I128" s="687"/>
      <c r="J128" s="687"/>
      <c r="K128" s="687"/>
      <c r="L128" s="716"/>
    </row>
    <row r="129" spans="2:12" ht="50.1" customHeight="1" x14ac:dyDescent="0.3">
      <c r="B129" s="673">
        <f>IF(NClase&gt;=MAX(B$5:$B128)+1,B128+1,"--")</f>
        <v>125</v>
      </c>
      <c r="C129" s="674" t="str">
        <f t="shared" si="2"/>
        <v>Mar</v>
      </c>
      <c r="D129" s="675">
        <f t="shared" si="3"/>
        <v>46154</v>
      </c>
      <c r="E129" s="674">
        <f>IF(B129&gt;NClase,"--",IFERROR(VLOOKUP(B129,Flts!$H$14:$I$349,2,FALSE),E128))</f>
        <v>46154</v>
      </c>
      <c r="F129" s="785">
        <f>IF(B129&gt;NClase,"--",IFERROR(_xlfn.XLOOKUP(B129,Flts!$H$14:$H$349,Flts!$AS$14:$AS$349),F128))</f>
        <v>1</v>
      </c>
      <c r="G129" s="674" t="str">
        <f>IF(B129&gt;NClase,"--",IFERROR(_xlfn.XLOOKUP(B129,Flts!$H$14:$H$349,Flts!$E$14:$E$349),G128))</f>
        <v/>
      </c>
      <c r="H129" s="687"/>
      <c r="I129" s="687"/>
      <c r="J129" s="687"/>
      <c r="K129" s="687"/>
      <c r="L129" s="716"/>
    </row>
    <row r="130" spans="2:12" ht="50.1" customHeight="1" x14ac:dyDescent="0.3">
      <c r="B130" s="673">
        <f>IF(NClase&gt;=MAX(B$5:$B129)+1,B129+1,"--")</f>
        <v>126</v>
      </c>
      <c r="C130" s="674" t="str">
        <f t="shared" si="2"/>
        <v>Mié</v>
      </c>
      <c r="D130" s="675">
        <f t="shared" si="3"/>
        <v>46155</v>
      </c>
      <c r="E130" s="674">
        <f>IF(B130&gt;NClase,"--",IFERROR(VLOOKUP(B130,Flts!$H$14:$I$349,2,FALSE),E129))</f>
        <v>46155</v>
      </c>
      <c r="F130" s="785">
        <f>IF(B130&gt;NClase,"--",IFERROR(_xlfn.XLOOKUP(B130,Flts!$H$14:$H$349,Flts!$AS$14:$AS$349),F129))</f>
        <v>1</v>
      </c>
      <c r="G130" s="674" t="str">
        <f>IF(B130&gt;NClase,"--",IFERROR(_xlfn.XLOOKUP(B130,Flts!$H$14:$H$349,Flts!$E$14:$E$349),G129))</f>
        <v/>
      </c>
      <c r="H130" s="687"/>
      <c r="I130" s="687"/>
      <c r="J130" s="687"/>
      <c r="K130" s="687"/>
      <c r="L130" s="716"/>
    </row>
    <row r="131" spans="2:12" ht="50.1" customHeight="1" x14ac:dyDescent="0.3">
      <c r="B131" s="673">
        <f>IF(NClase&gt;=MAX(B$5:$B130)+1,B130+1,"--")</f>
        <v>127</v>
      </c>
      <c r="C131" s="674" t="str">
        <f t="shared" si="2"/>
        <v>Jue</v>
      </c>
      <c r="D131" s="675">
        <f t="shared" si="3"/>
        <v>46156</v>
      </c>
      <c r="E131" s="674">
        <f>IF(B131&gt;NClase,"--",IFERROR(VLOOKUP(B131,Flts!$H$14:$I$349,2,FALSE),E130))</f>
        <v>46156</v>
      </c>
      <c r="F131" s="785">
        <f>IF(B131&gt;NClase,"--",IFERROR(_xlfn.XLOOKUP(B131,Flts!$H$14:$H$349,Flts!$AS$14:$AS$349),F130))</f>
        <v>1</v>
      </c>
      <c r="G131" s="674" t="str">
        <f>IF(B131&gt;NClase,"--",IFERROR(_xlfn.XLOOKUP(B131,Flts!$H$14:$H$349,Flts!$E$14:$E$349),G130))</f>
        <v/>
      </c>
      <c r="H131" s="687"/>
      <c r="I131" s="687"/>
      <c r="J131" s="687"/>
      <c r="K131" s="687"/>
      <c r="L131" s="716"/>
    </row>
    <row r="132" spans="2:12" ht="50.1" customHeight="1" x14ac:dyDescent="0.3">
      <c r="B132" s="673">
        <f>IF(NClase&gt;=MAX(B$5:$B131)+1,B131+1,"--")</f>
        <v>128</v>
      </c>
      <c r="C132" s="674" t="str">
        <f t="shared" si="2"/>
        <v>Vie</v>
      </c>
      <c r="D132" s="675">
        <f t="shared" si="3"/>
        <v>46157</v>
      </c>
      <c r="E132" s="674">
        <f>IF(B132&gt;NClase,"--",IFERROR(VLOOKUP(B132,Flts!$H$14:$I$349,2,FALSE),E131))</f>
        <v>46157</v>
      </c>
      <c r="F132" s="785">
        <f>IF(B132&gt;NClase,"--",IFERROR(_xlfn.XLOOKUP(B132,Flts!$H$14:$H$349,Flts!$AS$14:$AS$349),F131))</f>
        <v>1</v>
      </c>
      <c r="G132" s="674" t="str">
        <f>IF(B132&gt;NClase,"--",IFERROR(_xlfn.XLOOKUP(B132,Flts!$H$14:$H$349,Flts!$E$14:$E$349),G131))</f>
        <v/>
      </c>
      <c r="H132" s="687"/>
      <c r="I132" s="687"/>
      <c r="J132" s="687"/>
      <c r="K132" s="687"/>
      <c r="L132" s="716"/>
    </row>
    <row r="133" spans="2:12" ht="50.1" customHeight="1" x14ac:dyDescent="0.3">
      <c r="B133" s="673">
        <f>IF(NClase&gt;=MAX(B$5:$B132)+1,B132+1,"--")</f>
        <v>129</v>
      </c>
      <c r="C133" s="674" t="str">
        <f t="shared" si="2"/>
        <v>Lun</v>
      </c>
      <c r="D133" s="675">
        <f t="shared" si="3"/>
        <v>46160</v>
      </c>
      <c r="E133" s="674">
        <f>IF(B133&gt;NClase,"--",IFERROR(VLOOKUP(B133,Flts!$H$14:$I$349,2,FALSE),E132))</f>
        <v>46160</v>
      </c>
      <c r="F133" s="785">
        <f>IF(B133&gt;NClase,"--",IFERROR(_xlfn.XLOOKUP(B133,Flts!$H$14:$H$349,Flts!$AS$14:$AS$349),F132))</f>
        <v>1</v>
      </c>
      <c r="G133" s="674" t="str">
        <f>IF(B133&gt;NClase,"--",IFERROR(_xlfn.XLOOKUP(B133,Flts!$H$14:$H$349,Flts!$E$14:$E$349),G132))</f>
        <v/>
      </c>
      <c r="H133" s="687"/>
      <c r="I133" s="687"/>
      <c r="J133" s="687"/>
      <c r="K133" s="687"/>
      <c r="L133" s="716"/>
    </row>
    <row r="134" spans="2:12" ht="50.1" customHeight="1" x14ac:dyDescent="0.3">
      <c r="B134" s="673">
        <f>IF(NClase&gt;=MAX(B$5:$B133)+1,B133+1,"--")</f>
        <v>130</v>
      </c>
      <c r="C134" s="674" t="str">
        <f t="shared" ref="C134:C197" si="4">IF(AND(B134&lt;NClase,E133&lt;&gt;E134),IFERROR(MID(Vdias,(WEEKDAY(E134,2)-1)*3+1,3),C133),"--")</f>
        <v>Mar</v>
      </c>
      <c r="D134" s="675">
        <f t="shared" ref="D134:D186" si="5">E134</f>
        <v>46161</v>
      </c>
      <c r="E134" s="674">
        <f>IF(B134&gt;NClase,"--",IFERROR(VLOOKUP(B134,Flts!$H$14:$I$349,2,FALSE),E133))</f>
        <v>46161</v>
      </c>
      <c r="F134" s="785">
        <f>IF(B134&gt;NClase,"--",IFERROR(_xlfn.XLOOKUP(B134,Flts!$H$14:$H$349,Flts!$AS$14:$AS$349),F133))</f>
        <v>1</v>
      </c>
      <c r="G134" s="674" t="str">
        <f>IF(B134&gt;NClase,"--",IFERROR(_xlfn.XLOOKUP(B134,Flts!$H$14:$H$349,Flts!$E$14:$E$349),G133))</f>
        <v/>
      </c>
      <c r="H134" s="687"/>
      <c r="I134" s="687"/>
      <c r="J134" s="687"/>
      <c r="K134" s="687"/>
      <c r="L134" s="716"/>
    </row>
    <row r="135" spans="2:12" ht="50.1" customHeight="1" x14ac:dyDescent="0.3">
      <c r="B135" s="673">
        <f>IF(NClase&gt;=MAX(B$5:$B134)+1,B134+1,"--")</f>
        <v>131</v>
      </c>
      <c r="C135" s="674" t="str">
        <f t="shared" si="4"/>
        <v>Mié</v>
      </c>
      <c r="D135" s="675">
        <f t="shared" si="5"/>
        <v>46162</v>
      </c>
      <c r="E135" s="674">
        <f>IF(B135&gt;NClase,"--",IFERROR(VLOOKUP(B135,Flts!$H$14:$I$349,2,FALSE),E134))</f>
        <v>46162</v>
      </c>
      <c r="F135" s="785">
        <f>IF(B135&gt;NClase,"--",IFERROR(_xlfn.XLOOKUP(B135,Flts!$H$14:$H$349,Flts!$AS$14:$AS$349),F134))</f>
        <v>1</v>
      </c>
      <c r="G135" s="674" t="str">
        <f>IF(B135&gt;NClase,"--",IFERROR(_xlfn.XLOOKUP(B135,Flts!$H$14:$H$349,Flts!$E$14:$E$349),G134))</f>
        <v/>
      </c>
      <c r="H135" s="687"/>
      <c r="I135" s="687"/>
      <c r="J135" s="687"/>
      <c r="K135" s="687"/>
      <c r="L135" s="716"/>
    </row>
    <row r="136" spans="2:12" ht="50.1" customHeight="1" x14ac:dyDescent="0.3">
      <c r="B136" s="673">
        <f>IF(NClase&gt;=MAX(B$5:$B135)+1,B135+1,"--")</f>
        <v>132</v>
      </c>
      <c r="C136" s="674" t="str">
        <f t="shared" si="4"/>
        <v>Jue</v>
      </c>
      <c r="D136" s="675">
        <f t="shared" si="5"/>
        <v>46163</v>
      </c>
      <c r="E136" s="674">
        <f>IF(B136&gt;NClase,"--",IFERROR(VLOOKUP(B136,Flts!$H$14:$I$349,2,FALSE),E135))</f>
        <v>46163</v>
      </c>
      <c r="F136" s="785">
        <f>IF(B136&gt;NClase,"--",IFERROR(_xlfn.XLOOKUP(B136,Flts!$H$14:$H$349,Flts!$AS$14:$AS$349),F135))</f>
        <v>1</v>
      </c>
      <c r="G136" s="674" t="str">
        <f>IF(B136&gt;NClase,"--",IFERROR(_xlfn.XLOOKUP(B136,Flts!$H$14:$H$349,Flts!$E$14:$E$349),G135))</f>
        <v/>
      </c>
      <c r="H136" s="687"/>
      <c r="I136" s="687"/>
      <c r="J136" s="687"/>
      <c r="K136" s="687"/>
      <c r="L136" s="716"/>
    </row>
    <row r="137" spans="2:12" ht="50.1" customHeight="1" x14ac:dyDescent="0.3">
      <c r="B137" s="673">
        <f>IF(NClase&gt;=MAX(B$5:$B136)+1,B136+1,"--")</f>
        <v>133</v>
      </c>
      <c r="C137" s="674" t="str">
        <f t="shared" si="4"/>
        <v>Vie</v>
      </c>
      <c r="D137" s="675">
        <f t="shared" si="5"/>
        <v>46164</v>
      </c>
      <c r="E137" s="674">
        <f>IF(B137&gt;NClase,"--",IFERROR(VLOOKUP(B137,Flts!$H$14:$I$349,2,FALSE),E136))</f>
        <v>46164</v>
      </c>
      <c r="F137" s="785">
        <f>IF(B137&gt;NClase,"--",IFERROR(_xlfn.XLOOKUP(B137,Flts!$H$14:$H$349,Flts!$AS$14:$AS$349),F136))</f>
        <v>1</v>
      </c>
      <c r="G137" s="674" t="str">
        <f>IF(B137&gt;NClase,"--",IFERROR(_xlfn.XLOOKUP(B137,Flts!$H$14:$H$349,Flts!$E$14:$E$349),G136))</f>
        <v/>
      </c>
      <c r="H137" s="687"/>
      <c r="I137" s="687"/>
      <c r="J137" s="687"/>
      <c r="K137" s="687"/>
      <c r="L137" s="716"/>
    </row>
    <row r="138" spans="2:12" ht="50.1" customHeight="1" x14ac:dyDescent="0.3">
      <c r="B138" s="673">
        <f>IF(NClase&gt;=MAX(B$5:$B137)+1,B137+1,"--")</f>
        <v>134</v>
      </c>
      <c r="C138" s="674" t="str">
        <f t="shared" si="4"/>
        <v>Lun</v>
      </c>
      <c r="D138" s="675">
        <f t="shared" si="5"/>
        <v>46167</v>
      </c>
      <c r="E138" s="674">
        <f>IF(B138&gt;NClase,"--",IFERROR(VLOOKUP(B138,Flts!$H$14:$I$349,2,FALSE),E137))</f>
        <v>46167</v>
      </c>
      <c r="F138" s="785">
        <f>IF(B138&gt;NClase,"--",IFERROR(_xlfn.XLOOKUP(B138,Flts!$H$14:$H$349,Flts!$AS$14:$AS$349),F137))</f>
        <v>1</v>
      </c>
      <c r="G138" s="674" t="str">
        <f>IF(B138&gt;NClase,"--",IFERROR(_xlfn.XLOOKUP(B138,Flts!$H$14:$H$349,Flts!$E$14:$E$349),G137))</f>
        <v/>
      </c>
      <c r="H138" s="687"/>
      <c r="I138" s="687"/>
      <c r="J138" s="687"/>
      <c r="K138" s="687"/>
      <c r="L138" s="716"/>
    </row>
    <row r="139" spans="2:12" ht="50.1" customHeight="1" x14ac:dyDescent="0.3">
      <c r="B139" s="673">
        <f>IF(NClase&gt;=MAX(B$5:$B138)+1,B138+1,"--")</f>
        <v>135</v>
      </c>
      <c r="C139" s="674" t="str">
        <f t="shared" si="4"/>
        <v>Mar</v>
      </c>
      <c r="D139" s="675">
        <f t="shared" si="5"/>
        <v>46168</v>
      </c>
      <c r="E139" s="674">
        <f>IF(B139&gt;NClase,"--",IFERROR(VLOOKUP(B139,Flts!$H$14:$I$349,2,FALSE),E138))</f>
        <v>46168</v>
      </c>
      <c r="F139" s="785">
        <f>IF(B139&gt;NClase,"--",IFERROR(_xlfn.XLOOKUP(B139,Flts!$H$14:$H$349,Flts!$AS$14:$AS$349),F138))</f>
        <v>1</v>
      </c>
      <c r="G139" s="674" t="str">
        <f>IF(B139&gt;NClase,"--",IFERROR(_xlfn.XLOOKUP(B139,Flts!$H$14:$H$349,Flts!$E$14:$E$349),G138))</f>
        <v/>
      </c>
      <c r="H139" s="687"/>
      <c r="I139" s="687"/>
      <c r="J139" s="687"/>
      <c r="K139" s="687"/>
      <c r="L139" s="716"/>
    </row>
    <row r="140" spans="2:12" ht="50.1" customHeight="1" x14ac:dyDescent="0.3">
      <c r="B140" s="673">
        <f>IF(NClase&gt;=MAX(B$5:$B139)+1,B139+1,"--")</f>
        <v>136</v>
      </c>
      <c r="C140" s="674" t="str">
        <f t="shared" si="4"/>
        <v>Mié</v>
      </c>
      <c r="D140" s="675">
        <f t="shared" si="5"/>
        <v>46169</v>
      </c>
      <c r="E140" s="674">
        <f>IF(B140&gt;NClase,"--",IFERROR(VLOOKUP(B140,Flts!$H$14:$I$349,2,FALSE),E139))</f>
        <v>46169</v>
      </c>
      <c r="F140" s="785">
        <f>IF(B140&gt;NClase,"--",IFERROR(_xlfn.XLOOKUP(B140,Flts!$H$14:$H$349,Flts!$AS$14:$AS$349),F139))</f>
        <v>1</v>
      </c>
      <c r="G140" s="674" t="str">
        <f>IF(B140&gt;NClase,"--",IFERROR(_xlfn.XLOOKUP(B140,Flts!$H$14:$H$349,Flts!$E$14:$E$349),G139))</f>
        <v/>
      </c>
      <c r="H140" s="687"/>
      <c r="I140" s="687"/>
      <c r="J140" s="687"/>
      <c r="K140" s="687"/>
      <c r="L140" s="716"/>
    </row>
    <row r="141" spans="2:12" ht="50.1" customHeight="1" x14ac:dyDescent="0.3">
      <c r="B141" s="673">
        <f>IF(NClase&gt;=MAX(B$5:$B140)+1,B140+1,"--")</f>
        <v>137</v>
      </c>
      <c r="C141" s="674" t="str">
        <f t="shared" si="4"/>
        <v>Jue</v>
      </c>
      <c r="D141" s="675">
        <f t="shared" si="5"/>
        <v>46170</v>
      </c>
      <c r="E141" s="674">
        <f>IF(B141&gt;NClase,"--",IFERROR(VLOOKUP(B141,Flts!$H$14:$I$349,2,FALSE),E140))</f>
        <v>46170</v>
      </c>
      <c r="F141" s="785">
        <f>IF(B141&gt;NClase,"--",IFERROR(_xlfn.XLOOKUP(B141,Flts!$H$14:$H$349,Flts!$AS$14:$AS$349),F140))</f>
        <v>1</v>
      </c>
      <c r="G141" s="674" t="str">
        <f>IF(B141&gt;NClase,"--",IFERROR(_xlfn.XLOOKUP(B141,Flts!$H$14:$H$349,Flts!$E$14:$E$349),G140))</f>
        <v/>
      </c>
      <c r="H141" s="687"/>
      <c r="I141" s="687"/>
      <c r="J141" s="687"/>
      <c r="K141" s="687"/>
      <c r="L141" s="716"/>
    </row>
    <row r="142" spans="2:12" ht="50.1" customHeight="1" x14ac:dyDescent="0.3">
      <c r="B142" s="673">
        <f>IF(NClase&gt;=MAX(B$5:$B141)+1,B141+1,"--")</f>
        <v>138</v>
      </c>
      <c r="C142" s="674" t="str">
        <f t="shared" si="4"/>
        <v>--</v>
      </c>
      <c r="D142" s="675">
        <f t="shared" si="5"/>
        <v>46171</v>
      </c>
      <c r="E142" s="674">
        <f>IF(B142&gt;NClase,"--",IFERROR(VLOOKUP(B142,Flts!$H$14:$I$349,2,FALSE),E141))</f>
        <v>46171</v>
      </c>
      <c r="F142" s="785">
        <f>IF(B142&gt;NClase,"--",IFERROR(_xlfn.XLOOKUP(B142,Flts!$H$14:$H$349,Flts!$AS$14:$AS$349),F141))</f>
        <v>1</v>
      </c>
      <c r="G142" s="674" t="str">
        <f>IF(B142&gt;NClase,"--",IFERROR(_xlfn.XLOOKUP(B142,Flts!$H$14:$H$349,Flts!$E$14:$E$349),G141))</f>
        <v/>
      </c>
      <c r="H142" s="687"/>
      <c r="I142" s="687"/>
      <c r="J142" s="687"/>
      <c r="K142" s="687"/>
      <c r="L142" s="716"/>
    </row>
    <row r="143" spans="2:12" ht="50.1" customHeight="1" x14ac:dyDescent="0.3">
      <c r="B143" s="673" t="str">
        <f>IF(NClase&gt;=MAX(B$5:$B142)+1,B142+1,"--")</f>
        <v>--</v>
      </c>
      <c r="C143" s="674" t="str">
        <f t="shared" si="4"/>
        <v>--</v>
      </c>
      <c r="D143" s="675" t="str">
        <f t="shared" si="5"/>
        <v>--</v>
      </c>
      <c r="E143" s="674" t="str">
        <f>IF(B143&gt;NClase,"--",IFERROR(VLOOKUP(B143,Flts!$H$14:$I$349,2,FALSE),E142))</f>
        <v>--</v>
      </c>
      <c r="F143" s="785" t="str">
        <f>IF(B143&gt;NClase,"--",IFERROR(_xlfn.XLOOKUP(B143,Flts!$H$14:$H$349,Flts!$AS$14:$AS$349),F142))</f>
        <v>--</v>
      </c>
      <c r="G143" s="674" t="str">
        <f>IF(B143&gt;NClase,"--",IFERROR(_xlfn.XLOOKUP(B143,Flts!$H$14:$H$349,Flts!$E$14:$E$349),G142))</f>
        <v>--</v>
      </c>
      <c r="H143" s="687"/>
      <c r="I143" s="687"/>
      <c r="J143" s="687"/>
      <c r="K143" s="687"/>
      <c r="L143" s="716"/>
    </row>
    <row r="144" spans="2:12" ht="50.1" customHeight="1" x14ac:dyDescent="0.3">
      <c r="B144" s="673" t="str">
        <f>IF(NClase&gt;=MAX(B$5:$B143)+1,B143+1,"--")</f>
        <v>--</v>
      </c>
      <c r="C144" s="674" t="str">
        <f t="shared" si="4"/>
        <v>--</v>
      </c>
      <c r="D144" s="675" t="str">
        <f t="shared" si="5"/>
        <v>--</v>
      </c>
      <c r="E144" s="674" t="str">
        <f>IF(B144&gt;NClase,"--",IFERROR(VLOOKUP(B144,Flts!$H$14:$I$349,2,FALSE),E143))</f>
        <v>--</v>
      </c>
      <c r="F144" s="785" t="str">
        <f>IF(B144&gt;NClase,"--",IFERROR(_xlfn.XLOOKUP(B144,Flts!$H$14:$H$349,Flts!$AS$14:$AS$349),F143))</f>
        <v>--</v>
      </c>
      <c r="G144" s="674" t="str">
        <f>IF(B144&gt;NClase,"--",IFERROR(_xlfn.XLOOKUP(B144,Flts!$H$14:$H$349,Flts!$E$14:$E$349),G143))</f>
        <v>--</v>
      </c>
      <c r="H144" s="687"/>
      <c r="I144" s="687"/>
      <c r="J144" s="687"/>
      <c r="K144" s="687"/>
      <c r="L144" s="716"/>
    </row>
    <row r="145" spans="2:12" ht="50.1" customHeight="1" x14ac:dyDescent="0.3">
      <c r="B145" s="673" t="str">
        <f>IF(NClase&gt;=MAX(B$5:$B144)+1,B144+1,"--")</f>
        <v>--</v>
      </c>
      <c r="C145" s="674" t="str">
        <f t="shared" si="4"/>
        <v>--</v>
      </c>
      <c r="D145" s="675" t="str">
        <f t="shared" si="5"/>
        <v>--</v>
      </c>
      <c r="E145" s="674" t="str">
        <f>IF(B145&gt;NClase,"--",IFERROR(VLOOKUP(B145,Flts!$H$14:$I$349,2,FALSE),E144))</f>
        <v>--</v>
      </c>
      <c r="F145" s="785" t="str">
        <f>IF(B145&gt;NClase,"--",IFERROR(_xlfn.XLOOKUP(B145,Flts!$H$14:$H$349,Flts!$AS$14:$AS$349),F144))</f>
        <v>--</v>
      </c>
      <c r="G145" s="674" t="str">
        <f>IF(B145&gt;NClase,"--",IFERROR(_xlfn.XLOOKUP(B145,Flts!$H$14:$H$349,Flts!$E$14:$E$349),G144))</f>
        <v>--</v>
      </c>
      <c r="H145" s="687"/>
      <c r="I145" s="687"/>
      <c r="J145" s="687"/>
      <c r="K145" s="687"/>
      <c r="L145" s="716"/>
    </row>
    <row r="146" spans="2:12" ht="50.1" customHeight="1" x14ac:dyDescent="0.3">
      <c r="B146" s="673" t="str">
        <f>IF(NClase&gt;=MAX(B$5:$B145)+1,B145+1,"--")</f>
        <v>--</v>
      </c>
      <c r="C146" s="674" t="str">
        <f t="shared" si="4"/>
        <v>--</v>
      </c>
      <c r="D146" s="675" t="str">
        <f t="shared" si="5"/>
        <v>--</v>
      </c>
      <c r="E146" s="674" t="str">
        <f>IF(B146&gt;NClase,"--",IFERROR(VLOOKUP(B146,Flts!$H$14:$I$349,2,FALSE),E145))</f>
        <v>--</v>
      </c>
      <c r="F146" s="785" t="str">
        <f>IF(B146&gt;NClase,"--",IFERROR(_xlfn.XLOOKUP(B146,Flts!$H$14:$H$349,Flts!$AS$14:$AS$349),F145))</f>
        <v>--</v>
      </c>
      <c r="G146" s="674" t="str">
        <f>IF(B146&gt;NClase,"--",IFERROR(_xlfn.XLOOKUP(B146,Flts!$H$14:$H$349,Flts!$E$14:$E$349),G145))</f>
        <v>--</v>
      </c>
      <c r="H146" s="687"/>
      <c r="I146" s="687"/>
      <c r="J146" s="687"/>
      <c r="K146" s="687"/>
      <c r="L146" s="716"/>
    </row>
    <row r="147" spans="2:12" ht="50.1" customHeight="1" x14ac:dyDescent="0.3">
      <c r="B147" s="673" t="str">
        <f>IF(NClase&gt;=MAX(B$5:$B146)+1,B146+1,"--")</f>
        <v>--</v>
      </c>
      <c r="C147" s="674" t="str">
        <f t="shared" si="4"/>
        <v>--</v>
      </c>
      <c r="D147" s="675" t="str">
        <f t="shared" si="5"/>
        <v>--</v>
      </c>
      <c r="E147" s="674" t="str">
        <f>IF(B147&gt;NClase,"--",IFERROR(VLOOKUP(B147,Flts!$H$14:$I$349,2,FALSE),E146))</f>
        <v>--</v>
      </c>
      <c r="F147" s="785" t="str">
        <f>IF(B147&gt;NClase,"--",IFERROR(_xlfn.XLOOKUP(B147,Flts!$H$14:$H$349,Flts!$AS$14:$AS$349),F146))</f>
        <v>--</v>
      </c>
      <c r="G147" s="674" t="str">
        <f>IF(B147&gt;NClase,"--",IFERROR(_xlfn.XLOOKUP(B147,Flts!$H$14:$H$349,Flts!$E$14:$E$349),G146))</f>
        <v>--</v>
      </c>
      <c r="H147" s="687"/>
      <c r="I147" s="687"/>
      <c r="J147" s="687"/>
      <c r="K147" s="687"/>
      <c r="L147" s="716"/>
    </row>
    <row r="148" spans="2:12" ht="50.1" customHeight="1" x14ac:dyDescent="0.3">
      <c r="B148" s="673" t="str">
        <f>IF(NClase&gt;=MAX(B$5:$B147)+1,B147+1,"--")</f>
        <v>--</v>
      </c>
      <c r="C148" s="674" t="str">
        <f t="shared" si="4"/>
        <v>--</v>
      </c>
      <c r="D148" s="675" t="str">
        <f t="shared" si="5"/>
        <v>--</v>
      </c>
      <c r="E148" s="674" t="str">
        <f>IF(B148&gt;NClase,"--",IFERROR(VLOOKUP(B148,Flts!$H$14:$I$349,2,FALSE),E147))</f>
        <v>--</v>
      </c>
      <c r="F148" s="785" t="str">
        <f>IF(B148&gt;NClase,"--",IFERROR(_xlfn.XLOOKUP(B148,Flts!$H$14:$H$349,Flts!$AS$14:$AS$349),F147))</f>
        <v>--</v>
      </c>
      <c r="G148" s="674" t="str">
        <f>IF(B148&gt;NClase,"--",IFERROR(_xlfn.XLOOKUP(B148,Flts!$H$14:$H$349,Flts!$E$14:$E$349),G147))</f>
        <v>--</v>
      </c>
      <c r="H148" s="687"/>
      <c r="I148" s="687"/>
      <c r="J148" s="687"/>
      <c r="K148" s="687"/>
      <c r="L148" s="716"/>
    </row>
    <row r="149" spans="2:12" ht="50.1" customHeight="1" x14ac:dyDescent="0.3">
      <c r="B149" s="673" t="str">
        <f>IF(NClase&gt;=MAX(B$5:$B148)+1,B148+1,"--")</f>
        <v>--</v>
      </c>
      <c r="C149" s="674" t="str">
        <f t="shared" si="4"/>
        <v>--</v>
      </c>
      <c r="D149" s="675" t="str">
        <f t="shared" si="5"/>
        <v>--</v>
      </c>
      <c r="E149" s="674" t="str">
        <f>IF(B149&gt;NClase,"--",IFERROR(VLOOKUP(B149,Flts!$H$14:$I$349,2,FALSE),E148))</f>
        <v>--</v>
      </c>
      <c r="F149" s="785" t="str">
        <f>IF(B149&gt;NClase,"--",IFERROR(_xlfn.XLOOKUP(B149,Flts!$H$14:$H$349,Flts!$AS$14:$AS$349),F148))</f>
        <v>--</v>
      </c>
      <c r="G149" s="674" t="str">
        <f>IF(B149&gt;NClase,"--",IFERROR(_xlfn.XLOOKUP(B149,Flts!$H$14:$H$349,Flts!$E$14:$E$349),G148))</f>
        <v>--</v>
      </c>
      <c r="H149" s="687"/>
      <c r="I149" s="687"/>
      <c r="J149" s="687"/>
      <c r="K149" s="687"/>
      <c r="L149" s="716"/>
    </row>
    <row r="150" spans="2:12" ht="50.1" customHeight="1" x14ac:dyDescent="0.3">
      <c r="B150" s="673" t="str">
        <f>IF(NClase&gt;=MAX(B$5:$B149)+1,B149+1,"--")</f>
        <v>--</v>
      </c>
      <c r="C150" s="674" t="str">
        <f t="shared" si="4"/>
        <v>--</v>
      </c>
      <c r="D150" s="675" t="str">
        <f t="shared" si="5"/>
        <v>--</v>
      </c>
      <c r="E150" s="674" t="str">
        <f>IF(B150&gt;NClase,"--",IFERROR(VLOOKUP(B150,Flts!$H$14:$I$349,2,FALSE),E149))</f>
        <v>--</v>
      </c>
      <c r="F150" s="785" t="str">
        <f>IF(B150&gt;NClase,"--",IFERROR(_xlfn.XLOOKUP(B150,Flts!$H$14:$H$349,Flts!$AS$14:$AS$349),F149))</f>
        <v>--</v>
      </c>
      <c r="G150" s="674" t="str">
        <f>IF(B150&gt;NClase,"--",IFERROR(_xlfn.XLOOKUP(B150,Flts!$H$14:$H$349,Flts!$E$14:$E$349),G149))</f>
        <v>--</v>
      </c>
      <c r="H150" s="687"/>
      <c r="I150" s="687"/>
      <c r="J150" s="687"/>
      <c r="K150" s="687"/>
      <c r="L150" s="716"/>
    </row>
    <row r="151" spans="2:12" ht="50.1" customHeight="1" x14ac:dyDescent="0.3">
      <c r="B151" s="673" t="str">
        <f>IF(NClase&gt;=MAX(B$5:$B150)+1,B150+1,"--")</f>
        <v>--</v>
      </c>
      <c r="C151" s="674" t="str">
        <f t="shared" si="4"/>
        <v>--</v>
      </c>
      <c r="D151" s="675" t="str">
        <f t="shared" si="5"/>
        <v>--</v>
      </c>
      <c r="E151" s="674" t="str">
        <f>IF(B151&gt;NClase,"--",IFERROR(VLOOKUP(B151,Flts!$H$14:$I$349,2,FALSE),E150))</f>
        <v>--</v>
      </c>
      <c r="F151" s="785" t="str">
        <f>IF(B151&gt;NClase,"--",IFERROR(_xlfn.XLOOKUP(B151,Flts!$H$14:$H$349,Flts!$AS$14:$AS$349),F150))</f>
        <v>--</v>
      </c>
      <c r="G151" s="674" t="str">
        <f>IF(B151&gt;NClase,"--",IFERROR(_xlfn.XLOOKUP(B151,Flts!$H$14:$H$349,Flts!$E$14:$E$349),G150))</f>
        <v>--</v>
      </c>
      <c r="H151" s="687"/>
      <c r="I151" s="687"/>
      <c r="J151" s="687"/>
      <c r="K151" s="687"/>
      <c r="L151" s="716"/>
    </row>
    <row r="152" spans="2:12" ht="50.1" customHeight="1" x14ac:dyDescent="0.3">
      <c r="B152" s="673" t="str">
        <f>IF(NClase&gt;=MAX(B$5:$B151)+1,B151+1,"--")</f>
        <v>--</v>
      </c>
      <c r="C152" s="674" t="str">
        <f t="shared" si="4"/>
        <v>--</v>
      </c>
      <c r="D152" s="675" t="str">
        <f t="shared" si="5"/>
        <v>--</v>
      </c>
      <c r="E152" s="674" t="str">
        <f>IF(B152&gt;NClase,"--",IFERROR(VLOOKUP(B152,Flts!$H$14:$I$349,2,FALSE),E151))</f>
        <v>--</v>
      </c>
      <c r="F152" s="785" t="str">
        <f>IF(B152&gt;NClase,"--",IFERROR(_xlfn.XLOOKUP(B152,Flts!$H$14:$H$349,Flts!$AS$14:$AS$349),F151))</f>
        <v>--</v>
      </c>
      <c r="G152" s="674" t="str">
        <f>IF(B152&gt;NClase,"--",IFERROR(_xlfn.XLOOKUP(B152,Flts!$H$14:$H$349,Flts!$E$14:$E$349),G151))</f>
        <v>--</v>
      </c>
      <c r="H152" s="687"/>
      <c r="I152" s="687"/>
      <c r="J152" s="687"/>
      <c r="K152" s="687"/>
      <c r="L152" s="716"/>
    </row>
    <row r="153" spans="2:12" ht="50.1" customHeight="1" x14ac:dyDescent="0.3">
      <c r="B153" s="673" t="str">
        <f>IF(NClase&gt;=MAX(B$5:$B152)+1,B152+1,"--")</f>
        <v>--</v>
      </c>
      <c r="C153" s="674" t="str">
        <f t="shared" si="4"/>
        <v>--</v>
      </c>
      <c r="D153" s="675" t="str">
        <f t="shared" si="5"/>
        <v>--</v>
      </c>
      <c r="E153" s="674" t="str">
        <f>IF(B153&gt;NClase,"--",IFERROR(VLOOKUP(B153,Flts!$H$14:$I$349,2,FALSE),E152))</f>
        <v>--</v>
      </c>
      <c r="F153" s="785" t="str">
        <f>IF(B153&gt;NClase,"--",IFERROR(_xlfn.XLOOKUP(B153,Flts!$H$14:$H$349,Flts!$AS$14:$AS$349),F152))</f>
        <v>--</v>
      </c>
      <c r="G153" s="674" t="str">
        <f>IF(B153&gt;NClase,"--",IFERROR(_xlfn.XLOOKUP(B153,Flts!$H$14:$H$349,Flts!$E$14:$E$349),G152))</f>
        <v>--</v>
      </c>
      <c r="H153" s="687"/>
      <c r="I153" s="687"/>
      <c r="J153" s="687"/>
      <c r="K153" s="687"/>
      <c r="L153" s="716"/>
    </row>
    <row r="154" spans="2:12" ht="50.1" customHeight="1" x14ac:dyDescent="0.3">
      <c r="B154" s="673" t="str">
        <f>IF(NClase&gt;=MAX(B$5:$B153)+1,B153+1,"--")</f>
        <v>--</v>
      </c>
      <c r="C154" s="674" t="str">
        <f t="shared" si="4"/>
        <v>--</v>
      </c>
      <c r="D154" s="675" t="str">
        <f t="shared" si="5"/>
        <v>--</v>
      </c>
      <c r="E154" s="674" t="str">
        <f>IF(B154&gt;NClase,"--",IFERROR(VLOOKUP(B154,Flts!$H$14:$I$349,2,FALSE),E153))</f>
        <v>--</v>
      </c>
      <c r="F154" s="785" t="str">
        <f>IF(B154&gt;NClase,"--",IFERROR(_xlfn.XLOOKUP(B154,Flts!$H$14:$H$349,Flts!$AS$14:$AS$349),F153))</f>
        <v>--</v>
      </c>
      <c r="G154" s="674" t="str">
        <f>IF(B154&gt;NClase,"--",IFERROR(_xlfn.XLOOKUP(B154,Flts!$H$14:$H$349,Flts!$E$14:$E$349),G153))</f>
        <v>--</v>
      </c>
      <c r="H154" s="687"/>
      <c r="I154" s="687"/>
      <c r="J154" s="687"/>
      <c r="K154" s="687"/>
      <c r="L154" s="716"/>
    </row>
    <row r="155" spans="2:12" ht="50.1" customHeight="1" x14ac:dyDescent="0.3">
      <c r="B155" s="673" t="str">
        <f>IF(NClase&gt;=MAX(B$5:$B154)+1,B154+1,"--")</f>
        <v>--</v>
      </c>
      <c r="C155" s="674" t="str">
        <f t="shared" si="4"/>
        <v>--</v>
      </c>
      <c r="D155" s="675" t="str">
        <f t="shared" si="5"/>
        <v>--</v>
      </c>
      <c r="E155" s="674" t="str">
        <f>IF(B155&gt;NClase,"--",IFERROR(VLOOKUP(B155,Flts!$H$14:$I$349,2,FALSE),E154))</f>
        <v>--</v>
      </c>
      <c r="F155" s="785" t="str">
        <f>IF(B155&gt;NClase,"--",IFERROR(_xlfn.XLOOKUP(B155,Flts!$H$14:$H$349,Flts!$AS$14:$AS$349),F154))</f>
        <v>--</v>
      </c>
      <c r="G155" s="674" t="str">
        <f>IF(B155&gt;NClase,"--",IFERROR(_xlfn.XLOOKUP(B155,Flts!$H$14:$H$349,Flts!$E$14:$E$349),G154))</f>
        <v>--</v>
      </c>
      <c r="H155" s="687"/>
      <c r="I155" s="687"/>
      <c r="J155" s="687"/>
      <c r="K155" s="687"/>
      <c r="L155" s="716"/>
    </row>
    <row r="156" spans="2:12" ht="50.1" customHeight="1" x14ac:dyDescent="0.3">
      <c r="B156" s="673" t="str">
        <f>IF(NClase&gt;=MAX(B$5:$B155)+1,B155+1,"--")</f>
        <v>--</v>
      </c>
      <c r="C156" s="674" t="str">
        <f t="shared" si="4"/>
        <v>--</v>
      </c>
      <c r="D156" s="675" t="str">
        <f t="shared" si="5"/>
        <v>--</v>
      </c>
      <c r="E156" s="674" t="str">
        <f>IF(B156&gt;NClase,"--",IFERROR(VLOOKUP(B156,Flts!$H$14:$I$349,2,FALSE),E155))</f>
        <v>--</v>
      </c>
      <c r="F156" s="785" t="str">
        <f>IF(B156&gt;NClase,"--",IFERROR(_xlfn.XLOOKUP(B156,Flts!$H$14:$H$349,Flts!$AS$14:$AS$349),F155))</f>
        <v>--</v>
      </c>
      <c r="G156" s="674" t="str">
        <f>IF(B156&gt;NClase,"--",IFERROR(_xlfn.XLOOKUP(B156,Flts!$H$14:$H$349,Flts!$E$14:$E$349),G155))</f>
        <v>--</v>
      </c>
      <c r="H156" s="687"/>
      <c r="I156" s="687"/>
      <c r="J156" s="687"/>
      <c r="K156" s="687"/>
      <c r="L156" s="716"/>
    </row>
    <row r="157" spans="2:12" ht="50.1" customHeight="1" x14ac:dyDescent="0.3">
      <c r="B157" s="673" t="str">
        <f>IF(NClase&gt;=MAX(B$5:$B156)+1,B156+1,"--")</f>
        <v>--</v>
      </c>
      <c r="C157" s="674" t="str">
        <f t="shared" si="4"/>
        <v>--</v>
      </c>
      <c r="D157" s="675" t="str">
        <f t="shared" si="5"/>
        <v>--</v>
      </c>
      <c r="E157" s="674" t="str">
        <f>IF(B157&gt;NClase,"--",IFERROR(VLOOKUP(B157,Flts!$H$14:$I$349,2,FALSE),E156))</f>
        <v>--</v>
      </c>
      <c r="F157" s="785" t="str">
        <f>IF(B157&gt;NClase,"--",IFERROR(_xlfn.XLOOKUP(B157,Flts!$H$14:$H$349,Flts!$AS$14:$AS$349),F156))</f>
        <v>--</v>
      </c>
      <c r="G157" s="674" t="str">
        <f>IF(B157&gt;NClase,"--",IFERROR(_xlfn.XLOOKUP(B157,Flts!$H$14:$H$349,Flts!$E$14:$E$349),G156))</f>
        <v>--</v>
      </c>
      <c r="H157" s="687"/>
      <c r="I157" s="687"/>
      <c r="J157" s="687"/>
      <c r="K157" s="687"/>
      <c r="L157" s="716"/>
    </row>
    <row r="158" spans="2:12" ht="50.1" customHeight="1" x14ac:dyDescent="0.3">
      <c r="B158" s="673" t="str">
        <f>IF(NClase&gt;=MAX(B$5:$B157)+1,B157+1,"--")</f>
        <v>--</v>
      </c>
      <c r="C158" s="674" t="str">
        <f t="shared" si="4"/>
        <v>--</v>
      </c>
      <c r="D158" s="675" t="str">
        <f t="shared" si="5"/>
        <v>--</v>
      </c>
      <c r="E158" s="674" t="str">
        <f>IF(B158&gt;NClase,"--",IFERROR(VLOOKUP(B158,Flts!$H$14:$I$349,2,FALSE),E157))</f>
        <v>--</v>
      </c>
      <c r="F158" s="785" t="str">
        <f>IF(B158&gt;NClase,"--",IFERROR(_xlfn.XLOOKUP(B158,Flts!$H$14:$H$349,Flts!$AS$14:$AS$349),F157))</f>
        <v>--</v>
      </c>
      <c r="G158" s="674" t="str">
        <f>IF(B158&gt;NClase,"--",IFERROR(_xlfn.XLOOKUP(B158,Flts!$H$14:$H$349,Flts!$E$14:$E$349),G157))</f>
        <v>--</v>
      </c>
      <c r="H158" s="687"/>
      <c r="I158" s="687"/>
      <c r="J158" s="687"/>
      <c r="K158" s="687"/>
      <c r="L158" s="716"/>
    </row>
    <row r="159" spans="2:12" ht="50.1" customHeight="1" x14ac:dyDescent="0.3">
      <c r="B159" s="673" t="str">
        <f>IF(NClase&gt;=MAX(B$5:$B158)+1,B158+1,"--")</f>
        <v>--</v>
      </c>
      <c r="C159" s="674" t="str">
        <f t="shared" si="4"/>
        <v>--</v>
      </c>
      <c r="D159" s="675" t="str">
        <f t="shared" si="5"/>
        <v>--</v>
      </c>
      <c r="E159" s="674" t="str">
        <f>IF(B159&gt;NClase,"--",IFERROR(VLOOKUP(B159,Flts!$H$14:$I$349,2,FALSE),E158))</f>
        <v>--</v>
      </c>
      <c r="F159" s="785" t="str">
        <f>IF(B159&gt;NClase,"--",IFERROR(_xlfn.XLOOKUP(B159,Flts!$H$14:$H$349,Flts!$AS$14:$AS$349),F158))</f>
        <v>--</v>
      </c>
      <c r="G159" s="674" t="str">
        <f>IF(B159&gt;NClase,"--",IFERROR(_xlfn.XLOOKUP(B159,Flts!$H$14:$H$349,Flts!$E$14:$E$349),G158))</f>
        <v>--</v>
      </c>
      <c r="H159" s="687"/>
      <c r="I159" s="687"/>
      <c r="J159" s="687"/>
      <c r="K159" s="687"/>
      <c r="L159" s="716"/>
    </row>
    <row r="160" spans="2:12" ht="50.1" customHeight="1" x14ac:dyDescent="0.3">
      <c r="B160" s="673" t="str">
        <f>IF(NClase&gt;=MAX(B$5:$B159)+1,B159+1,"--")</f>
        <v>--</v>
      </c>
      <c r="C160" s="674" t="str">
        <f t="shared" si="4"/>
        <v>--</v>
      </c>
      <c r="D160" s="675" t="str">
        <f t="shared" si="5"/>
        <v>--</v>
      </c>
      <c r="E160" s="674" t="str">
        <f>IF(B160&gt;NClase,"--",IFERROR(VLOOKUP(B160,Flts!$H$14:$I$349,2,FALSE),E159))</f>
        <v>--</v>
      </c>
      <c r="F160" s="785" t="str">
        <f>IF(B160&gt;NClase,"--",IFERROR(_xlfn.XLOOKUP(B160,Flts!$H$14:$H$349,Flts!$AS$14:$AS$349),F159))</f>
        <v>--</v>
      </c>
      <c r="G160" s="674" t="str">
        <f>IF(B160&gt;NClase,"--",IFERROR(_xlfn.XLOOKUP(B160,Flts!$H$14:$H$349,Flts!$E$14:$E$349),G159))</f>
        <v>--</v>
      </c>
      <c r="H160" s="687"/>
      <c r="I160" s="687"/>
      <c r="J160" s="687"/>
      <c r="K160" s="687"/>
      <c r="L160" s="716"/>
    </row>
    <row r="161" spans="2:12" ht="50.1" customHeight="1" x14ac:dyDescent="0.3">
      <c r="B161" s="673" t="str">
        <f>IF(NClase&gt;=MAX(B$5:$B160)+1,B160+1,"--")</f>
        <v>--</v>
      </c>
      <c r="C161" s="674" t="str">
        <f t="shared" si="4"/>
        <v>--</v>
      </c>
      <c r="D161" s="675" t="str">
        <f t="shared" si="5"/>
        <v>--</v>
      </c>
      <c r="E161" s="674" t="str">
        <f>IF(B161&gt;NClase,"--",IFERROR(VLOOKUP(B161,Flts!$H$14:$I$349,2,FALSE),E160))</f>
        <v>--</v>
      </c>
      <c r="F161" s="785" t="str">
        <f>IF(B161&gt;NClase,"--",IFERROR(_xlfn.XLOOKUP(B161,Flts!$H$14:$H$349,Flts!$AS$14:$AS$349),F160))</f>
        <v>--</v>
      </c>
      <c r="G161" s="674" t="str">
        <f>IF(B161&gt;NClase,"--",IFERROR(_xlfn.XLOOKUP(B161,Flts!$H$14:$H$349,Flts!$E$14:$E$349),G160))</f>
        <v>--</v>
      </c>
      <c r="H161" s="687"/>
      <c r="I161" s="687"/>
      <c r="J161" s="687"/>
      <c r="K161" s="687"/>
      <c r="L161" s="716"/>
    </row>
    <row r="162" spans="2:12" ht="50.1" customHeight="1" x14ac:dyDescent="0.3">
      <c r="B162" s="673" t="str">
        <f>IF(NClase&gt;=MAX(B$5:$B161)+1,B161+1,"--")</f>
        <v>--</v>
      </c>
      <c r="C162" s="674" t="str">
        <f t="shared" si="4"/>
        <v>--</v>
      </c>
      <c r="D162" s="675" t="str">
        <f t="shared" si="5"/>
        <v>--</v>
      </c>
      <c r="E162" s="674" t="str">
        <f>IF(B162&gt;NClase,"--",IFERROR(VLOOKUP(B162,Flts!$H$14:$I$349,2,FALSE),E161))</f>
        <v>--</v>
      </c>
      <c r="F162" s="785" t="str">
        <f>IF(B162&gt;NClase,"--",IFERROR(_xlfn.XLOOKUP(B162,Flts!$H$14:$H$349,Flts!$AS$14:$AS$349),F161))</f>
        <v>--</v>
      </c>
      <c r="G162" s="674" t="str">
        <f>IF(B162&gt;NClase,"--",IFERROR(_xlfn.XLOOKUP(B162,Flts!$H$14:$H$349,Flts!$E$14:$E$349),G161))</f>
        <v>--</v>
      </c>
      <c r="H162" s="687"/>
      <c r="I162" s="687"/>
      <c r="J162" s="687"/>
      <c r="K162" s="687"/>
      <c r="L162" s="716"/>
    </row>
    <row r="163" spans="2:12" ht="50.1" customHeight="1" x14ac:dyDescent="0.3">
      <c r="B163" s="673" t="str">
        <f>IF(NClase&gt;=MAX(B$5:$B162)+1,B162+1,"--")</f>
        <v>--</v>
      </c>
      <c r="C163" s="674" t="str">
        <f t="shared" si="4"/>
        <v>--</v>
      </c>
      <c r="D163" s="675" t="str">
        <f t="shared" si="5"/>
        <v>--</v>
      </c>
      <c r="E163" s="674" t="str">
        <f>IF(B163&gt;NClase,"--",IFERROR(VLOOKUP(B163,Flts!$H$14:$I$349,2,FALSE),E162))</f>
        <v>--</v>
      </c>
      <c r="F163" s="785" t="str">
        <f>IF(B163&gt;NClase,"--",IFERROR(_xlfn.XLOOKUP(B163,Flts!$H$14:$H$349,Flts!$AS$14:$AS$349),F162))</f>
        <v>--</v>
      </c>
      <c r="G163" s="674" t="str">
        <f>IF(B163&gt;NClase,"--",IFERROR(_xlfn.XLOOKUP(B163,Flts!$H$14:$H$349,Flts!$E$14:$E$349),G162))</f>
        <v>--</v>
      </c>
      <c r="H163" s="687"/>
      <c r="I163" s="687"/>
      <c r="J163" s="687"/>
      <c r="K163" s="687"/>
      <c r="L163" s="716"/>
    </row>
    <row r="164" spans="2:12" ht="50.1" customHeight="1" x14ac:dyDescent="0.3">
      <c r="B164" s="673" t="str">
        <f>IF(NClase&gt;=MAX(B$5:$B163)+1,B163+1,"--")</f>
        <v>--</v>
      </c>
      <c r="C164" s="674" t="str">
        <f t="shared" si="4"/>
        <v>--</v>
      </c>
      <c r="D164" s="675" t="str">
        <f t="shared" si="5"/>
        <v>--</v>
      </c>
      <c r="E164" s="674" t="str">
        <f>IF(B164&gt;NClase,"--",IFERROR(VLOOKUP(B164,Flts!$H$14:$I$349,2,FALSE),E163))</f>
        <v>--</v>
      </c>
      <c r="F164" s="785" t="str">
        <f>IF(B164&gt;NClase,"--",IFERROR(_xlfn.XLOOKUP(B164,Flts!$H$14:$H$349,Flts!$AS$14:$AS$349),F163))</f>
        <v>--</v>
      </c>
      <c r="G164" s="674" t="str">
        <f>IF(B164&gt;NClase,"--",IFERROR(_xlfn.XLOOKUP(B164,Flts!$H$14:$H$349,Flts!$E$14:$E$349),G163))</f>
        <v>--</v>
      </c>
      <c r="H164" s="687"/>
      <c r="I164" s="687"/>
      <c r="J164" s="687"/>
      <c r="K164" s="687"/>
      <c r="L164" s="716"/>
    </row>
    <row r="165" spans="2:12" ht="50.1" customHeight="1" x14ac:dyDescent="0.3">
      <c r="B165" s="673" t="str">
        <f>IF(NClase&gt;=MAX(B$5:$B164)+1,B164+1,"--")</f>
        <v>--</v>
      </c>
      <c r="C165" s="674" t="str">
        <f t="shared" si="4"/>
        <v>--</v>
      </c>
      <c r="D165" s="675" t="str">
        <f t="shared" si="5"/>
        <v>--</v>
      </c>
      <c r="E165" s="674" t="str">
        <f>IF(B165&gt;NClase,"--",IFERROR(VLOOKUP(B165,Flts!$H$14:$I$349,2,FALSE),E164))</f>
        <v>--</v>
      </c>
      <c r="F165" s="785" t="str">
        <f>IF(B165&gt;NClase,"--",IFERROR(_xlfn.XLOOKUP(B165,Flts!$H$14:$H$349,Flts!$AS$14:$AS$349),F164))</f>
        <v>--</v>
      </c>
      <c r="G165" s="674" t="str">
        <f>IF(B165&gt;NClase,"--",IFERROR(_xlfn.XLOOKUP(B165,Flts!$H$14:$H$349,Flts!$E$14:$E$349),G164))</f>
        <v>--</v>
      </c>
      <c r="H165" s="687"/>
      <c r="I165" s="687"/>
      <c r="J165" s="687"/>
      <c r="K165" s="687"/>
      <c r="L165" s="716"/>
    </row>
    <row r="166" spans="2:12" ht="50.1" customHeight="1" x14ac:dyDescent="0.3">
      <c r="B166" s="673" t="str">
        <f>IF(NClase&gt;=MAX(B$5:$B165)+1,B165+1,"--")</f>
        <v>--</v>
      </c>
      <c r="C166" s="674" t="str">
        <f t="shared" si="4"/>
        <v>--</v>
      </c>
      <c r="D166" s="675" t="str">
        <f t="shared" si="5"/>
        <v>--</v>
      </c>
      <c r="E166" s="674" t="str">
        <f>IF(B166&gt;NClase,"--",IFERROR(VLOOKUP(B166,Flts!$H$14:$I$349,2,FALSE),E165))</f>
        <v>--</v>
      </c>
      <c r="F166" s="785" t="str">
        <f>IF(B166&gt;NClase,"--",IFERROR(_xlfn.XLOOKUP(B166,Flts!$H$14:$H$349,Flts!$AS$14:$AS$349),F165))</f>
        <v>--</v>
      </c>
      <c r="G166" s="674" t="str">
        <f>IF(B166&gt;NClase,"--",IFERROR(_xlfn.XLOOKUP(B166,Flts!$H$14:$H$349,Flts!$E$14:$E$349),G165))</f>
        <v>--</v>
      </c>
      <c r="H166" s="687"/>
      <c r="I166" s="687"/>
      <c r="J166" s="687"/>
      <c r="K166" s="687"/>
      <c r="L166" s="716"/>
    </row>
    <row r="167" spans="2:12" ht="50.1" customHeight="1" x14ac:dyDescent="0.3">
      <c r="B167" s="673" t="str">
        <f>IF(NClase&gt;=MAX(B$5:$B166)+1,B166+1,"--")</f>
        <v>--</v>
      </c>
      <c r="C167" s="674" t="str">
        <f t="shared" si="4"/>
        <v>--</v>
      </c>
      <c r="D167" s="675" t="str">
        <f t="shared" si="5"/>
        <v>--</v>
      </c>
      <c r="E167" s="674" t="str">
        <f>IF(B167&gt;NClase,"--",IFERROR(VLOOKUP(B167,Flts!$H$14:$I$349,2,FALSE),E166))</f>
        <v>--</v>
      </c>
      <c r="F167" s="785" t="str">
        <f>IF(B167&gt;NClase,"--",IFERROR(_xlfn.XLOOKUP(B167,Flts!$H$14:$H$349,Flts!$AS$14:$AS$349),F166))</f>
        <v>--</v>
      </c>
      <c r="G167" s="674" t="str">
        <f>IF(B167&gt;NClase,"--",IFERROR(_xlfn.XLOOKUP(B167,Flts!$H$14:$H$349,Flts!$E$14:$E$349),G166))</f>
        <v>--</v>
      </c>
      <c r="H167" s="687"/>
      <c r="I167" s="687"/>
      <c r="J167" s="687"/>
      <c r="K167" s="687"/>
      <c r="L167" s="716"/>
    </row>
    <row r="168" spans="2:12" ht="50.1" customHeight="1" x14ac:dyDescent="0.3">
      <c r="B168" s="673" t="str">
        <f>IF(NClase&gt;=MAX(B$5:$B167)+1,B167+1,"--")</f>
        <v>--</v>
      </c>
      <c r="C168" s="674" t="str">
        <f t="shared" si="4"/>
        <v>--</v>
      </c>
      <c r="D168" s="675" t="str">
        <f t="shared" si="5"/>
        <v>--</v>
      </c>
      <c r="E168" s="674" t="str">
        <f>IF(B168&gt;NClase,"--",IFERROR(VLOOKUP(B168,Flts!$H$14:$I$349,2,FALSE),E167))</f>
        <v>--</v>
      </c>
      <c r="F168" s="785" t="str">
        <f>IF(B168&gt;NClase,"--",IFERROR(_xlfn.XLOOKUP(B168,Flts!$H$14:$H$349,Flts!$AS$14:$AS$349),F167))</f>
        <v>--</v>
      </c>
      <c r="G168" s="674" t="str">
        <f>IF(B168&gt;NClase,"--",IFERROR(_xlfn.XLOOKUP(B168,Flts!$H$14:$H$349,Flts!$E$14:$E$349),G167))</f>
        <v>--</v>
      </c>
      <c r="H168" s="687"/>
      <c r="I168" s="687"/>
      <c r="J168" s="687"/>
      <c r="K168" s="687"/>
      <c r="L168" s="716"/>
    </row>
    <row r="169" spans="2:12" ht="50.1" customHeight="1" x14ac:dyDescent="0.3">
      <c r="B169" s="673" t="str">
        <f>IF(NClase&gt;=MAX(B$5:$B168)+1,B168+1,"--")</f>
        <v>--</v>
      </c>
      <c r="C169" s="674" t="str">
        <f t="shared" si="4"/>
        <v>--</v>
      </c>
      <c r="D169" s="675" t="str">
        <f t="shared" si="5"/>
        <v>--</v>
      </c>
      <c r="E169" s="674" t="str">
        <f>IF(B169&gt;NClase,"--",IFERROR(VLOOKUP(B169,Flts!$H$14:$I$349,2,FALSE),E168))</f>
        <v>--</v>
      </c>
      <c r="F169" s="785" t="str">
        <f>IF(B169&gt;NClase,"--",IFERROR(_xlfn.XLOOKUP(B169,Flts!$H$14:$H$349,Flts!$AS$14:$AS$349),F168))</f>
        <v>--</v>
      </c>
      <c r="G169" s="674" t="str">
        <f>IF(B169&gt;NClase,"--",IFERROR(_xlfn.XLOOKUP(B169,Flts!$H$14:$H$349,Flts!$E$14:$E$349),G168))</f>
        <v>--</v>
      </c>
      <c r="H169" s="687"/>
      <c r="I169" s="687"/>
      <c r="J169" s="687"/>
      <c r="K169" s="687"/>
      <c r="L169" s="716"/>
    </row>
    <row r="170" spans="2:12" ht="50.1" customHeight="1" x14ac:dyDescent="0.3">
      <c r="B170" s="673" t="str">
        <f>IF(NClase&gt;=MAX(B$5:$B169)+1,B169+1,"--")</f>
        <v>--</v>
      </c>
      <c r="C170" s="674" t="str">
        <f t="shared" si="4"/>
        <v>--</v>
      </c>
      <c r="D170" s="675" t="str">
        <f t="shared" si="5"/>
        <v>--</v>
      </c>
      <c r="E170" s="674" t="str">
        <f>IF(B170&gt;NClase,"--",IFERROR(VLOOKUP(B170,Flts!$H$14:$I$349,2,FALSE),E169))</f>
        <v>--</v>
      </c>
      <c r="F170" s="785" t="str">
        <f>IF(B170&gt;NClase,"--",IFERROR(_xlfn.XLOOKUP(B170,Flts!$H$14:$H$349,Flts!$AS$14:$AS$349),F169))</f>
        <v>--</v>
      </c>
      <c r="G170" s="674" t="str">
        <f>IF(B170&gt;NClase,"--",IFERROR(_xlfn.XLOOKUP(B170,Flts!$H$14:$H$349,Flts!$E$14:$E$349),G169))</f>
        <v>--</v>
      </c>
      <c r="H170" s="687"/>
      <c r="I170" s="687"/>
      <c r="J170" s="687"/>
      <c r="K170" s="687"/>
      <c r="L170" s="716"/>
    </row>
    <row r="171" spans="2:12" ht="50.1" customHeight="1" x14ac:dyDescent="0.3">
      <c r="B171" s="673" t="str">
        <f>IF(NClase&gt;=MAX(B$5:$B170)+1,B170+1,"--")</f>
        <v>--</v>
      </c>
      <c r="C171" s="674" t="str">
        <f t="shared" si="4"/>
        <v>--</v>
      </c>
      <c r="D171" s="675" t="str">
        <f t="shared" si="5"/>
        <v>--</v>
      </c>
      <c r="E171" s="674" t="str">
        <f>IF(B171&gt;NClase,"--",IFERROR(VLOOKUP(B171,Flts!$H$14:$I$349,2,FALSE),E170))</f>
        <v>--</v>
      </c>
      <c r="F171" s="785" t="str">
        <f>IF(B171&gt;NClase,"--",IFERROR(_xlfn.XLOOKUP(B171,Flts!$H$14:$H$349,Flts!$AS$14:$AS$349),F170))</f>
        <v>--</v>
      </c>
      <c r="G171" s="674" t="str">
        <f>IF(B171&gt;NClase,"--",IFERROR(_xlfn.XLOOKUP(B171,Flts!$H$14:$H$349,Flts!$E$14:$E$349),G170))</f>
        <v>--</v>
      </c>
      <c r="H171" s="687"/>
      <c r="I171" s="687"/>
      <c r="J171" s="687"/>
      <c r="K171" s="687"/>
      <c r="L171" s="716"/>
    </row>
    <row r="172" spans="2:12" ht="50.1" customHeight="1" x14ac:dyDescent="0.3">
      <c r="B172" s="673" t="str">
        <f>IF(NClase&gt;=MAX(B$5:$B171)+1,B171+1,"--")</f>
        <v>--</v>
      </c>
      <c r="C172" s="674" t="str">
        <f t="shared" si="4"/>
        <v>--</v>
      </c>
      <c r="D172" s="675" t="str">
        <f t="shared" si="5"/>
        <v>--</v>
      </c>
      <c r="E172" s="674" t="str">
        <f>IF(B172&gt;NClase,"--",IFERROR(VLOOKUP(B172,Flts!$H$14:$I$349,2,FALSE),E171))</f>
        <v>--</v>
      </c>
      <c r="F172" s="785" t="str">
        <f>IF(B172&gt;NClase,"--",IFERROR(_xlfn.XLOOKUP(B172,Flts!$H$14:$H$349,Flts!$AS$14:$AS$349),F171))</f>
        <v>--</v>
      </c>
      <c r="G172" s="674" t="str">
        <f>IF(B172&gt;NClase,"--",IFERROR(_xlfn.XLOOKUP(B172,Flts!$H$14:$H$349,Flts!$E$14:$E$349),G171))</f>
        <v>--</v>
      </c>
      <c r="H172" s="687"/>
      <c r="I172" s="687"/>
      <c r="J172" s="687"/>
      <c r="K172" s="687"/>
      <c r="L172" s="716"/>
    </row>
    <row r="173" spans="2:12" ht="50.1" customHeight="1" x14ac:dyDescent="0.3">
      <c r="B173" s="673" t="str">
        <f>IF(NClase&gt;=MAX(B$5:$B172)+1,B172+1,"--")</f>
        <v>--</v>
      </c>
      <c r="C173" s="674" t="str">
        <f t="shared" si="4"/>
        <v>--</v>
      </c>
      <c r="D173" s="675" t="str">
        <f t="shared" si="5"/>
        <v>--</v>
      </c>
      <c r="E173" s="674" t="str">
        <f>IF(B173&gt;NClase,"--",IFERROR(VLOOKUP(B173,Flts!$H$14:$I$349,2,FALSE),E172))</f>
        <v>--</v>
      </c>
      <c r="F173" s="785" t="str">
        <f>IF(B173&gt;NClase,"--",IFERROR(_xlfn.XLOOKUP(B173,Flts!$H$14:$H$349,Flts!$AS$14:$AS$349),F172))</f>
        <v>--</v>
      </c>
      <c r="G173" s="674" t="str">
        <f>IF(B173&gt;NClase,"--",IFERROR(_xlfn.XLOOKUP(B173,Flts!$H$14:$H$349,Flts!$E$14:$E$349),G172))</f>
        <v>--</v>
      </c>
      <c r="H173" s="687"/>
      <c r="I173" s="687"/>
      <c r="J173" s="687"/>
      <c r="K173" s="687"/>
      <c r="L173" s="716"/>
    </row>
    <row r="174" spans="2:12" ht="50.1" customHeight="1" x14ac:dyDescent="0.3">
      <c r="B174" s="673" t="str">
        <f>IF(NClase&gt;=MAX(B$5:$B173)+1,B173+1,"--")</f>
        <v>--</v>
      </c>
      <c r="C174" s="674" t="str">
        <f t="shared" si="4"/>
        <v>--</v>
      </c>
      <c r="D174" s="675" t="str">
        <f t="shared" si="5"/>
        <v>--</v>
      </c>
      <c r="E174" s="674" t="str">
        <f>IF(B174&gt;NClase,"--",IFERROR(VLOOKUP(B174,Flts!$H$14:$I$349,2,FALSE),E173))</f>
        <v>--</v>
      </c>
      <c r="F174" s="785" t="str">
        <f>IF(B174&gt;NClase,"--",IFERROR(_xlfn.XLOOKUP(B174,Flts!$H$14:$H$349,Flts!$AS$14:$AS$349),F173))</f>
        <v>--</v>
      </c>
      <c r="G174" s="674" t="str">
        <f>IF(B174&gt;NClase,"--",IFERROR(_xlfn.XLOOKUP(B174,Flts!$H$14:$H$349,Flts!$E$14:$E$349),G173))</f>
        <v>--</v>
      </c>
      <c r="H174" s="687"/>
      <c r="I174" s="687"/>
      <c r="J174" s="687"/>
      <c r="K174" s="687"/>
      <c r="L174" s="716"/>
    </row>
    <row r="175" spans="2:12" ht="50.1" customHeight="1" x14ac:dyDescent="0.3">
      <c r="B175" s="673" t="str">
        <f>IF(NClase&gt;=MAX(B$5:$B174)+1,B174+1,"--")</f>
        <v>--</v>
      </c>
      <c r="C175" s="674" t="str">
        <f t="shared" si="4"/>
        <v>--</v>
      </c>
      <c r="D175" s="675" t="str">
        <f t="shared" si="5"/>
        <v>--</v>
      </c>
      <c r="E175" s="674" t="str">
        <f>IF(B175&gt;NClase,"--",IFERROR(VLOOKUP(B175,Flts!$H$14:$I$349,2,FALSE),E174))</f>
        <v>--</v>
      </c>
      <c r="F175" s="785" t="str">
        <f>IF(B175&gt;NClase,"--",IFERROR(_xlfn.XLOOKUP(B175,Flts!$H$14:$H$349,Flts!$AS$14:$AS$349),F174))</f>
        <v>--</v>
      </c>
      <c r="G175" s="674" t="str">
        <f>IF(B175&gt;NClase,"--",IFERROR(_xlfn.XLOOKUP(B175,Flts!$H$14:$H$349,Flts!$E$14:$E$349),G174))</f>
        <v>--</v>
      </c>
      <c r="H175" s="687"/>
      <c r="I175" s="687"/>
      <c r="J175" s="687"/>
      <c r="K175" s="687"/>
      <c r="L175" s="716"/>
    </row>
    <row r="176" spans="2:12" ht="50.1" customHeight="1" x14ac:dyDescent="0.3">
      <c r="B176" s="673" t="str">
        <f>IF(NClase&gt;=MAX(B$5:$B175)+1,B175+1,"--")</f>
        <v>--</v>
      </c>
      <c r="C176" s="674" t="str">
        <f t="shared" si="4"/>
        <v>--</v>
      </c>
      <c r="D176" s="675" t="str">
        <f t="shared" si="5"/>
        <v>--</v>
      </c>
      <c r="E176" s="674" t="str">
        <f>IF(B176&gt;NClase,"--",IFERROR(VLOOKUP(B176,Flts!$H$14:$I$349,2,FALSE),E175))</f>
        <v>--</v>
      </c>
      <c r="F176" s="785" t="str">
        <f>IF(B176&gt;NClase,"--",IFERROR(_xlfn.XLOOKUP(B176,Flts!$H$14:$H$349,Flts!$AS$14:$AS$349),F175))</f>
        <v>--</v>
      </c>
      <c r="G176" s="674" t="str">
        <f>IF(B176&gt;NClase,"--",IFERROR(_xlfn.XLOOKUP(B176,Flts!$H$14:$H$349,Flts!$E$14:$E$349),G175))</f>
        <v>--</v>
      </c>
      <c r="H176" s="687"/>
      <c r="I176" s="687"/>
      <c r="J176" s="687"/>
      <c r="K176" s="687"/>
      <c r="L176" s="716"/>
    </row>
    <row r="177" spans="2:12" ht="50.1" customHeight="1" x14ac:dyDescent="0.3">
      <c r="B177" s="673" t="str">
        <f>IF(NClase&gt;=MAX(B$5:$B176)+1,B176+1,"--")</f>
        <v>--</v>
      </c>
      <c r="C177" s="674" t="str">
        <f t="shared" si="4"/>
        <v>--</v>
      </c>
      <c r="D177" s="675" t="str">
        <f t="shared" si="5"/>
        <v>--</v>
      </c>
      <c r="E177" s="674" t="str">
        <f>IF(B177&gt;NClase,"--",IFERROR(VLOOKUP(B177,Flts!$H$14:$I$349,2,FALSE),E176))</f>
        <v>--</v>
      </c>
      <c r="F177" s="785" t="str">
        <f>IF(B177&gt;NClase,"--",IFERROR(_xlfn.XLOOKUP(B177,Flts!$H$14:$H$349,Flts!$AS$14:$AS$349),F176))</f>
        <v>--</v>
      </c>
      <c r="G177" s="674" t="str">
        <f>IF(B177&gt;NClase,"--",IFERROR(_xlfn.XLOOKUP(B177,Flts!$H$14:$H$349,Flts!$E$14:$E$349),G176))</f>
        <v>--</v>
      </c>
      <c r="H177" s="687"/>
      <c r="I177" s="687"/>
      <c r="J177" s="687"/>
      <c r="K177" s="687"/>
      <c r="L177" s="716"/>
    </row>
    <row r="178" spans="2:12" ht="50.1" customHeight="1" x14ac:dyDescent="0.3">
      <c r="B178" s="673" t="str">
        <f>IF(NClase&gt;=MAX(B$5:$B177)+1,B177+1,"--")</f>
        <v>--</v>
      </c>
      <c r="C178" s="674" t="str">
        <f t="shared" si="4"/>
        <v>--</v>
      </c>
      <c r="D178" s="675" t="str">
        <f t="shared" si="5"/>
        <v>--</v>
      </c>
      <c r="E178" s="674" t="str">
        <f>IF(B178&gt;NClase,"--",IFERROR(VLOOKUP(B178,Flts!$H$14:$I$349,2,FALSE),E177))</f>
        <v>--</v>
      </c>
      <c r="F178" s="785" t="str">
        <f>IF(B178&gt;NClase,"--",IFERROR(_xlfn.XLOOKUP(B178,Flts!$H$14:$H$349,Flts!$AS$14:$AS$349),F177))</f>
        <v>--</v>
      </c>
      <c r="G178" s="674" t="str">
        <f>IF(B178&gt;NClase,"--",IFERROR(_xlfn.XLOOKUP(B178,Flts!$H$14:$H$349,Flts!$E$14:$E$349),G177))</f>
        <v>--</v>
      </c>
      <c r="H178" s="687"/>
      <c r="I178" s="687"/>
      <c r="J178" s="687"/>
      <c r="K178" s="687"/>
      <c r="L178" s="716"/>
    </row>
    <row r="179" spans="2:12" ht="50.1" customHeight="1" x14ac:dyDescent="0.3">
      <c r="B179" s="673" t="str">
        <f>IF(NClase&gt;=MAX(B$5:$B178)+1,B178+1,"--")</f>
        <v>--</v>
      </c>
      <c r="C179" s="674" t="str">
        <f t="shared" si="4"/>
        <v>--</v>
      </c>
      <c r="D179" s="675" t="str">
        <f t="shared" si="5"/>
        <v>--</v>
      </c>
      <c r="E179" s="674" t="str">
        <f>IF(B179&gt;NClase,"--",IFERROR(VLOOKUP(B179,Flts!$H$14:$I$349,2,FALSE),E178))</f>
        <v>--</v>
      </c>
      <c r="F179" s="785" t="str">
        <f>IF(B179&gt;NClase,"--",IFERROR(_xlfn.XLOOKUP(B179,Flts!$H$14:$H$349,Flts!$AS$14:$AS$349),F178))</f>
        <v>--</v>
      </c>
      <c r="G179" s="674" t="str">
        <f>IF(B179&gt;NClase,"--",IFERROR(_xlfn.XLOOKUP(B179,Flts!$H$14:$H$349,Flts!$E$14:$E$349),G178))</f>
        <v>--</v>
      </c>
      <c r="H179" s="687"/>
      <c r="I179" s="687"/>
      <c r="J179" s="687"/>
      <c r="K179" s="687"/>
      <c r="L179" s="716"/>
    </row>
    <row r="180" spans="2:12" ht="50.1" customHeight="1" x14ac:dyDescent="0.3">
      <c r="B180" s="673" t="str">
        <f>IF(NClase&gt;=MAX(B$5:$B179)+1,B179+1,"--")</f>
        <v>--</v>
      </c>
      <c r="C180" s="674" t="str">
        <f t="shared" si="4"/>
        <v>--</v>
      </c>
      <c r="D180" s="675" t="str">
        <f t="shared" si="5"/>
        <v>--</v>
      </c>
      <c r="E180" s="674" t="str">
        <f>IF(B180&gt;NClase,"--",IFERROR(VLOOKUP(B180,Flts!$H$14:$I$349,2,FALSE),E179))</f>
        <v>--</v>
      </c>
      <c r="F180" s="785" t="str">
        <f>IF(B180&gt;NClase,"--",IFERROR(_xlfn.XLOOKUP(B180,Flts!$H$14:$H$349,Flts!$AS$14:$AS$349),F179))</f>
        <v>--</v>
      </c>
      <c r="G180" s="674" t="str">
        <f>IF(B180&gt;NClase,"--",IFERROR(_xlfn.XLOOKUP(B180,Flts!$H$14:$H$349,Flts!$E$14:$E$349),G179))</f>
        <v>--</v>
      </c>
      <c r="H180" s="687"/>
      <c r="I180" s="687"/>
      <c r="J180" s="687"/>
      <c r="K180" s="687"/>
      <c r="L180" s="716"/>
    </row>
    <row r="181" spans="2:12" ht="50.1" customHeight="1" x14ac:dyDescent="0.3">
      <c r="B181" s="673" t="str">
        <f>IF(NClase&gt;=MAX(B$5:$B180)+1,B180+1,"--")</f>
        <v>--</v>
      </c>
      <c r="C181" s="674" t="str">
        <f t="shared" si="4"/>
        <v>--</v>
      </c>
      <c r="D181" s="675" t="str">
        <f t="shared" si="5"/>
        <v>--</v>
      </c>
      <c r="E181" s="674" t="str">
        <f>IF(B181&gt;NClase,"--",IFERROR(VLOOKUP(B181,Flts!$H$14:$I$349,2,FALSE),E180))</f>
        <v>--</v>
      </c>
      <c r="F181" s="785" t="str">
        <f>IF(B181&gt;NClase,"--",IFERROR(_xlfn.XLOOKUP(B181,Flts!$H$14:$H$349,Flts!$AS$14:$AS$349),F180))</f>
        <v>--</v>
      </c>
      <c r="G181" s="674" t="str">
        <f>IF(B181&gt;NClase,"--",IFERROR(_xlfn.XLOOKUP(B181,Flts!$H$14:$H$349,Flts!$E$14:$E$349),G180))</f>
        <v>--</v>
      </c>
      <c r="H181" s="687"/>
      <c r="I181" s="687"/>
      <c r="J181" s="687"/>
      <c r="K181" s="687"/>
      <c r="L181" s="716"/>
    </row>
    <row r="182" spans="2:12" ht="50.1" customHeight="1" x14ac:dyDescent="0.3">
      <c r="B182" s="673" t="str">
        <f>IF(NClase&gt;=MAX(B$5:$B181)+1,B181+1,"--")</f>
        <v>--</v>
      </c>
      <c r="C182" s="674" t="str">
        <f t="shared" si="4"/>
        <v>--</v>
      </c>
      <c r="D182" s="675" t="str">
        <f t="shared" si="5"/>
        <v>--</v>
      </c>
      <c r="E182" s="674" t="str">
        <f>IF(B182&gt;NClase,"--",IFERROR(VLOOKUP(B182,Flts!$H$14:$I$349,2,FALSE),E181))</f>
        <v>--</v>
      </c>
      <c r="F182" s="785" t="str">
        <f>IF(B182&gt;NClase,"--",IFERROR(_xlfn.XLOOKUP(B182,Flts!$H$14:$H$349,Flts!$AS$14:$AS$349),F181))</f>
        <v>--</v>
      </c>
      <c r="G182" s="674" t="str">
        <f>IF(B182&gt;NClase,"--",IFERROR(_xlfn.XLOOKUP(B182,Flts!$H$14:$H$349,Flts!$E$14:$E$349),G181))</f>
        <v>--</v>
      </c>
      <c r="H182" s="687"/>
      <c r="I182" s="687"/>
      <c r="J182" s="687"/>
      <c r="K182" s="687"/>
      <c r="L182" s="716"/>
    </row>
    <row r="183" spans="2:12" ht="50.1" customHeight="1" x14ac:dyDescent="0.3">
      <c r="B183" s="673" t="str">
        <f>IF(NClase&gt;=MAX(B$5:$B182)+1,B182+1,"--")</f>
        <v>--</v>
      </c>
      <c r="C183" s="674" t="str">
        <f t="shared" si="4"/>
        <v>--</v>
      </c>
      <c r="D183" s="675" t="str">
        <f t="shared" si="5"/>
        <v>--</v>
      </c>
      <c r="E183" s="674" t="str">
        <f>IF(B183&gt;NClase,"--",IFERROR(VLOOKUP(B183,Flts!$H$14:$I$349,2,FALSE),E182))</f>
        <v>--</v>
      </c>
      <c r="F183" s="785" t="str">
        <f>IF(B183&gt;NClase,"--",IFERROR(_xlfn.XLOOKUP(B183,Flts!$H$14:$H$349,Flts!$AS$14:$AS$349),F182))</f>
        <v>--</v>
      </c>
      <c r="G183" s="674" t="str">
        <f>IF(B183&gt;NClase,"--",IFERROR(_xlfn.XLOOKUP(B183,Flts!$H$14:$H$349,Flts!$E$14:$E$349),G182))</f>
        <v>--</v>
      </c>
      <c r="H183" s="687"/>
      <c r="I183" s="687"/>
      <c r="J183" s="687"/>
      <c r="K183" s="687"/>
      <c r="L183" s="716"/>
    </row>
    <row r="184" spans="2:12" ht="50.1" customHeight="1" x14ac:dyDescent="0.3">
      <c r="B184" s="673" t="str">
        <f>IF(NClase&gt;=MAX(B$5:$B183)+1,B183+1,"--")</f>
        <v>--</v>
      </c>
      <c r="C184" s="674" t="str">
        <f t="shared" si="4"/>
        <v>--</v>
      </c>
      <c r="D184" s="675" t="str">
        <f t="shared" si="5"/>
        <v>--</v>
      </c>
      <c r="E184" s="674" t="str">
        <f>IF(B184&gt;NClase,"--",IFERROR(VLOOKUP(B184,Flts!$H$14:$I$349,2,FALSE),E183))</f>
        <v>--</v>
      </c>
      <c r="F184" s="785" t="str">
        <f>IF(B184&gt;NClase,"--",IFERROR(_xlfn.XLOOKUP(B184,Flts!$H$14:$H$349,Flts!$AS$14:$AS$349),F183))</f>
        <v>--</v>
      </c>
      <c r="G184" s="674" t="str">
        <f>IF(B184&gt;NClase,"--",IFERROR(_xlfn.XLOOKUP(B184,Flts!$H$14:$H$349,Flts!$E$14:$E$349),G183))</f>
        <v>--</v>
      </c>
      <c r="H184" s="687"/>
      <c r="I184" s="687"/>
      <c r="J184" s="687"/>
      <c r="K184" s="687"/>
      <c r="L184" s="716"/>
    </row>
    <row r="185" spans="2:12" ht="50.1" customHeight="1" x14ac:dyDescent="0.3">
      <c r="B185" s="673" t="str">
        <f>IF(NClase&gt;=MAX(B$5:$B184)+1,B184+1,"--")</f>
        <v>--</v>
      </c>
      <c r="C185" s="674" t="str">
        <f t="shared" si="4"/>
        <v>--</v>
      </c>
      <c r="D185" s="675" t="str">
        <f t="shared" si="5"/>
        <v>--</v>
      </c>
      <c r="E185" s="674" t="str">
        <f>IF(B185&gt;NClase,"--",IFERROR(VLOOKUP(B185,Flts!$H$14:$I$349,2,FALSE),E184))</f>
        <v>--</v>
      </c>
      <c r="F185" s="785" t="str">
        <f>IF(B185&gt;NClase,"--",IFERROR(_xlfn.XLOOKUP(B185,Flts!$H$14:$H$349,Flts!$AS$14:$AS$349),F184))</f>
        <v>--</v>
      </c>
      <c r="G185" s="674" t="str">
        <f>IF(B185&gt;NClase,"--",IFERROR(_xlfn.XLOOKUP(B185,Flts!$H$14:$H$349,Flts!$E$14:$E$349),G184))</f>
        <v>--</v>
      </c>
      <c r="H185" s="687"/>
      <c r="I185" s="687"/>
      <c r="J185" s="687"/>
      <c r="K185" s="687"/>
      <c r="L185" s="716"/>
    </row>
    <row r="186" spans="2:12" ht="50.1" customHeight="1" x14ac:dyDescent="0.3">
      <c r="B186" s="673" t="str">
        <f>IF(NClase&gt;=MAX(B$5:$B185)+1,B185+1,"--")</f>
        <v>--</v>
      </c>
      <c r="C186" s="674" t="str">
        <f t="shared" si="4"/>
        <v>--</v>
      </c>
      <c r="D186" s="675" t="str">
        <f t="shared" si="5"/>
        <v>--</v>
      </c>
      <c r="E186" s="674" t="str">
        <f>IF(B186&gt;NClase,"--",IFERROR(VLOOKUP(B186,Flts!$H$14:$I$349,2,FALSE),E185))</f>
        <v>--</v>
      </c>
      <c r="F186" s="785" t="str">
        <f>IF(B186&gt;NClase,"--",IFERROR(_xlfn.XLOOKUP(B186,Flts!$H$14:$H$349,Flts!$AS$14:$AS$349),F185))</f>
        <v>--</v>
      </c>
      <c r="G186" s="674" t="str">
        <f>IF(B186&gt;NClase,"--",IFERROR(_xlfn.XLOOKUP(B186,Flts!$H$14:$H$349,Flts!$E$14:$E$349),G185))</f>
        <v>--</v>
      </c>
      <c r="H186" s="687"/>
      <c r="I186" s="687"/>
      <c r="J186" s="687"/>
      <c r="K186" s="687"/>
      <c r="L186" s="716"/>
    </row>
    <row r="187" spans="2:12" ht="50.1" customHeight="1" x14ac:dyDescent="0.3">
      <c r="B187" s="673" t="str">
        <f>IF(NClase&gt;=MAX(B$5:$B186)+1,B186+1,"--")</f>
        <v>--</v>
      </c>
      <c r="C187" s="674" t="str">
        <f t="shared" si="4"/>
        <v>--</v>
      </c>
      <c r="D187" s="675" t="str">
        <f t="shared" ref="D187:D218" si="6">E187</f>
        <v>--</v>
      </c>
      <c r="E187" s="674" t="str">
        <f>IF(B187&gt;NClase,"--",IFERROR(VLOOKUP(B187,Flts!$H$14:$I$349,2,FALSE),E186))</f>
        <v>--</v>
      </c>
      <c r="F187" s="785" t="str">
        <f>IF(B187&gt;NClase,"--",IFERROR(_xlfn.XLOOKUP(B187,Flts!$H$14:$H$349,Flts!$AS$14:$AS$349),F186))</f>
        <v>--</v>
      </c>
      <c r="G187" s="674" t="str">
        <f>IF(B187&gt;NClase,"--",IFERROR(_xlfn.XLOOKUP(B187,Flts!$H$14:$H$349,Flts!$E$14:$E$349),G186))</f>
        <v>--</v>
      </c>
      <c r="H187" s="687"/>
      <c r="I187" s="687"/>
      <c r="J187" s="687"/>
      <c r="K187" s="687"/>
      <c r="L187" s="716"/>
    </row>
    <row r="188" spans="2:12" ht="50.1" customHeight="1" x14ac:dyDescent="0.3">
      <c r="B188" s="673" t="str">
        <f>IF(NClase&gt;=MAX(B$5:$B187)+1,B187+1,"--")</f>
        <v>--</v>
      </c>
      <c r="C188" s="674" t="str">
        <f t="shared" si="4"/>
        <v>--</v>
      </c>
      <c r="D188" s="675" t="str">
        <f t="shared" si="6"/>
        <v>--</v>
      </c>
      <c r="E188" s="674" t="str">
        <f>IF(B188&gt;NClase,"--",IFERROR(VLOOKUP(B188,Flts!$H$14:$I$349,2,FALSE),E187))</f>
        <v>--</v>
      </c>
      <c r="F188" s="785" t="str">
        <f>IF(B188&gt;NClase,"--",IFERROR(_xlfn.XLOOKUP(B188,Flts!$H$14:$H$349,Flts!$AS$14:$AS$349),F187))</f>
        <v>--</v>
      </c>
      <c r="G188" s="674" t="str">
        <f>IF(B188&gt;NClase,"--",IFERROR(_xlfn.XLOOKUP(B188,Flts!$H$14:$H$349,Flts!$E$14:$E$349),G187))</f>
        <v>--</v>
      </c>
      <c r="H188" s="687"/>
      <c r="I188" s="687"/>
      <c r="J188" s="687"/>
      <c r="K188" s="687"/>
      <c r="L188" s="716"/>
    </row>
    <row r="189" spans="2:12" ht="50.1" customHeight="1" x14ac:dyDescent="0.3">
      <c r="B189" s="673" t="str">
        <f>IF(NClase&gt;=MAX(B$5:$B188)+1,B188+1,"--")</f>
        <v>--</v>
      </c>
      <c r="C189" s="674" t="str">
        <f t="shared" si="4"/>
        <v>--</v>
      </c>
      <c r="D189" s="675" t="str">
        <f t="shared" si="6"/>
        <v>--</v>
      </c>
      <c r="E189" s="674" t="str">
        <f>IF(B189&gt;NClase,"--",IFERROR(VLOOKUP(B189,Flts!$H$14:$I$349,2,FALSE),E188))</f>
        <v>--</v>
      </c>
      <c r="F189" s="785" t="str">
        <f>IF(B189&gt;NClase,"--",IFERROR(_xlfn.XLOOKUP(B189,Flts!$H$14:$H$349,Flts!$AS$14:$AS$349),F188))</f>
        <v>--</v>
      </c>
      <c r="G189" s="674" t="str">
        <f>IF(B189&gt;NClase,"--",IFERROR(_xlfn.XLOOKUP(B189,Flts!$H$14:$H$349,Flts!$E$14:$E$349),G188))</f>
        <v>--</v>
      </c>
      <c r="H189" s="687"/>
      <c r="I189" s="687"/>
      <c r="J189" s="687"/>
      <c r="K189" s="687"/>
      <c r="L189" s="716"/>
    </row>
    <row r="190" spans="2:12" ht="50.1" customHeight="1" x14ac:dyDescent="0.3">
      <c r="B190" s="673" t="str">
        <f>IF(NClase&gt;=MAX(B$5:$B189)+1,B189+1,"--")</f>
        <v>--</v>
      </c>
      <c r="C190" s="674" t="str">
        <f t="shared" si="4"/>
        <v>--</v>
      </c>
      <c r="D190" s="675" t="str">
        <f t="shared" si="6"/>
        <v>--</v>
      </c>
      <c r="E190" s="674" t="str">
        <f>IF(B190&gt;NClase,"--",IFERROR(VLOOKUP(B190,Flts!$H$14:$I$349,2,FALSE),E189))</f>
        <v>--</v>
      </c>
      <c r="F190" s="785" t="str">
        <f>IF(B190&gt;NClase,"--",IFERROR(_xlfn.XLOOKUP(B190,Flts!$H$14:$H$349,Flts!$AS$14:$AS$349),F189))</f>
        <v>--</v>
      </c>
      <c r="G190" s="674" t="str">
        <f>IF(B190&gt;NClase,"--",IFERROR(_xlfn.XLOOKUP(B190,Flts!$H$14:$H$349,Flts!$E$14:$E$349),G189))</f>
        <v>--</v>
      </c>
      <c r="H190" s="687"/>
      <c r="I190" s="687"/>
      <c r="J190" s="687"/>
      <c r="K190" s="687"/>
      <c r="L190" s="716"/>
    </row>
    <row r="191" spans="2:12" ht="50.1" customHeight="1" x14ac:dyDescent="0.3">
      <c r="B191" s="673" t="str">
        <f>IF(NClase&gt;=MAX(B$5:$B190)+1,B190+1,"--")</f>
        <v>--</v>
      </c>
      <c r="C191" s="674" t="str">
        <f t="shared" si="4"/>
        <v>--</v>
      </c>
      <c r="D191" s="675" t="str">
        <f t="shared" si="6"/>
        <v>--</v>
      </c>
      <c r="E191" s="674" t="str">
        <f>IF(B191&gt;NClase,"--",IFERROR(VLOOKUP(B191,Flts!$H$14:$I$349,2,FALSE),E190))</f>
        <v>--</v>
      </c>
      <c r="F191" s="785" t="str">
        <f>IF(B191&gt;NClase,"--",IFERROR(_xlfn.XLOOKUP(B191,Flts!$H$14:$H$349,Flts!$AS$14:$AS$349),F190))</f>
        <v>--</v>
      </c>
      <c r="G191" s="674" t="str">
        <f>IF(B191&gt;NClase,"--",IFERROR(_xlfn.XLOOKUP(B191,Flts!$H$14:$H$349,Flts!$E$14:$E$349),G190))</f>
        <v>--</v>
      </c>
      <c r="H191" s="687"/>
      <c r="I191" s="687"/>
      <c r="J191" s="687"/>
      <c r="K191" s="687"/>
      <c r="L191" s="716"/>
    </row>
    <row r="192" spans="2:12" ht="50.1" customHeight="1" x14ac:dyDescent="0.3">
      <c r="B192" s="673" t="str">
        <f>IF(NClase&gt;=MAX(B$5:$B191)+1,B191+1,"--")</f>
        <v>--</v>
      </c>
      <c r="C192" s="674" t="str">
        <f t="shared" si="4"/>
        <v>--</v>
      </c>
      <c r="D192" s="675" t="str">
        <f t="shared" si="6"/>
        <v>--</v>
      </c>
      <c r="E192" s="674" t="str">
        <f>IF(B192&gt;NClase,"--",IFERROR(VLOOKUP(B192,Flts!$H$14:$I$349,2,FALSE),E191))</f>
        <v>--</v>
      </c>
      <c r="F192" s="785" t="str">
        <f>IF(B192&gt;NClase,"--",IFERROR(_xlfn.XLOOKUP(B192,Flts!$H$14:$H$349,Flts!$AS$14:$AS$349),F191))</f>
        <v>--</v>
      </c>
      <c r="G192" s="674" t="str">
        <f>IF(B192&gt;NClase,"--",IFERROR(_xlfn.XLOOKUP(B192,Flts!$H$14:$H$349,Flts!$E$14:$E$349),G191))</f>
        <v>--</v>
      </c>
      <c r="H192" s="687"/>
      <c r="I192" s="687"/>
      <c r="J192" s="687"/>
      <c r="K192" s="687"/>
      <c r="L192" s="716"/>
    </row>
    <row r="193" spans="2:12" ht="50.1" customHeight="1" x14ac:dyDescent="0.3">
      <c r="B193" s="673" t="str">
        <f>IF(NClase&gt;=MAX(B$5:$B192)+1,B192+1,"--")</f>
        <v>--</v>
      </c>
      <c r="C193" s="674" t="str">
        <f t="shared" si="4"/>
        <v>--</v>
      </c>
      <c r="D193" s="675" t="str">
        <f t="shared" si="6"/>
        <v>--</v>
      </c>
      <c r="E193" s="674" t="str">
        <f>IF(B193&gt;NClase,"--",IFERROR(VLOOKUP(B193,Flts!$H$14:$I$349,2,FALSE),E192))</f>
        <v>--</v>
      </c>
      <c r="F193" s="785" t="str">
        <f>IF(B193&gt;NClase,"--",IFERROR(_xlfn.XLOOKUP(B193,Flts!$H$14:$H$349,Flts!$AS$14:$AS$349),F192))</f>
        <v>--</v>
      </c>
      <c r="G193" s="674" t="str">
        <f>IF(B193&gt;NClase,"--",IFERROR(_xlfn.XLOOKUP(B193,Flts!$H$14:$H$349,Flts!$E$14:$E$349),G192))</f>
        <v>--</v>
      </c>
      <c r="H193" s="687"/>
      <c r="I193" s="687"/>
      <c r="J193" s="687"/>
      <c r="K193" s="687"/>
      <c r="L193" s="716"/>
    </row>
    <row r="194" spans="2:12" ht="50.1" customHeight="1" x14ac:dyDescent="0.3">
      <c r="B194" s="673" t="str">
        <f>IF(NClase&gt;=MAX(B$5:$B193)+1,B193+1,"--")</f>
        <v>--</v>
      </c>
      <c r="C194" s="674" t="str">
        <f t="shared" si="4"/>
        <v>--</v>
      </c>
      <c r="D194" s="675" t="str">
        <f t="shared" si="6"/>
        <v>--</v>
      </c>
      <c r="E194" s="674" t="str">
        <f>IF(B194&gt;NClase,"--",IFERROR(VLOOKUP(B194,Flts!$H$14:$I$349,2,FALSE),E193))</f>
        <v>--</v>
      </c>
      <c r="F194" s="785" t="str">
        <f>IF(B194&gt;NClase,"--",IFERROR(_xlfn.XLOOKUP(B194,Flts!$H$14:$H$349,Flts!$AS$14:$AS$349),F193))</f>
        <v>--</v>
      </c>
      <c r="G194" s="674" t="str">
        <f>IF(B194&gt;NClase,"--",IFERROR(_xlfn.XLOOKUP(B194,Flts!$H$14:$H$349,Flts!$E$14:$E$349),G193))</f>
        <v>--</v>
      </c>
      <c r="H194" s="687"/>
      <c r="I194" s="687"/>
      <c r="J194" s="687"/>
      <c r="K194" s="687"/>
      <c r="L194" s="716"/>
    </row>
    <row r="195" spans="2:12" ht="50.1" customHeight="1" x14ac:dyDescent="0.3">
      <c r="B195" s="673" t="str">
        <f>IF(NClase&gt;=MAX(B$5:$B194)+1,B194+1,"--")</f>
        <v>--</v>
      </c>
      <c r="C195" s="674" t="str">
        <f t="shared" si="4"/>
        <v>--</v>
      </c>
      <c r="D195" s="675" t="str">
        <f t="shared" si="6"/>
        <v>--</v>
      </c>
      <c r="E195" s="674" t="str">
        <f>IF(B195&gt;NClase,"--",IFERROR(VLOOKUP(B195,Flts!$H$14:$I$349,2,FALSE),E194))</f>
        <v>--</v>
      </c>
      <c r="F195" s="785" t="str">
        <f>IF(B195&gt;NClase,"--",IFERROR(_xlfn.XLOOKUP(B195,Flts!$H$14:$H$349,Flts!$AS$14:$AS$349),F194))</f>
        <v>--</v>
      </c>
      <c r="G195" s="674" t="str">
        <f>IF(B195&gt;NClase,"--",IFERROR(_xlfn.XLOOKUP(B195,Flts!$H$14:$H$349,Flts!$E$14:$E$349),G194))</f>
        <v>--</v>
      </c>
      <c r="H195" s="687"/>
      <c r="I195" s="687"/>
      <c r="J195" s="687"/>
      <c r="K195" s="687"/>
      <c r="L195" s="716"/>
    </row>
    <row r="196" spans="2:12" ht="50.1" customHeight="1" x14ac:dyDescent="0.3">
      <c r="B196" s="673" t="str">
        <f>IF(NClase&gt;=MAX(B$5:$B195)+1,B195+1,"--")</f>
        <v>--</v>
      </c>
      <c r="C196" s="674" t="str">
        <f t="shared" si="4"/>
        <v>--</v>
      </c>
      <c r="D196" s="675" t="str">
        <f t="shared" si="6"/>
        <v>--</v>
      </c>
      <c r="E196" s="674" t="str">
        <f>IF(B196&gt;NClase,"--",IFERROR(VLOOKUP(B196,Flts!$H$14:$I$349,2,FALSE),E195))</f>
        <v>--</v>
      </c>
      <c r="F196" s="785" t="str">
        <f>IF(B196&gt;NClase,"--",IFERROR(_xlfn.XLOOKUP(B196,Flts!$H$14:$H$349,Flts!$AS$14:$AS$349),F195))</f>
        <v>--</v>
      </c>
      <c r="G196" s="674" t="str">
        <f>IF(B196&gt;NClase,"--",IFERROR(_xlfn.XLOOKUP(B196,Flts!$H$14:$H$349,Flts!$E$14:$E$349),G195))</f>
        <v>--</v>
      </c>
      <c r="H196" s="687"/>
      <c r="I196" s="687"/>
      <c r="J196" s="687"/>
      <c r="K196" s="687"/>
      <c r="L196" s="716"/>
    </row>
    <row r="197" spans="2:12" ht="50.1" customHeight="1" x14ac:dyDescent="0.3">
      <c r="B197" s="673" t="str">
        <f>IF(NClase&gt;=MAX(B$5:$B196)+1,B196+1,"--")</f>
        <v>--</v>
      </c>
      <c r="C197" s="674" t="str">
        <f t="shared" si="4"/>
        <v>--</v>
      </c>
      <c r="D197" s="675" t="str">
        <f t="shared" si="6"/>
        <v>--</v>
      </c>
      <c r="E197" s="674" t="str">
        <f>IF(B197&gt;NClase,"--",IFERROR(VLOOKUP(B197,Flts!$H$14:$I$349,2,FALSE),E196))</f>
        <v>--</v>
      </c>
      <c r="F197" s="785" t="str">
        <f>IF(B197&gt;NClase,"--",IFERROR(_xlfn.XLOOKUP(B197,Flts!$H$14:$H$349,Flts!$AS$14:$AS$349),F196))</f>
        <v>--</v>
      </c>
      <c r="G197" s="674" t="str">
        <f>IF(B197&gt;NClase,"--",IFERROR(_xlfn.XLOOKUP(B197,Flts!$H$14:$H$349,Flts!$E$14:$E$349),G196))</f>
        <v>--</v>
      </c>
      <c r="H197" s="687"/>
      <c r="I197" s="687"/>
      <c r="J197" s="687"/>
      <c r="K197" s="687"/>
      <c r="L197" s="716"/>
    </row>
    <row r="198" spans="2:12" ht="50.1" customHeight="1" x14ac:dyDescent="0.3">
      <c r="B198" s="673" t="str">
        <f>IF(NClase&gt;=MAX(B$5:$B197)+1,B197+1,"--")</f>
        <v>--</v>
      </c>
      <c r="C198" s="674" t="str">
        <f t="shared" ref="C198:C229" si="7">IF(AND(B198&lt;NClase,E197&lt;&gt;E198),IFERROR(MID(Vdias,(WEEKDAY(E198,2)-1)*3+1,3),C197),"--")</f>
        <v>--</v>
      </c>
      <c r="D198" s="675" t="str">
        <f t="shared" si="6"/>
        <v>--</v>
      </c>
      <c r="E198" s="674" t="str">
        <f>IF(B198&gt;NClase,"--",IFERROR(VLOOKUP(B198,Flts!$H$14:$I$349,2,FALSE),E197))</f>
        <v>--</v>
      </c>
      <c r="F198" s="785" t="str">
        <f>IF(B198&gt;NClase,"--",IFERROR(_xlfn.XLOOKUP(B198,Flts!$H$14:$H$349,Flts!$AS$14:$AS$349),F197))</f>
        <v>--</v>
      </c>
      <c r="G198" s="674" t="str">
        <f>IF(B198&gt;NClase,"--",IFERROR(_xlfn.XLOOKUP(B198,Flts!$H$14:$H$349,Flts!$E$14:$E$349),G197))</f>
        <v>--</v>
      </c>
      <c r="H198" s="687"/>
      <c r="I198" s="687"/>
      <c r="J198" s="687"/>
      <c r="K198" s="687"/>
      <c r="L198" s="716"/>
    </row>
    <row r="199" spans="2:12" ht="50.1" customHeight="1" x14ac:dyDescent="0.3">
      <c r="B199" s="673" t="str">
        <f>IF(NClase&gt;=MAX(B$5:$B198)+1,B198+1,"--")</f>
        <v>--</v>
      </c>
      <c r="C199" s="674" t="str">
        <f t="shared" si="7"/>
        <v>--</v>
      </c>
      <c r="D199" s="675" t="str">
        <f t="shared" si="6"/>
        <v>--</v>
      </c>
      <c r="E199" s="674" t="str">
        <f>IF(B199&gt;NClase,"--",IFERROR(VLOOKUP(B199,Flts!$H$14:$I$349,2,FALSE),E198))</f>
        <v>--</v>
      </c>
      <c r="F199" s="785" t="str">
        <f>IF(B199&gt;NClase,"--",IFERROR(_xlfn.XLOOKUP(B199,Flts!$H$14:$H$349,Flts!$AS$14:$AS$349),F198))</f>
        <v>--</v>
      </c>
      <c r="G199" s="674" t="str">
        <f>IF(B199&gt;NClase,"--",IFERROR(_xlfn.XLOOKUP(B199,Flts!$H$14:$H$349,Flts!$E$14:$E$349),G198))</f>
        <v>--</v>
      </c>
      <c r="H199" s="687"/>
      <c r="I199" s="687"/>
      <c r="J199" s="687"/>
      <c r="K199" s="687"/>
      <c r="L199" s="716"/>
    </row>
    <row r="200" spans="2:12" ht="50.1" customHeight="1" x14ac:dyDescent="0.3">
      <c r="B200" s="673" t="str">
        <f>IF(NClase&gt;=MAX(B$5:$B199)+1,B199+1,"--")</f>
        <v>--</v>
      </c>
      <c r="C200" s="674" t="str">
        <f t="shared" si="7"/>
        <v>--</v>
      </c>
      <c r="D200" s="675" t="str">
        <f t="shared" si="6"/>
        <v>--</v>
      </c>
      <c r="E200" s="674" t="str">
        <f>IF(B200&gt;NClase,"--",IFERROR(VLOOKUP(B200,Flts!$H$14:$I$349,2,FALSE),E199))</f>
        <v>--</v>
      </c>
      <c r="F200" s="785" t="str">
        <f>IF(B200&gt;NClase,"--",IFERROR(_xlfn.XLOOKUP(B200,Flts!$H$14:$H$349,Flts!$AS$14:$AS$349),F199))</f>
        <v>--</v>
      </c>
      <c r="G200" s="674" t="str">
        <f>IF(B200&gt;NClase,"--",IFERROR(_xlfn.XLOOKUP(B200,Flts!$H$14:$H$349,Flts!$E$14:$E$349),G199))</f>
        <v>--</v>
      </c>
      <c r="H200" s="687"/>
      <c r="I200" s="687"/>
      <c r="J200" s="687"/>
      <c r="K200" s="687"/>
      <c r="L200" s="716"/>
    </row>
    <row r="201" spans="2:12" ht="50.1" customHeight="1" x14ac:dyDescent="0.3">
      <c r="B201" s="673" t="str">
        <f>IF(NClase&gt;=MAX(B$5:$B200)+1,B200+1,"--")</f>
        <v>--</v>
      </c>
      <c r="C201" s="674" t="str">
        <f t="shared" si="7"/>
        <v>--</v>
      </c>
      <c r="D201" s="675" t="str">
        <f t="shared" si="6"/>
        <v>--</v>
      </c>
      <c r="E201" s="674" t="str">
        <f>IF(B201&gt;NClase,"--",IFERROR(VLOOKUP(B201,Flts!$H$14:$I$349,2,FALSE),E200))</f>
        <v>--</v>
      </c>
      <c r="F201" s="785" t="str">
        <f>IF(B201&gt;NClase,"--",IFERROR(_xlfn.XLOOKUP(B201,Flts!$H$14:$H$349,Flts!$AS$14:$AS$349),F200))</f>
        <v>--</v>
      </c>
      <c r="G201" s="674" t="str">
        <f>IF(B201&gt;NClase,"--",IFERROR(_xlfn.XLOOKUP(B201,Flts!$H$14:$H$349,Flts!$E$14:$E$349),G200))</f>
        <v>--</v>
      </c>
      <c r="H201" s="687"/>
      <c r="I201" s="687"/>
      <c r="J201" s="687"/>
      <c r="K201" s="687"/>
      <c r="L201" s="716"/>
    </row>
    <row r="202" spans="2:12" ht="50.1" customHeight="1" x14ac:dyDescent="0.3">
      <c r="B202" s="673" t="str">
        <f>IF(NClase&gt;=MAX(B$5:$B201)+1,B201+1,"--")</f>
        <v>--</v>
      </c>
      <c r="C202" s="674" t="str">
        <f t="shared" si="7"/>
        <v>--</v>
      </c>
      <c r="D202" s="675" t="str">
        <f t="shared" si="6"/>
        <v>--</v>
      </c>
      <c r="E202" s="674" t="str">
        <f>IF(B202&gt;NClase,"--",IFERROR(VLOOKUP(B202,Flts!$H$14:$I$349,2,FALSE),E201))</f>
        <v>--</v>
      </c>
      <c r="F202" s="785" t="str">
        <f>IF(B202&gt;NClase,"--",IFERROR(_xlfn.XLOOKUP(B202,Flts!$H$14:$H$349,Flts!$AS$14:$AS$349),F201))</f>
        <v>--</v>
      </c>
      <c r="G202" s="674" t="str">
        <f>IF(B202&gt;NClase,"--",IFERROR(_xlfn.XLOOKUP(B202,Flts!$H$14:$H$349,Flts!$E$14:$E$349),G201))</f>
        <v>--</v>
      </c>
      <c r="H202" s="687"/>
      <c r="I202" s="687"/>
      <c r="J202" s="687"/>
      <c r="K202" s="687"/>
      <c r="L202" s="716"/>
    </row>
    <row r="203" spans="2:12" ht="50.1" customHeight="1" x14ac:dyDescent="0.3">
      <c r="B203" s="673" t="str">
        <f>IF(NClase&gt;=MAX(B$5:$B202)+1,B202+1,"--")</f>
        <v>--</v>
      </c>
      <c r="C203" s="674" t="str">
        <f t="shared" si="7"/>
        <v>--</v>
      </c>
      <c r="D203" s="675" t="str">
        <f t="shared" si="6"/>
        <v>--</v>
      </c>
      <c r="E203" s="674" t="str">
        <f>IF(B203&gt;NClase,"--",IFERROR(VLOOKUP(B203,Flts!$H$14:$I$349,2,FALSE),E202))</f>
        <v>--</v>
      </c>
      <c r="F203" s="785" t="str">
        <f>IF(B203&gt;NClase,"--",IFERROR(_xlfn.XLOOKUP(B203,Flts!$H$14:$H$349,Flts!$AS$14:$AS$349),F202))</f>
        <v>--</v>
      </c>
      <c r="G203" s="674" t="str">
        <f>IF(B203&gt;NClase,"--",IFERROR(_xlfn.XLOOKUP(B203,Flts!$H$14:$H$349,Flts!$E$14:$E$349),G202))</f>
        <v>--</v>
      </c>
      <c r="H203" s="687"/>
      <c r="I203" s="687"/>
      <c r="J203" s="687"/>
      <c r="K203" s="687"/>
      <c r="L203" s="716"/>
    </row>
    <row r="204" spans="2:12" ht="50.1" customHeight="1" x14ac:dyDescent="0.3">
      <c r="B204" s="673" t="str">
        <f>IF(NClase&gt;=MAX(B$5:$B203)+1,B203+1,"--")</f>
        <v>--</v>
      </c>
      <c r="C204" s="674" t="str">
        <f t="shared" si="7"/>
        <v>--</v>
      </c>
      <c r="D204" s="675" t="str">
        <f t="shared" si="6"/>
        <v>--</v>
      </c>
      <c r="E204" s="674" t="str">
        <f>IF(B204&gt;NClase,"--",IFERROR(VLOOKUP(B204,Flts!$H$14:$I$349,2,FALSE),E203))</f>
        <v>--</v>
      </c>
      <c r="F204" s="785" t="str">
        <f>IF(B204&gt;NClase,"--",IFERROR(_xlfn.XLOOKUP(B204,Flts!$H$14:$H$349,Flts!$AS$14:$AS$349),F203))</f>
        <v>--</v>
      </c>
      <c r="G204" s="674" t="str">
        <f>IF(B204&gt;NClase,"--",IFERROR(_xlfn.XLOOKUP(B204,Flts!$H$14:$H$349,Flts!$E$14:$E$349),G203))</f>
        <v>--</v>
      </c>
      <c r="H204" s="687"/>
      <c r="I204" s="687"/>
      <c r="J204" s="687"/>
      <c r="K204" s="687"/>
      <c r="L204" s="716"/>
    </row>
    <row r="205" spans="2:12" ht="50.1" customHeight="1" x14ac:dyDescent="0.3">
      <c r="B205" s="673" t="str">
        <f>IF(NClase&gt;=MAX(B$5:$B204)+1,B204+1,"--")</f>
        <v>--</v>
      </c>
      <c r="C205" s="674" t="str">
        <f t="shared" si="7"/>
        <v>--</v>
      </c>
      <c r="D205" s="675" t="str">
        <f t="shared" si="6"/>
        <v>--</v>
      </c>
      <c r="E205" s="674" t="str">
        <f>IF(B205&gt;NClase,"--",IFERROR(VLOOKUP(B205,Flts!$H$14:$I$349,2,FALSE),E204))</f>
        <v>--</v>
      </c>
      <c r="F205" s="785" t="str">
        <f>IF(B205&gt;NClase,"--",IFERROR(_xlfn.XLOOKUP(B205,Flts!$H$14:$H$349,Flts!$AS$14:$AS$349),F204))</f>
        <v>--</v>
      </c>
      <c r="G205" s="674" t="str">
        <f>IF(B205&gt;NClase,"--",IFERROR(_xlfn.XLOOKUP(B205,Flts!$H$14:$H$349,Flts!$E$14:$E$349),G204))</f>
        <v>--</v>
      </c>
      <c r="H205" s="687"/>
      <c r="I205" s="687"/>
      <c r="J205" s="687"/>
      <c r="K205" s="687"/>
      <c r="L205" s="716"/>
    </row>
    <row r="206" spans="2:12" ht="50.1" customHeight="1" x14ac:dyDescent="0.3">
      <c r="B206" s="673" t="str">
        <f>IF(NClase&gt;=MAX(B$5:$B205)+1,B205+1,"--")</f>
        <v>--</v>
      </c>
      <c r="C206" s="674" t="str">
        <f t="shared" si="7"/>
        <v>--</v>
      </c>
      <c r="D206" s="675" t="str">
        <f t="shared" si="6"/>
        <v>--</v>
      </c>
      <c r="E206" s="674" t="str">
        <f>IF(B206&gt;NClase,"--",IFERROR(VLOOKUP(B206,Flts!$H$14:$I$349,2,FALSE),E205))</f>
        <v>--</v>
      </c>
      <c r="F206" s="785" t="str">
        <f>IF(B206&gt;NClase,"--",IFERROR(_xlfn.XLOOKUP(B206,Flts!$H$14:$H$349,Flts!$AS$14:$AS$349),F205))</f>
        <v>--</v>
      </c>
      <c r="G206" s="674" t="str">
        <f>IF(B206&gt;NClase,"--",IFERROR(_xlfn.XLOOKUP(B206,Flts!$H$14:$H$349,Flts!$E$14:$E$349),G205))</f>
        <v>--</v>
      </c>
      <c r="H206" s="687"/>
      <c r="I206" s="687"/>
      <c r="J206" s="687"/>
      <c r="K206" s="687"/>
      <c r="L206" s="716"/>
    </row>
    <row r="207" spans="2:12" ht="50.1" customHeight="1" x14ac:dyDescent="0.3">
      <c r="B207" s="673" t="str">
        <f>IF(NClase&gt;=MAX(B$5:$B206)+1,B206+1,"--")</f>
        <v>--</v>
      </c>
      <c r="C207" s="674" t="str">
        <f t="shared" si="7"/>
        <v>--</v>
      </c>
      <c r="D207" s="675" t="str">
        <f t="shared" si="6"/>
        <v>--</v>
      </c>
      <c r="E207" s="674" t="str">
        <f>IF(B207&gt;NClase,"--",IFERROR(VLOOKUP(B207,Flts!$H$14:$I$349,2,FALSE),E206))</f>
        <v>--</v>
      </c>
      <c r="F207" s="785" t="str">
        <f>IF(B207&gt;NClase,"--",IFERROR(_xlfn.XLOOKUP(B207,Flts!$H$14:$H$349,Flts!$AS$14:$AS$349),F206))</f>
        <v>--</v>
      </c>
      <c r="G207" s="674" t="str">
        <f>IF(B207&gt;NClase,"--",IFERROR(_xlfn.XLOOKUP(B207,Flts!$H$14:$H$349,Flts!$E$14:$E$349),G206))</f>
        <v>--</v>
      </c>
      <c r="H207" s="687"/>
      <c r="I207" s="687"/>
      <c r="J207" s="687"/>
      <c r="K207" s="687"/>
      <c r="L207" s="716"/>
    </row>
    <row r="208" spans="2:12" ht="50.1" customHeight="1" x14ac:dyDescent="0.3">
      <c r="B208" s="673" t="str">
        <f>IF(NClase&gt;=MAX(B$5:$B207)+1,B207+1,"--")</f>
        <v>--</v>
      </c>
      <c r="C208" s="674" t="str">
        <f t="shared" si="7"/>
        <v>--</v>
      </c>
      <c r="D208" s="675" t="str">
        <f t="shared" si="6"/>
        <v>--</v>
      </c>
      <c r="E208" s="674" t="str">
        <f>IF(B208&gt;NClase,"--",IFERROR(VLOOKUP(B208,Flts!$H$14:$I$349,2,FALSE),E207))</f>
        <v>--</v>
      </c>
      <c r="F208" s="785" t="str">
        <f>IF(B208&gt;NClase,"--",IFERROR(_xlfn.XLOOKUP(B208,Flts!$H$14:$H$349,Flts!$AS$14:$AS$349),F207))</f>
        <v>--</v>
      </c>
      <c r="G208" s="674" t="str">
        <f>IF(B208&gt;NClase,"--",IFERROR(_xlfn.XLOOKUP(B208,Flts!$H$14:$H$349,Flts!$E$14:$E$349),G207))</f>
        <v>--</v>
      </c>
      <c r="H208" s="687"/>
      <c r="I208" s="687"/>
      <c r="J208" s="687"/>
      <c r="K208" s="687"/>
      <c r="L208" s="716"/>
    </row>
    <row r="209" spans="2:12" ht="50.1" customHeight="1" x14ac:dyDescent="0.3">
      <c r="B209" s="673" t="str">
        <f>IF(NClase&gt;=MAX(B$5:$B208)+1,B208+1,"--")</f>
        <v>--</v>
      </c>
      <c r="C209" s="674" t="str">
        <f t="shared" si="7"/>
        <v>--</v>
      </c>
      <c r="D209" s="675" t="str">
        <f t="shared" si="6"/>
        <v>--</v>
      </c>
      <c r="E209" s="674" t="str">
        <f>IF(B209&gt;NClase,"--",IFERROR(VLOOKUP(B209,Flts!$H$14:$I$349,2,FALSE),E208))</f>
        <v>--</v>
      </c>
      <c r="F209" s="785" t="str">
        <f>IF(B209&gt;NClase,"--",IFERROR(_xlfn.XLOOKUP(B209,Flts!$H$14:$H$349,Flts!$AS$14:$AS$349),F208))</f>
        <v>--</v>
      </c>
      <c r="G209" s="674" t="str">
        <f>IF(B209&gt;NClase,"--",IFERROR(_xlfn.XLOOKUP(B209,Flts!$H$14:$H$349,Flts!$E$14:$E$349),G208))</f>
        <v>--</v>
      </c>
      <c r="H209" s="687"/>
      <c r="I209" s="687"/>
      <c r="J209" s="687"/>
      <c r="K209" s="687"/>
      <c r="L209" s="716"/>
    </row>
    <row r="210" spans="2:12" ht="50.1" customHeight="1" x14ac:dyDescent="0.3">
      <c r="B210" s="673" t="str">
        <f>IF(NClase&gt;=MAX(B$5:$B209)+1,B209+1,"--")</f>
        <v>--</v>
      </c>
      <c r="C210" s="674" t="str">
        <f t="shared" si="7"/>
        <v>--</v>
      </c>
      <c r="D210" s="675" t="str">
        <f t="shared" si="6"/>
        <v>--</v>
      </c>
      <c r="E210" s="674" t="str">
        <f>IF(B210&gt;NClase,"--",IFERROR(VLOOKUP(B210,Flts!$H$14:$I$349,2,FALSE),E209))</f>
        <v>--</v>
      </c>
      <c r="F210" s="785" t="str">
        <f>IF(B210&gt;NClase,"--",IFERROR(_xlfn.XLOOKUP(B210,Flts!$H$14:$H$349,Flts!$AS$14:$AS$349),F209))</f>
        <v>--</v>
      </c>
      <c r="G210" s="674" t="str">
        <f>IF(B210&gt;NClase,"--",IFERROR(_xlfn.XLOOKUP(B210,Flts!$H$14:$H$349,Flts!$E$14:$E$349),G209))</f>
        <v>--</v>
      </c>
      <c r="H210" s="687"/>
      <c r="I210" s="687"/>
      <c r="J210" s="687"/>
      <c r="K210" s="687"/>
      <c r="L210" s="716"/>
    </row>
    <row r="211" spans="2:12" ht="50.1" customHeight="1" x14ac:dyDescent="0.3">
      <c r="B211" s="673" t="str">
        <f>IF(NClase&gt;=MAX(B$5:$B210)+1,B210+1,"--")</f>
        <v>--</v>
      </c>
      <c r="C211" s="674" t="str">
        <f t="shared" si="7"/>
        <v>--</v>
      </c>
      <c r="D211" s="675" t="str">
        <f t="shared" si="6"/>
        <v>--</v>
      </c>
      <c r="E211" s="674" t="str">
        <f>IF(B211&gt;NClase,"--",IFERROR(VLOOKUP(B211,Flts!$H$14:$I$349,2,FALSE),E210))</f>
        <v>--</v>
      </c>
      <c r="F211" s="785" t="str">
        <f>IF(B211&gt;NClase,"--",IFERROR(_xlfn.XLOOKUP(B211,Flts!$H$14:$H$349,Flts!$AS$14:$AS$349),F210))</f>
        <v>--</v>
      </c>
      <c r="G211" s="674" t="str">
        <f>IF(B211&gt;NClase,"--",IFERROR(_xlfn.XLOOKUP(B211,Flts!$H$14:$H$349,Flts!$E$14:$E$349),G210))</f>
        <v>--</v>
      </c>
      <c r="H211" s="687"/>
      <c r="I211" s="687"/>
      <c r="J211" s="687"/>
      <c r="K211" s="687"/>
      <c r="L211" s="716"/>
    </row>
    <row r="212" spans="2:12" ht="50.1" customHeight="1" x14ac:dyDescent="0.3">
      <c r="B212" s="673" t="str">
        <f>IF(NClase&gt;=MAX(B$5:$B211)+1,B211+1,"--")</f>
        <v>--</v>
      </c>
      <c r="C212" s="674" t="str">
        <f t="shared" si="7"/>
        <v>--</v>
      </c>
      <c r="D212" s="675" t="str">
        <f t="shared" si="6"/>
        <v>--</v>
      </c>
      <c r="E212" s="674" t="str">
        <f>IF(B212&gt;NClase,"--",IFERROR(VLOOKUP(B212,Flts!$H$14:$I$349,2,FALSE),E211))</f>
        <v>--</v>
      </c>
      <c r="F212" s="785" t="str">
        <f>IF(B212&gt;NClase,"--",IFERROR(_xlfn.XLOOKUP(B212,Flts!$H$14:$H$349,Flts!$AS$14:$AS$349),F211))</f>
        <v>--</v>
      </c>
      <c r="G212" s="674" t="str">
        <f>IF(B212&gt;NClase,"--",IFERROR(_xlfn.XLOOKUP(B212,Flts!$H$14:$H$349,Flts!$E$14:$E$349),G211))</f>
        <v>--</v>
      </c>
      <c r="H212" s="687"/>
      <c r="I212" s="687"/>
      <c r="J212" s="687"/>
      <c r="K212" s="687"/>
      <c r="L212" s="716"/>
    </row>
    <row r="213" spans="2:12" ht="50.1" customHeight="1" x14ac:dyDescent="0.3">
      <c r="B213" s="673" t="str">
        <f>IF(NClase&gt;=MAX(B$5:$B212)+1,B212+1,"--")</f>
        <v>--</v>
      </c>
      <c r="C213" s="674" t="str">
        <f t="shared" si="7"/>
        <v>--</v>
      </c>
      <c r="D213" s="675" t="str">
        <f t="shared" si="6"/>
        <v>--</v>
      </c>
      <c r="E213" s="674" t="str">
        <f>IF(B213&gt;NClase,"--",IFERROR(VLOOKUP(B213,Flts!$H$14:$I$349,2,FALSE),E212))</f>
        <v>--</v>
      </c>
      <c r="F213" s="785" t="str">
        <f>IF(B213&gt;NClase,"--",IFERROR(_xlfn.XLOOKUP(B213,Flts!$H$14:$H$349,Flts!$AS$14:$AS$349),F212))</f>
        <v>--</v>
      </c>
      <c r="G213" s="674" t="str">
        <f>IF(B213&gt;NClase,"--",IFERROR(_xlfn.XLOOKUP(B213,Flts!$H$14:$H$349,Flts!$E$14:$E$349),G212))</f>
        <v>--</v>
      </c>
      <c r="H213" s="687"/>
      <c r="I213" s="687"/>
      <c r="J213" s="687"/>
      <c r="K213" s="687"/>
      <c r="L213" s="716"/>
    </row>
    <row r="214" spans="2:12" ht="50.1" customHeight="1" x14ac:dyDescent="0.3">
      <c r="B214" s="673" t="str">
        <f>IF(NClase&gt;=MAX(B$5:$B213)+1,B213+1,"--")</f>
        <v>--</v>
      </c>
      <c r="C214" s="674" t="str">
        <f t="shared" si="7"/>
        <v>--</v>
      </c>
      <c r="D214" s="675" t="str">
        <f t="shared" si="6"/>
        <v>--</v>
      </c>
      <c r="E214" s="674" t="str">
        <f>IF(B214&gt;NClase,"--",IFERROR(VLOOKUP(B214,Flts!$H$14:$I$349,2,FALSE),E213))</f>
        <v>--</v>
      </c>
      <c r="F214" s="785" t="str">
        <f>IF(B214&gt;NClase,"--",IFERROR(_xlfn.XLOOKUP(B214,Flts!$H$14:$H$349,Flts!$AS$14:$AS$349),F213))</f>
        <v>--</v>
      </c>
      <c r="G214" s="674" t="str">
        <f>IF(B214&gt;NClase,"--",IFERROR(_xlfn.XLOOKUP(B214,Flts!$H$14:$H$349,Flts!$E$14:$E$349),G213))</f>
        <v>--</v>
      </c>
      <c r="H214" s="687"/>
      <c r="I214" s="687"/>
      <c r="J214" s="687"/>
      <c r="K214" s="687"/>
      <c r="L214" s="716"/>
    </row>
    <row r="215" spans="2:12" ht="50.1" customHeight="1" x14ac:dyDescent="0.3">
      <c r="B215" s="673" t="str">
        <f>IF(NClase&gt;=MAX(B$5:$B214)+1,B214+1,"--")</f>
        <v>--</v>
      </c>
      <c r="C215" s="674" t="str">
        <f t="shared" si="7"/>
        <v>--</v>
      </c>
      <c r="D215" s="675" t="str">
        <f t="shared" si="6"/>
        <v>--</v>
      </c>
      <c r="E215" s="674" t="str">
        <f>IF(B215&gt;NClase,"--",IFERROR(VLOOKUP(B215,Flts!$H$14:$I$349,2,FALSE),E214))</f>
        <v>--</v>
      </c>
      <c r="F215" s="785" t="str">
        <f>IF(B215&gt;NClase,"--",IFERROR(_xlfn.XLOOKUP(B215,Flts!$H$14:$H$349,Flts!$AS$14:$AS$349),F214))</f>
        <v>--</v>
      </c>
      <c r="G215" s="674" t="str">
        <f>IF(B215&gt;NClase,"--",IFERROR(_xlfn.XLOOKUP(B215,Flts!$H$14:$H$349,Flts!$E$14:$E$349),G214))</f>
        <v>--</v>
      </c>
      <c r="H215" s="687"/>
      <c r="I215" s="687"/>
      <c r="J215" s="687"/>
      <c r="K215" s="687"/>
      <c r="L215" s="716"/>
    </row>
    <row r="216" spans="2:12" ht="50.1" customHeight="1" x14ac:dyDescent="0.3">
      <c r="B216" s="673" t="str">
        <f>IF(NClase&gt;=MAX(B$5:$B215)+1,B215+1,"--")</f>
        <v>--</v>
      </c>
      <c r="C216" s="674" t="str">
        <f t="shared" si="7"/>
        <v>--</v>
      </c>
      <c r="D216" s="675" t="str">
        <f t="shared" si="6"/>
        <v>--</v>
      </c>
      <c r="E216" s="674" t="str">
        <f>IF(B216&gt;NClase,"--",IFERROR(VLOOKUP(B216,Flts!$H$14:$I$349,2,FALSE),E215))</f>
        <v>--</v>
      </c>
      <c r="F216" s="785" t="str">
        <f>IF(B216&gt;NClase,"--",IFERROR(_xlfn.XLOOKUP(B216,Flts!$H$14:$H$349,Flts!$AS$14:$AS$349),F215))</f>
        <v>--</v>
      </c>
      <c r="G216" s="674" t="str">
        <f>IF(B216&gt;NClase,"--",IFERROR(_xlfn.XLOOKUP(B216,Flts!$H$14:$H$349,Flts!$E$14:$E$349),G215))</f>
        <v>--</v>
      </c>
      <c r="H216" s="687"/>
      <c r="I216" s="687"/>
      <c r="J216" s="687"/>
      <c r="K216" s="687"/>
      <c r="L216" s="716"/>
    </row>
    <row r="217" spans="2:12" ht="50.1" customHeight="1" x14ac:dyDescent="0.3">
      <c r="B217" s="673" t="str">
        <f>IF(NClase&gt;=MAX(B$5:$B216)+1,B216+1,"--")</f>
        <v>--</v>
      </c>
      <c r="C217" s="674" t="str">
        <f t="shared" si="7"/>
        <v>--</v>
      </c>
      <c r="D217" s="675" t="str">
        <f t="shared" si="6"/>
        <v>--</v>
      </c>
      <c r="E217" s="674" t="str">
        <f>IF(B217&gt;NClase,"--",IFERROR(VLOOKUP(B217,Flts!$H$14:$I$349,2,FALSE),E216))</f>
        <v>--</v>
      </c>
      <c r="F217" s="785" t="str">
        <f>IF(B217&gt;NClase,"--",IFERROR(_xlfn.XLOOKUP(B217,Flts!$H$14:$H$349,Flts!$AS$14:$AS$349),F216))</f>
        <v>--</v>
      </c>
      <c r="G217" s="674" t="str">
        <f>IF(B217&gt;NClase,"--",IFERROR(_xlfn.XLOOKUP(B217,Flts!$H$14:$H$349,Flts!$E$14:$E$349),G216))</f>
        <v>--</v>
      </c>
      <c r="H217" s="687"/>
      <c r="I217" s="687"/>
      <c r="J217" s="687"/>
      <c r="K217" s="687"/>
      <c r="L217" s="716"/>
    </row>
    <row r="218" spans="2:12" ht="50.1" customHeight="1" x14ac:dyDescent="0.3">
      <c r="B218" s="673" t="str">
        <f>IF(NClase&gt;=MAX(B$5:$B217)+1,B217+1,"--")</f>
        <v>--</v>
      </c>
      <c r="C218" s="674" t="str">
        <f t="shared" si="7"/>
        <v>--</v>
      </c>
      <c r="D218" s="675" t="str">
        <f t="shared" si="6"/>
        <v>--</v>
      </c>
      <c r="E218" s="674" t="str">
        <f>IF(B218&gt;NClase,"--",IFERROR(VLOOKUP(B218,Flts!$H$14:$I$349,2,FALSE),E217))</f>
        <v>--</v>
      </c>
      <c r="F218" s="785" t="str">
        <f>IF(B218&gt;NClase,"--",IFERROR(_xlfn.XLOOKUP(B218,Flts!$H$14:$H$349,Flts!$AS$14:$AS$349),F217))</f>
        <v>--</v>
      </c>
      <c r="G218" s="674" t="str">
        <f>IF(B218&gt;NClase,"--",IFERROR(_xlfn.XLOOKUP(B218,Flts!$H$14:$H$349,Flts!$E$14:$E$349),G217))</f>
        <v>--</v>
      </c>
      <c r="H218" s="687"/>
      <c r="I218" s="687"/>
      <c r="J218" s="687"/>
      <c r="K218" s="687"/>
      <c r="L218" s="716"/>
    </row>
    <row r="219" spans="2:12" ht="50.1" customHeight="1" x14ac:dyDescent="0.3">
      <c r="B219" s="673" t="str">
        <f>IF(NClase&gt;=MAX(B$5:$B218)+1,B218+1,"--")</f>
        <v>--</v>
      </c>
      <c r="C219" s="674" t="str">
        <f t="shared" si="7"/>
        <v>--</v>
      </c>
      <c r="D219" s="675" t="str">
        <f t="shared" ref="D219:D229" si="8">E219</f>
        <v>--</v>
      </c>
      <c r="E219" s="674" t="str">
        <f>IF(B219&gt;NClase,"--",IFERROR(VLOOKUP(B219,Flts!$H$14:$I$349,2,FALSE),E218))</f>
        <v>--</v>
      </c>
      <c r="F219" s="785" t="str">
        <f>IF(B219&gt;NClase,"--",IFERROR(_xlfn.XLOOKUP(B219,Flts!$H$14:$H$349,Flts!$AS$14:$AS$349),F218))</f>
        <v>--</v>
      </c>
      <c r="G219" s="674" t="str">
        <f>IF(B219&gt;NClase,"--",IFERROR(_xlfn.XLOOKUP(B219,Flts!$H$14:$H$349,Flts!$E$14:$E$349),G218))</f>
        <v>--</v>
      </c>
      <c r="H219" s="687"/>
      <c r="I219" s="687"/>
      <c r="J219" s="687"/>
      <c r="K219" s="687"/>
      <c r="L219" s="716"/>
    </row>
    <row r="220" spans="2:12" ht="50.1" customHeight="1" x14ac:dyDescent="0.3">
      <c r="B220" s="673" t="str">
        <f>IF(NClase&gt;=MAX(B$5:$B219)+1,B219+1,"--")</f>
        <v>--</v>
      </c>
      <c r="C220" s="674" t="str">
        <f t="shared" si="7"/>
        <v>--</v>
      </c>
      <c r="D220" s="675" t="str">
        <f t="shared" si="8"/>
        <v>--</v>
      </c>
      <c r="E220" s="674" t="str">
        <f>IF(B220&gt;NClase,"--",IFERROR(VLOOKUP(B220,Flts!$H$14:$I$349,2,FALSE),E219))</f>
        <v>--</v>
      </c>
      <c r="F220" s="785" t="str">
        <f>IF(B220&gt;NClase,"--",IFERROR(_xlfn.XLOOKUP(B220,Flts!$H$14:$H$349,Flts!$AS$14:$AS$349),F219))</f>
        <v>--</v>
      </c>
      <c r="G220" s="674" t="str">
        <f>IF(B220&gt;NClase,"--",IFERROR(_xlfn.XLOOKUP(B220,Flts!$H$14:$H$349,Flts!$E$14:$E$349),G219))</f>
        <v>--</v>
      </c>
      <c r="H220" s="687"/>
      <c r="I220" s="687"/>
      <c r="J220" s="687"/>
      <c r="K220" s="687"/>
      <c r="L220" s="716"/>
    </row>
    <row r="221" spans="2:12" ht="50.1" customHeight="1" x14ac:dyDescent="0.3">
      <c r="B221" s="673" t="str">
        <f>IF(NClase&gt;=MAX(B$5:$B220)+1,B220+1,"--")</f>
        <v>--</v>
      </c>
      <c r="C221" s="674" t="str">
        <f t="shared" si="7"/>
        <v>--</v>
      </c>
      <c r="D221" s="675" t="str">
        <f t="shared" si="8"/>
        <v>--</v>
      </c>
      <c r="E221" s="674" t="str">
        <f>IF(B221&gt;NClase,"--",IFERROR(VLOOKUP(B221,Flts!$H$14:$I$349,2,FALSE),E220))</f>
        <v>--</v>
      </c>
      <c r="F221" s="785" t="str">
        <f>IF(B221&gt;NClase,"--",IFERROR(_xlfn.XLOOKUP(B221,Flts!$H$14:$H$349,Flts!$AS$14:$AS$349),F220))</f>
        <v>--</v>
      </c>
      <c r="G221" s="674" t="str">
        <f>IF(B221&gt;NClase,"--",IFERROR(_xlfn.XLOOKUP(B221,Flts!$H$14:$H$349,Flts!$E$14:$E$349),G220))</f>
        <v>--</v>
      </c>
      <c r="H221" s="687"/>
      <c r="I221" s="687"/>
      <c r="J221" s="687"/>
      <c r="K221" s="687"/>
      <c r="L221" s="716"/>
    </row>
    <row r="222" spans="2:12" ht="50.1" customHeight="1" x14ac:dyDescent="0.3">
      <c r="B222" s="673" t="str">
        <f>IF(NClase&gt;=MAX(B$5:$B221)+1,B221+1,"--")</f>
        <v>--</v>
      </c>
      <c r="C222" s="674" t="str">
        <f t="shared" si="7"/>
        <v>--</v>
      </c>
      <c r="D222" s="675" t="str">
        <f t="shared" si="8"/>
        <v>--</v>
      </c>
      <c r="E222" s="674" t="str">
        <f>IF(B222&gt;NClase,"--",IFERROR(VLOOKUP(B222,Flts!$H$14:$I$349,2,FALSE),E221))</f>
        <v>--</v>
      </c>
      <c r="F222" s="785" t="str">
        <f>IF(B222&gt;NClase,"--",IFERROR(_xlfn.XLOOKUP(B222,Flts!$H$14:$H$349,Flts!$AS$14:$AS$349),F221))</f>
        <v>--</v>
      </c>
      <c r="G222" s="674" t="str">
        <f>IF(B222&gt;NClase,"--",IFERROR(_xlfn.XLOOKUP(B222,Flts!$H$14:$H$349,Flts!$E$14:$E$349),G221))</f>
        <v>--</v>
      </c>
      <c r="H222" s="687"/>
      <c r="I222" s="687"/>
      <c r="J222" s="687"/>
      <c r="K222" s="687"/>
      <c r="L222" s="716"/>
    </row>
    <row r="223" spans="2:12" ht="50.1" customHeight="1" x14ac:dyDescent="0.3">
      <c r="B223" s="673" t="str">
        <f>IF(NClase&gt;=MAX(B$5:$B222)+1,B222+1,"--")</f>
        <v>--</v>
      </c>
      <c r="C223" s="674" t="str">
        <f t="shared" si="7"/>
        <v>--</v>
      </c>
      <c r="D223" s="675" t="str">
        <f t="shared" si="8"/>
        <v>--</v>
      </c>
      <c r="E223" s="674" t="str">
        <f>IF(B223&gt;NClase,"--",IFERROR(VLOOKUP(B223,Flts!$H$14:$I$349,2,FALSE),E222))</f>
        <v>--</v>
      </c>
      <c r="F223" s="785" t="str">
        <f>IF(B223&gt;NClase,"--",IFERROR(_xlfn.XLOOKUP(B223,Flts!$H$14:$H$349,Flts!$AS$14:$AS$349),F222))</f>
        <v>--</v>
      </c>
      <c r="G223" s="674" t="str">
        <f>IF(B223&gt;NClase,"--",IFERROR(_xlfn.XLOOKUP(B223,Flts!$H$14:$H$349,Flts!$E$14:$E$349),G222))</f>
        <v>--</v>
      </c>
      <c r="H223" s="687"/>
      <c r="I223" s="687"/>
      <c r="J223" s="687"/>
      <c r="K223" s="687"/>
      <c r="L223" s="716"/>
    </row>
    <row r="224" spans="2:12" ht="50.1" customHeight="1" x14ac:dyDescent="0.3">
      <c r="B224" s="673" t="str">
        <f>IF(NClase&gt;=MAX(B$5:$B223)+1,B223+1,"--")</f>
        <v>--</v>
      </c>
      <c r="C224" s="674" t="str">
        <f t="shared" si="7"/>
        <v>--</v>
      </c>
      <c r="D224" s="675" t="str">
        <f t="shared" si="8"/>
        <v>--</v>
      </c>
      <c r="E224" s="674" t="str">
        <f>IF(B224&gt;NClase,"--",IFERROR(VLOOKUP(B224,Flts!$H$14:$I$349,2,FALSE),E223))</f>
        <v>--</v>
      </c>
      <c r="F224" s="785" t="str">
        <f>IF(B224&gt;NClase,"--",IFERROR(_xlfn.XLOOKUP(B224,Flts!$H$14:$H$349,Flts!$AS$14:$AS$349),F223))</f>
        <v>--</v>
      </c>
      <c r="G224" s="674" t="str">
        <f>IF(B224&gt;NClase,"--",IFERROR(_xlfn.XLOOKUP(B224,Flts!$H$14:$H$349,Flts!$E$14:$E$349),G223))</f>
        <v>--</v>
      </c>
      <c r="H224" s="687"/>
      <c r="I224" s="687"/>
      <c r="J224" s="687"/>
      <c r="K224" s="687"/>
      <c r="L224" s="716"/>
    </row>
    <row r="225" spans="2:12" ht="50.1" customHeight="1" x14ac:dyDescent="0.3">
      <c r="B225" s="673" t="str">
        <f>IF(NClase&gt;=MAX(B$5:$B224)+1,B224+1,"--")</f>
        <v>--</v>
      </c>
      <c r="C225" s="674" t="str">
        <f t="shared" si="7"/>
        <v>--</v>
      </c>
      <c r="D225" s="675" t="str">
        <f t="shared" si="8"/>
        <v>--</v>
      </c>
      <c r="E225" s="674" t="str">
        <f>IF(B225&gt;NClase,"--",IFERROR(VLOOKUP(B225,Flts!$H$14:$I$349,2,FALSE),E224))</f>
        <v>--</v>
      </c>
      <c r="F225" s="785" t="str">
        <f>IF(B225&gt;NClase,"--",IFERROR(_xlfn.XLOOKUP(B225,Flts!$H$14:$H$349,Flts!$AS$14:$AS$349),F224))</f>
        <v>--</v>
      </c>
      <c r="G225" s="674" t="str">
        <f>IF(B225&gt;NClase,"--",IFERROR(_xlfn.XLOOKUP(B225,Flts!$H$14:$H$349,Flts!$E$14:$E$349),G224))</f>
        <v>--</v>
      </c>
      <c r="H225" s="687"/>
      <c r="I225" s="687"/>
      <c r="J225" s="687"/>
      <c r="K225" s="687"/>
      <c r="L225" s="716"/>
    </row>
    <row r="226" spans="2:12" ht="50.1" customHeight="1" x14ac:dyDescent="0.3">
      <c r="B226" s="673" t="str">
        <f>IF(NClase&gt;=MAX(B$5:$B225)+1,B225+1,"--")</f>
        <v>--</v>
      </c>
      <c r="C226" s="674" t="str">
        <f t="shared" si="7"/>
        <v>--</v>
      </c>
      <c r="D226" s="675" t="str">
        <f t="shared" si="8"/>
        <v>--</v>
      </c>
      <c r="E226" s="674" t="str">
        <f>IF(B226&gt;NClase,"--",IFERROR(VLOOKUP(B226,Flts!$H$14:$I$349,2,FALSE),E225))</f>
        <v>--</v>
      </c>
      <c r="F226" s="785" t="str">
        <f>IF(B226&gt;NClase,"--",IFERROR(_xlfn.XLOOKUP(B226,Flts!$H$14:$H$349,Flts!$AS$14:$AS$349),F225))</f>
        <v>--</v>
      </c>
      <c r="G226" s="674" t="str">
        <f>IF(B226&gt;NClase,"--",IFERROR(_xlfn.XLOOKUP(B226,Flts!$H$14:$H$349,Flts!$E$14:$E$349),G225))</f>
        <v>--</v>
      </c>
      <c r="H226" s="687"/>
      <c r="I226" s="687"/>
      <c r="J226" s="687"/>
      <c r="K226" s="687"/>
      <c r="L226" s="716"/>
    </row>
    <row r="227" spans="2:12" ht="50.1" customHeight="1" x14ac:dyDescent="0.3">
      <c r="B227" s="673" t="str">
        <f>IF(NClase&gt;=MAX(B$5:$B226)+1,B226+1,"--")</f>
        <v>--</v>
      </c>
      <c r="C227" s="674" t="str">
        <f t="shared" si="7"/>
        <v>--</v>
      </c>
      <c r="D227" s="675" t="str">
        <f t="shared" si="8"/>
        <v>--</v>
      </c>
      <c r="E227" s="674" t="str">
        <f>IF(B227&gt;NClase,"--",IFERROR(VLOOKUP(B227,Flts!$H$14:$I$349,2,FALSE),E226))</f>
        <v>--</v>
      </c>
      <c r="F227" s="785" t="str">
        <f>IF(B227&gt;NClase,"--",IFERROR(_xlfn.XLOOKUP(B227,Flts!$H$14:$H$349,Flts!$AS$14:$AS$349),F226))</f>
        <v>--</v>
      </c>
      <c r="G227" s="674" t="str">
        <f>IF(B227&gt;NClase,"--",IFERROR(_xlfn.XLOOKUP(B227,Flts!$H$14:$H$349,Flts!$E$14:$E$349),G226))</f>
        <v>--</v>
      </c>
      <c r="H227" s="687"/>
      <c r="I227" s="687"/>
      <c r="J227" s="687"/>
      <c r="K227" s="687"/>
      <c r="L227" s="716"/>
    </row>
    <row r="228" spans="2:12" ht="50.1" customHeight="1" x14ac:dyDescent="0.3">
      <c r="B228" s="673" t="str">
        <f>IF(NClase&gt;=MAX(B$5:$B227)+1,B227+1,"--")</f>
        <v>--</v>
      </c>
      <c r="C228" s="674" t="str">
        <f t="shared" si="7"/>
        <v>--</v>
      </c>
      <c r="D228" s="675" t="str">
        <f t="shared" si="8"/>
        <v>--</v>
      </c>
      <c r="E228" s="674" t="str">
        <f>IF(B228&gt;NClase,"--",IFERROR(VLOOKUP(B228,Flts!$H$14:$I$349,2,FALSE),E227))</f>
        <v>--</v>
      </c>
      <c r="F228" s="785" t="str">
        <f>IF(B228&gt;NClase,"--",IFERROR(_xlfn.XLOOKUP(B228,Flts!$H$14:$H$349,Flts!$AS$14:$AS$349),F227))</f>
        <v>--</v>
      </c>
      <c r="G228" s="674" t="str">
        <f>IF(B228&gt;NClase,"--",IFERROR(_xlfn.XLOOKUP(B228,Flts!$H$14:$H$349,Flts!$E$14:$E$349),G227))</f>
        <v>--</v>
      </c>
      <c r="H228" s="687"/>
      <c r="I228" s="687"/>
      <c r="J228" s="687"/>
      <c r="K228" s="687"/>
      <c r="L228" s="716"/>
    </row>
    <row r="229" spans="2:12" ht="50.1" customHeight="1" x14ac:dyDescent="0.3">
      <c r="B229" s="673" t="str">
        <f>IF(NClase&gt;=MAX(B$5:$B228)+1,B228+1,"--")</f>
        <v>--</v>
      </c>
      <c r="C229" s="674" t="str">
        <f t="shared" si="7"/>
        <v>--</v>
      </c>
      <c r="D229" s="675" t="str">
        <f t="shared" si="8"/>
        <v>--</v>
      </c>
      <c r="E229" s="674" t="str">
        <f>IF(B229&gt;NClase,"--",IFERROR(VLOOKUP(B229,Flts!$H$14:$I$349,2,FALSE),E228))</f>
        <v>--</v>
      </c>
      <c r="F229" s="785" t="str">
        <f>IF(B229&gt;NClase,"--",IFERROR(_xlfn.XLOOKUP(B229,Flts!$H$14:$H$349,Flts!$AS$14:$AS$349),F228))</f>
        <v>--</v>
      </c>
      <c r="G229" s="674" t="str">
        <f>IF(B229&gt;NClase,"--",IFERROR(_xlfn.XLOOKUP(B229,Flts!$H$14:$H$349,Flts!$E$14:$E$349),G228))</f>
        <v>--</v>
      </c>
      <c r="H229" s="687"/>
      <c r="I229" s="687"/>
      <c r="J229" s="687"/>
      <c r="K229" s="687"/>
      <c r="L229" s="716"/>
    </row>
    <row r="230" spans="2:12" ht="25.05" customHeight="1" x14ac:dyDescent="0.3">
      <c r="B230" s="399"/>
      <c r="C230" s="399"/>
      <c r="D230" s="399"/>
      <c r="E230" s="399"/>
    </row>
    <row r="231" spans="2:12" ht="25.05" customHeight="1" x14ac:dyDescent="0.3">
      <c r="B231" s="399"/>
      <c r="C231" s="399"/>
      <c r="D231" s="399"/>
      <c r="E231" s="399"/>
    </row>
    <row r="232" spans="2:12" ht="25.05" customHeight="1" x14ac:dyDescent="0.3">
      <c r="B232" s="399"/>
      <c r="C232" s="399"/>
      <c r="D232" s="399"/>
      <c r="E232" s="399"/>
    </row>
    <row r="233" spans="2:12" ht="25.05" customHeight="1" x14ac:dyDescent="0.3">
      <c r="B233" s="399"/>
      <c r="C233" s="399"/>
      <c r="D233" s="399"/>
      <c r="E233" s="399"/>
    </row>
    <row r="234" spans="2:12" ht="25.05" customHeight="1" x14ac:dyDescent="0.3">
      <c r="B234" s="399"/>
      <c r="C234" s="399"/>
      <c r="D234" s="399"/>
      <c r="E234" s="399"/>
    </row>
    <row r="235" spans="2:12" ht="25.05" customHeight="1" x14ac:dyDescent="0.3">
      <c r="B235" s="399"/>
      <c r="C235" s="399"/>
      <c r="D235" s="399"/>
      <c r="E235" s="399"/>
    </row>
    <row r="236" spans="2:12" ht="25.05" customHeight="1" x14ac:dyDescent="0.3">
      <c r="B236" s="399"/>
      <c r="C236" s="399"/>
      <c r="D236" s="399"/>
      <c r="E236" s="399"/>
    </row>
    <row r="237" spans="2:12" ht="25.05" customHeight="1" x14ac:dyDescent="0.3">
      <c r="B237" s="399"/>
      <c r="C237" s="399"/>
      <c r="D237" s="399"/>
      <c r="E237" s="399"/>
    </row>
    <row r="238" spans="2:12" ht="25.05" customHeight="1" x14ac:dyDescent="0.3">
      <c r="B238" s="399"/>
      <c r="C238" s="399"/>
      <c r="D238" s="399"/>
      <c r="E238" s="399"/>
    </row>
    <row r="239" spans="2:12" ht="25.05" customHeight="1" x14ac:dyDescent="0.3">
      <c r="B239" s="399"/>
      <c r="C239" s="399"/>
      <c r="D239" s="399"/>
      <c r="E239" s="399"/>
    </row>
    <row r="240" spans="2:12" ht="25.05" customHeight="1" x14ac:dyDescent="0.3">
      <c r="B240" s="399"/>
      <c r="C240" s="399"/>
      <c r="D240" s="399"/>
      <c r="E240" s="399"/>
    </row>
    <row r="241" spans="2:5" ht="25.05" customHeight="1" x14ac:dyDescent="0.3">
      <c r="B241" s="399"/>
      <c r="C241" s="399"/>
      <c r="D241" s="399"/>
      <c r="E241" s="399"/>
    </row>
    <row r="242" spans="2:5" ht="25.05" customHeight="1" x14ac:dyDescent="0.3">
      <c r="B242" s="399"/>
      <c r="C242" s="399"/>
      <c r="D242" s="399"/>
      <c r="E242" s="399"/>
    </row>
    <row r="243" spans="2:5" ht="25.05" customHeight="1" x14ac:dyDescent="0.3">
      <c r="B243" s="399"/>
      <c r="C243" s="399"/>
      <c r="D243" s="399"/>
      <c r="E243" s="399"/>
    </row>
    <row r="244" spans="2:5" ht="25.05" customHeight="1" x14ac:dyDescent="0.3">
      <c r="B244" s="399"/>
      <c r="C244" s="399"/>
      <c r="D244" s="399"/>
      <c r="E244" s="399"/>
    </row>
    <row r="245" spans="2:5" ht="25.05" customHeight="1" x14ac:dyDescent="0.3">
      <c r="B245" s="399"/>
      <c r="C245" s="399"/>
      <c r="D245" s="399"/>
      <c r="E245" s="399"/>
    </row>
    <row r="246" spans="2:5" ht="25.05" customHeight="1" x14ac:dyDescent="0.3">
      <c r="B246" s="399"/>
      <c r="C246" s="399"/>
      <c r="D246" s="399"/>
      <c r="E246" s="399"/>
    </row>
    <row r="247" spans="2:5" ht="25.05" customHeight="1" x14ac:dyDescent="0.3">
      <c r="B247" s="399"/>
      <c r="C247" s="399"/>
      <c r="D247" s="399"/>
      <c r="E247" s="399"/>
    </row>
    <row r="248" spans="2:5" ht="25.05" customHeight="1" x14ac:dyDescent="0.3">
      <c r="B248" s="399"/>
      <c r="C248" s="399"/>
      <c r="D248" s="399"/>
      <c r="E248" s="399"/>
    </row>
    <row r="249" spans="2:5" ht="25.05" customHeight="1" x14ac:dyDescent="0.3">
      <c r="B249" s="399"/>
      <c r="C249" s="399"/>
      <c r="D249" s="399"/>
      <c r="E249" s="399"/>
    </row>
    <row r="250" spans="2:5" ht="25.05" customHeight="1" x14ac:dyDescent="0.3">
      <c r="B250" s="399"/>
      <c r="C250" s="399"/>
      <c r="D250" s="399"/>
      <c r="E250" s="399"/>
    </row>
    <row r="251" spans="2:5" ht="25.05" customHeight="1" x14ac:dyDescent="0.3">
      <c r="B251" s="399"/>
      <c r="C251" s="399"/>
      <c r="D251" s="399"/>
      <c r="E251" s="399"/>
    </row>
    <row r="252" spans="2:5" ht="25.05" customHeight="1" x14ac:dyDescent="0.3">
      <c r="B252" s="399"/>
      <c r="C252" s="399"/>
      <c r="D252" s="399"/>
      <c r="E252" s="399"/>
    </row>
    <row r="253" spans="2:5" ht="25.05" customHeight="1" x14ac:dyDescent="0.3">
      <c r="B253" s="399"/>
      <c r="C253" s="399"/>
      <c r="D253" s="399"/>
      <c r="E253" s="399"/>
    </row>
    <row r="254" spans="2:5" ht="25.05" customHeight="1" x14ac:dyDescent="0.3">
      <c r="B254" s="399"/>
      <c r="C254" s="399"/>
      <c r="D254" s="399"/>
      <c r="E254" s="399"/>
    </row>
    <row r="255" spans="2:5" ht="25.05" customHeight="1" x14ac:dyDescent="0.3">
      <c r="B255" s="399"/>
      <c r="C255" s="399"/>
      <c r="D255" s="399"/>
      <c r="E255" s="399"/>
    </row>
    <row r="256" spans="2:5" ht="25.05" customHeight="1" x14ac:dyDescent="0.3">
      <c r="B256" s="399"/>
      <c r="C256" s="399"/>
      <c r="D256" s="399"/>
      <c r="E256" s="399"/>
    </row>
    <row r="257" spans="2:5" ht="25.05" customHeight="1" x14ac:dyDescent="0.3">
      <c r="B257" s="399"/>
      <c r="C257" s="399"/>
      <c r="D257" s="399"/>
      <c r="E257" s="399"/>
    </row>
    <row r="258" spans="2:5" ht="25.05" customHeight="1" x14ac:dyDescent="0.3">
      <c r="B258" s="399"/>
      <c r="C258" s="399"/>
      <c r="D258" s="399"/>
      <c r="E258" s="399"/>
    </row>
    <row r="259" spans="2:5" ht="25.05" customHeight="1" x14ac:dyDescent="0.3">
      <c r="B259" s="399"/>
      <c r="C259" s="399"/>
      <c r="D259" s="399"/>
      <c r="E259" s="399"/>
    </row>
    <row r="260" spans="2:5" ht="25.05" customHeight="1" x14ac:dyDescent="0.3">
      <c r="B260" s="399"/>
      <c r="C260" s="399"/>
      <c r="D260" s="399"/>
      <c r="E260" s="399"/>
    </row>
    <row r="261" spans="2:5" ht="25.05" customHeight="1" x14ac:dyDescent="0.3">
      <c r="B261" s="399"/>
      <c r="C261" s="399"/>
      <c r="D261" s="399"/>
      <c r="E261" s="399"/>
    </row>
    <row r="262" spans="2:5" ht="25.05" customHeight="1" x14ac:dyDescent="0.3">
      <c r="B262" s="399"/>
      <c r="C262" s="399"/>
      <c r="D262" s="399"/>
      <c r="E262" s="399"/>
    </row>
    <row r="263" spans="2:5" ht="25.05" customHeight="1" x14ac:dyDescent="0.3">
      <c r="B263" s="399"/>
      <c r="C263" s="399"/>
      <c r="D263" s="399"/>
      <c r="E263" s="399"/>
    </row>
    <row r="264" spans="2:5" ht="25.05" customHeight="1" x14ac:dyDescent="0.3">
      <c r="B264" s="399"/>
      <c r="C264" s="399"/>
      <c r="D264" s="399"/>
      <c r="E264" s="399"/>
    </row>
    <row r="265" spans="2:5" ht="25.05" customHeight="1" x14ac:dyDescent="0.3">
      <c r="B265" s="399"/>
      <c r="C265" s="399"/>
      <c r="D265" s="399"/>
      <c r="E265" s="399"/>
    </row>
    <row r="266" spans="2:5" ht="25.05" customHeight="1" x14ac:dyDescent="0.3">
      <c r="B266" s="399"/>
      <c r="C266" s="399"/>
      <c r="D266" s="399"/>
      <c r="E266" s="399"/>
    </row>
    <row r="267" spans="2:5" ht="25.05" customHeight="1" x14ac:dyDescent="0.3">
      <c r="B267" s="399"/>
      <c r="C267" s="399"/>
      <c r="D267" s="399"/>
      <c r="E267" s="399"/>
    </row>
    <row r="268" spans="2:5" ht="25.05" customHeight="1" x14ac:dyDescent="0.3">
      <c r="B268" s="399"/>
      <c r="C268" s="399"/>
      <c r="D268" s="399"/>
      <c r="E268" s="399"/>
    </row>
    <row r="269" spans="2:5" ht="25.05" customHeight="1" x14ac:dyDescent="0.3">
      <c r="B269" s="399"/>
      <c r="C269" s="399"/>
      <c r="D269" s="399"/>
      <c r="E269" s="399"/>
    </row>
    <row r="270" spans="2:5" ht="25.05" customHeight="1" x14ac:dyDescent="0.3">
      <c r="B270" s="399"/>
      <c r="C270" s="399"/>
      <c r="D270" s="399"/>
      <c r="E270" s="399"/>
    </row>
    <row r="271" spans="2:5" ht="25.05" customHeight="1" x14ac:dyDescent="0.3">
      <c r="B271" s="399"/>
      <c r="C271" s="399"/>
      <c r="D271" s="399"/>
      <c r="E271" s="399"/>
    </row>
    <row r="272" spans="2:5" ht="25.05" customHeight="1" x14ac:dyDescent="0.3">
      <c r="B272" s="399"/>
      <c r="C272" s="399"/>
      <c r="D272" s="399"/>
      <c r="E272" s="399"/>
    </row>
    <row r="273" spans="2:5" ht="25.05" customHeight="1" x14ac:dyDescent="0.3">
      <c r="B273" s="399"/>
      <c r="C273" s="399"/>
      <c r="D273" s="399"/>
      <c r="E273" s="399"/>
    </row>
    <row r="274" spans="2:5" ht="25.05" customHeight="1" x14ac:dyDescent="0.3">
      <c r="B274" s="399"/>
      <c r="C274" s="399"/>
      <c r="D274" s="399"/>
      <c r="E274" s="399"/>
    </row>
    <row r="275" spans="2:5" ht="25.05" customHeight="1" x14ac:dyDescent="0.3">
      <c r="B275" s="399"/>
      <c r="C275" s="399"/>
      <c r="D275" s="399"/>
      <c r="E275" s="399"/>
    </row>
    <row r="276" spans="2:5" ht="25.05" customHeight="1" x14ac:dyDescent="0.3">
      <c r="B276" s="399"/>
      <c r="C276" s="399"/>
      <c r="D276" s="399"/>
      <c r="E276" s="399"/>
    </row>
    <row r="277" spans="2:5" ht="25.05" customHeight="1" x14ac:dyDescent="0.3">
      <c r="B277" s="399"/>
      <c r="C277" s="399"/>
      <c r="D277" s="399"/>
      <c r="E277" s="399"/>
    </row>
    <row r="278" spans="2:5" ht="25.05" customHeight="1" x14ac:dyDescent="0.3">
      <c r="B278" s="399"/>
      <c r="C278" s="399"/>
      <c r="D278" s="399"/>
      <c r="E278" s="399"/>
    </row>
    <row r="279" spans="2:5" ht="25.05" customHeight="1" x14ac:dyDescent="0.3">
      <c r="B279" s="399"/>
      <c r="C279" s="399"/>
      <c r="D279" s="399"/>
      <c r="E279" s="399"/>
    </row>
    <row r="280" spans="2:5" ht="25.05" customHeight="1" x14ac:dyDescent="0.3">
      <c r="B280" s="399"/>
      <c r="C280" s="399"/>
      <c r="D280" s="399"/>
      <c r="E280" s="399"/>
    </row>
    <row r="281" spans="2:5" ht="25.05" customHeight="1" x14ac:dyDescent="0.3">
      <c r="B281" s="399"/>
      <c r="C281" s="399"/>
      <c r="D281" s="399"/>
      <c r="E281" s="399"/>
    </row>
    <row r="282" spans="2:5" ht="25.05" customHeight="1" x14ac:dyDescent="0.3">
      <c r="B282" s="399"/>
      <c r="C282" s="399"/>
      <c r="D282" s="399"/>
      <c r="E282" s="399"/>
    </row>
    <row r="283" spans="2:5" ht="25.05" customHeight="1" x14ac:dyDescent="0.3">
      <c r="B283" s="399"/>
      <c r="C283" s="399"/>
      <c r="D283" s="399"/>
      <c r="E283" s="399"/>
    </row>
    <row r="284" spans="2:5" ht="25.05" customHeight="1" x14ac:dyDescent="0.3">
      <c r="B284" s="399"/>
      <c r="C284" s="399"/>
      <c r="D284" s="399"/>
      <c r="E284" s="399"/>
    </row>
    <row r="285" spans="2:5" ht="25.05" customHeight="1" x14ac:dyDescent="0.3">
      <c r="B285" s="399"/>
      <c r="C285" s="399"/>
      <c r="D285" s="399"/>
      <c r="E285" s="399"/>
    </row>
    <row r="286" spans="2:5" ht="25.05" customHeight="1" x14ac:dyDescent="0.3">
      <c r="B286" s="399"/>
      <c r="C286" s="399"/>
      <c r="D286" s="399"/>
      <c r="E286" s="399"/>
    </row>
    <row r="287" spans="2:5" ht="25.05" customHeight="1" x14ac:dyDescent="0.3">
      <c r="B287" s="399"/>
      <c r="C287" s="399"/>
      <c r="D287" s="399"/>
      <c r="E287" s="399"/>
    </row>
    <row r="288" spans="2:5" ht="25.05" customHeight="1" x14ac:dyDescent="0.3">
      <c r="B288" s="399"/>
      <c r="C288" s="399"/>
      <c r="D288" s="399"/>
      <c r="E288" s="399"/>
    </row>
    <row r="289" spans="2:5" ht="25.05" customHeight="1" x14ac:dyDescent="0.3">
      <c r="B289" s="399"/>
      <c r="C289" s="399"/>
      <c r="D289" s="399"/>
      <c r="E289" s="399"/>
    </row>
    <row r="290" spans="2:5" ht="25.05" customHeight="1" x14ac:dyDescent="0.3">
      <c r="B290" s="399"/>
      <c r="C290" s="399"/>
      <c r="D290" s="399"/>
      <c r="E290" s="399"/>
    </row>
    <row r="291" spans="2:5" ht="25.05" customHeight="1" x14ac:dyDescent="0.3">
      <c r="B291" s="399"/>
      <c r="C291" s="399"/>
      <c r="D291" s="399"/>
      <c r="E291" s="399"/>
    </row>
    <row r="292" spans="2:5" ht="25.05" customHeight="1" x14ac:dyDescent="0.3">
      <c r="B292" s="399"/>
      <c r="C292" s="399"/>
      <c r="D292" s="399"/>
      <c r="E292" s="399"/>
    </row>
    <row r="293" spans="2:5" ht="25.05" customHeight="1" x14ac:dyDescent="0.3">
      <c r="B293" s="399"/>
      <c r="C293" s="399"/>
      <c r="D293" s="399"/>
      <c r="E293" s="399"/>
    </row>
    <row r="294" spans="2:5" ht="25.05" customHeight="1" x14ac:dyDescent="0.3">
      <c r="B294" s="399"/>
      <c r="C294" s="399"/>
      <c r="D294" s="399"/>
      <c r="E294" s="399"/>
    </row>
    <row r="295" spans="2:5" ht="25.05" customHeight="1" x14ac:dyDescent="0.3">
      <c r="B295" s="399"/>
      <c r="C295" s="399"/>
      <c r="D295" s="399"/>
      <c r="E295" s="399"/>
    </row>
    <row r="296" spans="2:5" ht="25.05" customHeight="1" x14ac:dyDescent="0.3">
      <c r="B296" s="399"/>
      <c r="C296" s="399"/>
      <c r="D296" s="399"/>
      <c r="E296" s="399"/>
    </row>
    <row r="297" spans="2:5" ht="25.05" customHeight="1" x14ac:dyDescent="0.3">
      <c r="B297" s="399"/>
      <c r="C297" s="399"/>
      <c r="D297" s="399"/>
      <c r="E297" s="399"/>
    </row>
    <row r="298" spans="2:5" ht="25.05" customHeight="1" x14ac:dyDescent="0.3">
      <c r="B298" s="399"/>
      <c r="C298" s="399"/>
      <c r="D298" s="399"/>
      <c r="E298" s="399"/>
    </row>
    <row r="299" spans="2:5" ht="25.05" customHeight="1" x14ac:dyDescent="0.3">
      <c r="B299" s="399"/>
      <c r="C299" s="399"/>
      <c r="D299" s="399"/>
      <c r="E299" s="399"/>
    </row>
    <row r="300" spans="2:5" ht="25.05" customHeight="1" x14ac:dyDescent="0.3">
      <c r="B300" s="399"/>
      <c r="C300" s="399"/>
      <c r="D300" s="399"/>
      <c r="E300" s="399"/>
    </row>
    <row r="301" spans="2:5" ht="25.05" customHeight="1" x14ac:dyDescent="0.3">
      <c r="B301" s="399"/>
      <c r="C301" s="399"/>
      <c r="D301" s="399"/>
      <c r="E301" s="399"/>
    </row>
    <row r="302" spans="2:5" ht="25.05" customHeight="1" x14ac:dyDescent="0.3">
      <c r="B302" s="399"/>
      <c r="C302" s="399"/>
      <c r="D302" s="399"/>
      <c r="E302" s="399"/>
    </row>
    <row r="303" spans="2:5" ht="25.05" customHeight="1" x14ac:dyDescent="0.3">
      <c r="B303" s="399"/>
      <c r="C303" s="399"/>
      <c r="D303" s="399"/>
      <c r="E303" s="399"/>
    </row>
    <row r="304" spans="2:5" ht="25.05" customHeight="1" x14ac:dyDescent="0.3">
      <c r="B304" s="399"/>
      <c r="C304" s="399"/>
      <c r="D304" s="399"/>
      <c r="E304" s="399"/>
    </row>
    <row r="305" spans="2:5" ht="25.05" customHeight="1" x14ac:dyDescent="0.3">
      <c r="B305" s="399"/>
      <c r="C305" s="399"/>
      <c r="D305" s="399"/>
      <c r="E305" s="399"/>
    </row>
    <row r="306" spans="2:5" ht="25.05" customHeight="1" x14ac:dyDescent="0.3">
      <c r="B306" s="399"/>
      <c r="C306" s="399"/>
      <c r="D306" s="399"/>
      <c r="E306" s="399"/>
    </row>
    <row r="307" spans="2:5" ht="25.05" customHeight="1" x14ac:dyDescent="0.3">
      <c r="B307" s="399"/>
      <c r="C307" s="399"/>
      <c r="D307" s="399"/>
      <c r="E307" s="399"/>
    </row>
    <row r="308" spans="2:5" ht="25.05" customHeight="1" x14ac:dyDescent="0.3">
      <c r="B308" s="399"/>
      <c r="C308" s="399"/>
      <c r="D308" s="399"/>
      <c r="E308" s="399"/>
    </row>
    <row r="309" spans="2:5" ht="25.05" customHeight="1" x14ac:dyDescent="0.3">
      <c r="B309" s="399"/>
      <c r="C309" s="399"/>
      <c r="D309" s="399"/>
      <c r="E309" s="399"/>
    </row>
    <row r="310" spans="2:5" ht="25.05" customHeight="1" x14ac:dyDescent="0.3">
      <c r="B310" s="399"/>
      <c r="C310" s="399"/>
      <c r="D310" s="399"/>
      <c r="E310" s="399"/>
    </row>
    <row r="311" spans="2:5" ht="25.05" customHeight="1" x14ac:dyDescent="0.3">
      <c r="B311" s="399"/>
      <c r="C311" s="399"/>
      <c r="D311" s="399"/>
      <c r="E311" s="399"/>
    </row>
    <row r="312" spans="2:5" ht="25.05" customHeight="1" x14ac:dyDescent="0.3">
      <c r="B312" s="399"/>
      <c r="C312" s="399"/>
      <c r="D312" s="399"/>
      <c r="E312" s="399"/>
    </row>
    <row r="313" spans="2:5" ht="25.05" customHeight="1" x14ac:dyDescent="0.3">
      <c r="B313" s="399"/>
      <c r="C313" s="399"/>
      <c r="D313" s="399"/>
      <c r="E313" s="399"/>
    </row>
    <row r="314" spans="2:5" ht="25.05" customHeight="1" x14ac:dyDescent="0.3">
      <c r="B314" s="399"/>
      <c r="C314" s="399"/>
      <c r="D314" s="399"/>
      <c r="E314" s="399"/>
    </row>
    <row r="315" spans="2:5" ht="25.05" customHeight="1" x14ac:dyDescent="0.3">
      <c r="B315" s="399"/>
      <c r="C315" s="399"/>
      <c r="D315" s="399"/>
      <c r="E315" s="399"/>
    </row>
    <row r="316" spans="2:5" ht="25.05" customHeight="1" x14ac:dyDescent="0.3">
      <c r="B316" s="399"/>
      <c r="C316" s="399"/>
      <c r="D316" s="399"/>
      <c r="E316" s="399"/>
    </row>
    <row r="317" spans="2:5" ht="25.05" customHeight="1" x14ac:dyDescent="0.3">
      <c r="B317" s="399"/>
      <c r="C317" s="399"/>
      <c r="D317" s="399"/>
      <c r="E317" s="399"/>
    </row>
    <row r="318" spans="2:5" ht="25.05" customHeight="1" x14ac:dyDescent="0.3">
      <c r="B318" s="399"/>
      <c r="C318" s="399"/>
      <c r="D318" s="399"/>
      <c r="E318" s="399"/>
    </row>
    <row r="319" spans="2:5" ht="25.05" customHeight="1" x14ac:dyDescent="0.3">
      <c r="B319" s="399"/>
      <c r="C319" s="399"/>
      <c r="D319" s="399"/>
      <c r="E319" s="399"/>
    </row>
    <row r="320" spans="2:5" ht="25.05" customHeight="1" x14ac:dyDescent="0.3">
      <c r="B320" s="399"/>
      <c r="C320" s="399"/>
      <c r="D320" s="399"/>
      <c r="E320" s="399"/>
    </row>
    <row r="321" spans="2:5" ht="25.05" customHeight="1" x14ac:dyDescent="0.3">
      <c r="B321" s="399"/>
      <c r="C321" s="399"/>
      <c r="D321" s="399"/>
      <c r="E321" s="399"/>
    </row>
    <row r="322" spans="2:5" ht="25.05" customHeight="1" x14ac:dyDescent="0.3">
      <c r="B322" s="399"/>
      <c r="C322" s="399"/>
      <c r="D322" s="399"/>
      <c r="E322" s="399"/>
    </row>
    <row r="323" spans="2:5" ht="25.05" customHeight="1" x14ac:dyDescent="0.3">
      <c r="B323" s="399"/>
      <c r="C323" s="399"/>
      <c r="D323" s="399"/>
      <c r="E323" s="399"/>
    </row>
    <row r="324" spans="2:5" ht="25.05" customHeight="1" x14ac:dyDescent="0.3">
      <c r="B324" s="399"/>
      <c r="C324" s="399"/>
      <c r="D324" s="399"/>
      <c r="E324" s="399"/>
    </row>
    <row r="325" spans="2:5" ht="25.05" customHeight="1" x14ac:dyDescent="0.3">
      <c r="B325" s="399"/>
      <c r="C325" s="399"/>
      <c r="D325" s="399"/>
      <c r="E325" s="399"/>
    </row>
    <row r="326" spans="2:5" ht="25.05" customHeight="1" x14ac:dyDescent="0.3">
      <c r="B326" s="399"/>
      <c r="C326" s="399"/>
      <c r="D326" s="399"/>
      <c r="E326" s="399"/>
    </row>
    <row r="327" spans="2:5" ht="25.05" customHeight="1" x14ac:dyDescent="0.3">
      <c r="B327" s="399"/>
      <c r="C327" s="399"/>
      <c r="D327" s="399"/>
      <c r="E327" s="399"/>
    </row>
    <row r="328" spans="2:5" ht="25.05" customHeight="1" x14ac:dyDescent="0.3">
      <c r="B328" s="399"/>
      <c r="C328" s="399"/>
      <c r="D328" s="399"/>
      <c r="E328" s="399"/>
    </row>
    <row r="329" spans="2:5" ht="25.05" customHeight="1" x14ac:dyDescent="0.3">
      <c r="B329" s="399"/>
      <c r="C329" s="399"/>
      <c r="D329" s="399"/>
      <c r="E329" s="399"/>
    </row>
    <row r="330" spans="2:5" ht="25.05" customHeight="1" x14ac:dyDescent="0.3">
      <c r="B330" s="399"/>
      <c r="C330" s="399"/>
      <c r="D330" s="399"/>
      <c r="E330" s="399"/>
    </row>
    <row r="331" spans="2:5" ht="25.05" customHeight="1" x14ac:dyDescent="0.3">
      <c r="B331" s="399"/>
      <c r="C331" s="399"/>
      <c r="D331" s="399"/>
      <c r="E331" s="399"/>
    </row>
    <row r="332" spans="2:5" ht="25.05" customHeight="1" x14ac:dyDescent="0.3">
      <c r="B332" s="399"/>
      <c r="C332" s="399"/>
      <c r="D332" s="399"/>
      <c r="E332" s="399"/>
    </row>
    <row r="333" spans="2:5" ht="25.05" customHeight="1" x14ac:dyDescent="0.3">
      <c r="B333" s="399"/>
      <c r="C333" s="399"/>
      <c r="D333" s="399"/>
      <c r="E333" s="399"/>
    </row>
    <row r="334" spans="2:5" ht="25.05" customHeight="1" x14ac:dyDescent="0.3">
      <c r="B334" s="399"/>
      <c r="C334" s="399"/>
      <c r="D334" s="399"/>
      <c r="E334" s="399"/>
    </row>
    <row r="335" spans="2:5" ht="25.05" customHeight="1" x14ac:dyDescent="0.3">
      <c r="B335" s="399"/>
      <c r="C335" s="399"/>
      <c r="D335" s="399"/>
      <c r="E335" s="399"/>
    </row>
    <row r="336" spans="2:5" ht="25.05" customHeight="1" x14ac:dyDescent="0.3">
      <c r="B336" s="399"/>
      <c r="C336" s="399"/>
      <c r="D336" s="399"/>
      <c r="E336" s="399"/>
    </row>
    <row r="337" spans="2:5" ht="25.05" customHeight="1" x14ac:dyDescent="0.3">
      <c r="B337" s="399"/>
      <c r="C337" s="399"/>
      <c r="D337" s="399"/>
      <c r="E337" s="399"/>
    </row>
    <row r="338" spans="2:5" ht="25.05" customHeight="1" x14ac:dyDescent="0.3">
      <c r="B338" s="399"/>
      <c r="C338" s="399"/>
      <c r="D338" s="399"/>
      <c r="E338" s="399"/>
    </row>
    <row r="339" spans="2:5" ht="25.05" customHeight="1" x14ac:dyDescent="0.3">
      <c r="B339" s="399"/>
      <c r="C339" s="399"/>
      <c r="D339" s="399"/>
      <c r="E339" s="399"/>
    </row>
    <row r="340" spans="2:5" ht="25.05" customHeight="1" x14ac:dyDescent="0.3">
      <c r="B340" s="399"/>
      <c r="C340" s="399"/>
      <c r="D340" s="399"/>
      <c r="E340" s="399"/>
    </row>
    <row r="341" spans="2:5" ht="25.05" customHeight="1" x14ac:dyDescent="0.3">
      <c r="B341" s="399"/>
      <c r="C341" s="399"/>
      <c r="D341" s="399"/>
      <c r="E341" s="399"/>
    </row>
    <row r="342" spans="2:5" ht="25.05" customHeight="1" x14ac:dyDescent="0.3">
      <c r="B342" s="399"/>
      <c r="C342" s="399"/>
      <c r="D342" s="399"/>
      <c r="E342" s="399"/>
    </row>
    <row r="343" spans="2:5" ht="25.05" customHeight="1" x14ac:dyDescent="0.3">
      <c r="B343" s="399"/>
      <c r="C343" s="399"/>
      <c r="D343" s="399"/>
      <c r="E343" s="399"/>
    </row>
    <row r="344" spans="2:5" ht="25.05" customHeight="1" x14ac:dyDescent="0.3">
      <c r="B344" s="399"/>
      <c r="C344" s="399"/>
      <c r="D344" s="399"/>
      <c r="E344" s="399"/>
    </row>
    <row r="345" spans="2:5" ht="25.05" customHeight="1" x14ac:dyDescent="0.3">
      <c r="B345" s="399"/>
      <c r="C345" s="399"/>
      <c r="D345" s="399"/>
      <c r="E345" s="399"/>
    </row>
    <row r="346" spans="2:5" ht="25.05" customHeight="1" x14ac:dyDescent="0.3">
      <c r="B346" s="399"/>
      <c r="C346" s="399"/>
      <c r="D346" s="399"/>
      <c r="E346" s="399"/>
    </row>
    <row r="347" spans="2:5" ht="25.05" customHeight="1" x14ac:dyDescent="0.3">
      <c r="B347" s="399"/>
      <c r="C347" s="399"/>
      <c r="D347" s="399"/>
      <c r="E347" s="399"/>
    </row>
    <row r="348" spans="2:5" ht="25.05" customHeight="1" x14ac:dyDescent="0.3">
      <c r="B348" s="399"/>
      <c r="C348" s="399"/>
      <c r="D348" s="399"/>
      <c r="E348" s="399"/>
    </row>
    <row r="349" spans="2:5" ht="25.05" customHeight="1" x14ac:dyDescent="0.3">
      <c r="B349" s="399"/>
      <c r="C349" s="399"/>
      <c r="D349" s="399"/>
      <c r="E349" s="399"/>
    </row>
    <row r="350" spans="2:5" ht="25.05" customHeight="1" x14ac:dyDescent="0.3">
      <c r="B350" s="399"/>
      <c r="C350" s="399"/>
      <c r="D350" s="399"/>
      <c r="E350" s="399"/>
    </row>
    <row r="351" spans="2:5" ht="25.05" customHeight="1" x14ac:dyDescent="0.3">
      <c r="B351" s="399"/>
      <c r="C351" s="399"/>
      <c r="D351" s="399"/>
      <c r="E351" s="399"/>
    </row>
    <row r="352" spans="2:5" ht="25.05" customHeight="1" x14ac:dyDescent="0.3">
      <c r="B352" s="399"/>
      <c r="C352" s="399"/>
      <c r="D352" s="399"/>
      <c r="E352" s="399"/>
    </row>
    <row r="353" spans="2:5" ht="25.05" customHeight="1" x14ac:dyDescent="0.3">
      <c r="B353" s="399"/>
      <c r="C353" s="399"/>
      <c r="D353" s="399"/>
      <c r="E353" s="399"/>
    </row>
    <row r="354" spans="2:5" ht="25.05" customHeight="1" x14ac:dyDescent="0.3">
      <c r="B354" s="399"/>
      <c r="C354" s="399"/>
      <c r="D354" s="399"/>
      <c r="E354" s="399"/>
    </row>
    <row r="355" spans="2:5" ht="25.05" customHeight="1" x14ac:dyDescent="0.3">
      <c r="B355" s="399"/>
      <c r="C355" s="399"/>
      <c r="D355" s="399"/>
      <c r="E355" s="399"/>
    </row>
    <row r="356" spans="2:5" ht="25.05" customHeight="1" x14ac:dyDescent="0.3">
      <c r="B356" s="399"/>
      <c r="C356" s="399"/>
      <c r="D356" s="399"/>
      <c r="E356" s="399"/>
    </row>
    <row r="357" spans="2:5" ht="25.05" customHeight="1" x14ac:dyDescent="0.3">
      <c r="B357" s="399"/>
      <c r="C357" s="399"/>
      <c r="D357" s="399"/>
      <c r="E357" s="399"/>
    </row>
    <row r="358" spans="2:5" ht="25.05" customHeight="1" x14ac:dyDescent="0.3">
      <c r="B358" s="399"/>
      <c r="C358" s="399"/>
      <c r="D358" s="399"/>
      <c r="E358" s="399"/>
    </row>
    <row r="359" spans="2:5" ht="25.05" customHeight="1" x14ac:dyDescent="0.3">
      <c r="B359" s="399"/>
      <c r="C359" s="399"/>
      <c r="D359" s="399"/>
      <c r="E359" s="399"/>
    </row>
    <row r="360" spans="2:5" ht="25.05" customHeight="1" x14ac:dyDescent="0.3">
      <c r="B360" s="399"/>
      <c r="C360" s="399"/>
      <c r="D360" s="399"/>
      <c r="E360" s="399"/>
    </row>
    <row r="361" spans="2:5" ht="25.05" customHeight="1" x14ac:dyDescent="0.3">
      <c r="B361" s="399"/>
      <c r="C361" s="399"/>
      <c r="D361" s="399"/>
      <c r="E361" s="399"/>
    </row>
    <row r="362" spans="2:5" ht="25.05" customHeight="1" x14ac:dyDescent="0.3">
      <c r="B362" s="399"/>
      <c r="C362" s="399"/>
      <c r="D362" s="399"/>
      <c r="E362" s="399"/>
    </row>
    <row r="363" spans="2:5" ht="25.05" customHeight="1" x14ac:dyDescent="0.3">
      <c r="B363" s="399"/>
      <c r="C363" s="399"/>
      <c r="D363" s="399"/>
      <c r="E363" s="399"/>
    </row>
    <row r="364" spans="2:5" ht="25.05" customHeight="1" x14ac:dyDescent="0.3">
      <c r="B364" s="399"/>
      <c r="C364" s="399"/>
      <c r="D364" s="399"/>
      <c r="E364" s="399"/>
    </row>
    <row r="365" spans="2:5" ht="25.05" customHeight="1" x14ac:dyDescent="0.3">
      <c r="B365" s="399"/>
      <c r="C365" s="399"/>
      <c r="D365" s="399"/>
      <c r="E365" s="399"/>
    </row>
    <row r="366" spans="2:5" ht="25.05" customHeight="1" x14ac:dyDescent="0.3">
      <c r="B366" s="399"/>
      <c r="C366" s="399"/>
      <c r="D366" s="399"/>
      <c r="E366" s="399"/>
    </row>
    <row r="367" spans="2:5" ht="25.05" customHeight="1" x14ac:dyDescent="0.3">
      <c r="B367" s="399"/>
      <c r="C367" s="399"/>
      <c r="D367" s="399"/>
      <c r="E367" s="399"/>
    </row>
    <row r="368" spans="2:5" ht="25.05" customHeight="1" x14ac:dyDescent="0.3">
      <c r="B368" s="399"/>
      <c r="C368" s="399"/>
      <c r="D368" s="399"/>
      <c r="E368" s="399"/>
    </row>
    <row r="369" spans="2:5" ht="25.05" customHeight="1" x14ac:dyDescent="0.3">
      <c r="B369" s="399"/>
      <c r="C369" s="399"/>
      <c r="D369" s="399"/>
      <c r="E369" s="399"/>
    </row>
    <row r="370" spans="2:5" ht="25.05" customHeight="1" x14ac:dyDescent="0.3">
      <c r="B370" s="399"/>
      <c r="C370" s="399"/>
      <c r="D370" s="399"/>
      <c r="E370" s="399"/>
    </row>
    <row r="371" spans="2:5" ht="25.05" customHeight="1" x14ac:dyDescent="0.3">
      <c r="B371" s="399"/>
      <c r="C371" s="399"/>
      <c r="D371" s="399"/>
      <c r="E371" s="399"/>
    </row>
    <row r="372" spans="2:5" ht="25.05" customHeight="1" x14ac:dyDescent="0.3">
      <c r="B372" s="399"/>
      <c r="C372" s="399"/>
      <c r="D372" s="399"/>
      <c r="E372" s="399"/>
    </row>
    <row r="373" spans="2:5" ht="25.05" customHeight="1" x14ac:dyDescent="0.3">
      <c r="B373" s="399"/>
      <c r="C373" s="399"/>
      <c r="D373" s="399"/>
      <c r="E373" s="399"/>
    </row>
    <row r="374" spans="2:5" ht="25.05" customHeight="1" x14ac:dyDescent="0.3">
      <c r="B374" s="399"/>
      <c r="C374" s="399"/>
      <c r="D374" s="399"/>
      <c r="E374" s="399"/>
    </row>
    <row r="375" spans="2:5" ht="25.05" customHeight="1" x14ac:dyDescent="0.3">
      <c r="B375" s="399"/>
      <c r="C375" s="399"/>
      <c r="D375" s="399"/>
      <c r="E375" s="399"/>
    </row>
    <row r="376" spans="2:5" ht="25.05" customHeight="1" x14ac:dyDescent="0.3">
      <c r="B376" s="399"/>
      <c r="C376" s="399"/>
      <c r="D376" s="399"/>
      <c r="E376" s="399"/>
    </row>
    <row r="377" spans="2:5" ht="25.05" customHeight="1" x14ac:dyDescent="0.3">
      <c r="B377" s="399"/>
      <c r="C377" s="399"/>
      <c r="D377" s="399"/>
      <c r="E377" s="399"/>
    </row>
    <row r="378" spans="2:5" ht="25.05" customHeight="1" x14ac:dyDescent="0.3">
      <c r="B378" s="399"/>
      <c r="C378" s="399"/>
      <c r="D378" s="399"/>
      <c r="E378" s="399"/>
    </row>
    <row r="379" spans="2:5" ht="25.05" customHeight="1" x14ac:dyDescent="0.3">
      <c r="B379" s="399"/>
      <c r="C379" s="399"/>
      <c r="D379" s="399"/>
      <c r="E379" s="399"/>
    </row>
    <row r="380" spans="2:5" ht="25.05" customHeight="1" x14ac:dyDescent="0.3">
      <c r="B380" s="399"/>
      <c r="C380" s="399"/>
      <c r="D380" s="399"/>
      <c r="E380" s="399"/>
    </row>
    <row r="381" spans="2:5" ht="25.05" customHeight="1" x14ac:dyDescent="0.3">
      <c r="B381" s="399"/>
      <c r="C381" s="399"/>
      <c r="D381" s="399"/>
      <c r="E381" s="399"/>
    </row>
    <row r="382" spans="2:5" ht="25.05" customHeight="1" x14ac:dyDescent="0.3">
      <c r="B382" s="399"/>
      <c r="C382" s="399"/>
      <c r="D382" s="399"/>
      <c r="E382" s="399"/>
    </row>
    <row r="383" spans="2:5" ht="25.05" customHeight="1" x14ac:dyDescent="0.3">
      <c r="B383" s="399"/>
      <c r="C383" s="399"/>
      <c r="D383" s="399"/>
      <c r="E383" s="399"/>
    </row>
    <row r="384" spans="2:5" ht="25.05" customHeight="1" x14ac:dyDescent="0.3">
      <c r="B384" s="399"/>
      <c r="C384" s="399"/>
      <c r="D384" s="399"/>
      <c r="E384" s="399"/>
    </row>
    <row r="385" spans="2:5" ht="25.05" customHeight="1" x14ac:dyDescent="0.3">
      <c r="B385" s="399"/>
      <c r="C385" s="399"/>
      <c r="D385" s="399"/>
      <c r="E385" s="399"/>
    </row>
    <row r="386" spans="2:5" ht="25.05" customHeight="1" x14ac:dyDescent="0.3">
      <c r="B386" s="399"/>
      <c r="C386" s="399"/>
      <c r="D386" s="399"/>
      <c r="E386" s="399"/>
    </row>
    <row r="387" spans="2:5" ht="25.05" customHeight="1" x14ac:dyDescent="0.3">
      <c r="B387" s="399"/>
      <c r="C387" s="399"/>
      <c r="D387" s="399"/>
      <c r="E387" s="399"/>
    </row>
    <row r="388" spans="2:5" ht="25.05" customHeight="1" x14ac:dyDescent="0.3">
      <c r="B388" s="399"/>
      <c r="C388" s="399"/>
      <c r="D388" s="399"/>
      <c r="E388" s="399"/>
    </row>
    <row r="389" spans="2:5" ht="25.05" customHeight="1" x14ac:dyDescent="0.3">
      <c r="B389" s="399"/>
      <c r="C389" s="399"/>
      <c r="D389" s="399"/>
      <c r="E389" s="399"/>
    </row>
    <row r="390" spans="2:5" ht="25.05" customHeight="1" x14ac:dyDescent="0.3">
      <c r="B390" s="399"/>
      <c r="C390" s="399"/>
      <c r="D390" s="399"/>
      <c r="E390" s="399"/>
    </row>
    <row r="391" spans="2:5" ht="25.05" customHeight="1" x14ac:dyDescent="0.3">
      <c r="B391" s="399"/>
      <c r="C391" s="399"/>
      <c r="D391" s="399"/>
      <c r="E391" s="399"/>
    </row>
    <row r="392" spans="2:5" ht="25.05" customHeight="1" x14ac:dyDescent="0.3">
      <c r="B392" s="399"/>
      <c r="C392" s="399"/>
      <c r="D392" s="399"/>
      <c r="E392" s="399"/>
    </row>
    <row r="393" spans="2:5" ht="25.05" customHeight="1" x14ac:dyDescent="0.3">
      <c r="B393" s="399"/>
      <c r="C393" s="399"/>
      <c r="D393" s="399"/>
      <c r="E393" s="399"/>
    </row>
    <row r="394" spans="2:5" ht="25.05" customHeight="1" x14ac:dyDescent="0.3">
      <c r="B394" s="399"/>
      <c r="C394" s="399"/>
      <c r="D394" s="399"/>
      <c r="E394" s="399"/>
    </row>
    <row r="395" spans="2:5" ht="25.05" customHeight="1" x14ac:dyDescent="0.3">
      <c r="B395" s="399"/>
      <c r="C395" s="399"/>
      <c r="D395" s="399"/>
      <c r="E395" s="399"/>
    </row>
    <row r="396" spans="2:5" ht="25.05" customHeight="1" x14ac:dyDescent="0.3">
      <c r="B396" s="399"/>
      <c r="C396" s="399"/>
      <c r="D396" s="399"/>
      <c r="E396" s="399"/>
    </row>
    <row r="397" spans="2:5" ht="25.05" customHeight="1" x14ac:dyDescent="0.3">
      <c r="B397" s="399"/>
      <c r="C397" s="399"/>
      <c r="D397" s="399"/>
      <c r="E397" s="399"/>
    </row>
    <row r="398" spans="2:5" ht="25.05" customHeight="1" x14ac:dyDescent="0.3">
      <c r="B398" s="399"/>
      <c r="C398" s="399"/>
      <c r="D398" s="399"/>
      <c r="E398" s="399"/>
    </row>
    <row r="399" spans="2:5" ht="25.05" customHeight="1" x14ac:dyDescent="0.3">
      <c r="B399" s="399"/>
      <c r="C399" s="399"/>
      <c r="D399" s="399"/>
      <c r="E399" s="399"/>
    </row>
    <row r="400" spans="2:5" ht="25.05" customHeight="1" x14ac:dyDescent="0.3">
      <c r="B400" s="399"/>
      <c r="C400" s="399"/>
      <c r="D400" s="399"/>
      <c r="E400" s="399"/>
    </row>
    <row r="401" spans="2:5" ht="25.05" customHeight="1" x14ac:dyDescent="0.3">
      <c r="B401" s="399"/>
      <c r="C401" s="399"/>
      <c r="D401" s="399"/>
      <c r="E401" s="399"/>
    </row>
    <row r="402" spans="2:5" ht="25.05" customHeight="1" x14ac:dyDescent="0.3">
      <c r="B402" s="399"/>
      <c r="C402" s="399"/>
      <c r="D402" s="399"/>
      <c r="E402" s="399"/>
    </row>
    <row r="403" spans="2:5" ht="25.05" customHeight="1" x14ac:dyDescent="0.3">
      <c r="B403" s="399"/>
      <c r="C403" s="399"/>
      <c r="D403" s="399"/>
      <c r="E403" s="399"/>
    </row>
    <row r="404" spans="2:5" ht="25.05" customHeight="1" x14ac:dyDescent="0.3">
      <c r="B404" s="399"/>
      <c r="C404" s="399"/>
      <c r="D404" s="399"/>
      <c r="E404" s="399"/>
    </row>
    <row r="405" spans="2:5" ht="25.05" customHeight="1" x14ac:dyDescent="0.3">
      <c r="B405" s="399"/>
      <c r="C405" s="399"/>
      <c r="D405" s="399"/>
      <c r="E405" s="399"/>
    </row>
    <row r="406" spans="2:5" ht="25.05" customHeight="1" x14ac:dyDescent="0.3">
      <c r="B406" s="399"/>
      <c r="C406" s="399"/>
      <c r="D406" s="399"/>
      <c r="E406" s="399"/>
    </row>
    <row r="407" spans="2:5" ht="25.05" customHeight="1" x14ac:dyDescent="0.3">
      <c r="B407" s="399"/>
      <c r="C407" s="399"/>
      <c r="D407" s="399"/>
      <c r="E407" s="399"/>
    </row>
    <row r="408" spans="2:5" ht="25.05" customHeight="1" x14ac:dyDescent="0.3">
      <c r="B408" s="399"/>
      <c r="C408" s="399"/>
      <c r="D408" s="399"/>
      <c r="E408" s="399"/>
    </row>
    <row r="409" spans="2:5" ht="25.05" customHeight="1" x14ac:dyDescent="0.3">
      <c r="B409" s="399"/>
      <c r="C409" s="399"/>
      <c r="D409" s="399"/>
      <c r="E409" s="399"/>
    </row>
    <row r="410" spans="2:5" ht="25.05" customHeight="1" x14ac:dyDescent="0.3">
      <c r="B410" s="399"/>
      <c r="C410" s="399"/>
      <c r="D410" s="399"/>
      <c r="E410" s="399"/>
    </row>
    <row r="411" spans="2:5" ht="25.05" customHeight="1" x14ac:dyDescent="0.3">
      <c r="B411" s="399"/>
      <c r="C411" s="399"/>
      <c r="D411" s="399"/>
      <c r="E411" s="399"/>
    </row>
    <row r="412" spans="2:5" ht="25.05" customHeight="1" x14ac:dyDescent="0.3">
      <c r="B412" s="399"/>
      <c r="C412" s="399"/>
      <c r="D412" s="399"/>
      <c r="E412" s="399"/>
    </row>
    <row r="413" spans="2:5" ht="25.05" customHeight="1" x14ac:dyDescent="0.3">
      <c r="B413" s="399"/>
      <c r="C413" s="399"/>
      <c r="D413" s="399"/>
      <c r="E413" s="399"/>
    </row>
    <row r="414" spans="2:5" ht="25.05" customHeight="1" x14ac:dyDescent="0.3">
      <c r="B414" s="399"/>
      <c r="C414" s="399"/>
      <c r="D414" s="399"/>
      <c r="E414" s="399"/>
    </row>
    <row r="415" spans="2:5" ht="25.05" customHeight="1" x14ac:dyDescent="0.3">
      <c r="B415" s="399"/>
      <c r="C415" s="399"/>
      <c r="D415" s="399"/>
      <c r="E415" s="399"/>
    </row>
    <row r="416" spans="2:5" ht="25.05" customHeight="1" x14ac:dyDescent="0.3">
      <c r="B416" s="399"/>
      <c r="C416" s="399"/>
      <c r="D416" s="399"/>
      <c r="E416" s="399"/>
    </row>
    <row r="417" spans="2:5" ht="25.05" customHeight="1" x14ac:dyDescent="0.3">
      <c r="B417" s="399"/>
      <c r="C417" s="399"/>
      <c r="D417" s="399"/>
      <c r="E417" s="399"/>
    </row>
    <row r="418" spans="2:5" ht="25.05" customHeight="1" x14ac:dyDescent="0.3">
      <c r="B418" s="399"/>
      <c r="C418" s="399"/>
      <c r="D418" s="399"/>
      <c r="E418" s="399"/>
    </row>
    <row r="419" spans="2:5" ht="25.05" customHeight="1" x14ac:dyDescent="0.3">
      <c r="B419" s="399"/>
      <c r="C419" s="399"/>
      <c r="D419" s="399"/>
      <c r="E419" s="399"/>
    </row>
    <row r="420" spans="2:5" ht="25.05" customHeight="1" x14ac:dyDescent="0.3">
      <c r="B420" s="399"/>
      <c r="C420" s="399"/>
      <c r="D420" s="399"/>
      <c r="E420" s="399"/>
    </row>
    <row r="421" spans="2:5" ht="25.05" customHeight="1" x14ac:dyDescent="0.3">
      <c r="B421" s="399"/>
      <c r="C421" s="399"/>
      <c r="D421" s="399"/>
      <c r="E421" s="399"/>
    </row>
    <row r="422" spans="2:5" ht="25.05" customHeight="1" x14ac:dyDescent="0.3">
      <c r="B422" s="399"/>
      <c r="C422" s="399"/>
      <c r="D422" s="399"/>
      <c r="E422" s="399"/>
    </row>
    <row r="423" spans="2:5" ht="25.05" customHeight="1" x14ac:dyDescent="0.3">
      <c r="B423" s="399"/>
      <c r="C423" s="399"/>
      <c r="D423" s="399"/>
      <c r="E423" s="399"/>
    </row>
    <row r="424" spans="2:5" ht="25.05" customHeight="1" x14ac:dyDescent="0.3">
      <c r="B424" s="399"/>
      <c r="C424" s="399"/>
      <c r="D424" s="399"/>
      <c r="E424" s="399"/>
    </row>
    <row r="425" spans="2:5" ht="25.05" customHeight="1" x14ac:dyDescent="0.3">
      <c r="B425" s="399"/>
      <c r="C425" s="399"/>
      <c r="D425" s="399"/>
      <c r="E425" s="399"/>
    </row>
    <row r="426" spans="2:5" ht="25.05" customHeight="1" x14ac:dyDescent="0.3">
      <c r="B426" s="399"/>
      <c r="C426" s="399"/>
      <c r="D426" s="399"/>
      <c r="E426" s="399"/>
    </row>
    <row r="427" spans="2:5" ht="25.05" customHeight="1" x14ac:dyDescent="0.3">
      <c r="B427" s="399"/>
      <c r="C427" s="399"/>
      <c r="D427" s="399"/>
      <c r="E427" s="399"/>
    </row>
    <row r="428" spans="2:5" ht="25.05" customHeight="1" x14ac:dyDescent="0.3">
      <c r="B428" s="399"/>
      <c r="C428" s="399"/>
      <c r="D428" s="399"/>
      <c r="E428" s="399"/>
    </row>
    <row r="429" spans="2:5" ht="25.05" customHeight="1" x14ac:dyDescent="0.3">
      <c r="B429" s="399"/>
      <c r="C429" s="399"/>
      <c r="D429" s="399"/>
      <c r="E429" s="399"/>
    </row>
    <row r="430" spans="2:5" ht="25.05" customHeight="1" x14ac:dyDescent="0.3">
      <c r="B430" s="399"/>
      <c r="C430" s="399"/>
      <c r="D430" s="399"/>
      <c r="E430" s="399"/>
    </row>
    <row r="431" spans="2:5" ht="25.05" customHeight="1" x14ac:dyDescent="0.3">
      <c r="B431" s="399"/>
      <c r="C431" s="399"/>
      <c r="D431" s="399"/>
      <c r="E431" s="399"/>
    </row>
    <row r="432" spans="2:5" ht="25.05" customHeight="1" x14ac:dyDescent="0.3">
      <c r="B432" s="399"/>
      <c r="C432" s="399"/>
      <c r="D432" s="399"/>
      <c r="E432" s="399"/>
    </row>
    <row r="433" spans="2:5" ht="25.05" customHeight="1" x14ac:dyDescent="0.3">
      <c r="B433" s="399"/>
      <c r="C433" s="399"/>
      <c r="D433" s="399"/>
      <c r="E433" s="399"/>
    </row>
    <row r="434" spans="2:5" ht="25.05" customHeight="1" x14ac:dyDescent="0.3">
      <c r="B434" s="399"/>
      <c r="C434" s="399"/>
      <c r="D434" s="399"/>
      <c r="E434" s="399"/>
    </row>
    <row r="435" spans="2:5" ht="25.05" customHeight="1" x14ac:dyDescent="0.3">
      <c r="B435" s="399"/>
      <c r="C435" s="399"/>
      <c r="D435" s="399"/>
      <c r="E435" s="399"/>
    </row>
    <row r="436" spans="2:5" ht="25.05" customHeight="1" x14ac:dyDescent="0.3">
      <c r="B436" s="399"/>
      <c r="C436" s="399"/>
      <c r="D436" s="399"/>
      <c r="E436" s="399"/>
    </row>
    <row r="437" spans="2:5" ht="25.05" customHeight="1" x14ac:dyDescent="0.3">
      <c r="B437" s="399"/>
      <c r="C437" s="399"/>
      <c r="D437" s="399"/>
      <c r="E437" s="399"/>
    </row>
    <row r="438" spans="2:5" ht="25.05" customHeight="1" x14ac:dyDescent="0.3">
      <c r="B438" s="399"/>
      <c r="C438" s="399"/>
      <c r="D438" s="399"/>
      <c r="E438" s="399"/>
    </row>
    <row r="439" spans="2:5" ht="25.05" customHeight="1" x14ac:dyDescent="0.3">
      <c r="B439" s="399"/>
      <c r="C439" s="399"/>
      <c r="D439" s="399"/>
      <c r="E439" s="399"/>
    </row>
    <row r="440" spans="2:5" ht="25.05" customHeight="1" x14ac:dyDescent="0.3">
      <c r="B440" s="399"/>
      <c r="C440" s="399"/>
      <c r="D440" s="399"/>
      <c r="E440" s="399"/>
    </row>
    <row r="441" spans="2:5" ht="25.05" customHeight="1" x14ac:dyDescent="0.3">
      <c r="B441" s="399"/>
      <c r="C441" s="399"/>
      <c r="D441" s="399"/>
      <c r="E441" s="399"/>
    </row>
    <row r="442" spans="2:5" ht="25.05" customHeight="1" x14ac:dyDescent="0.3">
      <c r="B442" s="399"/>
      <c r="C442" s="399"/>
      <c r="D442" s="399"/>
      <c r="E442" s="399"/>
    </row>
    <row r="443" spans="2:5" ht="25.05" customHeight="1" x14ac:dyDescent="0.3">
      <c r="B443" s="399"/>
      <c r="C443" s="399"/>
      <c r="D443" s="399"/>
      <c r="E443" s="399"/>
    </row>
    <row r="444" spans="2:5" ht="25.05" customHeight="1" x14ac:dyDescent="0.3">
      <c r="B444" s="399"/>
      <c r="C444" s="399"/>
      <c r="D444" s="399"/>
      <c r="E444" s="399"/>
    </row>
    <row r="445" spans="2:5" ht="25.05" customHeight="1" x14ac:dyDescent="0.3">
      <c r="B445" s="399"/>
      <c r="C445" s="399"/>
      <c r="D445" s="399"/>
      <c r="E445" s="399"/>
    </row>
    <row r="446" spans="2:5" ht="25.05" customHeight="1" x14ac:dyDescent="0.3">
      <c r="B446" s="399"/>
      <c r="C446" s="399"/>
      <c r="D446" s="399"/>
      <c r="E446" s="399"/>
    </row>
    <row r="447" spans="2:5" ht="25.05" customHeight="1" x14ac:dyDescent="0.3">
      <c r="B447" s="399"/>
      <c r="C447" s="399"/>
      <c r="D447" s="399"/>
      <c r="E447" s="399"/>
    </row>
    <row r="448" spans="2:5" ht="25.05" customHeight="1" x14ac:dyDescent="0.3">
      <c r="B448" s="399"/>
      <c r="C448" s="399"/>
      <c r="D448" s="399"/>
      <c r="E448" s="399"/>
    </row>
    <row r="449" spans="2:5" ht="25.05" customHeight="1" x14ac:dyDescent="0.3">
      <c r="B449" s="399"/>
      <c r="C449" s="399"/>
      <c r="D449" s="399"/>
      <c r="E449" s="399"/>
    </row>
    <row r="450" spans="2:5" ht="25.05" customHeight="1" x14ac:dyDescent="0.3">
      <c r="B450" s="399"/>
      <c r="C450" s="399"/>
      <c r="D450" s="399"/>
      <c r="E450" s="399"/>
    </row>
    <row r="451" spans="2:5" ht="25.05" customHeight="1" x14ac:dyDescent="0.3">
      <c r="B451" s="399"/>
      <c r="C451" s="399"/>
      <c r="D451" s="399"/>
      <c r="E451" s="399"/>
    </row>
    <row r="452" spans="2:5" ht="25.05" customHeight="1" x14ac:dyDescent="0.3">
      <c r="B452" s="399"/>
      <c r="C452" s="399"/>
      <c r="D452" s="399"/>
      <c r="E452" s="399"/>
    </row>
    <row r="453" spans="2:5" ht="25.05" customHeight="1" x14ac:dyDescent="0.3">
      <c r="B453" s="399"/>
      <c r="C453" s="399"/>
      <c r="D453" s="399"/>
      <c r="E453" s="399"/>
    </row>
    <row r="454" spans="2:5" ht="25.05" customHeight="1" x14ac:dyDescent="0.3">
      <c r="B454" s="399"/>
      <c r="C454" s="399"/>
      <c r="D454" s="399"/>
      <c r="E454" s="399"/>
    </row>
    <row r="455" spans="2:5" ht="25.05" customHeight="1" x14ac:dyDescent="0.3">
      <c r="B455" s="399"/>
      <c r="C455" s="399"/>
      <c r="D455" s="399"/>
      <c r="E455" s="399"/>
    </row>
    <row r="456" spans="2:5" ht="25.05" customHeight="1" x14ac:dyDescent="0.3">
      <c r="B456" s="399"/>
      <c r="C456" s="399"/>
      <c r="D456" s="399"/>
      <c r="E456" s="399"/>
    </row>
    <row r="457" spans="2:5" ht="25.05" customHeight="1" x14ac:dyDescent="0.3">
      <c r="B457" s="399"/>
      <c r="C457" s="399"/>
      <c r="D457" s="399"/>
      <c r="E457" s="399"/>
    </row>
    <row r="458" spans="2:5" ht="25.05" customHeight="1" x14ac:dyDescent="0.3">
      <c r="B458" s="399"/>
      <c r="C458" s="399"/>
      <c r="D458" s="399"/>
      <c r="E458" s="399"/>
    </row>
    <row r="459" spans="2:5" ht="25.05" customHeight="1" x14ac:dyDescent="0.3">
      <c r="B459" s="399"/>
      <c r="C459" s="399"/>
      <c r="D459" s="399"/>
      <c r="E459" s="399"/>
    </row>
    <row r="460" spans="2:5" ht="25.05" customHeight="1" x14ac:dyDescent="0.3">
      <c r="B460" s="399"/>
      <c r="C460" s="399"/>
      <c r="D460" s="399"/>
      <c r="E460" s="399"/>
    </row>
    <row r="461" spans="2:5" ht="25.05" customHeight="1" x14ac:dyDescent="0.3">
      <c r="B461" s="399"/>
      <c r="C461" s="399"/>
      <c r="D461" s="399"/>
      <c r="E461" s="399"/>
    </row>
    <row r="462" spans="2:5" ht="25.05" customHeight="1" x14ac:dyDescent="0.3">
      <c r="B462" s="399"/>
      <c r="C462" s="399"/>
      <c r="D462" s="399"/>
      <c r="E462" s="399"/>
    </row>
    <row r="463" spans="2:5" ht="25.05" customHeight="1" x14ac:dyDescent="0.3">
      <c r="B463" s="399"/>
      <c r="C463" s="399"/>
      <c r="D463" s="399"/>
      <c r="E463" s="399"/>
    </row>
    <row r="464" spans="2:5" ht="25.05" customHeight="1" x14ac:dyDescent="0.3">
      <c r="B464" s="399"/>
      <c r="C464" s="399"/>
      <c r="D464" s="399"/>
      <c r="E464" s="399"/>
    </row>
    <row r="465" spans="2:5" ht="25.05" customHeight="1" x14ac:dyDescent="0.3">
      <c r="B465" s="399"/>
      <c r="C465" s="399"/>
      <c r="D465" s="399"/>
      <c r="E465" s="399"/>
    </row>
    <row r="466" spans="2:5" ht="25.05" customHeight="1" x14ac:dyDescent="0.3">
      <c r="B466" s="399"/>
      <c r="C466" s="399"/>
      <c r="D466" s="399"/>
      <c r="E466" s="399"/>
    </row>
    <row r="467" spans="2:5" ht="25.05" customHeight="1" x14ac:dyDescent="0.3">
      <c r="B467" s="399"/>
      <c r="C467" s="399"/>
      <c r="D467" s="399"/>
      <c r="E467" s="399"/>
    </row>
    <row r="468" spans="2:5" ht="25.05" customHeight="1" x14ac:dyDescent="0.3">
      <c r="B468" s="399"/>
      <c r="C468" s="399"/>
      <c r="D468" s="399"/>
      <c r="E468" s="399"/>
    </row>
    <row r="469" spans="2:5" ht="25.05" customHeight="1" x14ac:dyDescent="0.3">
      <c r="B469" s="399"/>
      <c r="C469" s="399"/>
      <c r="D469" s="399"/>
      <c r="E469" s="399"/>
    </row>
    <row r="470" spans="2:5" ht="25.05" customHeight="1" x14ac:dyDescent="0.3">
      <c r="B470" s="399"/>
      <c r="C470" s="399"/>
      <c r="D470" s="399"/>
      <c r="E470" s="399"/>
    </row>
    <row r="471" spans="2:5" ht="25.05" customHeight="1" x14ac:dyDescent="0.3">
      <c r="B471" s="399"/>
      <c r="C471" s="399"/>
      <c r="D471" s="399"/>
      <c r="E471" s="399"/>
    </row>
    <row r="472" spans="2:5" ht="25.05" customHeight="1" x14ac:dyDescent="0.3">
      <c r="B472" s="399"/>
      <c r="C472" s="399"/>
      <c r="D472" s="399"/>
      <c r="E472" s="399"/>
    </row>
    <row r="473" spans="2:5" ht="25.05" customHeight="1" x14ac:dyDescent="0.3">
      <c r="B473" s="399"/>
      <c r="C473" s="399"/>
      <c r="D473" s="399"/>
      <c r="E473" s="399"/>
    </row>
    <row r="474" spans="2:5" ht="25.05" customHeight="1" x14ac:dyDescent="0.3">
      <c r="B474" s="399"/>
      <c r="C474" s="399"/>
      <c r="D474" s="399"/>
      <c r="E474" s="399"/>
    </row>
    <row r="475" spans="2:5" ht="25.05" customHeight="1" x14ac:dyDescent="0.3">
      <c r="B475" s="399"/>
      <c r="C475" s="399"/>
      <c r="D475" s="399"/>
      <c r="E475" s="399"/>
    </row>
    <row r="476" spans="2:5" ht="25.05" customHeight="1" x14ac:dyDescent="0.3">
      <c r="B476" s="399"/>
      <c r="C476" s="399"/>
      <c r="D476" s="399"/>
      <c r="E476" s="399"/>
    </row>
    <row r="477" spans="2:5" ht="25.05" customHeight="1" x14ac:dyDescent="0.3">
      <c r="B477" s="399"/>
      <c r="C477" s="399"/>
      <c r="D477" s="399"/>
      <c r="E477" s="399"/>
    </row>
    <row r="478" spans="2:5" ht="25.05" customHeight="1" x14ac:dyDescent="0.3">
      <c r="B478" s="399"/>
      <c r="C478" s="399"/>
      <c r="D478" s="399"/>
      <c r="E478" s="399"/>
    </row>
    <row r="479" spans="2:5" ht="25.05" customHeight="1" x14ac:dyDescent="0.3">
      <c r="B479" s="399"/>
      <c r="C479" s="399"/>
      <c r="D479" s="399"/>
      <c r="E479" s="399"/>
    </row>
    <row r="480" spans="2:5" ht="25.05" customHeight="1" x14ac:dyDescent="0.3">
      <c r="B480" s="399"/>
      <c r="C480" s="399"/>
      <c r="D480" s="399"/>
      <c r="E480" s="399"/>
    </row>
    <row r="481" spans="2:5" ht="25.05" customHeight="1" x14ac:dyDescent="0.3">
      <c r="B481" s="399"/>
      <c r="C481" s="399"/>
      <c r="D481" s="399"/>
      <c r="E481" s="399"/>
    </row>
    <row r="482" spans="2:5" ht="25.05" customHeight="1" x14ac:dyDescent="0.3">
      <c r="B482" s="399"/>
      <c r="C482" s="399"/>
      <c r="D482" s="399"/>
      <c r="E482" s="399"/>
    </row>
    <row r="483" spans="2:5" ht="25.05" customHeight="1" x14ac:dyDescent="0.3">
      <c r="B483" s="399"/>
      <c r="C483" s="399"/>
      <c r="D483" s="399"/>
      <c r="E483" s="399"/>
    </row>
    <row r="484" spans="2:5" ht="25.05" customHeight="1" x14ac:dyDescent="0.3">
      <c r="B484" s="399"/>
      <c r="C484" s="399"/>
      <c r="D484" s="399"/>
      <c r="E484" s="683"/>
    </row>
    <row r="485" spans="2:5" ht="25.05" customHeight="1" x14ac:dyDescent="0.3">
      <c r="B485" s="397"/>
      <c r="C485" s="397"/>
      <c r="D485" s="397"/>
      <c r="E485" s="402"/>
    </row>
    <row r="486" spans="2:5" ht="25.05" customHeight="1" x14ac:dyDescent="0.3">
      <c r="B486" s="397"/>
      <c r="C486" s="397"/>
      <c r="D486" s="397"/>
      <c r="E486" s="397"/>
    </row>
    <row r="487" spans="2:5" ht="25.05" customHeight="1" x14ac:dyDescent="0.3">
      <c r="B487" s="399"/>
      <c r="C487" s="399"/>
      <c r="D487" s="399"/>
      <c r="E487" s="683"/>
    </row>
    <row r="488" spans="2:5" ht="25.05" customHeight="1" x14ac:dyDescent="0.3">
      <c r="B488" s="397"/>
      <c r="C488" s="397"/>
      <c r="D488" s="397"/>
      <c r="E488" s="402"/>
    </row>
    <row r="489" spans="2:5" ht="25.05" customHeight="1" x14ac:dyDescent="0.3">
      <c r="B489" s="397"/>
      <c r="C489" s="397"/>
      <c r="D489" s="397"/>
      <c r="E489" s="397"/>
    </row>
    <row r="490" spans="2:5" ht="25.05" customHeight="1" x14ac:dyDescent="0.3">
      <c r="B490" s="399"/>
      <c r="C490" s="399"/>
      <c r="D490" s="399"/>
      <c r="E490" s="683"/>
    </row>
    <row r="491" spans="2:5" ht="25.05" customHeight="1" x14ac:dyDescent="0.3">
      <c r="B491" s="397"/>
      <c r="C491" s="397"/>
      <c r="D491" s="397"/>
      <c r="E491" s="402"/>
    </row>
    <row r="492" spans="2:5" ht="25.05" customHeight="1" x14ac:dyDescent="0.3">
      <c r="B492" s="397"/>
      <c r="C492" s="397"/>
      <c r="D492" s="397"/>
      <c r="E492" s="397"/>
    </row>
    <row r="493" spans="2:5" ht="25.05" customHeight="1" x14ac:dyDescent="0.3">
      <c r="B493" s="399"/>
      <c r="C493" s="399"/>
      <c r="D493" s="399"/>
      <c r="E493" s="683"/>
    </row>
    <row r="494" spans="2:5" ht="25.05" customHeight="1" x14ac:dyDescent="0.3">
      <c r="B494" s="397"/>
      <c r="C494" s="397"/>
      <c r="D494" s="397"/>
      <c r="E494" s="402"/>
    </row>
    <row r="495" spans="2:5" ht="25.05" customHeight="1" x14ac:dyDescent="0.3">
      <c r="B495" s="397"/>
      <c r="C495" s="397"/>
      <c r="D495" s="397"/>
      <c r="E495" s="397"/>
    </row>
    <row r="496" spans="2:5" ht="25.05" customHeight="1" x14ac:dyDescent="0.3">
      <c r="B496" s="399"/>
      <c r="C496" s="399"/>
      <c r="D496" s="399"/>
      <c r="E496" s="683"/>
    </row>
    <row r="497" spans="2:5" ht="25.05" customHeight="1" x14ac:dyDescent="0.3">
      <c r="B497" s="397"/>
      <c r="C497" s="397"/>
      <c r="D497" s="397"/>
      <c r="E497" s="402"/>
    </row>
    <row r="498" spans="2:5" ht="25.05" customHeight="1" x14ac:dyDescent="0.3">
      <c r="B498" s="397"/>
      <c r="C498" s="397"/>
      <c r="D498" s="397"/>
      <c r="E498" s="397"/>
    </row>
    <row r="499" spans="2:5" ht="25.05" customHeight="1" x14ac:dyDescent="0.3">
      <c r="B499" s="399"/>
      <c r="C499" s="399"/>
      <c r="D499" s="399"/>
      <c r="E499" s="683"/>
    </row>
    <row r="500" spans="2:5" ht="25.05" customHeight="1" x14ac:dyDescent="0.3">
      <c r="B500" s="397"/>
      <c r="C500" s="397"/>
      <c r="D500" s="397"/>
      <c r="E500" s="402"/>
    </row>
    <row r="501" spans="2:5" ht="25.05" customHeight="1" x14ac:dyDescent="0.3">
      <c r="B501" s="397"/>
      <c r="C501" s="397"/>
      <c r="D501" s="397"/>
      <c r="E501" s="397"/>
    </row>
    <row r="502" spans="2:5" ht="25.05" customHeight="1" x14ac:dyDescent="0.3">
      <c r="B502" s="399"/>
      <c r="C502" s="399"/>
      <c r="D502" s="399"/>
      <c r="E502" s="683"/>
    </row>
    <row r="503" spans="2:5" ht="25.05" customHeight="1" x14ac:dyDescent="0.3">
      <c r="B503" s="397"/>
      <c r="C503" s="397"/>
      <c r="D503" s="397"/>
      <c r="E503" s="402"/>
    </row>
    <row r="504" spans="2:5" ht="25.05" customHeight="1" x14ac:dyDescent="0.3">
      <c r="B504" s="397"/>
      <c r="C504" s="397"/>
      <c r="D504" s="397"/>
      <c r="E504" s="397"/>
    </row>
    <row r="505" spans="2:5" ht="25.05" customHeight="1" x14ac:dyDescent="0.3">
      <c r="B505" s="399"/>
      <c r="C505" s="399"/>
      <c r="D505" s="399"/>
      <c r="E505" s="683"/>
    </row>
    <row r="506" spans="2:5" ht="25.05" customHeight="1" x14ac:dyDescent="0.3">
      <c r="B506" s="397"/>
      <c r="C506" s="397"/>
      <c r="D506" s="397"/>
      <c r="E506" s="402"/>
    </row>
    <row r="507" spans="2:5" ht="25.05" customHeight="1" x14ac:dyDescent="0.3">
      <c r="B507" s="397"/>
      <c r="C507" s="397"/>
      <c r="D507" s="397"/>
      <c r="E507" s="397"/>
    </row>
    <row r="508" spans="2:5" ht="25.05" customHeight="1" x14ac:dyDescent="0.3">
      <c r="B508" s="399"/>
      <c r="C508" s="399"/>
      <c r="D508" s="399"/>
      <c r="E508" s="683"/>
    </row>
    <row r="509" spans="2:5" ht="25.05" customHeight="1" x14ac:dyDescent="0.3">
      <c r="B509" s="397"/>
      <c r="C509" s="397"/>
      <c r="D509" s="397"/>
      <c r="E509" s="402"/>
    </row>
    <row r="510" spans="2:5" ht="25.05" customHeight="1" x14ac:dyDescent="0.3">
      <c r="B510" s="397"/>
      <c r="C510" s="397"/>
      <c r="D510" s="397"/>
      <c r="E510" s="397"/>
    </row>
    <row r="511" spans="2:5" x14ac:dyDescent="0.3">
      <c r="B511" s="399"/>
      <c r="C511" s="399"/>
      <c r="D511" s="399"/>
      <c r="E511" s="683"/>
    </row>
    <row r="512" spans="2:5" x14ac:dyDescent="0.3">
      <c r="B512" s="397"/>
      <c r="C512" s="397"/>
      <c r="D512" s="397"/>
      <c r="E512" s="402"/>
    </row>
    <row r="513" spans="2:5" x14ac:dyDescent="0.3">
      <c r="B513" s="397"/>
      <c r="C513" s="397"/>
      <c r="D513" s="397"/>
      <c r="E513" s="397"/>
    </row>
    <row r="514" spans="2:5" x14ac:dyDescent="0.3">
      <c r="B514" s="399"/>
      <c r="C514" s="399"/>
      <c r="D514" s="399"/>
      <c r="E514" s="683"/>
    </row>
    <row r="515" spans="2:5" x14ac:dyDescent="0.3">
      <c r="B515" s="397"/>
      <c r="C515" s="397"/>
      <c r="D515" s="397"/>
      <c r="E515" s="402"/>
    </row>
    <row r="516" spans="2:5" x14ac:dyDescent="0.3">
      <c r="B516" s="397"/>
      <c r="C516" s="397"/>
      <c r="D516" s="397"/>
      <c r="E516" s="397"/>
    </row>
    <row r="517" spans="2:5" x14ac:dyDescent="0.3">
      <c r="B517" s="399"/>
      <c r="C517" s="399"/>
      <c r="D517" s="399"/>
      <c r="E517" s="683"/>
    </row>
    <row r="518" spans="2:5" x14ac:dyDescent="0.3">
      <c r="B518" s="397"/>
      <c r="C518" s="397"/>
      <c r="D518" s="397"/>
      <c r="E518" s="402"/>
    </row>
    <row r="519" spans="2:5" x14ac:dyDescent="0.3">
      <c r="B519" s="397"/>
      <c r="C519" s="397"/>
      <c r="D519" s="397"/>
      <c r="E519" s="397"/>
    </row>
    <row r="520" spans="2:5" x14ac:dyDescent="0.3">
      <c r="B520" s="399"/>
      <c r="C520" s="399"/>
      <c r="D520" s="399"/>
      <c r="E520" s="683"/>
    </row>
    <row r="521" spans="2:5" x14ac:dyDescent="0.3">
      <c r="B521" s="397"/>
      <c r="C521" s="397"/>
      <c r="D521" s="397"/>
      <c r="E521" s="402"/>
    </row>
    <row r="522" spans="2:5" x14ac:dyDescent="0.3">
      <c r="B522" s="397"/>
      <c r="C522" s="397"/>
      <c r="D522" s="397"/>
      <c r="E522" s="397"/>
    </row>
    <row r="523" spans="2:5" x14ac:dyDescent="0.3">
      <c r="B523" s="399"/>
      <c r="C523" s="399"/>
      <c r="D523" s="399"/>
      <c r="E523" s="683"/>
    </row>
    <row r="524" spans="2:5" x14ac:dyDescent="0.3">
      <c r="B524" s="397"/>
      <c r="C524" s="397"/>
      <c r="D524" s="397"/>
      <c r="E524" s="402"/>
    </row>
    <row r="525" spans="2:5" x14ac:dyDescent="0.3">
      <c r="B525" s="397"/>
      <c r="C525" s="397"/>
      <c r="D525" s="397"/>
      <c r="E525" s="397"/>
    </row>
    <row r="526" spans="2:5" x14ac:dyDescent="0.3">
      <c r="B526" s="399"/>
      <c r="C526" s="399"/>
      <c r="D526" s="399"/>
      <c r="E526" s="683"/>
    </row>
    <row r="527" spans="2:5" x14ac:dyDescent="0.3">
      <c r="B527" s="397"/>
      <c r="C527" s="397"/>
      <c r="D527" s="397"/>
      <c r="E527" s="402"/>
    </row>
    <row r="528" spans="2:5" x14ac:dyDescent="0.3">
      <c r="B528" s="397"/>
      <c r="C528" s="397"/>
      <c r="D528" s="397"/>
      <c r="E528" s="397"/>
    </row>
    <row r="529" spans="2:5" x14ac:dyDescent="0.3">
      <c r="B529" s="399"/>
      <c r="C529" s="399"/>
      <c r="D529" s="399"/>
      <c r="E529" s="683"/>
    </row>
    <row r="530" spans="2:5" x14ac:dyDescent="0.3">
      <c r="B530" s="397"/>
      <c r="C530" s="397"/>
      <c r="D530" s="397"/>
      <c r="E530" s="402"/>
    </row>
    <row r="531" spans="2:5" x14ac:dyDescent="0.3">
      <c r="B531" s="397"/>
      <c r="C531" s="397"/>
      <c r="D531" s="397"/>
      <c r="E531" s="397"/>
    </row>
    <row r="532" spans="2:5" x14ac:dyDescent="0.3">
      <c r="B532" s="399"/>
      <c r="C532" s="399"/>
      <c r="D532" s="399"/>
      <c r="E532" s="683"/>
    </row>
    <row r="533" spans="2:5" x14ac:dyDescent="0.3">
      <c r="B533" s="397"/>
      <c r="C533" s="397"/>
      <c r="D533" s="397"/>
      <c r="E533" s="402"/>
    </row>
    <row r="534" spans="2:5" x14ac:dyDescent="0.3">
      <c r="B534" s="397"/>
      <c r="C534" s="397"/>
      <c r="D534" s="397"/>
      <c r="E534" s="397"/>
    </row>
    <row r="535" spans="2:5" x14ac:dyDescent="0.3">
      <c r="B535" s="399"/>
      <c r="C535" s="399"/>
      <c r="D535" s="399"/>
      <c r="E535" s="683"/>
    </row>
    <row r="536" spans="2:5" x14ac:dyDescent="0.3">
      <c r="B536" s="397"/>
      <c r="C536" s="397"/>
      <c r="D536" s="397"/>
      <c r="E536" s="402"/>
    </row>
    <row r="537" spans="2:5" x14ac:dyDescent="0.3">
      <c r="B537" s="397"/>
      <c r="C537" s="397"/>
      <c r="D537" s="397"/>
      <c r="E537" s="397"/>
    </row>
    <row r="538" spans="2:5" x14ac:dyDescent="0.3">
      <c r="B538" s="399"/>
      <c r="C538" s="399"/>
      <c r="D538" s="399"/>
      <c r="E538" s="683"/>
    </row>
    <row r="539" spans="2:5" x14ac:dyDescent="0.3">
      <c r="B539" s="397"/>
      <c r="C539" s="397"/>
      <c r="D539" s="397"/>
      <c r="E539" s="402"/>
    </row>
    <row r="540" spans="2:5" x14ac:dyDescent="0.3">
      <c r="B540" s="397"/>
      <c r="C540" s="397"/>
      <c r="D540" s="397"/>
      <c r="E540" s="397"/>
    </row>
    <row r="541" spans="2:5" x14ac:dyDescent="0.3">
      <c r="B541" s="399"/>
      <c r="C541" s="399"/>
      <c r="D541" s="399"/>
      <c r="E541" s="683"/>
    </row>
    <row r="542" spans="2:5" x14ac:dyDescent="0.3">
      <c r="B542" s="397"/>
      <c r="C542" s="397"/>
      <c r="D542" s="397"/>
      <c r="E542" s="402"/>
    </row>
    <row r="543" spans="2:5" x14ac:dyDescent="0.3">
      <c r="B543" s="397"/>
      <c r="C543" s="397"/>
      <c r="D543" s="397"/>
      <c r="E543" s="397"/>
    </row>
    <row r="544" spans="2:5" x14ac:dyDescent="0.3">
      <c r="B544" s="399"/>
      <c r="C544" s="399"/>
      <c r="D544" s="399"/>
      <c r="E544" s="683"/>
    </row>
    <row r="545" spans="2:5" x14ac:dyDescent="0.3">
      <c r="B545" s="397"/>
      <c r="C545" s="397"/>
      <c r="D545" s="397"/>
      <c r="E545" s="402"/>
    </row>
    <row r="546" spans="2:5" x14ac:dyDescent="0.3">
      <c r="B546" s="397"/>
      <c r="C546" s="397"/>
      <c r="D546" s="397"/>
      <c r="E546" s="397"/>
    </row>
    <row r="547" spans="2:5" x14ac:dyDescent="0.3">
      <c r="B547" s="399"/>
      <c r="C547" s="399"/>
      <c r="D547" s="399"/>
      <c r="E547" s="683"/>
    </row>
    <row r="548" spans="2:5" x14ac:dyDescent="0.3">
      <c r="B548" s="397"/>
      <c r="C548" s="397"/>
      <c r="D548" s="397"/>
      <c r="E548" s="402"/>
    </row>
    <row r="549" spans="2:5" x14ac:dyDescent="0.3">
      <c r="B549" s="397"/>
      <c r="C549" s="397"/>
      <c r="D549" s="397"/>
      <c r="E549" s="397"/>
    </row>
    <row r="550" spans="2:5" x14ac:dyDescent="0.3">
      <c r="B550" s="399"/>
      <c r="C550" s="399"/>
      <c r="D550" s="399"/>
      <c r="E550" s="683"/>
    </row>
    <row r="551" spans="2:5" x14ac:dyDescent="0.3">
      <c r="B551" s="397"/>
      <c r="C551" s="397"/>
      <c r="D551" s="397"/>
      <c r="E551" s="402"/>
    </row>
    <row r="552" spans="2:5" x14ac:dyDescent="0.3">
      <c r="B552" s="397"/>
      <c r="C552" s="397"/>
      <c r="D552" s="397"/>
      <c r="E552" s="397"/>
    </row>
    <row r="553" spans="2:5" x14ac:dyDescent="0.3">
      <c r="B553" s="399"/>
      <c r="C553" s="399"/>
      <c r="D553" s="399"/>
      <c r="E553" s="683"/>
    </row>
    <row r="554" spans="2:5" x14ac:dyDescent="0.3">
      <c r="B554" s="397"/>
      <c r="C554" s="397"/>
      <c r="D554" s="397"/>
      <c r="E554" s="402"/>
    </row>
    <row r="555" spans="2:5" x14ac:dyDescent="0.3">
      <c r="B555" s="397"/>
      <c r="C555" s="397"/>
      <c r="D555" s="397"/>
      <c r="E555" s="397"/>
    </row>
    <row r="556" spans="2:5" x14ac:dyDescent="0.3">
      <c r="B556" s="399"/>
      <c r="C556" s="399"/>
      <c r="D556" s="399"/>
      <c r="E556" s="683"/>
    </row>
    <row r="557" spans="2:5" x14ac:dyDescent="0.3">
      <c r="B557" s="397"/>
      <c r="C557" s="397"/>
      <c r="D557" s="397"/>
      <c r="E557" s="402"/>
    </row>
    <row r="558" spans="2:5" x14ac:dyDescent="0.3">
      <c r="B558" s="397"/>
      <c r="C558" s="397"/>
      <c r="D558" s="397"/>
      <c r="E558" s="397"/>
    </row>
    <row r="559" spans="2:5" x14ac:dyDescent="0.3">
      <c r="B559" s="399"/>
      <c r="C559" s="399"/>
      <c r="D559" s="399"/>
      <c r="E559" s="683"/>
    </row>
    <row r="560" spans="2:5" x14ac:dyDescent="0.3">
      <c r="B560" s="397"/>
      <c r="C560" s="397"/>
      <c r="D560" s="397"/>
      <c r="E560" s="402"/>
    </row>
    <row r="561" spans="2:5" x14ac:dyDescent="0.3">
      <c r="B561" s="397"/>
      <c r="C561" s="397"/>
      <c r="D561" s="397"/>
      <c r="E561" s="397"/>
    </row>
    <row r="562" spans="2:5" x14ac:dyDescent="0.3">
      <c r="B562" s="399"/>
      <c r="C562" s="399"/>
      <c r="D562" s="399"/>
      <c r="E562" s="683"/>
    </row>
    <row r="563" spans="2:5" x14ac:dyDescent="0.3">
      <c r="B563" s="397"/>
      <c r="C563" s="397"/>
      <c r="D563" s="397"/>
      <c r="E563" s="402"/>
    </row>
    <row r="564" spans="2:5" x14ac:dyDescent="0.3">
      <c r="B564" s="397"/>
      <c r="C564" s="397"/>
      <c r="D564" s="397"/>
      <c r="E564" s="397"/>
    </row>
    <row r="565" spans="2:5" x14ac:dyDescent="0.3">
      <c r="B565" s="399"/>
      <c r="C565" s="399"/>
      <c r="D565" s="399"/>
      <c r="E565" s="683"/>
    </row>
    <row r="566" spans="2:5" x14ac:dyDescent="0.3">
      <c r="B566" s="397"/>
      <c r="C566" s="397"/>
      <c r="D566" s="397"/>
      <c r="E566" s="402"/>
    </row>
    <row r="567" spans="2:5" x14ac:dyDescent="0.3">
      <c r="B567" s="397"/>
      <c r="C567" s="397"/>
      <c r="D567" s="397"/>
      <c r="E567" s="397"/>
    </row>
    <row r="568" spans="2:5" x14ac:dyDescent="0.3">
      <c r="B568" s="399"/>
      <c r="C568" s="399"/>
      <c r="D568" s="399"/>
      <c r="E568" s="683"/>
    </row>
    <row r="569" spans="2:5" x14ac:dyDescent="0.3">
      <c r="B569" s="397"/>
      <c r="C569" s="397"/>
      <c r="D569" s="397"/>
      <c r="E569" s="402"/>
    </row>
    <row r="570" spans="2:5" x14ac:dyDescent="0.3">
      <c r="B570" s="397"/>
      <c r="C570" s="397"/>
      <c r="D570" s="397"/>
      <c r="E570" s="397"/>
    </row>
    <row r="571" spans="2:5" x14ac:dyDescent="0.3">
      <c r="B571" s="399"/>
      <c r="C571" s="399"/>
      <c r="D571" s="399"/>
      <c r="E571" s="683"/>
    </row>
    <row r="572" spans="2:5" x14ac:dyDescent="0.3">
      <c r="B572" s="397"/>
      <c r="C572" s="397"/>
      <c r="D572" s="397"/>
      <c r="E572" s="402"/>
    </row>
    <row r="573" spans="2:5" x14ac:dyDescent="0.3">
      <c r="B573" s="397"/>
      <c r="C573" s="397"/>
      <c r="D573" s="397"/>
      <c r="E573" s="397"/>
    </row>
    <row r="574" spans="2:5" x14ac:dyDescent="0.3">
      <c r="B574" s="399"/>
      <c r="C574" s="399"/>
      <c r="D574" s="399"/>
      <c r="E574" s="683"/>
    </row>
    <row r="575" spans="2:5" x14ac:dyDescent="0.3">
      <c r="B575" s="397"/>
      <c r="C575" s="397"/>
      <c r="D575" s="397"/>
      <c r="E575" s="402"/>
    </row>
    <row r="576" spans="2:5" x14ac:dyDescent="0.3">
      <c r="B576" s="397"/>
      <c r="C576" s="397"/>
      <c r="D576" s="397"/>
      <c r="E576" s="397"/>
    </row>
    <row r="577" spans="2:5" x14ac:dyDescent="0.3">
      <c r="B577" s="399"/>
      <c r="C577" s="399"/>
      <c r="D577" s="399"/>
      <c r="E577" s="683"/>
    </row>
    <row r="578" spans="2:5" x14ac:dyDescent="0.3">
      <c r="B578" s="397"/>
      <c r="C578" s="397"/>
      <c r="D578" s="397"/>
      <c r="E578" s="402"/>
    </row>
    <row r="579" spans="2:5" x14ac:dyDescent="0.3">
      <c r="B579" s="397"/>
      <c r="C579" s="397"/>
      <c r="D579" s="397"/>
      <c r="E579" s="397"/>
    </row>
    <row r="580" spans="2:5" x14ac:dyDescent="0.3">
      <c r="B580" s="399"/>
      <c r="C580" s="399"/>
      <c r="D580" s="399"/>
      <c r="E580" s="683"/>
    </row>
    <row r="581" spans="2:5" x14ac:dyDescent="0.3">
      <c r="B581" s="397"/>
      <c r="C581" s="397"/>
      <c r="D581" s="397"/>
      <c r="E581" s="402"/>
    </row>
    <row r="582" spans="2:5" x14ac:dyDescent="0.3">
      <c r="B582" s="397"/>
      <c r="C582" s="397"/>
      <c r="D582" s="397"/>
      <c r="E582" s="397"/>
    </row>
    <row r="583" spans="2:5" x14ac:dyDescent="0.3">
      <c r="B583" s="399"/>
      <c r="C583" s="399"/>
      <c r="D583" s="399"/>
      <c r="E583" s="683"/>
    </row>
    <row r="584" spans="2:5" x14ac:dyDescent="0.3">
      <c r="B584" s="397"/>
      <c r="C584" s="397"/>
      <c r="D584" s="397"/>
      <c r="E584" s="402"/>
    </row>
    <row r="585" spans="2:5" x14ac:dyDescent="0.3">
      <c r="B585" s="397"/>
      <c r="C585" s="397"/>
      <c r="D585" s="397"/>
      <c r="E585" s="397"/>
    </row>
    <row r="586" spans="2:5" x14ac:dyDescent="0.3">
      <c r="B586" s="399"/>
      <c r="C586" s="399"/>
      <c r="D586" s="399"/>
      <c r="E586" s="683"/>
    </row>
    <row r="587" spans="2:5" x14ac:dyDescent="0.3">
      <c r="B587" s="397"/>
      <c r="C587" s="397"/>
      <c r="D587" s="397"/>
      <c r="E587" s="402"/>
    </row>
    <row r="588" spans="2:5" x14ac:dyDescent="0.3">
      <c r="B588" s="397"/>
      <c r="C588" s="397"/>
      <c r="D588" s="397"/>
      <c r="E588" s="397"/>
    </row>
    <row r="589" spans="2:5" x14ac:dyDescent="0.3">
      <c r="B589" s="399"/>
      <c r="C589" s="399"/>
      <c r="D589" s="399"/>
      <c r="E589" s="683"/>
    </row>
    <row r="590" spans="2:5" x14ac:dyDescent="0.3">
      <c r="B590" s="397"/>
      <c r="C590" s="397"/>
      <c r="D590" s="397"/>
      <c r="E590" s="402"/>
    </row>
    <row r="591" spans="2:5" x14ac:dyDescent="0.3">
      <c r="B591" s="397"/>
      <c r="C591" s="397"/>
      <c r="D591" s="397"/>
      <c r="E591" s="397"/>
    </row>
    <row r="592" spans="2:5" x14ac:dyDescent="0.3">
      <c r="B592" s="399"/>
      <c r="C592" s="399"/>
      <c r="D592" s="399"/>
      <c r="E592" s="683"/>
    </row>
    <row r="593" spans="2:5" x14ac:dyDescent="0.3">
      <c r="B593" s="397"/>
      <c r="C593" s="397"/>
      <c r="D593" s="397"/>
      <c r="E593" s="402"/>
    </row>
    <row r="594" spans="2:5" x14ac:dyDescent="0.3">
      <c r="B594" s="397"/>
      <c r="C594" s="397"/>
      <c r="D594" s="397"/>
      <c r="E594" s="397"/>
    </row>
    <row r="595" spans="2:5" x14ac:dyDescent="0.3">
      <c r="B595" s="399"/>
      <c r="C595" s="399"/>
      <c r="D595" s="399"/>
      <c r="E595" s="683"/>
    </row>
    <row r="596" spans="2:5" x14ac:dyDescent="0.3">
      <c r="B596" s="397"/>
      <c r="C596" s="397"/>
      <c r="D596" s="397"/>
      <c r="E596" s="402"/>
    </row>
    <row r="597" spans="2:5" x14ac:dyDescent="0.3">
      <c r="B597" s="397"/>
      <c r="C597" s="397"/>
      <c r="D597" s="397"/>
      <c r="E597" s="397"/>
    </row>
    <row r="598" spans="2:5" x14ac:dyDescent="0.3">
      <c r="B598" s="399"/>
      <c r="C598" s="399"/>
      <c r="D598" s="399"/>
      <c r="E598" s="683"/>
    </row>
    <row r="599" spans="2:5" x14ac:dyDescent="0.3">
      <c r="B599" s="397"/>
      <c r="C599" s="397"/>
      <c r="D599" s="397"/>
      <c r="E599" s="402"/>
    </row>
    <row r="600" spans="2:5" x14ac:dyDescent="0.3">
      <c r="B600" s="397"/>
      <c r="C600" s="397"/>
      <c r="D600" s="397"/>
      <c r="E600" s="397"/>
    </row>
    <row r="601" spans="2:5" x14ac:dyDescent="0.3">
      <c r="B601" s="399"/>
      <c r="C601" s="399"/>
      <c r="D601" s="399"/>
      <c r="E601" s="683"/>
    </row>
    <row r="602" spans="2:5" x14ac:dyDescent="0.3">
      <c r="B602" s="397"/>
      <c r="C602" s="397"/>
      <c r="D602" s="397"/>
      <c r="E602" s="402"/>
    </row>
    <row r="603" spans="2:5" x14ac:dyDescent="0.3">
      <c r="B603" s="397"/>
      <c r="C603" s="397"/>
      <c r="D603" s="397"/>
      <c r="E603" s="397"/>
    </row>
    <row r="604" spans="2:5" x14ac:dyDescent="0.3">
      <c r="B604" s="399"/>
      <c r="C604" s="399"/>
      <c r="D604" s="399"/>
      <c r="E604" s="683"/>
    </row>
    <row r="605" spans="2:5" x14ac:dyDescent="0.3">
      <c r="B605" s="397"/>
      <c r="C605" s="397"/>
      <c r="D605" s="397"/>
      <c r="E605" s="402"/>
    </row>
    <row r="606" spans="2:5" x14ac:dyDescent="0.3">
      <c r="B606" s="397"/>
      <c r="C606" s="397"/>
      <c r="D606" s="397"/>
      <c r="E606" s="397"/>
    </row>
    <row r="607" spans="2:5" x14ac:dyDescent="0.3">
      <c r="B607" s="399"/>
      <c r="C607" s="399"/>
      <c r="D607" s="399"/>
      <c r="E607" s="683"/>
    </row>
    <row r="608" spans="2:5" x14ac:dyDescent="0.3">
      <c r="B608" s="397"/>
      <c r="C608" s="397"/>
      <c r="D608" s="397"/>
      <c r="E608" s="402"/>
    </row>
    <row r="609" spans="2:5" x14ac:dyDescent="0.3">
      <c r="B609" s="397"/>
      <c r="C609" s="397"/>
      <c r="D609" s="397"/>
      <c r="E609" s="397"/>
    </row>
    <row r="610" spans="2:5" x14ac:dyDescent="0.3">
      <c r="B610" s="399"/>
      <c r="C610" s="399"/>
      <c r="D610" s="399"/>
      <c r="E610" s="683"/>
    </row>
    <row r="611" spans="2:5" x14ac:dyDescent="0.3">
      <c r="B611" s="397"/>
      <c r="C611" s="397"/>
      <c r="D611" s="397"/>
      <c r="E611" s="402"/>
    </row>
    <row r="612" spans="2:5" x14ac:dyDescent="0.3">
      <c r="B612" s="397"/>
      <c r="C612" s="397"/>
      <c r="D612" s="397"/>
      <c r="E612" s="397"/>
    </row>
    <row r="613" spans="2:5" x14ac:dyDescent="0.3">
      <c r="B613" s="399"/>
      <c r="C613" s="399"/>
      <c r="D613" s="399"/>
      <c r="E613" s="683"/>
    </row>
    <row r="614" spans="2:5" x14ac:dyDescent="0.3">
      <c r="B614" s="397"/>
      <c r="C614" s="397"/>
      <c r="D614" s="397"/>
      <c r="E614" s="402"/>
    </row>
    <row r="615" spans="2:5" x14ac:dyDescent="0.3">
      <c r="B615" s="397"/>
      <c r="C615" s="397"/>
      <c r="D615" s="397"/>
      <c r="E615" s="397"/>
    </row>
    <row r="616" spans="2:5" x14ac:dyDescent="0.3">
      <c r="B616" s="399"/>
      <c r="C616" s="399"/>
      <c r="D616" s="399"/>
      <c r="E616" s="683"/>
    </row>
    <row r="617" spans="2:5" x14ac:dyDescent="0.3">
      <c r="B617" s="397"/>
      <c r="C617" s="397"/>
      <c r="D617" s="397"/>
      <c r="E617" s="402"/>
    </row>
    <row r="618" spans="2:5" x14ac:dyDescent="0.3">
      <c r="B618" s="397"/>
      <c r="C618" s="397"/>
      <c r="D618" s="397"/>
      <c r="E618" s="397"/>
    </row>
    <row r="619" spans="2:5" x14ac:dyDescent="0.3">
      <c r="B619" s="399"/>
      <c r="C619" s="399"/>
      <c r="D619" s="399"/>
      <c r="E619" s="683"/>
    </row>
    <row r="620" spans="2:5" x14ac:dyDescent="0.3">
      <c r="B620" s="397"/>
      <c r="C620" s="397"/>
      <c r="D620" s="397"/>
      <c r="E620" s="402"/>
    </row>
    <row r="621" spans="2:5" x14ac:dyDescent="0.3">
      <c r="B621" s="397"/>
      <c r="C621" s="397"/>
      <c r="D621" s="397"/>
      <c r="E621" s="397"/>
    </row>
    <row r="622" spans="2:5" x14ac:dyDescent="0.3">
      <c r="B622" s="399"/>
      <c r="C622" s="399"/>
      <c r="D622" s="399"/>
      <c r="E622" s="683"/>
    </row>
    <row r="623" spans="2:5" x14ac:dyDescent="0.3">
      <c r="B623" s="397"/>
      <c r="C623" s="397"/>
      <c r="D623" s="397"/>
      <c r="E623" s="402"/>
    </row>
    <row r="624" spans="2:5" x14ac:dyDescent="0.3">
      <c r="B624" s="397"/>
      <c r="C624" s="397"/>
      <c r="D624" s="397"/>
      <c r="E624" s="397"/>
    </row>
    <row r="625" spans="2:5" x14ac:dyDescent="0.3">
      <c r="B625" s="399"/>
      <c r="C625" s="399"/>
      <c r="D625" s="399"/>
      <c r="E625" s="683"/>
    </row>
    <row r="626" spans="2:5" x14ac:dyDescent="0.3">
      <c r="B626" s="397"/>
      <c r="C626" s="397"/>
      <c r="D626" s="397"/>
      <c r="E626" s="402"/>
    </row>
    <row r="627" spans="2:5" x14ac:dyDescent="0.3">
      <c r="B627" s="397"/>
      <c r="C627" s="397"/>
      <c r="D627" s="397"/>
      <c r="E627" s="397"/>
    </row>
    <row r="628" spans="2:5" x14ac:dyDescent="0.3">
      <c r="B628" s="399"/>
      <c r="C628" s="399"/>
      <c r="D628" s="399"/>
      <c r="E628" s="683"/>
    </row>
    <row r="629" spans="2:5" x14ac:dyDescent="0.3">
      <c r="B629" s="397"/>
      <c r="C629" s="397"/>
      <c r="D629" s="397"/>
      <c r="E629" s="402"/>
    </row>
    <row r="630" spans="2:5" x14ac:dyDescent="0.3">
      <c r="B630" s="397"/>
      <c r="C630" s="397"/>
      <c r="D630" s="397"/>
      <c r="E630" s="397"/>
    </row>
    <row r="631" spans="2:5" x14ac:dyDescent="0.3">
      <c r="B631" s="399"/>
      <c r="C631" s="399"/>
      <c r="D631" s="399"/>
      <c r="E631" s="683"/>
    </row>
    <row r="632" spans="2:5" x14ac:dyDescent="0.3">
      <c r="B632" s="397"/>
      <c r="C632" s="397"/>
      <c r="D632" s="397"/>
      <c r="E632" s="402"/>
    </row>
    <row r="633" spans="2:5" x14ac:dyDescent="0.3">
      <c r="B633" s="397"/>
      <c r="C633" s="397"/>
      <c r="D633" s="397"/>
      <c r="E633" s="397"/>
    </row>
    <row r="634" spans="2:5" x14ac:dyDescent="0.3">
      <c r="B634" s="399"/>
      <c r="C634" s="399"/>
      <c r="D634" s="399"/>
      <c r="E634" s="683"/>
    </row>
    <row r="635" spans="2:5" x14ac:dyDescent="0.3">
      <c r="B635" s="397"/>
      <c r="C635" s="397"/>
      <c r="D635" s="397"/>
      <c r="E635" s="402"/>
    </row>
    <row r="636" spans="2:5" x14ac:dyDescent="0.3">
      <c r="B636" s="397"/>
      <c r="C636" s="397"/>
      <c r="D636" s="397"/>
      <c r="E636" s="397"/>
    </row>
    <row r="637" spans="2:5" x14ac:dyDescent="0.3">
      <c r="B637" s="399"/>
      <c r="C637" s="399"/>
      <c r="D637" s="399"/>
      <c r="E637" s="683"/>
    </row>
    <row r="638" spans="2:5" x14ac:dyDescent="0.3">
      <c r="B638" s="397"/>
      <c r="C638" s="397"/>
      <c r="D638" s="397"/>
      <c r="E638" s="402"/>
    </row>
    <row r="639" spans="2:5" x14ac:dyDescent="0.3">
      <c r="B639" s="397"/>
      <c r="C639" s="397"/>
      <c r="D639" s="397"/>
      <c r="E639" s="397"/>
    </row>
    <row r="640" spans="2:5" x14ac:dyDescent="0.3">
      <c r="B640" s="399"/>
      <c r="C640" s="399"/>
      <c r="D640" s="399"/>
      <c r="E640" s="683"/>
    </row>
    <row r="641" spans="2:5" x14ac:dyDescent="0.3">
      <c r="B641" s="397"/>
      <c r="C641" s="397"/>
      <c r="D641" s="397"/>
      <c r="E641" s="402"/>
    </row>
    <row r="642" spans="2:5" x14ac:dyDescent="0.3">
      <c r="B642" s="397"/>
      <c r="C642" s="397"/>
      <c r="D642" s="397"/>
      <c r="E642" s="397"/>
    </row>
    <row r="643" spans="2:5" x14ac:dyDescent="0.3">
      <c r="B643" s="399"/>
      <c r="C643" s="399"/>
      <c r="D643" s="399"/>
      <c r="E643" s="683"/>
    </row>
    <row r="644" spans="2:5" x14ac:dyDescent="0.3">
      <c r="B644" s="397"/>
      <c r="C644" s="397"/>
      <c r="D644" s="397"/>
      <c r="E644" s="402"/>
    </row>
    <row r="645" spans="2:5" x14ac:dyDescent="0.3">
      <c r="B645" s="397"/>
      <c r="C645" s="397"/>
      <c r="D645" s="397"/>
      <c r="E645" s="397"/>
    </row>
    <row r="646" spans="2:5" x14ac:dyDescent="0.3">
      <c r="B646" s="399"/>
      <c r="C646" s="399"/>
      <c r="D646" s="399"/>
      <c r="E646" s="683"/>
    </row>
    <row r="647" spans="2:5" x14ac:dyDescent="0.3">
      <c r="B647" s="397"/>
      <c r="C647" s="397"/>
      <c r="D647" s="397"/>
      <c r="E647" s="402"/>
    </row>
    <row r="648" spans="2:5" x14ac:dyDescent="0.3">
      <c r="B648" s="397"/>
      <c r="C648" s="397"/>
      <c r="D648" s="397"/>
      <c r="E648" s="397"/>
    </row>
    <row r="649" spans="2:5" x14ac:dyDescent="0.3">
      <c r="B649" s="399"/>
      <c r="C649" s="399"/>
      <c r="D649" s="399"/>
      <c r="E649" s="683"/>
    </row>
    <row r="650" spans="2:5" x14ac:dyDescent="0.3">
      <c r="B650" s="397"/>
      <c r="C650" s="397"/>
      <c r="D650" s="397"/>
      <c r="E650" s="402"/>
    </row>
    <row r="651" spans="2:5" x14ac:dyDescent="0.3">
      <c r="B651" s="397"/>
      <c r="C651" s="397"/>
      <c r="D651" s="397"/>
      <c r="E651" s="397"/>
    </row>
    <row r="652" spans="2:5" x14ac:dyDescent="0.3">
      <c r="B652" s="399"/>
      <c r="C652" s="399"/>
      <c r="D652" s="399"/>
      <c r="E652" s="683"/>
    </row>
    <row r="653" spans="2:5" x14ac:dyDescent="0.3">
      <c r="B653" s="397"/>
      <c r="C653" s="397"/>
      <c r="D653" s="397"/>
      <c r="E653" s="402"/>
    </row>
    <row r="654" spans="2:5" x14ac:dyDescent="0.3">
      <c r="B654" s="397"/>
      <c r="C654" s="397"/>
      <c r="D654" s="397"/>
      <c r="E654" s="397"/>
    </row>
    <row r="655" spans="2:5" x14ac:dyDescent="0.3">
      <c r="B655" s="399"/>
      <c r="C655" s="399"/>
      <c r="D655" s="399"/>
      <c r="E655" s="683"/>
    </row>
    <row r="656" spans="2:5" x14ac:dyDescent="0.3">
      <c r="B656" s="397"/>
      <c r="C656" s="397"/>
      <c r="D656" s="397"/>
      <c r="E656" s="402"/>
    </row>
    <row r="657" spans="2:5" x14ac:dyDescent="0.3">
      <c r="B657" s="397"/>
      <c r="C657" s="397"/>
      <c r="D657" s="397"/>
      <c r="E657" s="397"/>
    </row>
    <row r="658" spans="2:5" x14ac:dyDescent="0.3">
      <c r="B658" s="399"/>
      <c r="C658" s="399"/>
      <c r="D658" s="399"/>
      <c r="E658" s="683"/>
    </row>
    <row r="659" spans="2:5" x14ac:dyDescent="0.3">
      <c r="B659" s="397"/>
      <c r="C659" s="397"/>
      <c r="D659" s="397"/>
      <c r="E659" s="402"/>
    </row>
    <row r="660" spans="2:5" x14ac:dyDescent="0.3">
      <c r="B660" s="397"/>
      <c r="C660" s="397"/>
      <c r="D660" s="397"/>
      <c r="E660" s="397"/>
    </row>
    <row r="661" spans="2:5" x14ac:dyDescent="0.3">
      <c r="B661" s="399"/>
      <c r="C661" s="399"/>
      <c r="D661" s="399"/>
      <c r="E661" s="683"/>
    </row>
    <row r="662" spans="2:5" x14ac:dyDescent="0.3">
      <c r="B662" s="397"/>
      <c r="C662" s="397"/>
      <c r="D662" s="397"/>
      <c r="E662" s="402"/>
    </row>
    <row r="663" spans="2:5" x14ac:dyDescent="0.3">
      <c r="B663" s="397"/>
      <c r="C663" s="397"/>
      <c r="D663" s="397"/>
      <c r="E663" s="397"/>
    </row>
    <row r="664" spans="2:5" x14ac:dyDescent="0.3">
      <c r="B664" s="399"/>
      <c r="C664" s="399"/>
      <c r="D664" s="399"/>
      <c r="E664" s="683"/>
    </row>
    <row r="665" spans="2:5" x14ac:dyDescent="0.3">
      <c r="B665" s="397"/>
      <c r="C665" s="397"/>
      <c r="D665" s="397"/>
      <c r="E665" s="402"/>
    </row>
    <row r="666" spans="2:5" x14ac:dyDescent="0.3">
      <c r="B666" s="397"/>
      <c r="C666" s="397"/>
      <c r="D666" s="397"/>
      <c r="E666" s="397"/>
    </row>
    <row r="667" spans="2:5" x14ac:dyDescent="0.3">
      <c r="B667" s="399"/>
      <c r="C667" s="399"/>
      <c r="D667" s="399"/>
      <c r="E667" s="683"/>
    </row>
    <row r="668" spans="2:5" x14ac:dyDescent="0.3">
      <c r="B668" s="397"/>
      <c r="C668" s="397"/>
      <c r="D668" s="397"/>
      <c r="E668" s="402"/>
    </row>
    <row r="669" spans="2:5" x14ac:dyDescent="0.3">
      <c r="B669" s="397"/>
      <c r="C669" s="397"/>
      <c r="D669" s="397"/>
      <c r="E669" s="397"/>
    </row>
    <row r="670" spans="2:5" x14ac:dyDescent="0.3">
      <c r="B670" s="399"/>
      <c r="C670" s="399"/>
      <c r="D670" s="399"/>
      <c r="E670" s="683"/>
    </row>
    <row r="671" spans="2:5" x14ac:dyDescent="0.3">
      <c r="B671" s="397"/>
      <c r="C671" s="397"/>
      <c r="D671" s="397"/>
      <c r="E671" s="402"/>
    </row>
    <row r="672" spans="2:5" x14ac:dyDescent="0.3">
      <c r="B672" s="397"/>
      <c r="C672" s="397"/>
      <c r="D672" s="397"/>
      <c r="E672" s="397"/>
    </row>
    <row r="673" spans="2:5" x14ac:dyDescent="0.3">
      <c r="B673" s="399"/>
      <c r="C673" s="399"/>
      <c r="D673" s="399"/>
      <c r="E673" s="683"/>
    </row>
    <row r="674" spans="2:5" x14ac:dyDescent="0.3">
      <c r="B674" s="397"/>
      <c r="C674" s="397"/>
      <c r="D674" s="397"/>
      <c r="E674" s="402"/>
    </row>
    <row r="675" spans="2:5" x14ac:dyDescent="0.3">
      <c r="B675" s="397"/>
      <c r="C675" s="397"/>
      <c r="D675" s="397"/>
      <c r="E675" s="397"/>
    </row>
    <row r="676" spans="2:5" x14ac:dyDescent="0.3">
      <c r="B676" s="399"/>
      <c r="C676" s="399"/>
      <c r="D676" s="399"/>
      <c r="E676" s="683"/>
    </row>
    <row r="677" spans="2:5" x14ac:dyDescent="0.3">
      <c r="B677" s="397"/>
      <c r="C677" s="397"/>
      <c r="D677" s="397"/>
      <c r="E677" s="402"/>
    </row>
    <row r="678" spans="2:5" x14ac:dyDescent="0.3">
      <c r="B678" s="397"/>
      <c r="C678" s="397"/>
      <c r="D678" s="397"/>
      <c r="E678" s="397"/>
    </row>
    <row r="679" spans="2:5" x14ac:dyDescent="0.3">
      <c r="B679" s="399"/>
      <c r="C679" s="399"/>
      <c r="D679" s="399"/>
      <c r="E679" s="683"/>
    </row>
    <row r="680" spans="2:5" x14ac:dyDescent="0.3">
      <c r="B680" s="397"/>
      <c r="C680" s="397"/>
      <c r="D680" s="397"/>
      <c r="E680" s="402"/>
    </row>
    <row r="681" spans="2:5" x14ac:dyDescent="0.3">
      <c r="B681" s="397"/>
      <c r="C681" s="397"/>
      <c r="D681" s="397"/>
      <c r="E681" s="397"/>
    </row>
    <row r="682" spans="2:5" x14ac:dyDescent="0.3">
      <c r="B682" s="399"/>
      <c r="C682" s="399"/>
      <c r="D682" s="399"/>
      <c r="E682" s="683"/>
    </row>
    <row r="683" spans="2:5" x14ac:dyDescent="0.3">
      <c r="B683" s="397"/>
      <c r="C683" s="397"/>
      <c r="D683" s="397"/>
      <c r="E683" s="402"/>
    </row>
    <row r="684" spans="2:5" x14ac:dyDescent="0.3">
      <c r="B684" s="397"/>
      <c r="C684" s="397"/>
      <c r="D684" s="397"/>
      <c r="E684" s="397"/>
    </row>
    <row r="685" spans="2:5" x14ac:dyDescent="0.3">
      <c r="B685" s="399"/>
      <c r="C685" s="399"/>
      <c r="D685" s="399"/>
      <c r="E685" s="683"/>
    </row>
    <row r="686" spans="2:5" x14ac:dyDescent="0.3">
      <c r="B686" s="397"/>
      <c r="C686" s="397"/>
      <c r="D686" s="397"/>
      <c r="E686" s="402"/>
    </row>
    <row r="687" spans="2:5" x14ac:dyDescent="0.3">
      <c r="B687" s="397"/>
      <c r="C687" s="397"/>
      <c r="D687" s="397"/>
      <c r="E687" s="397"/>
    </row>
    <row r="688" spans="2:5" x14ac:dyDescent="0.3">
      <c r="B688" s="399"/>
      <c r="C688" s="399"/>
      <c r="D688" s="399"/>
      <c r="E688" s="683"/>
    </row>
    <row r="689" spans="2:5" x14ac:dyDescent="0.3">
      <c r="B689" s="397"/>
      <c r="C689" s="397"/>
      <c r="D689" s="397"/>
      <c r="E689" s="402"/>
    </row>
    <row r="690" spans="2:5" x14ac:dyDescent="0.3">
      <c r="B690" s="397"/>
      <c r="C690" s="397"/>
      <c r="D690" s="397"/>
      <c r="E690" s="397"/>
    </row>
    <row r="691" spans="2:5" x14ac:dyDescent="0.3">
      <c r="B691" s="399"/>
      <c r="C691" s="399"/>
      <c r="D691" s="399"/>
      <c r="E691" s="683"/>
    </row>
    <row r="692" spans="2:5" x14ac:dyDescent="0.3">
      <c r="B692" s="397"/>
      <c r="C692" s="397"/>
      <c r="D692" s="397"/>
      <c r="E692" s="402"/>
    </row>
    <row r="693" spans="2:5" x14ac:dyDescent="0.3">
      <c r="B693" s="397"/>
      <c r="C693" s="397"/>
      <c r="D693" s="397"/>
      <c r="E693" s="397"/>
    </row>
    <row r="694" spans="2:5" x14ac:dyDescent="0.3">
      <c r="B694" s="399"/>
      <c r="C694" s="399"/>
      <c r="D694" s="399"/>
      <c r="E694" s="683"/>
    </row>
    <row r="695" spans="2:5" x14ac:dyDescent="0.3">
      <c r="B695" s="397"/>
      <c r="C695" s="397"/>
      <c r="D695" s="397"/>
      <c r="E695" s="402"/>
    </row>
    <row r="696" spans="2:5" x14ac:dyDescent="0.3">
      <c r="B696" s="397"/>
      <c r="C696" s="397"/>
      <c r="D696" s="397"/>
      <c r="E696" s="397"/>
    </row>
    <row r="697" spans="2:5" x14ac:dyDescent="0.3">
      <c r="B697" s="399"/>
      <c r="C697" s="399"/>
      <c r="D697" s="399"/>
      <c r="E697" s="683"/>
    </row>
    <row r="698" spans="2:5" x14ac:dyDescent="0.3">
      <c r="B698" s="397"/>
      <c r="C698" s="397"/>
      <c r="D698" s="397"/>
      <c r="E698" s="402"/>
    </row>
    <row r="699" spans="2:5" x14ac:dyDescent="0.3">
      <c r="B699" s="397"/>
      <c r="C699" s="397"/>
      <c r="D699" s="397"/>
      <c r="E699" s="397"/>
    </row>
    <row r="700" spans="2:5" x14ac:dyDescent="0.3">
      <c r="B700" s="399"/>
      <c r="C700" s="399"/>
      <c r="D700" s="399"/>
      <c r="E700" s="683"/>
    </row>
    <row r="701" spans="2:5" x14ac:dyDescent="0.3">
      <c r="B701" s="397"/>
      <c r="C701" s="397"/>
      <c r="D701" s="397"/>
      <c r="E701" s="402"/>
    </row>
    <row r="702" spans="2:5" x14ac:dyDescent="0.3">
      <c r="B702" s="397"/>
      <c r="C702" s="397"/>
      <c r="D702" s="397"/>
      <c r="E702" s="397"/>
    </row>
    <row r="703" spans="2:5" x14ac:dyDescent="0.3">
      <c r="B703" s="399"/>
      <c r="C703" s="399"/>
      <c r="D703" s="399"/>
      <c r="E703" s="683"/>
    </row>
    <row r="704" spans="2:5" x14ac:dyDescent="0.3">
      <c r="B704" s="397"/>
      <c r="C704" s="397"/>
      <c r="D704" s="397"/>
      <c r="E704" s="402"/>
    </row>
    <row r="705" spans="2:5" x14ac:dyDescent="0.3">
      <c r="B705" s="397"/>
      <c r="C705" s="397"/>
      <c r="D705" s="397"/>
      <c r="E705" s="397"/>
    </row>
    <row r="706" spans="2:5" x14ac:dyDescent="0.3">
      <c r="B706" s="399"/>
      <c r="C706" s="399"/>
      <c r="D706" s="399"/>
      <c r="E706" s="683"/>
    </row>
    <row r="707" spans="2:5" x14ac:dyDescent="0.3">
      <c r="B707" s="397"/>
      <c r="C707" s="397"/>
      <c r="D707" s="397"/>
      <c r="E707" s="402"/>
    </row>
    <row r="708" spans="2:5" x14ac:dyDescent="0.3">
      <c r="B708" s="397"/>
      <c r="C708" s="397"/>
      <c r="D708" s="397"/>
      <c r="E708" s="397"/>
    </row>
    <row r="709" spans="2:5" x14ac:dyDescent="0.3">
      <c r="B709" s="399"/>
      <c r="C709" s="399"/>
      <c r="D709" s="399"/>
      <c r="E709" s="683"/>
    </row>
    <row r="710" spans="2:5" x14ac:dyDescent="0.3">
      <c r="B710" s="397"/>
      <c r="C710" s="397"/>
      <c r="D710" s="397"/>
      <c r="E710" s="402"/>
    </row>
    <row r="711" spans="2:5" x14ac:dyDescent="0.3">
      <c r="B711" s="397"/>
      <c r="C711" s="397"/>
      <c r="D711" s="397"/>
      <c r="E711" s="397"/>
    </row>
    <row r="712" spans="2:5" x14ac:dyDescent="0.3">
      <c r="B712" s="399"/>
      <c r="C712" s="399"/>
      <c r="D712" s="399"/>
      <c r="E712" s="683"/>
    </row>
    <row r="713" spans="2:5" x14ac:dyDescent="0.3">
      <c r="B713" s="397"/>
      <c r="C713" s="397"/>
      <c r="D713" s="397"/>
      <c r="E713" s="402"/>
    </row>
    <row r="714" spans="2:5" x14ac:dyDescent="0.3">
      <c r="B714" s="397"/>
      <c r="C714" s="397"/>
      <c r="D714" s="397"/>
      <c r="E714" s="397"/>
    </row>
    <row r="715" spans="2:5" x14ac:dyDescent="0.3">
      <c r="B715" s="399"/>
      <c r="C715" s="399"/>
      <c r="D715" s="399"/>
      <c r="E715" s="683"/>
    </row>
    <row r="716" spans="2:5" x14ac:dyDescent="0.3">
      <c r="B716" s="397"/>
      <c r="C716" s="397"/>
      <c r="D716" s="397"/>
      <c r="E716" s="402"/>
    </row>
    <row r="717" spans="2:5" x14ac:dyDescent="0.3">
      <c r="B717" s="397"/>
      <c r="C717" s="397"/>
      <c r="D717" s="397"/>
      <c r="E717" s="397"/>
    </row>
    <row r="718" spans="2:5" x14ac:dyDescent="0.3">
      <c r="B718" s="399"/>
      <c r="C718" s="399"/>
      <c r="D718" s="399"/>
      <c r="E718" s="683"/>
    </row>
    <row r="719" spans="2:5" x14ac:dyDescent="0.3">
      <c r="B719" s="397"/>
      <c r="C719" s="397"/>
      <c r="D719" s="397"/>
      <c r="E719" s="402"/>
    </row>
    <row r="720" spans="2:5" x14ac:dyDescent="0.3">
      <c r="B720" s="397"/>
      <c r="C720" s="397"/>
      <c r="D720" s="397"/>
      <c r="E720" s="397"/>
    </row>
    <row r="721" spans="2:5" x14ac:dyDescent="0.3">
      <c r="B721" s="399"/>
      <c r="C721" s="399"/>
      <c r="D721" s="399"/>
      <c r="E721" s="683"/>
    </row>
    <row r="722" spans="2:5" x14ac:dyDescent="0.3">
      <c r="B722" s="397"/>
      <c r="C722" s="397"/>
      <c r="D722" s="397"/>
      <c r="E722" s="402"/>
    </row>
    <row r="723" spans="2:5" x14ac:dyDescent="0.3">
      <c r="B723" s="397"/>
      <c r="C723" s="397"/>
      <c r="D723" s="397"/>
      <c r="E723" s="397"/>
    </row>
    <row r="724" spans="2:5" x14ac:dyDescent="0.3">
      <c r="B724" s="399"/>
      <c r="C724" s="399"/>
      <c r="D724" s="399"/>
      <c r="E724" s="683"/>
    </row>
    <row r="725" spans="2:5" x14ac:dyDescent="0.3">
      <c r="B725" s="397"/>
      <c r="C725" s="397"/>
      <c r="D725" s="397"/>
      <c r="E725" s="402"/>
    </row>
    <row r="726" spans="2:5" x14ac:dyDescent="0.3">
      <c r="B726" s="397"/>
      <c r="C726" s="397"/>
      <c r="D726" s="397"/>
      <c r="E726" s="397"/>
    </row>
    <row r="727" spans="2:5" x14ac:dyDescent="0.3">
      <c r="B727" s="399"/>
      <c r="C727" s="399"/>
      <c r="D727" s="399"/>
      <c r="E727" s="683"/>
    </row>
    <row r="728" spans="2:5" x14ac:dyDescent="0.3">
      <c r="B728" s="397"/>
      <c r="C728" s="397"/>
      <c r="D728" s="397"/>
      <c r="E728" s="402"/>
    </row>
    <row r="729" spans="2:5" x14ac:dyDescent="0.3">
      <c r="B729" s="397"/>
      <c r="C729" s="397"/>
      <c r="D729" s="397"/>
      <c r="E729" s="397"/>
    </row>
    <row r="730" spans="2:5" x14ac:dyDescent="0.3">
      <c r="B730" s="399"/>
      <c r="C730" s="399"/>
      <c r="D730" s="399"/>
      <c r="E730" s="683"/>
    </row>
    <row r="731" spans="2:5" x14ac:dyDescent="0.3">
      <c r="B731" s="397"/>
      <c r="C731" s="397"/>
      <c r="D731" s="397"/>
      <c r="E731" s="402"/>
    </row>
    <row r="732" spans="2:5" x14ac:dyDescent="0.3">
      <c r="B732" s="397"/>
      <c r="C732" s="397"/>
      <c r="D732" s="397"/>
      <c r="E732" s="397"/>
    </row>
    <row r="733" spans="2:5" x14ac:dyDescent="0.3">
      <c r="B733" s="399"/>
      <c r="C733" s="399"/>
      <c r="D733" s="399"/>
      <c r="E733" s="683"/>
    </row>
    <row r="734" spans="2:5" x14ac:dyDescent="0.3">
      <c r="B734" s="397"/>
      <c r="C734" s="397"/>
      <c r="D734" s="397"/>
      <c r="E734" s="402"/>
    </row>
    <row r="735" spans="2:5" x14ac:dyDescent="0.3">
      <c r="B735" s="397"/>
      <c r="C735" s="397"/>
      <c r="D735" s="397"/>
      <c r="E735" s="397"/>
    </row>
    <row r="736" spans="2:5" x14ac:dyDescent="0.3">
      <c r="B736" s="399"/>
      <c r="C736" s="399"/>
      <c r="D736" s="399"/>
      <c r="E736" s="683"/>
    </row>
    <row r="737" spans="2:5" x14ac:dyDescent="0.3">
      <c r="B737" s="397"/>
      <c r="C737" s="397"/>
      <c r="D737" s="397"/>
      <c r="E737" s="402"/>
    </row>
    <row r="738" spans="2:5" x14ac:dyDescent="0.3">
      <c r="B738" s="397"/>
      <c r="C738" s="397"/>
      <c r="D738" s="397"/>
      <c r="E738" s="397"/>
    </row>
    <row r="739" spans="2:5" x14ac:dyDescent="0.3">
      <c r="B739" s="399"/>
      <c r="C739" s="399"/>
      <c r="D739" s="399"/>
      <c r="E739" s="683"/>
    </row>
    <row r="740" spans="2:5" x14ac:dyDescent="0.3">
      <c r="B740" s="397"/>
      <c r="C740" s="397"/>
      <c r="D740" s="397"/>
      <c r="E740" s="402"/>
    </row>
    <row r="741" spans="2:5" x14ac:dyDescent="0.3">
      <c r="B741" s="397"/>
      <c r="C741" s="397"/>
      <c r="D741" s="397"/>
      <c r="E741" s="397"/>
    </row>
    <row r="742" spans="2:5" x14ac:dyDescent="0.3">
      <c r="B742" s="399"/>
      <c r="C742" s="399"/>
      <c r="D742" s="399"/>
      <c r="E742" s="683"/>
    </row>
    <row r="743" spans="2:5" x14ac:dyDescent="0.3">
      <c r="B743" s="397"/>
      <c r="C743" s="397"/>
      <c r="D743" s="397"/>
      <c r="E743" s="402"/>
    </row>
    <row r="744" spans="2:5" x14ac:dyDescent="0.3">
      <c r="B744" s="397"/>
      <c r="C744" s="397"/>
      <c r="D744" s="397"/>
      <c r="E744" s="397"/>
    </row>
    <row r="745" spans="2:5" x14ac:dyDescent="0.3">
      <c r="B745" s="399"/>
      <c r="C745" s="399"/>
      <c r="D745" s="399"/>
      <c r="E745" s="683"/>
    </row>
    <row r="746" spans="2:5" x14ac:dyDescent="0.3">
      <c r="B746" s="397"/>
      <c r="C746" s="397"/>
      <c r="D746" s="397"/>
      <c r="E746" s="402"/>
    </row>
    <row r="747" spans="2:5" x14ac:dyDescent="0.3">
      <c r="B747" s="397"/>
      <c r="C747" s="397"/>
      <c r="D747" s="397"/>
      <c r="E747" s="397"/>
    </row>
    <row r="748" spans="2:5" x14ac:dyDescent="0.3">
      <c r="B748" s="399"/>
      <c r="C748" s="399"/>
      <c r="D748" s="399"/>
      <c r="E748" s="683"/>
    </row>
    <row r="749" spans="2:5" x14ac:dyDescent="0.3">
      <c r="B749" s="397"/>
      <c r="C749" s="397"/>
      <c r="D749" s="397"/>
      <c r="E749" s="402"/>
    </row>
    <row r="750" spans="2:5" x14ac:dyDescent="0.3">
      <c r="B750" s="397"/>
      <c r="C750" s="397"/>
      <c r="D750" s="397"/>
      <c r="E750" s="397"/>
    </row>
    <row r="751" spans="2:5" x14ac:dyDescent="0.3">
      <c r="B751" s="399"/>
      <c r="C751" s="399"/>
      <c r="D751" s="399"/>
      <c r="E751" s="683"/>
    </row>
    <row r="752" spans="2:5" x14ac:dyDescent="0.3">
      <c r="B752" s="397"/>
      <c r="C752" s="397"/>
      <c r="D752" s="397"/>
      <c r="E752" s="402"/>
    </row>
    <row r="753" spans="2:5" x14ac:dyDescent="0.3">
      <c r="B753" s="397"/>
      <c r="C753" s="397"/>
      <c r="D753" s="397"/>
      <c r="E753" s="397"/>
    </row>
    <row r="754" spans="2:5" x14ac:dyDescent="0.3">
      <c r="B754" s="399"/>
      <c r="C754" s="399"/>
      <c r="D754" s="399"/>
      <c r="E754" s="683"/>
    </row>
    <row r="755" spans="2:5" x14ac:dyDescent="0.3">
      <c r="B755" s="397"/>
      <c r="C755" s="397"/>
      <c r="D755" s="397"/>
      <c r="E755" s="402"/>
    </row>
    <row r="756" spans="2:5" x14ac:dyDescent="0.3">
      <c r="B756" s="397"/>
      <c r="C756" s="397"/>
      <c r="D756" s="397"/>
      <c r="E756" s="397"/>
    </row>
    <row r="757" spans="2:5" x14ac:dyDescent="0.3">
      <c r="B757" s="399"/>
      <c r="C757" s="399"/>
      <c r="D757" s="399"/>
      <c r="E757" s="683"/>
    </row>
    <row r="758" spans="2:5" x14ac:dyDescent="0.3">
      <c r="B758" s="397"/>
      <c r="C758" s="397"/>
      <c r="D758" s="397"/>
      <c r="E758" s="402"/>
    </row>
    <row r="759" spans="2:5" x14ac:dyDescent="0.3">
      <c r="B759" s="397"/>
      <c r="C759" s="397"/>
      <c r="D759" s="397"/>
      <c r="E759" s="397"/>
    </row>
    <row r="760" spans="2:5" x14ac:dyDescent="0.3">
      <c r="B760" s="399"/>
      <c r="C760" s="399"/>
      <c r="D760" s="399"/>
      <c r="E760" s="683"/>
    </row>
    <row r="761" spans="2:5" x14ac:dyDescent="0.3">
      <c r="B761" s="397"/>
      <c r="C761" s="397"/>
      <c r="D761" s="397"/>
      <c r="E761" s="402"/>
    </row>
    <row r="762" spans="2:5" x14ac:dyDescent="0.3">
      <c r="B762" s="397"/>
      <c r="C762" s="397"/>
      <c r="D762" s="397"/>
      <c r="E762" s="397"/>
    </row>
    <row r="763" spans="2:5" x14ac:dyDescent="0.3">
      <c r="B763" s="399"/>
      <c r="C763" s="399"/>
      <c r="D763" s="399"/>
      <c r="E763" s="683"/>
    </row>
    <row r="764" spans="2:5" x14ac:dyDescent="0.3">
      <c r="B764" s="397"/>
      <c r="C764" s="397"/>
      <c r="D764" s="397"/>
      <c r="E764" s="402"/>
    </row>
    <row r="765" spans="2:5" x14ac:dyDescent="0.3">
      <c r="B765" s="397"/>
      <c r="C765" s="397"/>
      <c r="D765" s="397"/>
      <c r="E765" s="397"/>
    </row>
    <row r="766" spans="2:5" x14ac:dyDescent="0.3">
      <c r="B766" s="399"/>
      <c r="C766" s="399"/>
      <c r="D766" s="399"/>
      <c r="E766" s="683"/>
    </row>
    <row r="767" spans="2:5" x14ac:dyDescent="0.3">
      <c r="B767" s="397"/>
      <c r="C767" s="397"/>
      <c r="D767" s="397"/>
      <c r="E767" s="402"/>
    </row>
    <row r="768" spans="2:5" x14ac:dyDescent="0.3">
      <c r="B768" s="397"/>
      <c r="C768" s="397"/>
      <c r="D768" s="397"/>
      <c r="E768" s="397"/>
    </row>
    <row r="769" spans="2:5" x14ac:dyDescent="0.3">
      <c r="B769" s="399"/>
      <c r="C769" s="399"/>
      <c r="D769" s="399"/>
      <c r="E769" s="683"/>
    </row>
    <row r="770" spans="2:5" x14ac:dyDescent="0.3">
      <c r="B770" s="397"/>
      <c r="C770" s="397"/>
      <c r="D770" s="397"/>
      <c r="E770" s="402"/>
    </row>
    <row r="771" spans="2:5" x14ac:dyDescent="0.3">
      <c r="B771" s="397"/>
      <c r="C771" s="397"/>
      <c r="D771" s="397"/>
      <c r="E771" s="397"/>
    </row>
    <row r="772" spans="2:5" x14ac:dyDescent="0.3">
      <c r="B772" s="399"/>
      <c r="C772" s="399"/>
      <c r="D772" s="399"/>
      <c r="E772" s="683"/>
    </row>
    <row r="773" spans="2:5" x14ac:dyDescent="0.3">
      <c r="B773" s="397"/>
      <c r="C773" s="397"/>
      <c r="D773" s="397"/>
      <c r="E773" s="402"/>
    </row>
    <row r="774" spans="2:5" x14ac:dyDescent="0.3">
      <c r="B774" s="397"/>
      <c r="C774" s="397"/>
      <c r="D774" s="397"/>
      <c r="E774" s="397"/>
    </row>
    <row r="775" spans="2:5" x14ac:dyDescent="0.3">
      <c r="B775" s="399"/>
      <c r="C775" s="399"/>
      <c r="D775" s="399"/>
      <c r="E775" s="683"/>
    </row>
    <row r="776" spans="2:5" x14ac:dyDescent="0.3">
      <c r="B776" s="397"/>
      <c r="C776" s="397"/>
      <c r="D776" s="397"/>
      <c r="E776" s="402"/>
    </row>
    <row r="777" spans="2:5" x14ac:dyDescent="0.3">
      <c r="B777" s="397"/>
      <c r="C777" s="397"/>
      <c r="D777" s="397"/>
      <c r="E777" s="397"/>
    </row>
    <row r="778" spans="2:5" x14ac:dyDescent="0.3">
      <c r="B778" s="399"/>
      <c r="C778" s="399"/>
      <c r="D778" s="399"/>
      <c r="E778" s="683"/>
    </row>
    <row r="779" spans="2:5" x14ac:dyDescent="0.3">
      <c r="B779" s="397"/>
      <c r="C779" s="397"/>
      <c r="D779" s="397"/>
      <c r="E779" s="402"/>
    </row>
    <row r="780" spans="2:5" x14ac:dyDescent="0.3">
      <c r="B780" s="397"/>
      <c r="C780" s="397"/>
      <c r="D780" s="397"/>
      <c r="E780" s="397"/>
    </row>
    <row r="781" spans="2:5" x14ac:dyDescent="0.3">
      <c r="B781" s="399"/>
      <c r="C781" s="399"/>
      <c r="D781" s="399"/>
      <c r="E781" s="683"/>
    </row>
    <row r="782" spans="2:5" x14ac:dyDescent="0.3">
      <c r="B782" s="397"/>
      <c r="C782" s="397"/>
      <c r="D782" s="397"/>
      <c r="E782" s="402"/>
    </row>
    <row r="783" spans="2:5" x14ac:dyDescent="0.3">
      <c r="B783" s="397"/>
      <c r="C783" s="397"/>
      <c r="D783" s="397"/>
      <c r="E783" s="397"/>
    </row>
    <row r="784" spans="2:5" x14ac:dyDescent="0.3">
      <c r="B784" s="399"/>
      <c r="C784" s="399"/>
      <c r="D784" s="399"/>
      <c r="E784" s="683"/>
    </row>
    <row r="785" spans="2:5" x14ac:dyDescent="0.3">
      <c r="B785" s="397"/>
      <c r="C785" s="397"/>
      <c r="D785" s="397"/>
      <c r="E785" s="402"/>
    </row>
    <row r="786" spans="2:5" x14ac:dyDescent="0.3">
      <c r="B786" s="397"/>
      <c r="C786" s="397"/>
      <c r="D786" s="397"/>
      <c r="E786" s="397"/>
    </row>
    <row r="787" spans="2:5" x14ac:dyDescent="0.3">
      <c r="B787" s="399"/>
      <c r="C787" s="399"/>
      <c r="D787" s="399"/>
      <c r="E787" s="683"/>
    </row>
    <row r="788" spans="2:5" x14ac:dyDescent="0.3">
      <c r="B788" s="397"/>
      <c r="C788" s="397"/>
      <c r="D788" s="397"/>
      <c r="E788" s="402"/>
    </row>
    <row r="789" spans="2:5" x14ac:dyDescent="0.3">
      <c r="B789" s="397"/>
      <c r="C789" s="397"/>
      <c r="D789" s="397"/>
      <c r="E789" s="397"/>
    </row>
    <row r="790" spans="2:5" x14ac:dyDescent="0.3">
      <c r="B790" s="399"/>
      <c r="C790" s="399"/>
      <c r="D790" s="399"/>
      <c r="E790" s="683"/>
    </row>
    <row r="791" spans="2:5" x14ac:dyDescent="0.3">
      <c r="B791" s="397"/>
      <c r="C791" s="397"/>
      <c r="D791" s="397"/>
      <c r="E791" s="402"/>
    </row>
    <row r="792" spans="2:5" x14ac:dyDescent="0.3">
      <c r="B792" s="397"/>
      <c r="C792" s="397"/>
      <c r="D792" s="397"/>
      <c r="E792" s="397"/>
    </row>
    <row r="793" spans="2:5" x14ac:dyDescent="0.3">
      <c r="B793" s="399"/>
      <c r="C793" s="399"/>
      <c r="D793" s="399"/>
      <c r="E793" s="683"/>
    </row>
    <row r="794" spans="2:5" x14ac:dyDescent="0.3">
      <c r="B794" s="397"/>
      <c r="C794" s="397"/>
      <c r="D794" s="397"/>
      <c r="E794" s="402"/>
    </row>
    <row r="795" spans="2:5" x14ac:dyDescent="0.3">
      <c r="B795" s="397"/>
      <c r="C795" s="397"/>
      <c r="D795" s="397"/>
      <c r="E795" s="397"/>
    </row>
    <row r="796" spans="2:5" x14ac:dyDescent="0.3">
      <c r="B796" s="399"/>
      <c r="C796" s="399"/>
      <c r="D796" s="399"/>
      <c r="E796" s="683"/>
    </row>
    <row r="797" spans="2:5" x14ac:dyDescent="0.3">
      <c r="B797" s="397"/>
      <c r="C797" s="397"/>
      <c r="D797" s="397"/>
      <c r="E797" s="402"/>
    </row>
    <row r="798" spans="2:5" x14ac:dyDescent="0.3">
      <c r="B798" s="397"/>
      <c r="C798" s="397"/>
      <c r="D798" s="397"/>
      <c r="E798" s="397"/>
    </row>
    <row r="799" spans="2:5" x14ac:dyDescent="0.3">
      <c r="B799" s="399"/>
      <c r="C799" s="399"/>
      <c r="D799" s="399"/>
      <c r="E799" s="683"/>
    </row>
    <row r="800" spans="2:5" x14ac:dyDescent="0.3">
      <c r="B800" s="397"/>
      <c r="C800" s="397"/>
      <c r="D800" s="397"/>
      <c r="E800" s="402"/>
    </row>
    <row r="801" spans="2:5" x14ac:dyDescent="0.3">
      <c r="B801" s="397"/>
      <c r="C801" s="397"/>
      <c r="D801" s="397"/>
      <c r="E801" s="397"/>
    </row>
    <row r="802" spans="2:5" x14ac:dyDescent="0.3">
      <c r="B802" s="399"/>
      <c r="C802" s="399"/>
      <c r="D802" s="399"/>
      <c r="E802" s="683"/>
    </row>
    <row r="803" spans="2:5" x14ac:dyDescent="0.3">
      <c r="B803" s="397"/>
      <c r="C803" s="397"/>
      <c r="D803" s="397"/>
      <c r="E803" s="402"/>
    </row>
    <row r="804" spans="2:5" x14ac:dyDescent="0.3">
      <c r="B804" s="397"/>
      <c r="C804" s="397"/>
      <c r="D804" s="397"/>
      <c r="E804" s="397"/>
    </row>
    <row r="805" spans="2:5" x14ac:dyDescent="0.3">
      <c r="B805" s="399"/>
      <c r="C805" s="399"/>
      <c r="D805" s="399"/>
      <c r="E805" s="683"/>
    </row>
    <row r="806" spans="2:5" x14ac:dyDescent="0.3">
      <c r="B806" s="397"/>
      <c r="C806" s="397"/>
      <c r="D806" s="397"/>
      <c r="E806" s="402"/>
    </row>
    <row r="807" spans="2:5" x14ac:dyDescent="0.3">
      <c r="B807" s="397"/>
      <c r="C807" s="397"/>
      <c r="D807" s="397"/>
      <c r="E807" s="397"/>
    </row>
    <row r="808" spans="2:5" x14ac:dyDescent="0.3">
      <c r="B808" s="399"/>
      <c r="C808" s="399"/>
      <c r="D808" s="399"/>
      <c r="E808" s="683"/>
    </row>
    <row r="809" spans="2:5" x14ac:dyDescent="0.3">
      <c r="B809" s="397"/>
      <c r="C809" s="397"/>
      <c r="D809" s="397"/>
      <c r="E809" s="402"/>
    </row>
    <row r="810" spans="2:5" x14ac:dyDescent="0.3">
      <c r="B810" s="397"/>
      <c r="C810" s="397"/>
      <c r="D810" s="397"/>
      <c r="E810" s="397"/>
    </row>
    <row r="811" spans="2:5" x14ac:dyDescent="0.3">
      <c r="B811" s="399"/>
      <c r="C811" s="399"/>
      <c r="D811" s="399"/>
      <c r="E811" s="683"/>
    </row>
    <row r="812" spans="2:5" x14ac:dyDescent="0.3">
      <c r="B812" s="397"/>
      <c r="C812" s="397"/>
      <c r="D812" s="397"/>
      <c r="E812" s="402"/>
    </row>
    <row r="813" spans="2:5" x14ac:dyDescent="0.3">
      <c r="B813" s="397"/>
      <c r="C813" s="397"/>
      <c r="D813" s="397"/>
      <c r="E813" s="397"/>
    </row>
    <row r="814" spans="2:5" x14ac:dyDescent="0.3">
      <c r="B814" s="399"/>
      <c r="C814" s="399"/>
      <c r="D814" s="399"/>
      <c r="E814" s="683"/>
    </row>
    <row r="815" spans="2:5" x14ac:dyDescent="0.3">
      <c r="B815" s="397"/>
      <c r="C815" s="397"/>
      <c r="D815" s="397"/>
      <c r="E815" s="402"/>
    </row>
    <row r="816" spans="2:5" x14ac:dyDescent="0.3">
      <c r="B816" s="397"/>
      <c r="C816" s="397"/>
      <c r="D816" s="397"/>
      <c r="E816" s="397"/>
    </row>
    <row r="817" spans="2:5" x14ac:dyDescent="0.3">
      <c r="B817" s="399"/>
      <c r="C817" s="399"/>
      <c r="D817" s="399"/>
      <c r="E817" s="683"/>
    </row>
    <row r="818" spans="2:5" x14ac:dyDescent="0.3">
      <c r="B818" s="397"/>
      <c r="C818" s="397"/>
      <c r="D818" s="397"/>
      <c r="E818" s="402"/>
    </row>
    <row r="819" spans="2:5" x14ac:dyDescent="0.3">
      <c r="B819" s="397"/>
      <c r="C819" s="397"/>
      <c r="D819" s="397"/>
      <c r="E819" s="397"/>
    </row>
    <row r="820" spans="2:5" x14ac:dyDescent="0.3">
      <c r="B820" s="399"/>
      <c r="C820" s="399"/>
      <c r="D820" s="399"/>
      <c r="E820" s="683"/>
    </row>
    <row r="821" spans="2:5" x14ac:dyDescent="0.3">
      <c r="B821" s="397"/>
      <c r="C821" s="397"/>
      <c r="D821" s="397"/>
      <c r="E821" s="402"/>
    </row>
    <row r="822" spans="2:5" x14ac:dyDescent="0.3">
      <c r="B822" s="397"/>
      <c r="C822" s="397"/>
      <c r="D822" s="397"/>
      <c r="E822" s="397"/>
    </row>
    <row r="823" spans="2:5" x14ac:dyDescent="0.3">
      <c r="B823" s="399"/>
      <c r="C823" s="399"/>
      <c r="D823" s="399"/>
      <c r="E823" s="683"/>
    </row>
    <row r="824" spans="2:5" x14ac:dyDescent="0.3">
      <c r="B824" s="397"/>
      <c r="C824" s="397"/>
      <c r="D824" s="397"/>
      <c r="E824" s="402"/>
    </row>
    <row r="825" spans="2:5" x14ac:dyDescent="0.3">
      <c r="B825" s="397"/>
      <c r="C825" s="397"/>
      <c r="D825" s="397"/>
      <c r="E825" s="397"/>
    </row>
    <row r="826" spans="2:5" x14ac:dyDescent="0.3">
      <c r="B826" s="399"/>
      <c r="C826" s="399"/>
      <c r="D826" s="399"/>
      <c r="E826" s="683"/>
    </row>
    <row r="827" spans="2:5" x14ac:dyDescent="0.3">
      <c r="B827" s="397"/>
      <c r="C827" s="397"/>
      <c r="D827" s="397"/>
      <c r="E827" s="402"/>
    </row>
    <row r="828" spans="2:5" x14ac:dyDescent="0.3">
      <c r="B828" s="397"/>
      <c r="C828" s="397"/>
      <c r="D828" s="397"/>
      <c r="E828" s="397"/>
    </row>
    <row r="829" spans="2:5" x14ac:dyDescent="0.3">
      <c r="B829" s="399"/>
      <c r="C829" s="399"/>
      <c r="D829" s="399"/>
      <c r="E829" s="683"/>
    </row>
    <row r="830" spans="2:5" x14ac:dyDescent="0.3">
      <c r="B830" s="397"/>
      <c r="C830" s="397"/>
      <c r="D830" s="397"/>
      <c r="E830" s="402"/>
    </row>
    <row r="831" spans="2:5" x14ac:dyDescent="0.3">
      <c r="B831" s="397"/>
      <c r="C831" s="397"/>
      <c r="D831" s="397"/>
      <c r="E831" s="397"/>
    </row>
    <row r="832" spans="2:5" x14ac:dyDescent="0.3">
      <c r="B832" s="399"/>
      <c r="C832" s="399"/>
      <c r="D832" s="399"/>
      <c r="E832" s="683"/>
    </row>
    <row r="833" spans="2:5" x14ac:dyDescent="0.3">
      <c r="B833" s="397"/>
      <c r="C833" s="397"/>
      <c r="D833" s="397"/>
      <c r="E833" s="402"/>
    </row>
    <row r="834" spans="2:5" x14ac:dyDescent="0.3">
      <c r="B834" s="397"/>
      <c r="C834" s="397"/>
      <c r="D834" s="397"/>
      <c r="E834" s="397"/>
    </row>
    <row r="835" spans="2:5" x14ac:dyDescent="0.3">
      <c r="B835" s="399"/>
      <c r="C835" s="399"/>
      <c r="D835" s="399"/>
      <c r="E835" s="683"/>
    </row>
    <row r="836" spans="2:5" x14ac:dyDescent="0.3">
      <c r="B836" s="397"/>
      <c r="C836" s="397"/>
      <c r="D836" s="397"/>
      <c r="E836" s="402"/>
    </row>
    <row r="837" spans="2:5" x14ac:dyDescent="0.3">
      <c r="B837" s="397"/>
      <c r="C837" s="397"/>
      <c r="D837" s="397"/>
      <c r="E837" s="397"/>
    </row>
    <row r="838" spans="2:5" x14ac:dyDescent="0.3">
      <c r="B838" s="399"/>
      <c r="C838" s="399"/>
      <c r="D838" s="399"/>
      <c r="E838" s="683"/>
    </row>
    <row r="839" spans="2:5" x14ac:dyDescent="0.3">
      <c r="B839" s="397"/>
      <c r="C839" s="397"/>
      <c r="D839" s="397"/>
      <c r="E839" s="402"/>
    </row>
    <row r="840" spans="2:5" x14ac:dyDescent="0.3">
      <c r="B840" s="397"/>
      <c r="C840" s="397"/>
      <c r="D840" s="397"/>
      <c r="E840" s="397"/>
    </row>
    <row r="841" spans="2:5" x14ac:dyDescent="0.3">
      <c r="B841" s="399"/>
      <c r="C841" s="399"/>
      <c r="D841" s="399"/>
      <c r="E841" s="683"/>
    </row>
    <row r="842" spans="2:5" x14ac:dyDescent="0.3">
      <c r="B842" s="397"/>
      <c r="C842" s="397"/>
      <c r="D842" s="397"/>
      <c r="E842" s="402"/>
    </row>
    <row r="843" spans="2:5" x14ac:dyDescent="0.3">
      <c r="B843" s="397"/>
      <c r="C843" s="397"/>
      <c r="D843" s="397"/>
      <c r="E843" s="397"/>
    </row>
    <row r="844" spans="2:5" x14ac:dyDescent="0.3">
      <c r="B844" s="399"/>
      <c r="C844" s="399"/>
      <c r="D844" s="399"/>
      <c r="E844" s="683"/>
    </row>
    <row r="845" spans="2:5" x14ac:dyDescent="0.3">
      <c r="B845" s="397"/>
      <c r="C845" s="397"/>
      <c r="D845" s="397"/>
      <c r="E845" s="402"/>
    </row>
    <row r="846" spans="2:5" x14ac:dyDescent="0.3">
      <c r="B846" s="397"/>
      <c r="C846" s="397"/>
      <c r="D846" s="397"/>
      <c r="E846" s="397"/>
    </row>
    <row r="847" spans="2:5" x14ac:dyDescent="0.3">
      <c r="B847" s="399"/>
      <c r="C847" s="399"/>
      <c r="D847" s="399"/>
      <c r="E847" s="683"/>
    </row>
    <row r="848" spans="2:5" x14ac:dyDescent="0.3">
      <c r="B848" s="397"/>
      <c r="C848" s="397"/>
      <c r="D848" s="397"/>
      <c r="E848" s="402"/>
    </row>
    <row r="849" spans="2:5" x14ac:dyDescent="0.3">
      <c r="B849" s="397"/>
      <c r="C849" s="397"/>
      <c r="D849" s="397"/>
      <c r="E849" s="397"/>
    </row>
    <row r="850" spans="2:5" x14ac:dyDescent="0.3">
      <c r="B850" s="399"/>
      <c r="C850" s="399"/>
      <c r="D850" s="399"/>
      <c r="E850" s="683"/>
    </row>
    <row r="851" spans="2:5" x14ac:dyDescent="0.3">
      <c r="B851" s="397"/>
      <c r="C851" s="397"/>
      <c r="D851" s="397"/>
      <c r="E851" s="402"/>
    </row>
    <row r="852" spans="2:5" x14ac:dyDescent="0.3">
      <c r="B852" s="397"/>
      <c r="C852" s="397"/>
      <c r="D852" s="397"/>
      <c r="E852" s="397"/>
    </row>
    <row r="853" spans="2:5" x14ac:dyDescent="0.3">
      <c r="B853" s="399"/>
      <c r="C853" s="399"/>
      <c r="D853" s="399"/>
      <c r="E853" s="683"/>
    </row>
    <row r="854" spans="2:5" x14ac:dyDescent="0.3">
      <c r="B854" s="397"/>
      <c r="C854" s="397"/>
      <c r="D854" s="397"/>
      <c r="E854" s="402"/>
    </row>
    <row r="855" spans="2:5" x14ac:dyDescent="0.3">
      <c r="B855" s="397"/>
      <c r="C855" s="397"/>
      <c r="D855" s="397"/>
      <c r="E855" s="397"/>
    </row>
    <row r="856" spans="2:5" x14ac:dyDescent="0.3">
      <c r="B856" s="399"/>
      <c r="C856" s="399"/>
      <c r="D856" s="399"/>
      <c r="E856" s="683"/>
    </row>
    <row r="857" spans="2:5" x14ac:dyDescent="0.3">
      <c r="B857" s="397"/>
      <c r="C857" s="397"/>
      <c r="D857" s="397"/>
      <c r="E857" s="402"/>
    </row>
    <row r="858" spans="2:5" x14ac:dyDescent="0.3">
      <c r="B858" s="397"/>
      <c r="C858" s="397"/>
      <c r="D858" s="397"/>
      <c r="E858" s="397"/>
    </row>
    <row r="859" spans="2:5" x14ac:dyDescent="0.3">
      <c r="B859" s="399"/>
      <c r="C859" s="399"/>
      <c r="D859" s="399"/>
      <c r="E859" s="683"/>
    </row>
    <row r="860" spans="2:5" x14ac:dyDescent="0.3">
      <c r="B860" s="397"/>
      <c r="C860" s="397"/>
      <c r="D860" s="397"/>
      <c r="E860" s="402"/>
    </row>
    <row r="861" spans="2:5" x14ac:dyDescent="0.3">
      <c r="B861" s="397"/>
      <c r="C861" s="397"/>
      <c r="D861" s="397"/>
      <c r="E861" s="397"/>
    </row>
    <row r="862" spans="2:5" x14ac:dyDescent="0.3">
      <c r="B862" s="399"/>
      <c r="C862" s="399"/>
      <c r="D862" s="399"/>
      <c r="E862" s="683"/>
    </row>
    <row r="863" spans="2:5" x14ac:dyDescent="0.3">
      <c r="B863" s="397"/>
      <c r="C863" s="397"/>
      <c r="D863" s="397"/>
      <c r="E863" s="402"/>
    </row>
    <row r="864" spans="2:5" x14ac:dyDescent="0.3">
      <c r="B864" s="397"/>
      <c r="C864" s="397"/>
      <c r="D864" s="397"/>
      <c r="E864" s="397"/>
    </row>
    <row r="865" spans="2:5" x14ac:dyDescent="0.3">
      <c r="B865" s="399"/>
      <c r="C865" s="399"/>
      <c r="D865" s="399"/>
      <c r="E865" s="683"/>
    </row>
    <row r="866" spans="2:5" x14ac:dyDescent="0.3">
      <c r="B866" s="397"/>
      <c r="C866" s="397"/>
      <c r="D866" s="397"/>
      <c r="E866" s="402"/>
    </row>
    <row r="867" spans="2:5" x14ac:dyDescent="0.3">
      <c r="B867" s="397"/>
      <c r="C867" s="397"/>
      <c r="D867" s="397"/>
      <c r="E867" s="397"/>
    </row>
    <row r="868" spans="2:5" x14ac:dyDescent="0.3">
      <c r="B868" s="399"/>
      <c r="C868" s="399"/>
      <c r="D868" s="399"/>
      <c r="E868" s="683"/>
    </row>
    <row r="869" spans="2:5" x14ac:dyDescent="0.3">
      <c r="B869" s="397"/>
      <c r="C869" s="397"/>
      <c r="D869" s="397"/>
      <c r="E869" s="402"/>
    </row>
    <row r="870" spans="2:5" x14ac:dyDescent="0.3">
      <c r="B870" s="397"/>
      <c r="C870" s="397"/>
      <c r="D870" s="397"/>
      <c r="E870" s="397"/>
    </row>
    <row r="871" spans="2:5" x14ac:dyDescent="0.3">
      <c r="B871" s="399"/>
      <c r="C871" s="399"/>
      <c r="D871" s="399"/>
      <c r="E871" s="683"/>
    </row>
    <row r="872" spans="2:5" x14ac:dyDescent="0.3">
      <c r="B872" s="397"/>
      <c r="C872" s="397"/>
      <c r="D872" s="397"/>
      <c r="E872" s="402"/>
    </row>
    <row r="873" spans="2:5" x14ac:dyDescent="0.3">
      <c r="B873" s="397"/>
      <c r="C873" s="397"/>
      <c r="D873" s="397"/>
      <c r="E873" s="397"/>
    </row>
    <row r="874" spans="2:5" x14ac:dyDescent="0.3">
      <c r="B874" s="399"/>
      <c r="C874" s="399"/>
      <c r="D874" s="399"/>
      <c r="E874" s="683"/>
    </row>
    <row r="875" spans="2:5" x14ac:dyDescent="0.3">
      <c r="B875" s="397"/>
      <c r="C875" s="397"/>
      <c r="D875" s="397"/>
      <c r="E875" s="402"/>
    </row>
    <row r="876" spans="2:5" x14ac:dyDescent="0.3">
      <c r="B876" s="397"/>
      <c r="C876" s="397"/>
      <c r="D876" s="397"/>
      <c r="E876" s="397"/>
    </row>
    <row r="877" spans="2:5" x14ac:dyDescent="0.3">
      <c r="B877" s="399"/>
      <c r="C877" s="399"/>
      <c r="D877" s="399"/>
      <c r="E877" s="683"/>
    </row>
    <row r="878" spans="2:5" x14ac:dyDescent="0.3">
      <c r="B878" s="397"/>
      <c r="C878" s="397"/>
      <c r="D878" s="397"/>
      <c r="E878" s="402"/>
    </row>
  </sheetData>
  <sheetProtection formatCells="0" formatColumns="0" formatRows="0" insertColumns="0" insertRows="0" insertHyperlinks="0" deleteColumns="0" deleteRows="0" sort="0" autoFilter="0" pivotTables="0"/>
  <autoFilter ref="B4:L229" xr:uid="{AF8673DD-4A0A-4AC4-8782-0F232C1C8EDE}"/>
  <customSheetViews>
    <customSheetView guid="{079ED3F8-D23E-413F-B7FA-1C4A43A9CEAB}" scale="70" zeroValues="0" fitToPage="1" printArea="1" showAutoFilter="1" view="pageBreakPreview">
      <pane ySplit="4" topLeftCell="A55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1"/>
      <autoFilter ref="B4:K229" xr:uid="{6EEC61C4-7643-4244-996D-EF85586C3292}"/>
    </customSheetView>
    <customSheetView guid="{BBFF7A3C-7579-4BB0-AAA9-66CE11DC0C92}" scale="70" zeroValues="0" fitToPage="1" printArea="1" showAutoFilter="1" view="pageBreakPreview">
      <pane ySplit="4" topLeftCell="A55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2"/>
      <autoFilter ref="B4:K229" xr:uid="{452E3ED4-1275-4BD0-8A1A-C8D86F6B328D}"/>
    </customSheetView>
    <customSheetView guid="{386B8780-5573-460C-A780-6C59BEFB4DBF}" scale="70" zeroValues="0" fitToPage="1" printArea="1" showAutoFilter="1" view="pageBreakPreview">
      <pane ySplit="4" topLeftCell="A54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3"/>
      <autoFilter ref="B4:K229" xr:uid="{06E97DB0-5CDD-4863-A25E-955EB9AC28B8}"/>
    </customSheetView>
    <customSheetView guid="{748451F5-A0F3-420F-846E-9497A6A574EF}" scale="70" zeroValues="0" fitToPage="1" printArea="1" showAutoFilter="1" view="pageBreakPreview">
      <pane ySplit="4" topLeftCell="A54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4"/>
      <autoFilter ref="B4:K229" xr:uid="{AAFAFD3C-0E12-4D46-A181-71ACAF0737C0}"/>
    </customSheetView>
  </customSheetViews>
  <printOptions horizontalCentered="1"/>
  <pageMargins left="0.23622047244094491" right="0.23622047244094491" top="0.74803149606299213" bottom="0.55118110236220474" header="0.31496062992125984" footer="0.31496062992125984"/>
  <pageSetup paperSize="9" scale="49" fitToHeight="0" orientation="portrait"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4269-768A-4A94-B6BE-0E683639548A}">
  <sheetPr>
    <tabColor theme="0"/>
    <pageSetUpPr autoPageBreaks="0" fitToPage="1"/>
  </sheetPr>
  <dimension ref="A1:O56"/>
  <sheetViews>
    <sheetView showGridLines="0" showZeros="0" view="pageBreakPreview" zoomScale="130" zoomScaleNormal="25" zoomScaleSheetLayoutView="130" workbookViewId="0">
      <pane ySplit="1" topLeftCell="A2" activePane="bottomLeft" state="frozen"/>
      <selection pane="bottomLeft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3" width="4.44140625" style="99" customWidth="1"/>
    <col min="4" max="4" width="5.21875" style="99" customWidth="1"/>
    <col min="5" max="5" width="4.77734375" style="99" customWidth="1"/>
    <col min="6" max="6" width="63.5546875" style="99" customWidth="1"/>
    <col min="7" max="7" width="2.44140625" style="99" customWidth="1"/>
    <col min="8" max="14" width="10.77734375" style="99" customWidth="1"/>
    <col min="15" max="16384" width="8.5546875" style="99"/>
  </cols>
  <sheetData>
    <row r="1" spans="1:15" s="736" customFormat="1" ht="24" customHeight="1" thickBot="1" x14ac:dyDescent="0.5">
      <c r="A1" s="489" t="str">
        <f>"Periodo anual desde "&amp;_xlfn.XLOOKUP($B$2,Info!$AM$3:$AM$14,Info!$AP$3:$AP$14)&amp;" de "&amp;_xlfn.XLOOKUP($B$2,Info!$AM$3:$AM$14,Info!$AN$3:$AN$14)</f>
        <v>Periodo anual desde enero de 2026</v>
      </c>
      <c r="B1" s="1003"/>
      <c r="C1" s="491"/>
      <c r="D1" s="490"/>
      <c r="E1" s="490"/>
      <c r="F1" s="491"/>
      <c r="G1" s="491"/>
    </row>
    <row r="2" spans="1:15" s="727" customFormat="1" x14ac:dyDescent="0.3">
      <c r="A2" s="295"/>
      <c r="B2" s="968">
        <v>1</v>
      </c>
      <c r="C2" s="727" t="s">
        <v>381</v>
      </c>
      <c r="E2" s="725"/>
      <c r="F2" s="609" t="str">
        <f>_xlfn.XLOOKUP(WEEKDAY(E4,2),Info!$AV$3:$AV$9,Info!$AX$3:$AX$9)&amp;" es el día 1 del mes seleccionado"</f>
        <v>Jueves es el día 1 del mes seleccionado</v>
      </c>
      <c r="G2" s="999"/>
      <c r="H2" s="998"/>
      <c r="I2" s="999"/>
      <c r="J2" s="998"/>
      <c r="K2" s="999"/>
      <c r="L2" s="998"/>
      <c r="M2" s="999"/>
      <c r="O2" s="1000"/>
    </row>
    <row r="3" spans="1:15" s="992" customFormat="1" ht="15.6" customHeight="1" x14ac:dyDescent="0.5">
      <c r="A3" s="727"/>
      <c r="B3" s="1066">
        <f>_xlfn.XLOOKUP($B$2,Info!$AM$3:$AM$14,Info!$AN$3:$AN$14)</f>
        <v>2026</v>
      </c>
      <c r="C3" s="133"/>
      <c r="D3" s="394" t="s">
        <v>484</v>
      </c>
      <c r="E3" s="420" t="s">
        <v>54</v>
      </c>
      <c r="F3" s="295" t="s">
        <v>24</v>
      </c>
      <c r="G3" s="991"/>
    </row>
    <row r="4" spans="1:15" s="984" customFormat="1" ht="13.05" customHeight="1" x14ac:dyDescent="0.3">
      <c r="A4" s="13"/>
      <c r="B4" s="725" t="s">
        <v>408</v>
      </c>
      <c r="C4" s="1004" t="str">
        <f>_xlfn.XLOOKUP(MONTH(E4),Info!$AR$3:$AR$26,Info!$AT$3:$AT$26)</f>
        <v>Ene</v>
      </c>
      <c r="D4" s="1005">
        <f t="shared" ref="D4:D35" si="0">_xlfn.ISOWEEKNUM(DATE($B$3,MONTH(E4),DAY(E4)))</f>
        <v>1</v>
      </c>
      <c r="E4" s="1006">
        <f>DATE(B3,B2,1)</f>
        <v>46023</v>
      </c>
      <c r="F4" s="330"/>
      <c r="G4" s="983"/>
    </row>
    <row r="5" spans="1:15" s="983" customFormat="1" ht="13.05" customHeight="1" x14ac:dyDescent="0.3">
      <c r="A5" s="13"/>
      <c r="B5" s="725" t="s">
        <v>407</v>
      </c>
      <c r="C5" s="1004" t="str">
        <f>IF(DAY(E4)&gt;DAY(E5),_xlfn.XLOOKUP(MONTH(E5),Info!$AR$3:$AR$26,Info!$AT$3:$AT$26),"")</f>
        <v/>
      </c>
      <c r="D5" s="1005">
        <f t="shared" si="0"/>
        <v>2</v>
      </c>
      <c r="E5" s="1006">
        <f>E4+8-WEEKDAY(E4,2)</f>
        <v>46027</v>
      </c>
      <c r="F5" s="333"/>
    </row>
    <row r="6" spans="1:15" s="979" customFormat="1" ht="13.05" customHeight="1" x14ac:dyDescent="0.35">
      <c r="A6" s="13"/>
      <c r="B6" s="725" t="s">
        <v>409</v>
      </c>
      <c r="C6" s="1004" t="str">
        <f>IF(DAY(E5)&gt;DAY(E6),_xlfn.XLOOKUP(MONTH(E6),Info!$AR$3:$AR$26,Info!$AT$3:$AT$26),"")</f>
        <v/>
      </c>
      <c r="D6" s="1005">
        <f t="shared" si="0"/>
        <v>3</v>
      </c>
      <c r="E6" s="1006">
        <f t="shared" ref="E6:E16" si="1">E5+7</f>
        <v>46034</v>
      </c>
      <c r="F6" s="1065"/>
    </row>
    <row r="7" spans="1:15" s="991" customFormat="1" ht="13.05" customHeight="1" x14ac:dyDescent="0.5">
      <c r="A7" s="13"/>
      <c r="B7" s="725" t="s">
        <v>410</v>
      </c>
      <c r="C7" s="1004" t="str">
        <f>IF(DAY(E6)&gt;DAY(E7),_xlfn.XLOOKUP(MONTH(E7),Info!$AR$3:$AR$26,Info!$AT$3:$AT$26),"")</f>
        <v/>
      </c>
      <c r="D7" s="1005">
        <f t="shared" si="0"/>
        <v>4</v>
      </c>
      <c r="E7" s="1006">
        <f t="shared" si="1"/>
        <v>46041</v>
      </c>
      <c r="F7" s="333"/>
    </row>
    <row r="8" spans="1:15" s="984" customFormat="1" ht="13.05" customHeight="1" x14ac:dyDescent="0.3">
      <c r="A8" s="13"/>
      <c r="B8" s="725" t="s">
        <v>411</v>
      </c>
      <c r="C8" s="1004" t="str">
        <f>IF(DAY(E7)&gt;DAY(E8),_xlfn.XLOOKUP(MONTH(E8),Info!$AR$3:$AR$26,Info!$AT$3:$AT$26),"")</f>
        <v/>
      </c>
      <c r="D8" s="1005">
        <f t="shared" si="0"/>
        <v>5</v>
      </c>
      <c r="E8" s="1006">
        <f t="shared" si="1"/>
        <v>46048</v>
      </c>
      <c r="F8" s="330"/>
    </row>
    <row r="9" spans="1:15" s="986" customFormat="1" ht="13.05" customHeight="1" x14ac:dyDescent="0.3">
      <c r="A9" s="13"/>
      <c r="B9" s="725" t="s">
        <v>412</v>
      </c>
      <c r="C9" s="1004" t="str">
        <f>IF(DAY(E8)&gt;DAY(E9),_xlfn.XLOOKUP(MONTH(E9),Info!$AR$3:$AR$26,Info!$AT$3:$AT$26),"")</f>
        <v>Feb</v>
      </c>
      <c r="D9" s="1005">
        <f t="shared" si="0"/>
        <v>6</v>
      </c>
      <c r="E9" s="1006">
        <f t="shared" si="1"/>
        <v>46055</v>
      </c>
      <c r="F9" s="333"/>
    </row>
    <row r="10" spans="1:15" s="979" customFormat="1" ht="13.05" customHeight="1" x14ac:dyDescent="0.35">
      <c r="A10" s="13"/>
      <c r="B10" s="725" t="s">
        <v>413</v>
      </c>
      <c r="C10" s="1004" t="str">
        <f>IF(DAY(E9)&gt;DAY(E10),_xlfn.XLOOKUP(MONTH(E10),Info!$AR$3:$AR$26,Info!$AT$3:$AT$26),"")</f>
        <v/>
      </c>
      <c r="D10" s="1005">
        <f t="shared" si="0"/>
        <v>7</v>
      </c>
      <c r="E10" s="1006">
        <f t="shared" si="1"/>
        <v>46062</v>
      </c>
      <c r="F10" s="330"/>
    </row>
    <row r="11" spans="1:15" s="991" customFormat="1" ht="13.05" customHeight="1" x14ac:dyDescent="0.5">
      <c r="A11" s="13"/>
      <c r="B11" s="725" t="s">
        <v>414</v>
      </c>
      <c r="C11" s="1004" t="str">
        <f>IF(DAY(E10)&gt;DAY(E11),_xlfn.XLOOKUP(MONTH(E11),Info!$AR$3:$AR$26,Info!$AT$3:$AT$26),"")</f>
        <v/>
      </c>
      <c r="D11" s="1005">
        <f t="shared" si="0"/>
        <v>8</v>
      </c>
      <c r="E11" s="1006">
        <f t="shared" si="1"/>
        <v>46069</v>
      </c>
      <c r="F11" s="333"/>
    </row>
    <row r="12" spans="1:15" s="983" customFormat="1" ht="13.05" customHeight="1" x14ac:dyDescent="0.3">
      <c r="A12" s="13"/>
      <c r="B12" s="725" t="s">
        <v>198</v>
      </c>
      <c r="C12" s="1004" t="str">
        <f>IF(DAY(E11)&gt;DAY(E12),_xlfn.XLOOKUP(MONTH(E12),Info!$AR$3:$AR$26,Info!$AT$3:$AT$26),"")</f>
        <v/>
      </c>
      <c r="D12" s="1005">
        <f t="shared" si="0"/>
        <v>9</v>
      </c>
      <c r="E12" s="1006">
        <f t="shared" si="1"/>
        <v>46076</v>
      </c>
      <c r="F12" s="330"/>
    </row>
    <row r="13" spans="1:15" s="986" customFormat="1" ht="13.05" customHeight="1" x14ac:dyDescent="0.3">
      <c r="A13" s="13"/>
      <c r="B13" s="725" t="s">
        <v>415</v>
      </c>
      <c r="C13" s="1004" t="str">
        <f>IF(DAY(E12)&gt;DAY(E13),_xlfn.XLOOKUP(MONTH(E13),Info!$AR$3:$AR$26,Info!$AT$3:$AT$26),"")</f>
        <v>Mar</v>
      </c>
      <c r="D13" s="1005">
        <f t="shared" si="0"/>
        <v>10</v>
      </c>
      <c r="E13" s="1006">
        <f t="shared" si="1"/>
        <v>46083</v>
      </c>
      <c r="F13" s="333"/>
    </row>
    <row r="14" spans="1:15" s="979" customFormat="1" ht="13.05" customHeight="1" x14ac:dyDescent="0.35">
      <c r="A14" s="13"/>
      <c r="B14" s="725" t="s">
        <v>416</v>
      </c>
      <c r="C14" s="1004" t="str">
        <f>IF(DAY(E13)&gt;DAY(E14),_xlfn.XLOOKUP(MONTH(E14),Info!$AR$3:$AR$26,Info!$AT$3:$AT$26),"")</f>
        <v/>
      </c>
      <c r="D14" s="1005">
        <f t="shared" si="0"/>
        <v>11</v>
      </c>
      <c r="E14" s="1006">
        <f t="shared" si="1"/>
        <v>46090</v>
      </c>
      <c r="F14" s="330"/>
    </row>
    <row r="15" spans="1:15" s="994" customFormat="1" ht="13.05" customHeight="1" x14ac:dyDescent="0.5">
      <c r="A15" s="13"/>
      <c r="B15" s="725" t="s">
        <v>417</v>
      </c>
      <c r="C15" s="1004" t="str">
        <f>IF(DAY(E14)&gt;DAY(E15),_xlfn.XLOOKUP(MONTH(E15),Info!$AR$3:$AR$26,Info!$AT$3:$AT$26),"")</f>
        <v/>
      </c>
      <c r="D15" s="1005">
        <f t="shared" si="0"/>
        <v>12</v>
      </c>
      <c r="E15" s="1006">
        <f t="shared" si="1"/>
        <v>46097</v>
      </c>
      <c r="F15" s="333"/>
    </row>
    <row r="16" spans="1:15" s="987" customFormat="1" ht="13.05" customHeight="1" x14ac:dyDescent="0.35">
      <c r="A16" s="13"/>
      <c r="B16" s="725" t="s">
        <v>418</v>
      </c>
      <c r="C16" s="1004" t="str">
        <f>IF(DAY(E15)&gt;DAY(E16),_xlfn.XLOOKUP(MONTH(E16),Info!$AR$3:$AR$26,Info!$AT$3:$AT$26),"")</f>
        <v/>
      </c>
      <c r="D16" s="1005">
        <f t="shared" si="0"/>
        <v>13</v>
      </c>
      <c r="E16" s="1006">
        <f t="shared" si="1"/>
        <v>46104</v>
      </c>
      <c r="F16" s="330"/>
    </row>
    <row r="17" spans="1:6" s="988" customFormat="1" ht="13.05" customHeight="1" x14ac:dyDescent="0.35">
      <c r="A17" s="13"/>
      <c r="B17" s="725" t="s">
        <v>419</v>
      </c>
      <c r="C17" s="1004" t="str">
        <f>IF(DAY(E16)&gt;DAY(E17),_xlfn.XLOOKUP(MONTH(E17),Info!$AR$3:$AR$26,Info!$AT$3:$AT$26),"")</f>
        <v/>
      </c>
      <c r="D17" s="1005">
        <f t="shared" si="0"/>
        <v>14</v>
      </c>
      <c r="E17" s="1006">
        <f t="shared" ref="E17:E55" si="2">E16+7</f>
        <v>46111</v>
      </c>
      <c r="F17" s="333"/>
    </row>
    <row r="18" spans="1:6" s="979" customFormat="1" ht="13.05" customHeight="1" x14ac:dyDescent="0.35">
      <c r="A18" s="99"/>
      <c r="B18" s="725" t="s">
        <v>420</v>
      </c>
      <c r="C18" s="1004" t="str">
        <f>IF(DAY(E17)&gt;DAY(E18),_xlfn.XLOOKUP(MONTH(E18),Info!$AR$3:$AR$26,Info!$AT$3:$AT$26),"")</f>
        <v>Abr</v>
      </c>
      <c r="D18" s="1005">
        <f t="shared" si="0"/>
        <v>15</v>
      </c>
      <c r="E18" s="1006">
        <f t="shared" si="2"/>
        <v>46118</v>
      </c>
      <c r="F18" s="330"/>
    </row>
    <row r="19" spans="1:6" ht="13.05" customHeight="1" x14ac:dyDescent="0.3">
      <c r="B19" s="725" t="s">
        <v>421</v>
      </c>
      <c r="C19" s="1004" t="str">
        <f>IF(DAY(E18)&gt;DAY(E19),_xlfn.XLOOKUP(MONTH(E19),Info!$AR$3:$AR$26,Info!$AT$3:$AT$26),"")</f>
        <v/>
      </c>
      <c r="D19" s="1005">
        <f t="shared" si="0"/>
        <v>16</v>
      </c>
      <c r="E19" s="1006">
        <f t="shared" si="2"/>
        <v>46125</v>
      </c>
      <c r="F19" s="333"/>
    </row>
    <row r="20" spans="1:6" ht="13.05" customHeight="1" x14ac:dyDescent="0.3">
      <c r="B20" s="725" t="s">
        <v>422</v>
      </c>
      <c r="C20" s="1004" t="str">
        <f>IF(DAY(E19)&gt;DAY(E20),_xlfn.XLOOKUP(MONTH(E20),Info!$AR$3:$AR$26,Info!$AT$3:$AT$26),"")</f>
        <v/>
      </c>
      <c r="D20" s="1005">
        <f t="shared" si="0"/>
        <v>17</v>
      </c>
      <c r="E20" s="1006">
        <f t="shared" si="2"/>
        <v>46132</v>
      </c>
      <c r="F20" s="330"/>
    </row>
    <row r="21" spans="1:6" s="980" customFormat="1" ht="13.05" customHeight="1" x14ac:dyDescent="0.35">
      <c r="A21" s="99"/>
      <c r="B21" s="725" t="s">
        <v>423</v>
      </c>
      <c r="C21" s="1004" t="str">
        <f>IF(DAY(E20)&gt;DAY(E21),_xlfn.XLOOKUP(MONTH(E21),Info!$AR$3:$AR$26,Info!$AT$3:$AT$26),"")</f>
        <v/>
      </c>
      <c r="D21" s="1005">
        <f t="shared" si="0"/>
        <v>18</v>
      </c>
      <c r="E21" s="1006">
        <f t="shared" si="2"/>
        <v>46139</v>
      </c>
      <c r="F21" s="333"/>
    </row>
    <row r="22" spans="1:6" s="980" customFormat="1" ht="13.05" customHeight="1" x14ac:dyDescent="0.35">
      <c r="A22" s="99"/>
      <c r="B22" s="725" t="s">
        <v>424</v>
      </c>
      <c r="C22" s="1004" t="str">
        <f>IF(DAY(E21)&gt;DAY(E22),_xlfn.XLOOKUP(MONTH(E22),Info!$AR$3:$AR$26,Info!$AT$3:$AT$26),"")</f>
        <v>May</v>
      </c>
      <c r="D22" s="1005">
        <f t="shared" si="0"/>
        <v>19</v>
      </c>
      <c r="E22" s="1006">
        <f t="shared" si="2"/>
        <v>46146</v>
      </c>
      <c r="F22" s="330"/>
    </row>
    <row r="23" spans="1:6" s="980" customFormat="1" ht="13.05" customHeight="1" x14ac:dyDescent="0.35">
      <c r="A23" s="99"/>
      <c r="B23" s="725" t="s">
        <v>425</v>
      </c>
      <c r="C23" s="1004" t="str">
        <f>IF(DAY(E22)&gt;DAY(E23),_xlfn.XLOOKUP(MONTH(E23),Info!$AR$3:$AR$26,Info!$AT$3:$AT$26),"")</f>
        <v/>
      </c>
      <c r="D23" s="1005">
        <f t="shared" si="0"/>
        <v>20</v>
      </c>
      <c r="E23" s="1006">
        <f t="shared" si="2"/>
        <v>46153</v>
      </c>
      <c r="F23" s="333"/>
    </row>
    <row r="24" spans="1:6" s="980" customFormat="1" ht="13.05" customHeight="1" x14ac:dyDescent="0.35">
      <c r="A24" s="99"/>
      <c r="B24" s="725" t="s">
        <v>426</v>
      </c>
      <c r="C24" s="1004" t="str">
        <f>IF(DAY(E23)&gt;DAY(E24),_xlfn.XLOOKUP(MONTH(E24),Info!$AR$3:$AR$26,Info!$AT$3:$AT$26),"")</f>
        <v/>
      </c>
      <c r="D24" s="1005">
        <f t="shared" si="0"/>
        <v>21</v>
      </c>
      <c r="E24" s="1006">
        <f t="shared" si="2"/>
        <v>46160</v>
      </c>
      <c r="F24" s="330"/>
    </row>
    <row r="25" spans="1:6" s="980" customFormat="1" ht="13.05" customHeight="1" x14ac:dyDescent="0.35">
      <c r="A25" s="99"/>
      <c r="B25" s="725" t="s">
        <v>427</v>
      </c>
      <c r="C25" s="1004" t="str">
        <f>IF(DAY(E24)&gt;DAY(E25),_xlfn.XLOOKUP(MONTH(E25),Info!$AR$3:$AR$26,Info!$AT$3:$AT$26),"")</f>
        <v/>
      </c>
      <c r="D25" s="1005">
        <f t="shared" si="0"/>
        <v>22</v>
      </c>
      <c r="E25" s="1006">
        <f t="shared" si="2"/>
        <v>46167</v>
      </c>
      <c r="F25" s="333"/>
    </row>
    <row r="26" spans="1:6" s="980" customFormat="1" ht="13.05" customHeight="1" x14ac:dyDescent="0.35">
      <c r="A26" s="99"/>
      <c r="B26" s="725" t="s">
        <v>428</v>
      </c>
      <c r="C26" s="1004" t="str">
        <f>IF(DAY(E25)&gt;DAY(E26),_xlfn.XLOOKUP(MONTH(E26),Info!$AR$3:$AR$26,Info!$AT$3:$AT$26),"")</f>
        <v>Jun</v>
      </c>
      <c r="D26" s="1005">
        <f t="shared" si="0"/>
        <v>23</v>
      </c>
      <c r="E26" s="1006">
        <f t="shared" si="2"/>
        <v>46174</v>
      </c>
      <c r="F26" s="330"/>
    </row>
    <row r="27" spans="1:6" s="980" customFormat="1" ht="13.05" customHeight="1" x14ac:dyDescent="0.35">
      <c r="A27" s="99"/>
      <c r="B27" s="725" t="s">
        <v>429</v>
      </c>
      <c r="C27" s="1004" t="str">
        <f>IF(DAY(E26)&gt;DAY(E27),_xlfn.XLOOKUP(MONTH(E27),Info!$AR$3:$AR$26,Info!$AT$3:$AT$26),"")</f>
        <v/>
      </c>
      <c r="D27" s="1005">
        <f t="shared" si="0"/>
        <v>24</v>
      </c>
      <c r="E27" s="1006">
        <f t="shared" si="2"/>
        <v>46181</v>
      </c>
      <c r="F27" s="333"/>
    </row>
    <row r="28" spans="1:6" ht="13.05" customHeight="1" x14ac:dyDescent="0.3">
      <c r="B28" s="725" t="s">
        <v>430</v>
      </c>
      <c r="C28" s="1004" t="str">
        <f>IF(DAY(E27)&gt;DAY(E28),_xlfn.XLOOKUP(MONTH(E28),Info!$AR$3:$AR$26,Info!$AT$3:$AT$26),"")</f>
        <v/>
      </c>
      <c r="D28" s="1005">
        <f t="shared" si="0"/>
        <v>25</v>
      </c>
      <c r="E28" s="1006">
        <f t="shared" si="2"/>
        <v>46188</v>
      </c>
      <c r="F28" s="330"/>
    </row>
    <row r="29" spans="1:6" ht="13.05" customHeight="1" x14ac:dyDescent="0.3">
      <c r="B29" s="725" t="s">
        <v>431</v>
      </c>
      <c r="C29" s="1004" t="str">
        <f>IF(DAY(E28)&gt;DAY(E29),_xlfn.XLOOKUP(MONTH(E29),Info!$AR$3:$AR$26,Info!$AT$3:$AT$26),"")</f>
        <v/>
      </c>
      <c r="D29" s="1005">
        <f t="shared" si="0"/>
        <v>26</v>
      </c>
      <c r="E29" s="1006">
        <f t="shared" si="2"/>
        <v>46195</v>
      </c>
      <c r="F29" s="333"/>
    </row>
    <row r="30" spans="1:6" ht="13.05" customHeight="1" x14ac:dyDescent="0.3">
      <c r="B30" s="725" t="s">
        <v>432</v>
      </c>
      <c r="C30" s="1004" t="str">
        <f>IF(DAY(E29)&gt;DAY(E30),_xlfn.XLOOKUP(MONTH(E30),Info!$AR$3:$AR$26,Info!$AT$3:$AT$26),"")</f>
        <v/>
      </c>
      <c r="D30" s="1005">
        <f t="shared" si="0"/>
        <v>27</v>
      </c>
      <c r="E30" s="1006">
        <f t="shared" si="2"/>
        <v>46202</v>
      </c>
      <c r="F30" s="330"/>
    </row>
    <row r="31" spans="1:6" ht="13.05" customHeight="1" x14ac:dyDescent="0.3">
      <c r="B31" s="725" t="s">
        <v>433</v>
      </c>
      <c r="C31" s="1004" t="str">
        <f>IF(DAY(E30)&gt;DAY(E31),_xlfn.XLOOKUP(MONTH(E31),Info!$AR$3:$AR$26,Info!$AT$3:$AT$26),"")</f>
        <v>Jul</v>
      </c>
      <c r="D31" s="1005">
        <f t="shared" si="0"/>
        <v>28</v>
      </c>
      <c r="E31" s="1006">
        <f t="shared" si="2"/>
        <v>46209</v>
      </c>
      <c r="F31" s="333"/>
    </row>
    <row r="32" spans="1:6" ht="13.05" customHeight="1" x14ac:dyDescent="0.3">
      <c r="B32" s="725" t="s">
        <v>434</v>
      </c>
      <c r="C32" s="1004" t="str">
        <f>IF(DAY(E31)&gt;DAY(E32),_xlfn.XLOOKUP(MONTH(E32),Info!$AR$3:$AR$26,Info!$AT$3:$AT$26),"")</f>
        <v/>
      </c>
      <c r="D32" s="1005">
        <f t="shared" si="0"/>
        <v>29</v>
      </c>
      <c r="E32" s="1006">
        <f t="shared" si="2"/>
        <v>46216</v>
      </c>
      <c r="F32" s="330"/>
    </row>
    <row r="33" spans="2:6" ht="13.05" customHeight="1" x14ac:dyDescent="0.3">
      <c r="B33" s="725" t="s">
        <v>435</v>
      </c>
      <c r="C33" s="1004" t="str">
        <f>IF(DAY(E32)&gt;DAY(E33),_xlfn.XLOOKUP(MONTH(E33),Info!$AR$3:$AR$26,Info!$AT$3:$AT$26),"")</f>
        <v/>
      </c>
      <c r="D33" s="1005">
        <f t="shared" si="0"/>
        <v>30</v>
      </c>
      <c r="E33" s="1006">
        <f t="shared" si="2"/>
        <v>46223</v>
      </c>
      <c r="F33" s="333"/>
    </row>
    <row r="34" spans="2:6" ht="13.05" customHeight="1" x14ac:dyDescent="0.3">
      <c r="B34" s="725" t="s">
        <v>436</v>
      </c>
      <c r="C34" s="1004" t="str">
        <f>IF(DAY(E33)&gt;DAY(E34),_xlfn.XLOOKUP(MONTH(E34),Info!$AR$3:$AR$26,Info!$AT$3:$AT$26),"")</f>
        <v/>
      </c>
      <c r="D34" s="1005">
        <f t="shared" si="0"/>
        <v>31</v>
      </c>
      <c r="E34" s="1006">
        <f t="shared" si="2"/>
        <v>46230</v>
      </c>
      <c r="F34" s="330"/>
    </row>
    <row r="35" spans="2:6" ht="13.05" customHeight="1" x14ac:dyDescent="0.3">
      <c r="B35" s="725" t="s">
        <v>437</v>
      </c>
      <c r="C35" s="1004" t="str">
        <f>IF(DAY(E34)&gt;DAY(E35),_xlfn.XLOOKUP(MONTH(E35),Info!$AR$3:$AR$26,Info!$AT$3:$AT$26),"")</f>
        <v>Ago</v>
      </c>
      <c r="D35" s="1005">
        <f t="shared" si="0"/>
        <v>32</v>
      </c>
      <c r="E35" s="1006">
        <f t="shared" si="2"/>
        <v>46237</v>
      </c>
      <c r="F35" s="333"/>
    </row>
    <row r="36" spans="2:6" ht="13.05" customHeight="1" x14ac:dyDescent="0.3">
      <c r="B36" s="725" t="s">
        <v>438</v>
      </c>
      <c r="C36" s="1004" t="str">
        <f>IF(DAY(E35)&gt;DAY(E36),_xlfn.XLOOKUP(MONTH(E36),Info!$AR$3:$AR$26,Info!$AT$3:$AT$26),"")</f>
        <v/>
      </c>
      <c r="D36" s="1005">
        <f t="shared" ref="D36:D55" si="3">_xlfn.ISOWEEKNUM(DATE($B$3,MONTH(E36),DAY(E36)))</f>
        <v>33</v>
      </c>
      <c r="E36" s="1006">
        <f t="shared" si="2"/>
        <v>46244</v>
      </c>
      <c r="F36" s="330"/>
    </row>
    <row r="37" spans="2:6" ht="13.05" customHeight="1" x14ac:dyDescent="0.3">
      <c r="B37" s="725" t="s">
        <v>439</v>
      </c>
      <c r="C37" s="1004" t="str">
        <f>IF(DAY(E36)&gt;DAY(E37),_xlfn.XLOOKUP(MONTH(E37),Info!$AR$3:$AR$26,Info!$AT$3:$AT$26),"")</f>
        <v/>
      </c>
      <c r="D37" s="1005">
        <f t="shared" si="3"/>
        <v>34</v>
      </c>
      <c r="E37" s="1006">
        <f t="shared" si="2"/>
        <v>46251</v>
      </c>
      <c r="F37" s="333"/>
    </row>
    <row r="38" spans="2:6" ht="13.05" customHeight="1" x14ac:dyDescent="0.3">
      <c r="B38" s="725" t="s">
        <v>440</v>
      </c>
      <c r="C38" s="1004" t="str">
        <f>IF(DAY(E37)&gt;DAY(E38),_xlfn.XLOOKUP(MONTH(E38),Info!$AR$3:$AR$26,Info!$AT$3:$AT$26),"")</f>
        <v/>
      </c>
      <c r="D38" s="1005">
        <f t="shared" si="3"/>
        <v>35</v>
      </c>
      <c r="E38" s="1006">
        <f t="shared" si="2"/>
        <v>46258</v>
      </c>
      <c r="F38" s="330"/>
    </row>
    <row r="39" spans="2:6" ht="13.05" customHeight="1" x14ac:dyDescent="0.3">
      <c r="B39" s="725" t="s">
        <v>441</v>
      </c>
      <c r="C39" s="1004" t="str">
        <f>IF(DAY(E38)&gt;DAY(E39),_xlfn.XLOOKUP(MONTH(E39),Info!$AR$3:$AR$26,Info!$AT$3:$AT$26),"")</f>
        <v/>
      </c>
      <c r="D39" s="1005">
        <f t="shared" si="3"/>
        <v>36</v>
      </c>
      <c r="E39" s="1006">
        <f t="shared" si="2"/>
        <v>46265</v>
      </c>
      <c r="F39" s="333"/>
    </row>
    <row r="40" spans="2:6" ht="13.05" customHeight="1" x14ac:dyDescent="0.3">
      <c r="B40" s="725" t="s">
        <v>442</v>
      </c>
      <c r="C40" s="1004" t="str">
        <f>IF(DAY(E39)&gt;DAY(E40),_xlfn.XLOOKUP(MONTH(E40),Info!$AR$3:$AR$26,Info!$AT$3:$AT$26),"")</f>
        <v>Sep</v>
      </c>
      <c r="D40" s="1005">
        <f t="shared" si="3"/>
        <v>37</v>
      </c>
      <c r="E40" s="1006">
        <f t="shared" si="2"/>
        <v>46272</v>
      </c>
      <c r="F40" s="330"/>
    </row>
    <row r="41" spans="2:6" ht="13.05" customHeight="1" x14ac:dyDescent="0.3">
      <c r="B41" s="725" t="s">
        <v>443</v>
      </c>
      <c r="C41" s="1004" t="str">
        <f>IF(DAY(E40)&gt;DAY(E41),_xlfn.XLOOKUP(MONTH(E41),Info!$AR$3:$AR$26,Info!$AT$3:$AT$26),"")</f>
        <v/>
      </c>
      <c r="D41" s="1005">
        <f t="shared" si="3"/>
        <v>38</v>
      </c>
      <c r="E41" s="1006">
        <f t="shared" si="2"/>
        <v>46279</v>
      </c>
      <c r="F41" s="333"/>
    </row>
    <row r="42" spans="2:6" ht="13.05" customHeight="1" x14ac:dyDescent="0.3">
      <c r="B42" s="725" t="s">
        <v>444</v>
      </c>
      <c r="C42" s="1004" t="str">
        <f>IF(DAY(E41)&gt;DAY(E42),_xlfn.XLOOKUP(MONTH(E42),Info!$AR$3:$AR$26,Info!$AT$3:$AT$26),"")</f>
        <v/>
      </c>
      <c r="D42" s="1005">
        <f t="shared" si="3"/>
        <v>39</v>
      </c>
      <c r="E42" s="1006">
        <f t="shared" si="2"/>
        <v>46286</v>
      </c>
      <c r="F42" s="330"/>
    </row>
    <row r="43" spans="2:6" ht="13.05" customHeight="1" x14ac:dyDescent="0.3">
      <c r="B43" s="725" t="s">
        <v>445</v>
      </c>
      <c r="C43" s="1004" t="str">
        <f>IF(DAY(E42)&gt;DAY(E43),_xlfn.XLOOKUP(MONTH(E43),Info!$AR$3:$AR$26,Info!$AT$3:$AT$26),"")</f>
        <v/>
      </c>
      <c r="D43" s="1005">
        <f t="shared" si="3"/>
        <v>40</v>
      </c>
      <c r="E43" s="1006">
        <f t="shared" si="2"/>
        <v>46293</v>
      </c>
      <c r="F43" s="333"/>
    </row>
    <row r="44" spans="2:6" ht="13.05" customHeight="1" x14ac:dyDescent="0.3">
      <c r="B44" s="725" t="s">
        <v>446</v>
      </c>
      <c r="C44" s="1004" t="str">
        <f>IF(DAY(E43)&gt;DAY(E44),_xlfn.XLOOKUP(MONTH(E44),Info!$AR$3:$AR$26,Info!$AT$3:$AT$26),"")</f>
        <v>Oct</v>
      </c>
      <c r="D44" s="1005">
        <f t="shared" si="3"/>
        <v>41</v>
      </c>
      <c r="E44" s="1006">
        <f t="shared" si="2"/>
        <v>46300</v>
      </c>
      <c r="F44" s="330"/>
    </row>
    <row r="45" spans="2:6" ht="13.05" customHeight="1" x14ac:dyDescent="0.3">
      <c r="B45" s="725" t="s">
        <v>447</v>
      </c>
      <c r="C45" s="1004" t="str">
        <f>IF(DAY(E44)&gt;DAY(E45),_xlfn.XLOOKUP(MONTH(E45),Info!$AR$3:$AR$26,Info!$AT$3:$AT$26),"")</f>
        <v/>
      </c>
      <c r="D45" s="1005">
        <f t="shared" si="3"/>
        <v>42</v>
      </c>
      <c r="E45" s="1006">
        <f t="shared" si="2"/>
        <v>46307</v>
      </c>
      <c r="F45" s="333"/>
    </row>
    <row r="46" spans="2:6" ht="13.05" customHeight="1" x14ac:dyDescent="0.3">
      <c r="B46" s="725" t="s">
        <v>448</v>
      </c>
      <c r="C46" s="1004" t="str">
        <f>IF(DAY(E45)&gt;DAY(E46),_xlfn.XLOOKUP(MONTH(E46),Info!$AR$3:$AR$26,Info!$AT$3:$AT$26),"")</f>
        <v/>
      </c>
      <c r="D46" s="1005">
        <f t="shared" si="3"/>
        <v>43</v>
      </c>
      <c r="E46" s="1006">
        <f t="shared" si="2"/>
        <v>46314</v>
      </c>
      <c r="F46" s="330"/>
    </row>
    <row r="47" spans="2:6" ht="13.05" customHeight="1" x14ac:dyDescent="0.3">
      <c r="B47" s="725" t="s">
        <v>449</v>
      </c>
      <c r="C47" s="1004" t="str">
        <f>IF(DAY(E46)&gt;DAY(E47),_xlfn.XLOOKUP(MONTH(E47),Info!$AR$3:$AR$26,Info!$AT$3:$AT$26),"")</f>
        <v/>
      </c>
      <c r="D47" s="1005">
        <f t="shared" si="3"/>
        <v>44</v>
      </c>
      <c r="E47" s="1006">
        <f t="shared" si="2"/>
        <v>46321</v>
      </c>
      <c r="F47" s="333"/>
    </row>
    <row r="48" spans="2:6" ht="13.05" customHeight="1" x14ac:dyDescent="0.3">
      <c r="B48" s="725" t="s">
        <v>450</v>
      </c>
      <c r="C48" s="1004" t="str">
        <f>IF(DAY(E47)&gt;DAY(E48),_xlfn.XLOOKUP(MONTH(E48),Info!$AR$3:$AR$26,Info!$AT$3:$AT$26),"")</f>
        <v>Nov</v>
      </c>
      <c r="D48" s="1005">
        <f t="shared" si="3"/>
        <v>45</v>
      </c>
      <c r="E48" s="1006">
        <f t="shared" si="2"/>
        <v>46328</v>
      </c>
      <c r="F48" s="330"/>
    </row>
    <row r="49" spans="1:6" ht="13.05" customHeight="1" x14ac:dyDescent="0.3">
      <c r="B49" s="725" t="s">
        <v>451</v>
      </c>
      <c r="C49" s="1004" t="str">
        <f>IF(DAY(E48)&gt;DAY(E49),_xlfn.XLOOKUP(MONTH(E49),Info!$AR$3:$AR$26,Info!$AT$3:$AT$26),"")</f>
        <v/>
      </c>
      <c r="D49" s="1005">
        <f t="shared" si="3"/>
        <v>46</v>
      </c>
      <c r="E49" s="1006">
        <f t="shared" si="2"/>
        <v>46335</v>
      </c>
      <c r="F49" s="333"/>
    </row>
    <row r="50" spans="1:6" ht="13.05" customHeight="1" x14ac:dyDescent="0.3">
      <c r="B50" s="725" t="s">
        <v>452</v>
      </c>
      <c r="C50" s="1004" t="str">
        <f>IF(DAY(E49)&gt;DAY(E50),_xlfn.XLOOKUP(MONTH(E50),Info!$AR$3:$AR$26,Info!$AT$3:$AT$26),"")</f>
        <v/>
      </c>
      <c r="D50" s="1005">
        <f t="shared" si="3"/>
        <v>47</v>
      </c>
      <c r="E50" s="1006">
        <f t="shared" si="2"/>
        <v>46342</v>
      </c>
      <c r="F50" s="330"/>
    </row>
    <row r="51" spans="1:6" ht="13.05" customHeight="1" x14ac:dyDescent="0.3">
      <c r="B51" s="725" t="s">
        <v>453</v>
      </c>
      <c r="C51" s="1004" t="str">
        <f>IF(DAY(E50)&gt;DAY(E51),_xlfn.XLOOKUP(MONTH(E51),Info!$AR$3:$AR$26,Info!$AT$3:$AT$26),"")</f>
        <v/>
      </c>
      <c r="D51" s="1005">
        <f t="shared" si="3"/>
        <v>48</v>
      </c>
      <c r="E51" s="1006">
        <f t="shared" si="2"/>
        <v>46349</v>
      </c>
      <c r="F51" s="333"/>
    </row>
    <row r="52" spans="1:6" ht="13.05" customHeight="1" x14ac:dyDescent="0.3">
      <c r="B52" s="725" t="s">
        <v>454</v>
      </c>
      <c r="C52" s="1004" t="str">
        <f>IF(DAY(E51)&gt;DAY(E52),_xlfn.XLOOKUP(MONTH(E52),Info!$AR$3:$AR$26,Info!$AT$3:$AT$26),"")</f>
        <v/>
      </c>
      <c r="D52" s="1005">
        <f t="shared" si="3"/>
        <v>49</v>
      </c>
      <c r="E52" s="1006">
        <f t="shared" si="2"/>
        <v>46356</v>
      </c>
      <c r="F52" s="330"/>
    </row>
    <row r="53" spans="1:6" ht="13.05" customHeight="1" x14ac:dyDescent="0.3">
      <c r="B53" s="725" t="s">
        <v>455</v>
      </c>
      <c r="C53" s="1004" t="str">
        <f>IF(DAY(E52)&gt;DAY(E53),_xlfn.XLOOKUP(MONTH(E53),Info!$AR$3:$AR$26,Info!$AT$3:$AT$26),"")</f>
        <v>Dic</v>
      </c>
      <c r="D53" s="1005">
        <f t="shared" si="3"/>
        <v>50</v>
      </c>
      <c r="E53" s="1006">
        <f t="shared" si="2"/>
        <v>46363</v>
      </c>
      <c r="F53" s="333"/>
    </row>
    <row r="54" spans="1:6" ht="13.05" customHeight="1" x14ac:dyDescent="0.3">
      <c r="B54" s="725" t="s">
        <v>456</v>
      </c>
      <c r="C54" s="1004" t="str">
        <f>IF(DAY(E53)&gt;DAY(E54),_xlfn.XLOOKUP(MONTH(E54),Info!$AR$3:$AR$26,Info!$AT$3:$AT$26),"")</f>
        <v/>
      </c>
      <c r="D54" s="1005">
        <f t="shared" si="3"/>
        <v>51</v>
      </c>
      <c r="E54" s="1006">
        <f t="shared" si="2"/>
        <v>46370</v>
      </c>
      <c r="F54" s="330"/>
    </row>
    <row r="55" spans="1:6" ht="13.05" customHeight="1" x14ac:dyDescent="0.3">
      <c r="B55" s="725" t="s">
        <v>457</v>
      </c>
      <c r="C55" s="1004" t="str">
        <f>IF(DAY(E54)&gt;DAY(E55),_xlfn.XLOOKUP(MONTH(E55),Info!$AR$3:$AR$26,Info!$AT$3:$AT$26),"")</f>
        <v/>
      </c>
      <c r="D55" s="1005">
        <f t="shared" si="3"/>
        <v>52</v>
      </c>
      <c r="E55" s="1006">
        <f t="shared" si="2"/>
        <v>46377</v>
      </c>
      <c r="F55" s="333"/>
    </row>
    <row r="56" spans="1:6" ht="13.05" customHeight="1" thickBot="1" x14ac:dyDescent="0.35">
      <c r="A56" s="488"/>
      <c r="B56" s="742"/>
      <c r="C56" s="488"/>
      <c r="D56" s="488"/>
      <c r="E56" s="488"/>
      <c r="F56" s="488"/>
    </row>
  </sheetData>
  <sheetProtection formatCells="0" formatColumns="0" formatRows="0" insertColumns="0" insertRows="0" insertHyperlinks="0" deleteColumns="0" deleteRows="0" sort="0" autoFilter="0" pivotTables="0"/>
  <conditionalFormatting sqref="D4:D55">
    <cfRule type="expression" dxfId="12" priority="1">
      <formula>D$6=0</formula>
    </cfRule>
  </conditionalFormatting>
  <pageMargins left="0.59055118110236227" right="0.39370078740157483" top="0.39370078740157483" bottom="0.39370078740157483" header="0.39370078740157483" footer="0.39370078740157483"/>
  <pageSetup paperSize="9" fitToHeight="0" orientation="portrait" r:id="rId1"/>
  <colBreaks count="1" manualBreakCount="1">
    <brk id="7" max="29" man="1"/>
  </colBreaks>
  <ignoredErrors>
    <ignoredError sqref="B4:C55" numberStoredAsText="1"/>
    <ignoredError sqref="D4:D55" numberStoredAsText="1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297D4F1-9B52-4E25-807B-7F065B0273E5}">
          <x14:formula1>
            <xm:f>Info!$AM$3:$AM$14</xm:f>
          </x14:formula1>
          <xm:sqref>B2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3429-FF36-4CBC-8D7A-F83405B85196}">
  <sheetPr>
    <tabColor theme="0"/>
    <pageSetUpPr autoPageBreaks="0"/>
  </sheetPr>
  <dimension ref="A1:M29"/>
  <sheetViews>
    <sheetView showGridLines="0" showZeros="0" view="pageBreakPreview" zoomScale="55" zoomScaleNormal="25" zoomScaleSheetLayoutView="55" workbookViewId="0">
      <pane ySplit="1" topLeftCell="A2" activePane="bottomLeft" state="frozen"/>
      <selection pane="bottomLeft" activeCell="B3" sqref="B3:I24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9" width="18.21875" style="99" customWidth="1"/>
    <col min="10" max="10" width="2.5546875" style="99" customWidth="1"/>
    <col min="11" max="11" width="12.21875" style="99" customWidth="1"/>
    <col min="12" max="12" width="9.5546875" style="99" customWidth="1"/>
    <col min="13" max="16384" width="8.5546875" style="99"/>
  </cols>
  <sheetData>
    <row r="1" spans="1:13" s="736" customFormat="1" ht="24" customHeight="1" thickBot="1" x14ac:dyDescent="0.5">
      <c r="A1" s="489" t="str">
        <f>"Mes: "&amp;_xlfn.XLOOKUP($B$2,Info!$AM$3:$AM$14,Info!$AP$3:$AP$14)&amp;" de "&amp;_xlfn.XLOOKUP($B$2,Info!$AM$3:$AM$14,Info!$AN$3:$AN$14)</f>
        <v>Mes: enero de 2026</v>
      </c>
      <c r="B1" s="737"/>
      <c r="C1" s="491"/>
      <c r="D1" s="491"/>
      <c r="E1" s="491"/>
      <c r="F1" s="491"/>
      <c r="G1" s="491"/>
      <c r="H1" s="491"/>
      <c r="I1" s="479"/>
      <c r="J1" s="487"/>
    </row>
    <row r="2" spans="1:13" x14ac:dyDescent="0.3">
      <c r="A2" s="98"/>
      <c r="B2" s="968">
        <v>1</v>
      </c>
      <c r="C2" s="466" t="s">
        <v>381</v>
      </c>
      <c r="D2" s="319"/>
      <c r="E2" s="13"/>
      <c r="I2" s="13"/>
      <c r="J2" s="98"/>
      <c r="K2" s="53"/>
    </row>
    <row r="3" spans="1:13" s="727" customFormat="1" ht="30" x14ac:dyDescent="0.3">
      <c r="A3" s="71"/>
      <c r="B3" s="970"/>
      <c r="C3" s="1219">
        <f>DATE(_xlfn.XLOOKUP($B$2,Info!$AM$3:$AM$14,Info!$AN$3:$AN$14),$B$2,1)</f>
        <v>46023</v>
      </c>
      <c r="D3" s="1219"/>
      <c r="E3" s="1219"/>
      <c r="F3" s="1219"/>
      <c r="G3" s="1219"/>
      <c r="H3" s="1219"/>
      <c r="I3" s="855">
        <f>_xlfn.XLOOKUP($B$2,Info!$AM$3:$AM$14,Info!$AN$3:$AN$14)</f>
        <v>2026</v>
      </c>
      <c r="J3" s="71"/>
    </row>
    <row r="4" spans="1:13" s="725" customFormat="1" ht="30" customHeight="1" x14ac:dyDescent="0.3">
      <c r="A4" s="466"/>
      <c r="B4" s="975" t="s">
        <v>220</v>
      </c>
      <c r="C4" s="971" t="s">
        <v>0</v>
      </c>
      <c r="D4" s="78" t="s">
        <v>1</v>
      </c>
      <c r="E4" s="78" t="s">
        <v>27</v>
      </c>
      <c r="F4" s="78" t="s">
        <v>2</v>
      </c>
      <c r="G4" s="78" t="s">
        <v>3</v>
      </c>
      <c r="H4" s="78" t="s">
        <v>28</v>
      </c>
      <c r="I4" s="972" t="s">
        <v>29</v>
      </c>
      <c r="J4" s="466"/>
    </row>
    <row r="5" spans="1:13" s="103" customFormat="1" ht="30" customHeight="1" x14ac:dyDescent="0.3">
      <c r="A5" s="15"/>
      <c r="B5" s="975">
        <f>_xlfn.ISOWEEKNUM(C3)</f>
        <v>1</v>
      </c>
      <c r="C5" s="973">
        <f>IF(WEEKDAY(C3,2)=1,C3,0)</f>
        <v>0</v>
      </c>
      <c r="D5" s="973">
        <f>IF(WEEKDAY(C3,2)=2, C3, IF(WEEKDAY(C3,2)&lt;2, C5+1,0))</f>
        <v>0</v>
      </c>
      <c r="E5" s="973">
        <f>IF(WEEKDAY(C3,2)=3, C3, IF(WEEKDAY(C3,2)&lt;3, D5+1,0))</f>
        <v>0</v>
      </c>
      <c r="F5" s="973">
        <f>IF(WEEKDAY(C3,2)=4, C3, IF(WEEKDAY(C3,2)&lt;4, E5+1,0))</f>
        <v>46023</v>
      </c>
      <c r="G5" s="973">
        <f>IF(WEEKDAY(C3,2)=5, C3, IF(WEEKDAY(C3,2)&lt;5, F5+1,0))</f>
        <v>46024</v>
      </c>
      <c r="H5" s="974">
        <f>IF(WEEKDAY(C3,2)=6, C3, IF(WEEKDAY(C3,2)&lt;6, G5+1,0))</f>
        <v>46025</v>
      </c>
      <c r="I5" s="974">
        <f>IF(WEEKDAY(C3,2)=7, C3, IF(WEEKDAY(C3,2)&lt;7, H5+1,0))</f>
        <v>46026</v>
      </c>
      <c r="J5" s="15"/>
      <c r="K5" s="15"/>
    </row>
    <row r="6" spans="1:13" s="407" customFormat="1" ht="30" customHeight="1" x14ac:dyDescent="0.3">
      <c r="A6" s="138"/>
      <c r="B6" s="738"/>
      <c r="C6" s="427">
        <f>IFERROR(_xlfn.XLOOKUP(C5,Flts!$I$14:$I$349,Flts!$C$14:$C$349),0)</f>
        <v>0</v>
      </c>
      <c r="D6" s="428">
        <f>IFERROR(_xlfn.XLOOKUP(D5,Flts!$I$14:$I$349,Flts!$C$14:$C$349),0)</f>
        <v>0</v>
      </c>
      <c r="E6" s="428">
        <f>IFERROR(_xlfn.XLOOKUP(E5,Flts!$I$14:$I$349,Flts!$C$14:$C$349),0)</f>
        <v>0</v>
      </c>
      <c r="F6" s="428" t="str">
        <f>IFERROR(_xlfn.XLOOKUP(F5,Flts!$I$14:$I$349,Flts!$C$14:$C$349),0)</f>
        <v>Navidad</v>
      </c>
      <c r="G6" s="428" t="str">
        <f>IFERROR(_xlfn.XLOOKUP(G5,Flts!$I$14:$I$349,Flts!$C$14:$C$349),0)</f>
        <v>Navidad</v>
      </c>
      <c r="H6" s="428">
        <f>IFERROR(_xlfn.XLOOKUP(H5,Flts!$I$14:$I$349,Flts!$C$14:$C$349),0)</f>
        <v>0</v>
      </c>
      <c r="I6" s="428">
        <f>IFERROR(_xlfn.XLOOKUP(I5,Flts!$I$14:$I$349,Flts!$C$14:$C$349),0)</f>
        <v>0</v>
      </c>
      <c r="J6" s="138"/>
      <c r="K6" s="138"/>
    </row>
    <row r="7" spans="1:13" s="408" customFormat="1" ht="30" customHeight="1" x14ac:dyDescent="0.3">
      <c r="A7" s="286"/>
      <c r="B7" s="738"/>
      <c r="C7" s="429">
        <f>IFERROR(_xlfn.XLOOKUP(C5,Flts!$I$14:$I$349,Flts!$D$14:$D$349),0)</f>
        <v>0</v>
      </c>
      <c r="D7" s="430">
        <f>IFERROR(_xlfn.XLOOKUP(D5,Flts!$I$14:$I$349,Flts!$D$14:$D$349),0)</f>
        <v>0</v>
      </c>
      <c r="E7" s="430">
        <f>IFERROR(_xlfn.XLOOKUP(E5,Flts!$I$14:$I$349,Flts!$D$14:$D$349),0)</f>
        <v>0</v>
      </c>
      <c r="F7" s="430">
        <f>IFERROR(_xlfn.XLOOKUP(F5,Flts!$I$14:$I$349,Flts!$D$14:$D$349),0)</f>
        <v>0</v>
      </c>
      <c r="G7" s="430">
        <f>IFERROR(_xlfn.XLOOKUP(G5,Flts!$I$14:$I$349,Flts!$D$14:$D$349),0)</f>
        <v>0</v>
      </c>
      <c r="H7" s="430">
        <f>IFERROR(_xlfn.XLOOKUP(H5,Flts!$I$14:$I$349,Flts!$D$14:$D$349),0)</f>
        <v>0</v>
      </c>
      <c r="I7" s="430">
        <f>IFERROR(_xlfn.XLOOKUP(I5,Flts!$I$14:$I$349,Flts!$D$14:$D$349),0)</f>
        <v>0</v>
      </c>
      <c r="J7" s="286"/>
      <c r="K7" s="421"/>
    </row>
    <row r="8" spans="1:13" s="409" customFormat="1" ht="87.6" customHeight="1" x14ac:dyDescent="0.3">
      <c r="A8" s="286"/>
      <c r="B8" s="738"/>
      <c r="C8" s="431"/>
      <c r="D8" s="432"/>
      <c r="E8" s="432"/>
      <c r="F8" s="432"/>
      <c r="G8" s="432"/>
      <c r="H8" s="433"/>
      <c r="I8" s="432"/>
      <c r="J8" s="286"/>
      <c r="K8" s="366"/>
    </row>
    <row r="9" spans="1:13" s="103" customFormat="1" ht="30" customHeight="1" x14ac:dyDescent="0.3">
      <c r="A9" s="15"/>
      <c r="B9" s="975">
        <f>_xlfn.ISOWEEKNUM(C9)</f>
        <v>2</v>
      </c>
      <c r="C9" s="973">
        <f>I5+1</f>
        <v>46027</v>
      </c>
      <c r="D9" s="973">
        <f>C9+1</f>
        <v>46028</v>
      </c>
      <c r="E9" s="973">
        <f t="shared" ref="E9:I9" si="0">D9+1</f>
        <v>46029</v>
      </c>
      <c r="F9" s="973">
        <f t="shared" si="0"/>
        <v>46030</v>
      </c>
      <c r="G9" s="973">
        <f t="shared" si="0"/>
        <v>46031</v>
      </c>
      <c r="H9" s="974">
        <f t="shared" si="0"/>
        <v>46032</v>
      </c>
      <c r="I9" s="974">
        <f t="shared" si="0"/>
        <v>46033</v>
      </c>
      <c r="J9" s="15"/>
      <c r="K9" s="15"/>
    </row>
    <row r="10" spans="1:13" s="101" customFormat="1" ht="30" customHeight="1" x14ac:dyDescent="0.3">
      <c r="A10" s="15"/>
      <c r="B10" s="738"/>
      <c r="C10" s="434" t="str">
        <f>IFERROR(_xlfn.XLOOKUP(C9,Flts!$I$14:$I$349,Flts!$C$14:$C$349),0)</f>
        <v>Navidad</v>
      </c>
      <c r="D10" s="435" t="str">
        <f>IFERROR(_xlfn.XLOOKUP(D9,Flts!$I$14:$I$349,Flts!$C$14:$C$349),0)</f>
        <v>Navidad</v>
      </c>
      <c r="E10" s="435">
        <f>IFERROR(_xlfn.XLOOKUP(E9,Flts!$I$14:$I$349,Flts!$C$14:$C$349),0)</f>
        <v>0</v>
      </c>
      <c r="F10" s="435">
        <f>IFERROR(_xlfn.XLOOKUP(F9,Flts!$I$14:$I$349,Flts!$C$14:$C$349),0)</f>
        <v>0</v>
      </c>
      <c r="G10" s="435">
        <f>IFERROR(_xlfn.XLOOKUP(G9,Flts!$I$14:$I$349,Flts!$C$14:$C$349),0)</f>
        <v>0</v>
      </c>
      <c r="H10" s="435">
        <f>IFERROR(_xlfn.XLOOKUP(H9,Flts!$I$14:$I$349,Flts!$C$14:$C$349),0)</f>
        <v>0</v>
      </c>
      <c r="I10" s="435">
        <f>IFERROR(_xlfn.XLOOKUP(I9,Flts!$I$14:$I$349,Flts!$C$14:$C$349),0)</f>
        <v>0</v>
      </c>
      <c r="J10" s="15"/>
      <c r="K10" s="15"/>
    </row>
    <row r="11" spans="1:13" s="320" customFormat="1" ht="30" customHeight="1" x14ac:dyDescent="0.3">
      <c r="A11" s="13"/>
      <c r="B11" s="738"/>
      <c r="C11" s="436">
        <f>IFERROR(_xlfn.XLOOKUP(C9,Flts!$I$14:$I$349,Flts!$D$14:$D$349),0)</f>
        <v>0</v>
      </c>
      <c r="D11" s="437">
        <f>IFERROR(_xlfn.XLOOKUP(D9,Flts!$I$14:$I$349,Flts!$D$14:$D$349),0)</f>
        <v>0</v>
      </c>
      <c r="E11" s="437">
        <f>IFERROR(_xlfn.XLOOKUP(E9,Flts!$I$14:$I$349,Flts!$D$14:$D$349),0)</f>
        <v>0</v>
      </c>
      <c r="F11" s="437">
        <f>IFERROR(_xlfn.XLOOKUP(F9,Flts!$I$14:$I$349,Flts!$D$14:$D$349),0)</f>
        <v>0</v>
      </c>
      <c r="G11" s="437">
        <f>IFERROR(_xlfn.XLOOKUP(G9,Flts!$I$14:$I$349,Flts!$D$14:$D$349),0)</f>
        <v>0</v>
      </c>
      <c r="H11" s="437">
        <f>IFERROR(_xlfn.XLOOKUP(H9,Flts!$I$14:$I$349,Flts!$D$14:$D$349),0)</f>
        <v>0</v>
      </c>
      <c r="I11" s="437">
        <f>IFERROR(_xlfn.XLOOKUP(I9,Flts!$I$14:$I$349,Flts!$D$14:$D$349),0)</f>
        <v>0</v>
      </c>
      <c r="J11" s="13"/>
      <c r="K11" s="265"/>
    </row>
    <row r="12" spans="1:13" s="409" customFormat="1" ht="88.05" customHeight="1" x14ac:dyDescent="0.3">
      <c r="A12" s="286"/>
      <c r="B12" s="738"/>
      <c r="C12" s="438"/>
      <c r="D12" s="432"/>
      <c r="E12" s="432"/>
      <c r="F12" s="432"/>
      <c r="G12" s="432"/>
      <c r="H12" s="433"/>
      <c r="I12" s="432"/>
      <c r="J12" s="286"/>
      <c r="K12" s="366"/>
    </row>
    <row r="13" spans="1:13" s="103" customFormat="1" ht="30" customHeight="1" x14ac:dyDescent="0.3">
      <c r="A13" s="15"/>
      <c r="B13" s="975">
        <f>B9+1</f>
        <v>3</v>
      </c>
      <c r="C13" s="973">
        <f>I9+1</f>
        <v>46034</v>
      </c>
      <c r="D13" s="973">
        <f>C13+1</f>
        <v>46035</v>
      </c>
      <c r="E13" s="973">
        <f t="shared" ref="E13:I13" si="1">D13+1</f>
        <v>46036</v>
      </c>
      <c r="F13" s="973">
        <f t="shared" si="1"/>
        <v>46037</v>
      </c>
      <c r="G13" s="973">
        <f t="shared" si="1"/>
        <v>46038</v>
      </c>
      <c r="H13" s="974">
        <f t="shared" si="1"/>
        <v>46039</v>
      </c>
      <c r="I13" s="974">
        <f t="shared" si="1"/>
        <v>46040</v>
      </c>
      <c r="J13" s="15"/>
      <c r="K13" s="15"/>
    </row>
    <row r="14" spans="1:13" s="101" customFormat="1" ht="30" customHeight="1" x14ac:dyDescent="0.3">
      <c r="A14" s="15"/>
      <c r="B14" s="738"/>
      <c r="C14" s="434">
        <f>IFERROR(_xlfn.XLOOKUP(C13,Flts!$I$14:$I$349,Flts!$C$14:$C$349),0)</f>
        <v>0</v>
      </c>
      <c r="D14" s="435">
        <f>IFERROR(_xlfn.XLOOKUP(D13,Flts!$I$14:$I$349,Flts!$C$14:$C$349),0)</f>
        <v>0</v>
      </c>
      <c r="E14" s="435">
        <f>IFERROR(_xlfn.XLOOKUP(E13,Flts!$I$14:$I$349,Flts!$C$14:$C$349),0)</f>
        <v>0</v>
      </c>
      <c r="F14" s="435">
        <f>IFERROR(_xlfn.XLOOKUP(F13,Flts!$I$14:$I$349,Flts!$C$14:$C$349),0)</f>
        <v>0</v>
      </c>
      <c r="G14" s="435">
        <f>IFERROR(_xlfn.XLOOKUP(G13,Flts!$I$14:$I$349,Flts!$C$14:$C$349),0)</f>
        <v>0</v>
      </c>
      <c r="H14" s="435">
        <f>IFERROR(_xlfn.XLOOKUP(H13,Flts!$I$14:$I$349,Flts!$C$14:$C$349),0)</f>
        <v>0</v>
      </c>
      <c r="I14" s="435">
        <f>IFERROR(_xlfn.XLOOKUP(I13,Flts!$I$14:$I$349,Flts!$C$14:$C$349),0)</f>
        <v>0</v>
      </c>
      <c r="J14" s="15"/>
      <c r="K14" s="15"/>
    </row>
    <row r="15" spans="1:13" s="320" customFormat="1" ht="30" customHeight="1" x14ac:dyDescent="0.3">
      <c r="A15" s="13"/>
      <c r="B15" s="738"/>
      <c r="C15" s="436">
        <f>IFERROR(_xlfn.XLOOKUP(C13,Flts!$I$14:$I$349,Flts!$D$14:$D$349),0)</f>
        <v>0</v>
      </c>
      <c r="D15" s="437">
        <f>IFERROR(_xlfn.XLOOKUP(D13,Flts!$I$14:$I$349,Flts!$D$14:$D$349),0)</f>
        <v>0</v>
      </c>
      <c r="E15" s="437">
        <f>IFERROR(_xlfn.XLOOKUP(E13,Flts!$I$14:$I$349,Flts!$D$14:$D$349),0)</f>
        <v>0</v>
      </c>
      <c r="F15" s="437">
        <f>IFERROR(_xlfn.XLOOKUP(F13,Flts!$I$14:$I$349,Flts!$D$14:$D$349),0)</f>
        <v>0</v>
      </c>
      <c r="G15" s="437">
        <f>IFERROR(_xlfn.XLOOKUP(G13,Flts!$I$14:$I$349,Flts!$D$14:$D$349),0)</f>
        <v>0</v>
      </c>
      <c r="H15" s="437">
        <f>IFERROR(_xlfn.XLOOKUP(H13,Flts!$I$14:$I$349,Flts!$D$14:$D$349),0)</f>
        <v>0</v>
      </c>
      <c r="I15" s="437">
        <f>IFERROR(_xlfn.XLOOKUP(I13,Flts!$I$14:$I$349,Flts!$D$14:$D$349),0)</f>
        <v>0</v>
      </c>
      <c r="J15" s="13"/>
      <c r="K15" s="265"/>
      <c r="M15" s="408"/>
    </row>
    <row r="16" spans="1:13" s="409" customFormat="1" ht="86.55" customHeight="1" x14ac:dyDescent="0.3">
      <c r="A16" s="286"/>
      <c r="B16" s="738"/>
      <c r="C16" s="438"/>
      <c r="D16" s="432"/>
      <c r="E16" s="432"/>
      <c r="F16" s="432"/>
      <c r="G16" s="432"/>
      <c r="H16" s="433"/>
      <c r="I16" s="432"/>
      <c r="J16" s="286"/>
      <c r="K16" s="366"/>
    </row>
    <row r="17" spans="1:11" s="103" customFormat="1" ht="30" customHeight="1" x14ac:dyDescent="0.3">
      <c r="A17" s="15"/>
      <c r="B17" s="975">
        <f>B13+1</f>
        <v>4</v>
      </c>
      <c r="C17" s="973">
        <f>I13+1</f>
        <v>46041</v>
      </c>
      <c r="D17" s="973">
        <f>C17+1</f>
        <v>46042</v>
      </c>
      <c r="E17" s="973">
        <f t="shared" ref="E17:I17" si="2">D17+1</f>
        <v>46043</v>
      </c>
      <c r="F17" s="973">
        <f t="shared" si="2"/>
        <v>46044</v>
      </c>
      <c r="G17" s="973">
        <f t="shared" si="2"/>
        <v>46045</v>
      </c>
      <c r="H17" s="974">
        <f t="shared" si="2"/>
        <v>46046</v>
      </c>
      <c r="I17" s="974">
        <f t="shared" si="2"/>
        <v>46047</v>
      </c>
      <c r="J17" s="15"/>
      <c r="K17" s="15"/>
    </row>
    <row r="18" spans="1:11" s="101" customFormat="1" ht="30" customHeight="1" x14ac:dyDescent="0.3">
      <c r="A18" s="15"/>
      <c r="B18" s="738"/>
      <c r="C18" s="434">
        <f>IFERROR(_xlfn.XLOOKUP(C17,Flts!$I$14:$I$349,Flts!$C$14:$C$349),0)</f>
        <v>0</v>
      </c>
      <c r="D18" s="435">
        <f>IFERROR(_xlfn.XLOOKUP(D17,Flts!$I$14:$I$349,Flts!$C$14:$C$349),0)</f>
        <v>0</v>
      </c>
      <c r="E18" s="435">
        <f>IFERROR(_xlfn.XLOOKUP(E17,Flts!$I$14:$I$349,Flts!$C$14:$C$349),0)</f>
        <v>0</v>
      </c>
      <c r="F18" s="435">
        <f>IFERROR(_xlfn.XLOOKUP(F17,Flts!$I$14:$I$349,Flts!$C$14:$C$349),0)</f>
        <v>0</v>
      </c>
      <c r="G18" s="435">
        <f>IFERROR(_xlfn.XLOOKUP(G17,Flts!$I$14:$I$349,Flts!$C$14:$C$349),0)</f>
        <v>0</v>
      </c>
      <c r="H18" s="435">
        <f>IFERROR(_xlfn.XLOOKUP(H17,Flts!$I$14:$I$349,Flts!$C$14:$C$349),0)</f>
        <v>0</v>
      </c>
      <c r="I18" s="435">
        <f>IFERROR(_xlfn.XLOOKUP(I17,Flts!$I$14:$I$349,Flts!$C$14:$C$349),0)</f>
        <v>0</v>
      </c>
      <c r="J18" s="15"/>
      <c r="K18" s="15"/>
    </row>
    <row r="19" spans="1:11" s="320" customFormat="1" ht="30" customHeight="1" x14ac:dyDescent="0.3">
      <c r="A19" s="13"/>
      <c r="B19" s="738"/>
      <c r="C19" s="436">
        <f>IFERROR(_xlfn.XLOOKUP(C17,Flts!$I$14:$I$349,Flts!$D$14:$D$349),0)</f>
        <v>0</v>
      </c>
      <c r="D19" s="437">
        <f>IFERROR(_xlfn.XLOOKUP(D17,Flts!$I$14:$I$349,Flts!$D$14:$D$349),0)</f>
        <v>0</v>
      </c>
      <c r="E19" s="437">
        <f>IFERROR(_xlfn.XLOOKUP(E17,Flts!$I$14:$I$349,Flts!$D$14:$D$349),0)</f>
        <v>0</v>
      </c>
      <c r="F19" s="437">
        <f>IFERROR(_xlfn.XLOOKUP(F17,Flts!$I$14:$I$349,Flts!$D$14:$D$349),0)</f>
        <v>0</v>
      </c>
      <c r="G19" s="437">
        <f>IFERROR(_xlfn.XLOOKUP(G17,Flts!$I$14:$I$349,Flts!$D$14:$D$349),0)</f>
        <v>0</v>
      </c>
      <c r="H19" s="437">
        <f>IFERROR(_xlfn.XLOOKUP(H17,Flts!$I$14:$I$349,Flts!$D$14:$D$349),0)</f>
        <v>0</v>
      </c>
      <c r="I19" s="437">
        <f>IFERROR(_xlfn.XLOOKUP(I17,Flts!$I$14:$I$349,Flts!$D$14:$D$349),0)</f>
        <v>0</v>
      </c>
      <c r="J19" s="13"/>
      <c r="K19" s="265"/>
    </row>
    <row r="20" spans="1:11" s="409" customFormat="1" ht="88.05" customHeight="1" x14ac:dyDescent="0.3">
      <c r="A20" s="286"/>
      <c r="B20" s="738"/>
      <c r="C20" s="438"/>
      <c r="D20" s="432"/>
      <c r="E20" s="432"/>
      <c r="F20" s="432"/>
      <c r="G20" s="432"/>
      <c r="H20" s="433"/>
      <c r="I20" s="432"/>
      <c r="J20" s="286"/>
      <c r="K20" s="366"/>
    </row>
    <row r="21" spans="1:11" s="103" customFormat="1" ht="30" customHeight="1" x14ac:dyDescent="0.3">
      <c r="A21" s="15"/>
      <c r="B21" s="975">
        <f>IF(C21&lt;&gt;0,B17+1,0)</f>
        <v>5</v>
      </c>
      <c r="C21" s="973">
        <f>IF(MONTH(C13+14)=MONTH(C13), C13+14, 0)</f>
        <v>46048</v>
      </c>
      <c r="D21" s="973">
        <f t="shared" ref="D21:I21" si="3">IF(MONTH(D13+14)=MONTH(D13), D13+14, 0)</f>
        <v>46049</v>
      </c>
      <c r="E21" s="973">
        <f t="shared" si="3"/>
        <v>46050</v>
      </c>
      <c r="F21" s="973">
        <f t="shared" si="3"/>
        <v>46051</v>
      </c>
      <c r="G21" s="973">
        <f t="shared" si="3"/>
        <v>46052</v>
      </c>
      <c r="H21" s="974">
        <f t="shared" si="3"/>
        <v>46053</v>
      </c>
      <c r="I21" s="974">
        <f t="shared" si="3"/>
        <v>0</v>
      </c>
      <c r="J21" s="15"/>
      <c r="K21" s="15"/>
    </row>
    <row r="22" spans="1:11" s="407" customFormat="1" ht="30" customHeight="1" x14ac:dyDescent="0.3">
      <c r="A22" s="138"/>
      <c r="B22" s="738"/>
      <c r="C22" s="439">
        <f>IFERROR(_xlfn.XLOOKUP(C21,Flts!$I$14:$I$349,Flts!$C$14:$C$349),0)</f>
        <v>0</v>
      </c>
      <c r="D22" s="428">
        <f>IFERROR(_xlfn.XLOOKUP(D21,Flts!$I$14:$I$349,Flts!$C$14:$C$349),0)</f>
        <v>0</v>
      </c>
      <c r="E22" s="428">
        <f>IFERROR(_xlfn.XLOOKUP(E21,Flts!$I$14:$I$349,Flts!$C$14:$C$349),0)</f>
        <v>0</v>
      </c>
      <c r="F22" s="428" t="str">
        <f>IFERROR(_xlfn.XLOOKUP(F21,Flts!$I$14:$I$349,Flts!$C$14:$C$349),0)</f>
        <v>S.Valero</v>
      </c>
      <c r="G22" s="428">
        <f>IFERROR(_xlfn.XLOOKUP(G21,Flts!$I$14:$I$349,Flts!$C$14:$C$349),0)</f>
        <v>0</v>
      </c>
      <c r="H22" s="428">
        <f>IFERROR(_xlfn.XLOOKUP(H21,Flts!$I$14:$I$349,Flts!$C$14:$C$349),0)</f>
        <v>0</v>
      </c>
      <c r="I22" s="428">
        <f>IFERROR(_xlfn.XLOOKUP(I21,Flts!$I$14:$I$349,Flts!$C$14:$C$349),0)</f>
        <v>0</v>
      </c>
      <c r="J22" s="138"/>
      <c r="K22" s="138"/>
    </row>
    <row r="23" spans="1:11" s="408" customFormat="1" ht="30" customHeight="1" x14ac:dyDescent="0.3">
      <c r="A23" s="286"/>
      <c r="B23" s="738"/>
      <c r="C23" s="440">
        <f>IFERROR(_xlfn.XLOOKUP(C21,Flts!$I$14:$I$349,Flts!$D$14:$D$349),0)</f>
        <v>0</v>
      </c>
      <c r="D23" s="430">
        <f>IFERROR(_xlfn.XLOOKUP(D21,Flts!$I$14:$I$349,Flts!$D$14:$D$349),0)</f>
        <v>0</v>
      </c>
      <c r="E23" s="430">
        <f>IFERROR(_xlfn.XLOOKUP(E21,Flts!$I$14:$I$349,Flts!$D$14:$D$349),0)</f>
        <v>0</v>
      </c>
      <c r="F23" s="430">
        <f>IFERROR(_xlfn.XLOOKUP(F21,Flts!$I$14:$I$349,Flts!$D$14:$D$349),0)</f>
        <v>0</v>
      </c>
      <c r="G23" s="430">
        <f>IFERROR(_xlfn.XLOOKUP(G21,Flts!$I$14:$I$349,Flts!$D$14:$D$349),0)</f>
        <v>0</v>
      </c>
      <c r="H23" s="430">
        <f>IFERROR(_xlfn.XLOOKUP(H21,Flts!$I$14:$I$349,Flts!$D$14:$D$349),0)</f>
        <v>0</v>
      </c>
      <c r="I23" s="430">
        <f>IFERROR(_xlfn.XLOOKUP(I21,Flts!$I$14:$I$349,Flts!$D$14:$D$349),0)</f>
        <v>0</v>
      </c>
      <c r="J23" s="286"/>
      <c r="K23" s="421"/>
    </row>
    <row r="24" spans="1:11" s="409" customFormat="1" ht="85.5" customHeight="1" x14ac:dyDescent="0.3">
      <c r="A24" s="286"/>
      <c r="B24" s="738"/>
      <c r="C24" s="438"/>
      <c r="D24" s="432"/>
      <c r="E24" s="432"/>
      <c r="F24" s="432"/>
      <c r="G24" s="432"/>
      <c r="H24" s="433"/>
      <c r="I24" s="432"/>
      <c r="J24" s="286"/>
      <c r="K24" s="366"/>
    </row>
    <row r="25" spans="1:11" s="103" customFormat="1" ht="30" customHeight="1" x14ac:dyDescent="0.3">
      <c r="A25" s="15"/>
      <c r="B25" s="975">
        <f>IF(C25&lt;&gt;0,B21+1,0)</f>
        <v>0</v>
      </c>
      <c r="C25" s="973">
        <f t="shared" ref="C25:I25" si="4">IF(MONTH(C17+14)=MONTH(C17), C17+14, 0)</f>
        <v>0</v>
      </c>
      <c r="D25" s="973">
        <f t="shared" si="4"/>
        <v>0</v>
      </c>
      <c r="E25" s="973">
        <f t="shared" si="4"/>
        <v>0</v>
      </c>
      <c r="F25" s="973">
        <f t="shared" si="4"/>
        <v>0</v>
      </c>
      <c r="G25" s="973">
        <f t="shared" si="4"/>
        <v>0</v>
      </c>
      <c r="H25" s="974">
        <f t="shared" si="4"/>
        <v>0</v>
      </c>
      <c r="I25" s="974">
        <f t="shared" si="4"/>
        <v>0</v>
      </c>
      <c r="J25" s="15"/>
      <c r="K25" s="15"/>
    </row>
    <row r="26" spans="1:11" s="101" customFormat="1" ht="30" customHeight="1" x14ac:dyDescent="0.3">
      <c r="A26" s="15"/>
      <c r="B26" s="738"/>
      <c r="C26" s="434">
        <f>IFERROR(_xlfn.XLOOKUP(C25,Flts!$I$14:$I$349,Flts!$C$14:$C$349),0)</f>
        <v>0</v>
      </c>
      <c r="D26" s="435">
        <f>IFERROR(_xlfn.XLOOKUP(D25,Flts!$I$14:$I$349,Flts!$C$14:$C$349),0)</f>
        <v>0</v>
      </c>
      <c r="E26" s="435">
        <f>IFERROR(_xlfn.XLOOKUP(E25,Flts!$I$14:$I$349,Flts!$C$14:$C$349),0)</f>
        <v>0</v>
      </c>
      <c r="F26" s="435">
        <f>IFERROR(_xlfn.XLOOKUP(F25,Flts!$I$14:$I$349,Flts!$C$14:$C$349),0)</f>
        <v>0</v>
      </c>
      <c r="G26" s="435">
        <f>IFERROR(_xlfn.XLOOKUP(G25,Flts!$I$14:$I$349,Flts!$C$14:$C$349),0)</f>
        <v>0</v>
      </c>
      <c r="H26" s="435">
        <f>IFERROR(_xlfn.XLOOKUP(H25,Flts!$I$14:$I$349,Flts!$C$14:$C$349),0)</f>
        <v>0</v>
      </c>
      <c r="I26" s="435">
        <f>IFERROR(_xlfn.XLOOKUP(I25,Flts!$I$14:$I$349,Flts!$C$14:$C$349),0)</f>
        <v>0</v>
      </c>
      <c r="J26" s="15"/>
      <c r="K26" s="15"/>
    </row>
    <row r="27" spans="1:11" s="320" customFormat="1" ht="30" customHeight="1" x14ac:dyDescent="0.3">
      <c r="A27" s="13"/>
      <c r="B27" s="738"/>
      <c r="C27" s="436">
        <f>IFERROR(_xlfn.XLOOKUP(C25,Flts!$I$14:$I$349,Flts!$D$14:$D$349),0)</f>
        <v>0</v>
      </c>
      <c r="D27" s="437">
        <f>IFERROR(_xlfn.XLOOKUP(D25,Flts!$I$14:$I$349,Flts!$D$14:$D$349),0)</f>
        <v>0</v>
      </c>
      <c r="E27" s="437">
        <f>IFERROR(_xlfn.XLOOKUP(E25,Flts!$I$14:$I$349,Flts!$D$14:$D$349),0)</f>
        <v>0</v>
      </c>
      <c r="F27" s="437">
        <f>IFERROR(_xlfn.XLOOKUP(F25,Flts!$I$14:$I$349,Flts!$D$14:$D$349),0)</f>
        <v>0</v>
      </c>
      <c r="G27" s="437">
        <f>IFERROR(_xlfn.XLOOKUP(G25,Flts!$I$14:$I$349,Flts!$D$14:$D$349),0)</f>
        <v>0</v>
      </c>
      <c r="H27" s="437">
        <f>IFERROR(_xlfn.XLOOKUP(H25,Flts!$I$14:$I$349,Flts!$D$14:$D$349),0)</f>
        <v>0</v>
      </c>
      <c r="I27" s="437">
        <f>IFERROR(_xlfn.XLOOKUP(I25,Flts!$I$14:$I$349,Flts!$D$14:$D$349),0)</f>
        <v>0</v>
      </c>
      <c r="J27" s="13"/>
      <c r="K27" s="265"/>
    </row>
    <row r="28" spans="1:11" s="409" customFormat="1" ht="88.05" customHeight="1" x14ac:dyDescent="0.3">
      <c r="A28" s="286"/>
      <c r="B28" s="738"/>
      <c r="C28" s="438"/>
      <c r="D28" s="432"/>
      <c r="E28" s="432"/>
      <c r="F28" s="432"/>
      <c r="G28" s="432"/>
      <c r="H28" s="433"/>
      <c r="I28" s="432"/>
      <c r="J28" s="286"/>
      <c r="K28" s="366"/>
    </row>
    <row r="29" spans="1:11" ht="16.2" thickBot="1" x14ac:dyDescent="0.35">
      <c r="A29" s="488"/>
      <c r="B29" s="742"/>
      <c r="C29" s="488"/>
      <c r="D29" s="488"/>
      <c r="E29" s="488"/>
      <c r="F29" s="488"/>
      <c r="G29" s="488"/>
      <c r="H29" s="488"/>
      <c r="I29" s="481"/>
    </row>
  </sheetData>
  <sheetProtection formatCells="0" formatColumns="0" formatRows="0" insertColumns="0" insertRows="0" insertHyperlinks="0" deleteColumns="0" deleteRows="0" sort="0" autoFilter="0" pivotTables="0"/>
  <mergeCells count="1">
    <mergeCell ref="C3:H3"/>
  </mergeCells>
  <conditionalFormatting sqref="B5:I5">
    <cfRule type="expression" dxfId="11" priority="41">
      <formula>B$5=0</formula>
    </cfRule>
  </conditionalFormatting>
  <conditionalFormatting sqref="B6:I8">
    <cfRule type="expression" dxfId="10" priority="40">
      <formula>B$5=0</formula>
    </cfRule>
  </conditionalFormatting>
  <conditionalFormatting sqref="B21:I24">
    <cfRule type="expression" dxfId="9" priority="37">
      <formula>B$21=0</formula>
    </cfRule>
  </conditionalFormatting>
  <conditionalFormatting sqref="B25:I28">
    <cfRule type="expression" dxfId="8" priority="36">
      <formula>B$25=0</formula>
    </cfRule>
  </conditionalFormatting>
  <conditionalFormatting sqref="C6:I6 C10:I10 C14:I14 C18:I18 C22:I22 C26:I26">
    <cfRule type="cellIs" dxfId="7" priority="29" operator="notEqual">
      <formula>0</formula>
    </cfRule>
  </conditionalFormatting>
  <conditionalFormatting sqref="C7:I7 C11:I11 C15:I15 C19:I19 C23:I23 C27:I27">
    <cfRule type="cellIs" dxfId="6" priority="28" operator="notEqual">
      <formula>0</formula>
    </cfRule>
  </conditionalFormatting>
  <conditionalFormatting sqref="C8:I8 C12:I12 C16:I16 C20:I20 C24:I24 C28:I28">
    <cfRule type="cellIs" dxfId="5" priority="27" operator="notEqual">
      <formula>0</formula>
    </cfRule>
  </conditionalFormatting>
  <pageMargins left="0.98425196850393704" right="0.39370078740157483" top="0.59055118110236227" bottom="0.39370078740157483" header="0.39370078740157483" footer="0.39370078740157483"/>
  <pageSetup paperSize="9" scale="63" orientation="portrait" r:id="rId1"/>
  <ignoredErrors>
    <ignoredError sqref="B4 B26:B28 B22:B24 B14:B16 B18:B20 B10:B12" numberStoredAsText="1"/>
    <ignoredError sqref="B25 B21 B13 B17 B5:B9" numberStoredAsText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734339-7935-4094-9683-D27F7CFB5509}">
          <x14:formula1>
            <xm:f>Info!$AM$3:$AM$14</xm:f>
          </x14:formula1>
          <xm:sqref>B2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5B73-F19F-4D53-A025-F12DAA0B0DC8}">
  <sheetPr>
    <tabColor theme="0"/>
    <pageSetUpPr autoPageBreaks="0"/>
  </sheetPr>
  <dimension ref="A1:X27"/>
  <sheetViews>
    <sheetView showGridLines="0" showZeros="0" view="pageBreakPreview" zoomScale="40" zoomScaleNormal="25" zoomScaleSheetLayoutView="40" workbookViewId="0">
      <pane ySplit="1" topLeftCell="A2" activePane="bottomLeft" state="frozen"/>
      <selection pane="bottomLeft" activeCell="S18" sqref="S18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15" width="22.5546875" style="99" customWidth="1"/>
    <col min="16" max="16" width="2.44140625" style="99" customWidth="1"/>
    <col min="17" max="23" width="10.77734375" style="99" customWidth="1"/>
    <col min="24" max="16384" width="8.5546875" style="99"/>
  </cols>
  <sheetData>
    <row r="1" spans="1:24" s="736" customFormat="1" ht="24" customHeight="1" thickBot="1" x14ac:dyDescent="0.5">
      <c r="A1" s="489" t="str">
        <f>"Periodo anual desde "&amp;_xlfn.XLOOKUP($B$2,Info!$AM$3:$AM$14,Info!$AP$3:$AP$14)&amp;" de "&amp;_xlfn.XLOOKUP($B$2,Info!$AM$3:$AM$14,Info!$AN$3:$AN$14)</f>
        <v>Periodo anual desde febrero de 2026</v>
      </c>
      <c r="B1" s="737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</row>
    <row r="2" spans="1:24" s="727" customFormat="1" ht="20.399999999999999" x14ac:dyDescent="0.3">
      <c r="A2" s="295"/>
      <c r="B2" s="968">
        <v>2</v>
      </c>
      <c r="C2" s="727" t="s">
        <v>381</v>
      </c>
      <c r="E2" s="526" t="str">
        <f>_xlfn.XLOOKUP(WEEKDAY(C4,2),Info!$AV$3:$AV$9,Info!$AX$3:$AX$9)&amp;" es el día 1 del mes seleccionado"</f>
        <v>Domingo es el día 1 del mes seleccionado</v>
      </c>
      <c r="G2" s="295"/>
      <c r="H2" s="740"/>
      <c r="I2" s="996"/>
      <c r="J2" s="997"/>
      <c r="K2" s="998"/>
      <c r="L2" s="999"/>
      <c r="M2" s="998"/>
      <c r="N2" s="999"/>
      <c r="O2" s="995">
        <f>_xlfn.XLOOKUP($B$2,Info!$AM$3:$AM$14,Info!$AN$3:$AN$14)</f>
        <v>2026</v>
      </c>
      <c r="P2" s="999"/>
      <c r="Q2" s="998"/>
      <c r="R2" s="999"/>
      <c r="S2" s="998"/>
      <c r="T2" s="999"/>
      <c r="U2" s="998"/>
      <c r="V2" s="999"/>
      <c r="X2" s="1000"/>
    </row>
    <row r="3" spans="1:24" s="992" customFormat="1" ht="30" x14ac:dyDescent="0.5">
      <c r="A3" s="989"/>
      <c r="B3" s="989"/>
      <c r="C3" s="990" t="str">
        <f>_xlfn.XLOOKUP(MONTH(C4),Info!$AR$3:$AR$26,Info!$AT$3:$AT$26)</f>
        <v>Feb</v>
      </c>
      <c r="D3" s="990" t="str">
        <f>IF(DAY(C4)&gt;DAY(D4),_xlfn.XLOOKUP(MONTH(D4),Info!$AR$3:$AR$26,Info!$AT$3:$AT$26),"")</f>
        <v/>
      </c>
      <c r="E3" s="990" t="str">
        <f>IF(DAY(D4)&gt;DAY(E4),_xlfn.XLOOKUP(MONTH(E4),Info!$AR$3:$AR$26,Info!$AT$3:$AT$26),"")</f>
        <v/>
      </c>
      <c r="F3" s="990" t="str">
        <f>IF(DAY(E4)&gt;DAY(F4),_xlfn.XLOOKUP(MONTH(F4),Info!$AR$3:$AR$26,Info!$AT$3:$AT$26),"")</f>
        <v/>
      </c>
      <c r="G3" s="990" t="str">
        <f>IF(DAY(F4)&gt;DAY(G4),_xlfn.XLOOKUP(MONTH(G4),Info!$AR$3:$AR$26,Info!$AT$3:$AT$26),"")</f>
        <v/>
      </c>
      <c r="H3" s="990" t="str">
        <f>IF(DAY(G4)&gt;DAY(H4),_xlfn.XLOOKUP(MONTH(H4),Info!$AR$3:$AR$26,Info!$AT$3:$AT$26),"")</f>
        <v>Mar</v>
      </c>
      <c r="I3" s="990" t="str">
        <f>IF(DAY(H4)&gt;DAY(I4),_xlfn.XLOOKUP(MONTH(I4),Info!$AR$3:$AR$26,Info!$AT$3:$AT$26),"")</f>
        <v/>
      </c>
      <c r="J3" s="990" t="str">
        <f>IF(DAY(I4)&gt;DAY(J4),_xlfn.XLOOKUP(MONTH(J4),Info!$AR$3:$AR$26,Info!$AT$3:$AT$26),"")</f>
        <v/>
      </c>
      <c r="K3" s="990" t="str">
        <f>IF(DAY(J4)&gt;DAY(K4),_xlfn.XLOOKUP(MONTH(K4),Info!$AR$3:$AR$26,Info!$AT$3:$AT$26),"")</f>
        <v/>
      </c>
      <c r="L3" s="990" t="str">
        <f>IF(DAY(K4)&gt;DAY(L4),_xlfn.XLOOKUP(MONTH(L4),Info!$AR$3:$AR$26,Info!$AT$3:$AT$26),"")</f>
        <v/>
      </c>
      <c r="M3" s="990" t="str">
        <f>IF(DAY(L4)&gt;DAY(M4),_xlfn.XLOOKUP(MONTH(M4),Info!$AR$3:$AR$26,Info!$AT$3:$AT$26),"")</f>
        <v>Abr</v>
      </c>
      <c r="N3" s="990" t="str">
        <f>IF(DAY(M4)&gt;DAY(N4),_xlfn.XLOOKUP(MONTH(N4),Info!$AR$3:$AR$26,Info!$AT$3:$AT$26),"")</f>
        <v/>
      </c>
      <c r="O3" s="990" t="str">
        <f>IF(DAY(N4)&gt;DAY(O4),_xlfn.XLOOKUP(MONTH(O4),Info!$AR$3:$AR$26,Info!$AT$3:$AT$26),"")</f>
        <v/>
      </c>
      <c r="P3" s="991"/>
    </row>
    <row r="4" spans="1:24" s="984" customFormat="1" ht="30" customHeight="1" x14ac:dyDescent="0.3">
      <c r="A4" s="619"/>
      <c r="B4" s="78" t="s">
        <v>406</v>
      </c>
      <c r="C4" s="1002">
        <f>DATE(O2,B2,1)</f>
        <v>46054</v>
      </c>
      <c r="D4" s="1002">
        <f>C4+8-WEEKDAY(C4,2)</f>
        <v>46055</v>
      </c>
      <c r="E4" s="1002">
        <f>D4+7</f>
        <v>46062</v>
      </c>
      <c r="F4" s="1002">
        <f t="shared" ref="F4:O4" si="0">E4+7</f>
        <v>46069</v>
      </c>
      <c r="G4" s="1002">
        <f t="shared" si="0"/>
        <v>46076</v>
      </c>
      <c r="H4" s="1002">
        <f t="shared" si="0"/>
        <v>46083</v>
      </c>
      <c r="I4" s="1002">
        <f t="shared" si="0"/>
        <v>46090</v>
      </c>
      <c r="J4" s="1002">
        <f t="shared" si="0"/>
        <v>46097</v>
      </c>
      <c r="K4" s="1002">
        <f t="shared" si="0"/>
        <v>46104</v>
      </c>
      <c r="L4" s="1002">
        <f t="shared" si="0"/>
        <v>46111</v>
      </c>
      <c r="M4" s="1002">
        <f t="shared" si="0"/>
        <v>46118</v>
      </c>
      <c r="N4" s="1002">
        <f t="shared" si="0"/>
        <v>46125</v>
      </c>
      <c r="O4" s="1002">
        <f t="shared" si="0"/>
        <v>46132</v>
      </c>
      <c r="P4" s="983"/>
    </row>
    <row r="5" spans="1:24" s="983" customFormat="1" ht="30" customHeight="1" x14ac:dyDescent="0.3">
      <c r="A5" s="619"/>
      <c r="B5" s="975" t="s">
        <v>220</v>
      </c>
      <c r="C5" s="1001">
        <f t="shared" ref="C5:O5" si="1">_xlfn.ISOWEEKNUM(DATE($O$2,MONTH(C4),DAY(C4)))</f>
        <v>5</v>
      </c>
      <c r="D5" s="1001">
        <f t="shared" si="1"/>
        <v>6</v>
      </c>
      <c r="E5" s="1001">
        <f t="shared" si="1"/>
        <v>7</v>
      </c>
      <c r="F5" s="1001">
        <f t="shared" si="1"/>
        <v>8</v>
      </c>
      <c r="G5" s="1001">
        <f t="shared" si="1"/>
        <v>9</v>
      </c>
      <c r="H5" s="1001">
        <f t="shared" si="1"/>
        <v>10</v>
      </c>
      <c r="I5" s="1001">
        <f t="shared" si="1"/>
        <v>11</v>
      </c>
      <c r="J5" s="1001">
        <f t="shared" si="1"/>
        <v>12</v>
      </c>
      <c r="K5" s="1001">
        <f t="shared" si="1"/>
        <v>13</v>
      </c>
      <c r="L5" s="1001">
        <f t="shared" si="1"/>
        <v>14</v>
      </c>
      <c r="M5" s="1001">
        <f t="shared" si="1"/>
        <v>15</v>
      </c>
      <c r="N5" s="1001">
        <f t="shared" si="1"/>
        <v>16</v>
      </c>
      <c r="O5" s="1001">
        <f t="shared" si="1"/>
        <v>17</v>
      </c>
    </row>
    <row r="6" spans="1:24" s="979" customFormat="1" ht="200.1" customHeight="1" x14ac:dyDescent="0.35">
      <c r="A6" s="978"/>
      <c r="B6" s="978"/>
      <c r="C6" s="982"/>
      <c r="D6" s="982"/>
      <c r="E6" s="982"/>
      <c r="F6" s="982"/>
      <c r="G6" s="982"/>
      <c r="H6" s="982"/>
      <c r="I6" s="982"/>
      <c r="J6" s="982"/>
      <c r="K6" s="982"/>
      <c r="L6" s="982"/>
      <c r="M6" s="982"/>
      <c r="N6" s="982"/>
      <c r="O6" s="982"/>
    </row>
    <row r="7" spans="1:24" s="991" customFormat="1" ht="30" x14ac:dyDescent="0.5">
      <c r="A7" s="989"/>
      <c r="B7" s="989"/>
      <c r="C7" s="990" t="str">
        <f>_xlfn.XLOOKUP(MONTH(C8),Info!$AR$3:$AR$26,Info!$AT$3:$AT$26)</f>
        <v>Abr</v>
      </c>
      <c r="D7" s="990" t="str">
        <f>IF(DAY(C8)&gt;DAY(D8),_xlfn.XLOOKUP(MONTH(D8),Info!$AR$3:$AR$26,Info!$AT$3:$AT$26),"")</f>
        <v>May</v>
      </c>
      <c r="E7" s="990" t="str">
        <f>IF(DAY(D8)&gt;DAY(E8),_xlfn.XLOOKUP(MONTH(E8),Info!$AR$3:$AR$26,Info!$AT$3:$AT$26),"")</f>
        <v/>
      </c>
      <c r="F7" s="990" t="str">
        <f>IF(DAY(E8)&gt;DAY(F8),_xlfn.XLOOKUP(MONTH(F8),Info!$AR$3:$AR$26,Info!$AT$3:$AT$26),"")</f>
        <v/>
      </c>
      <c r="G7" s="990" t="str">
        <f>IF(DAY(F8)&gt;DAY(G8),_xlfn.XLOOKUP(MONTH(G8),Info!$AR$3:$AR$26,Info!$AT$3:$AT$26),"")</f>
        <v/>
      </c>
      <c r="H7" s="990" t="str">
        <f>IF(DAY(G8)&gt;DAY(H8),_xlfn.XLOOKUP(MONTH(H8),Info!$AR$3:$AR$26,Info!$AT$3:$AT$26),"")</f>
        <v>Jun</v>
      </c>
      <c r="I7" s="990" t="str">
        <f>IF(DAY(H8)&gt;DAY(I8),_xlfn.XLOOKUP(MONTH(I8),Info!$AR$3:$AR$26,Info!$AT$3:$AT$26),"")</f>
        <v/>
      </c>
      <c r="J7" s="990" t="str">
        <f>IF(DAY(I8)&gt;DAY(J8),_xlfn.XLOOKUP(MONTH(J8),Info!$AR$3:$AR$26,Info!$AT$3:$AT$26),"")</f>
        <v/>
      </c>
      <c r="K7" s="990" t="str">
        <f>IF(DAY(J8)&gt;DAY(K8),_xlfn.XLOOKUP(MONTH(K8),Info!$AR$3:$AR$26,Info!$AT$3:$AT$26),"")</f>
        <v/>
      </c>
      <c r="L7" s="990" t="str">
        <f>IF(DAY(K8)&gt;DAY(L8),_xlfn.XLOOKUP(MONTH(L8),Info!$AR$3:$AR$26,Info!$AT$3:$AT$26),"")</f>
        <v/>
      </c>
      <c r="M7" s="990" t="str">
        <f>IF(DAY(L8)&gt;DAY(M8),_xlfn.XLOOKUP(MONTH(M8),Info!$AR$3:$AR$26,Info!$AT$3:$AT$26),"")</f>
        <v>Jul</v>
      </c>
      <c r="N7" s="990" t="str">
        <f>IF(DAY(M8)&gt;DAY(N8),_xlfn.XLOOKUP(MONTH(N8),Info!$AR$3:$AR$26,Info!$AT$3:$AT$26),"")</f>
        <v/>
      </c>
      <c r="O7" s="990" t="str">
        <f>IF(DAY(N8)&gt;DAY(O8),_xlfn.XLOOKUP(MONTH(O8),Info!$AR$3:$AR$26,Info!$AT$3:$AT$26),"")</f>
        <v/>
      </c>
    </row>
    <row r="8" spans="1:24" s="984" customFormat="1" ht="30" customHeight="1" x14ac:dyDescent="0.3">
      <c r="A8" s="619"/>
      <c r="B8" s="78" t="s">
        <v>406</v>
      </c>
      <c r="C8" s="1002">
        <f>O4+7</f>
        <v>46139</v>
      </c>
      <c r="D8" s="1002">
        <f t="shared" ref="D8:O8" si="2">C8+7</f>
        <v>46146</v>
      </c>
      <c r="E8" s="1002">
        <f t="shared" si="2"/>
        <v>46153</v>
      </c>
      <c r="F8" s="1002">
        <f t="shared" si="2"/>
        <v>46160</v>
      </c>
      <c r="G8" s="1002">
        <f t="shared" si="2"/>
        <v>46167</v>
      </c>
      <c r="H8" s="1002">
        <f t="shared" si="2"/>
        <v>46174</v>
      </c>
      <c r="I8" s="1002">
        <f t="shared" si="2"/>
        <v>46181</v>
      </c>
      <c r="J8" s="1002">
        <f t="shared" si="2"/>
        <v>46188</v>
      </c>
      <c r="K8" s="1002">
        <f t="shared" si="2"/>
        <v>46195</v>
      </c>
      <c r="L8" s="1002">
        <f t="shared" si="2"/>
        <v>46202</v>
      </c>
      <c r="M8" s="1002">
        <f t="shared" si="2"/>
        <v>46209</v>
      </c>
      <c r="N8" s="1002">
        <f t="shared" si="2"/>
        <v>46216</v>
      </c>
      <c r="O8" s="1002">
        <f t="shared" si="2"/>
        <v>46223</v>
      </c>
    </row>
    <row r="9" spans="1:24" s="986" customFormat="1" ht="30" customHeight="1" x14ac:dyDescent="0.3">
      <c r="A9" s="985"/>
      <c r="B9" s="975" t="s">
        <v>220</v>
      </c>
      <c r="C9" s="1001">
        <f t="shared" ref="C9:O9" si="3">_xlfn.ISOWEEKNUM(DATE($O$2,MONTH(C8),DAY(C8)))</f>
        <v>18</v>
      </c>
      <c r="D9" s="1001">
        <f t="shared" si="3"/>
        <v>19</v>
      </c>
      <c r="E9" s="1001">
        <f t="shared" si="3"/>
        <v>20</v>
      </c>
      <c r="F9" s="1001">
        <f t="shared" si="3"/>
        <v>21</v>
      </c>
      <c r="G9" s="1001">
        <f t="shared" si="3"/>
        <v>22</v>
      </c>
      <c r="H9" s="1001">
        <f t="shared" si="3"/>
        <v>23</v>
      </c>
      <c r="I9" s="1001">
        <f t="shared" si="3"/>
        <v>24</v>
      </c>
      <c r="J9" s="1001">
        <f t="shared" si="3"/>
        <v>25</v>
      </c>
      <c r="K9" s="1001">
        <f t="shared" si="3"/>
        <v>26</v>
      </c>
      <c r="L9" s="1001">
        <f t="shared" si="3"/>
        <v>27</v>
      </c>
      <c r="M9" s="1001">
        <f t="shared" si="3"/>
        <v>28</v>
      </c>
      <c r="N9" s="1001">
        <f t="shared" si="3"/>
        <v>29</v>
      </c>
      <c r="O9" s="1001">
        <f t="shared" si="3"/>
        <v>30</v>
      </c>
    </row>
    <row r="10" spans="1:24" s="979" customFormat="1" ht="200.1" customHeight="1" x14ac:dyDescent="0.35">
      <c r="A10" s="978"/>
      <c r="B10" s="978"/>
      <c r="C10" s="982"/>
      <c r="D10" s="982"/>
      <c r="E10" s="982"/>
      <c r="F10" s="982"/>
      <c r="G10" s="982"/>
      <c r="H10" s="982"/>
      <c r="I10" s="982"/>
      <c r="J10" s="982"/>
      <c r="K10" s="982"/>
      <c r="L10" s="982"/>
      <c r="M10" s="982"/>
      <c r="N10" s="982"/>
      <c r="O10" s="982"/>
    </row>
    <row r="11" spans="1:24" s="991" customFormat="1" ht="30" x14ac:dyDescent="0.5">
      <c r="A11" s="989"/>
      <c r="B11" s="989"/>
      <c r="C11" s="990" t="str">
        <f>_xlfn.XLOOKUP(MONTH(C12),Info!$AR$3:$AR$26,Info!$AT$3:$AT$26)</f>
        <v>Jul</v>
      </c>
      <c r="D11" s="990" t="str">
        <f>IF(DAY(C12)&gt;DAY(D12),_xlfn.XLOOKUP(MONTH(D12),Info!$AR$3:$AR$26,Info!$AT$3:$AT$26),"")</f>
        <v>Ago</v>
      </c>
      <c r="E11" s="990" t="str">
        <f>IF(DAY(D12)&gt;DAY(E12),_xlfn.XLOOKUP(MONTH(E12),Info!$AR$3:$AR$26,Info!$AT$3:$AT$26),"")</f>
        <v/>
      </c>
      <c r="F11" s="990" t="str">
        <f>IF(DAY(E12)&gt;DAY(F12),_xlfn.XLOOKUP(MONTH(F12),Info!$AR$3:$AR$26,Info!$AT$3:$AT$26),"")</f>
        <v/>
      </c>
      <c r="G11" s="990" t="str">
        <f>IF(DAY(F12)&gt;DAY(G12),_xlfn.XLOOKUP(MONTH(G12),Info!$AR$3:$AR$26,Info!$AT$3:$AT$26),"")</f>
        <v/>
      </c>
      <c r="H11" s="990" t="str">
        <f>IF(DAY(G12)&gt;DAY(H12),_xlfn.XLOOKUP(MONTH(H12),Info!$AR$3:$AR$26,Info!$AT$3:$AT$26),"")</f>
        <v/>
      </c>
      <c r="I11" s="990" t="str">
        <f>IF(DAY(H12)&gt;DAY(I12),_xlfn.XLOOKUP(MONTH(I12),Info!$AR$3:$AR$26,Info!$AT$3:$AT$26),"")</f>
        <v>Sep</v>
      </c>
      <c r="J11" s="990" t="str">
        <f>IF(DAY(I12)&gt;DAY(J12),_xlfn.XLOOKUP(MONTH(J12),Info!$AR$3:$AR$26,Info!$AT$3:$AT$26),"")</f>
        <v/>
      </c>
      <c r="K11" s="990" t="str">
        <f>IF(DAY(J12)&gt;DAY(K12),_xlfn.XLOOKUP(MONTH(K12),Info!$AR$3:$AR$26,Info!$AT$3:$AT$26),"")</f>
        <v/>
      </c>
      <c r="L11" s="990" t="str">
        <f>IF(DAY(K12)&gt;DAY(L12),_xlfn.XLOOKUP(MONTH(L12),Info!$AR$3:$AR$26,Info!$AT$3:$AT$26),"")</f>
        <v/>
      </c>
      <c r="M11" s="990" t="str">
        <f>IF(DAY(L12)&gt;DAY(M12),_xlfn.XLOOKUP(MONTH(M12),Info!$AR$3:$AR$26,Info!$AT$3:$AT$26),"")</f>
        <v>Oct</v>
      </c>
      <c r="N11" s="990" t="str">
        <f>IF(DAY(M12)&gt;DAY(N12),_xlfn.XLOOKUP(MONTH(N12),Info!$AR$3:$AR$26,Info!$AT$3:$AT$26),"")</f>
        <v/>
      </c>
      <c r="O11" s="990" t="str">
        <f>IF(DAY(N12)&gt;DAY(O12),_xlfn.XLOOKUP(MONTH(O12),Info!$AR$3:$AR$26,Info!$AT$3:$AT$26),"")</f>
        <v/>
      </c>
    </row>
    <row r="12" spans="1:24" s="983" customFormat="1" ht="31.05" customHeight="1" x14ac:dyDescent="0.3">
      <c r="A12" s="619"/>
      <c r="B12" s="78" t="s">
        <v>406</v>
      </c>
      <c r="C12" s="1002">
        <f>O8+7</f>
        <v>46230</v>
      </c>
      <c r="D12" s="1002">
        <f t="shared" ref="D12:O12" si="4">C12+7</f>
        <v>46237</v>
      </c>
      <c r="E12" s="1002">
        <f t="shared" si="4"/>
        <v>46244</v>
      </c>
      <c r="F12" s="1002">
        <f t="shared" si="4"/>
        <v>46251</v>
      </c>
      <c r="G12" s="1002">
        <f t="shared" si="4"/>
        <v>46258</v>
      </c>
      <c r="H12" s="1002">
        <f t="shared" si="4"/>
        <v>46265</v>
      </c>
      <c r="I12" s="1002">
        <f t="shared" si="4"/>
        <v>46272</v>
      </c>
      <c r="J12" s="1002">
        <f t="shared" si="4"/>
        <v>46279</v>
      </c>
      <c r="K12" s="1002">
        <f t="shared" si="4"/>
        <v>46286</v>
      </c>
      <c r="L12" s="1002">
        <f t="shared" si="4"/>
        <v>46293</v>
      </c>
      <c r="M12" s="1002">
        <f t="shared" si="4"/>
        <v>46300</v>
      </c>
      <c r="N12" s="1002">
        <f t="shared" si="4"/>
        <v>46307</v>
      </c>
      <c r="O12" s="1002">
        <f t="shared" si="4"/>
        <v>46314</v>
      </c>
    </row>
    <row r="13" spans="1:24" s="986" customFormat="1" ht="29.1" customHeight="1" x14ac:dyDescent="0.3">
      <c r="A13" s="985"/>
      <c r="B13" s="975" t="s">
        <v>220</v>
      </c>
      <c r="C13" s="1001">
        <f t="shared" ref="C13:O13" si="5">_xlfn.ISOWEEKNUM(DATE(C6,MONTH(C12),DAY(C12)))</f>
        <v>30</v>
      </c>
      <c r="D13" s="1001">
        <f t="shared" si="5"/>
        <v>31</v>
      </c>
      <c r="E13" s="1001">
        <f t="shared" si="5"/>
        <v>32</v>
      </c>
      <c r="F13" s="1001">
        <f t="shared" si="5"/>
        <v>33</v>
      </c>
      <c r="G13" s="1001">
        <f t="shared" si="5"/>
        <v>34</v>
      </c>
      <c r="H13" s="1001">
        <f t="shared" si="5"/>
        <v>35</v>
      </c>
      <c r="I13" s="1001">
        <f t="shared" si="5"/>
        <v>36</v>
      </c>
      <c r="J13" s="1001">
        <f t="shared" si="5"/>
        <v>37</v>
      </c>
      <c r="K13" s="1001">
        <f t="shared" si="5"/>
        <v>38</v>
      </c>
      <c r="L13" s="1001">
        <f t="shared" si="5"/>
        <v>39</v>
      </c>
      <c r="M13" s="1001">
        <f t="shared" si="5"/>
        <v>40</v>
      </c>
      <c r="N13" s="1001">
        <f t="shared" si="5"/>
        <v>41</v>
      </c>
      <c r="O13" s="1001">
        <f t="shared" si="5"/>
        <v>42</v>
      </c>
    </row>
    <row r="14" spans="1:24" s="979" customFormat="1" ht="200.1" customHeight="1" x14ac:dyDescent="0.35">
      <c r="A14" s="978"/>
      <c r="B14" s="978"/>
      <c r="C14" s="982"/>
      <c r="D14" s="982"/>
      <c r="E14" s="982"/>
      <c r="F14" s="982"/>
      <c r="G14" s="982"/>
      <c r="H14" s="982"/>
      <c r="I14" s="982"/>
      <c r="J14" s="982"/>
      <c r="K14" s="982"/>
      <c r="L14" s="982"/>
      <c r="M14" s="982"/>
      <c r="N14" s="982"/>
      <c r="O14" s="982"/>
    </row>
    <row r="15" spans="1:24" s="994" customFormat="1" ht="30" x14ac:dyDescent="0.5">
      <c r="A15" s="993"/>
      <c r="B15" s="989"/>
      <c r="C15" s="990" t="str">
        <f>_xlfn.XLOOKUP(MONTH(C16),Info!$AR$3:$AR$26,Info!$AT$3:$AT$26)</f>
        <v>Oct</v>
      </c>
      <c r="D15" s="990" t="str">
        <f>IF(DAY(C16)&gt;DAY(D16),_xlfn.XLOOKUP(MONTH(D16),Info!$AR$3:$AR$26,Info!$AT$3:$AT$26),"")</f>
        <v>Nov</v>
      </c>
      <c r="E15" s="990" t="str">
        <f>IF(DAY(D16)&gt;DAY(E16),_xlfn.XLOOKUP(MONTH(E16),Info!$AR$3:$AR$26,Info!$AT$3:$AT$26),"")</f>
        <v/>
      </c>
      <c r="F15" s="990" t="str">
        <f>IF(DAY(E16)&gt;DAY(F16),_xlfn.XLOOKUP(MONTH(F16),Info!$AR$3:$AR$26,Info!$AT$3:$AT$26),"")</f>
        <v/>
      </c>
      <c r="G15" s="990" t="str">
        <f>IF(DAY(F16)&gt;DAY(G16),_xlfn.XLOOKUP(MONTH(G16),Info!$AR$3:$AR$26,Info!$AT$3:$AT$26),"")</f>
        <v/>
      </c>
      <c r="H15" s="990" t="str">
        <f>IF(DAY(G16)&gt;DAY(H16),_xlfn.XLOOKUP(MONTH(H16),Info!$AR$3:$AR$26,Info!$AT$3:$AT$26),"")</f>
        <v/>
      </c>
      <c r="I15" s="990" t="str">
        <f>IF(DAY(H16)&gt;DAY(I16),_xlfn.XLOOKUP(MONTH(I16),Info!$AR$3:$AR$26,Info!$AT$3:$AT$26),"")</f>
        <v>Dic</v>
      </c>
      <c r="J15" s="990" t="str">
        <f>IF(DAY(I16)&gt;DAY(J16),_xlfn.XLOOKUP(MONTH(J16),Info!$AR$3:$AR$26,Info!$AT$3:$AT$26),"")</f>
        <v/>
      </c>
      <c r="K15" s="990" t="str">
        <f>IF(DAY(J16)&gt;DAY(K16),_xlfn.XLOOKUP(MONTH(K16),Info!$AR$3:$AR$26,Info!$AT$3:$AT$26),"")</f>
        <v/>
      </c>
      <c r="L15" s="990" t="str">
        <f>IF(DAY(K16)&gt;DAY(L16),_xlfn.XLOOKUP(MONTH(L16),Info!$AR$3:$AR$26,Info!$AT$3:$AT$26),"")</f>
        <v/>
      </c>
      <c r="M15" s="990" t="str">
        <f>IF(DAY(L16)&gt;DAY(M16),_xlfn.XLOOKUP(MONTH(M16),Info!$AR$3:$AR$26,Info!$AT$3:$AT$26),"")</f>
        <v>Ene</v>
      </c>
      <c r="N15" s="990" t="str">
        <f>IF(DAY(M16)&gt;DAY(N16),_xlfn.XLOOKUP(MONTH(N16),Info!$AR$3:$AR$26,Info!$AT$3:$AT$26),"")</f>
        <v/>
      </c>
      <c r="O15" s="990" t="str">
        <f>IF(DAY(N16)&gt;DAY(O16),_xlfn.XLOOKUP(MONTH(O16),Info!$AR$3:$AR$26,Info!$AT$3:$AT$26),"")</f>
        <v/>
      </c>
    </row>
    <row r="16" spans="1:24" s="987" customFormat="1" ht="30" customHeight="1" x14ac:dyDescent="0.35">
      <c r="A16" s="978"/>
      <c r="B16" s="78" t="s">
        <v>406</v>
      </c>
      <c r="C16" s="1002">
        <f>O12+7</f>
        <v>46321</v>
      </c>
      <c r="D16" s="1002">
        <f>C16+7</f>
        <v>46328</v>
      </c>
      <c r="E16" s="1002">
        <f t="shared" ref="E16:O16" si="6">D16+7</f>
        <v>46335</v>
      </c>
      <c r="F16" s="1002">
        <f t="shared" si="6"/>
        <v>46342</v>
      </c>
      <c r="G16" s="1002">
        <f t="shared" si="6"/>
        <v>46349</v>
      </c>
      <c r="H16" s="1002">
        <f t="shared" si="6"/>
        <v>46356</v>
      </c>
      <c r="I16" s="1002">
        <f t="shared" si="6"/>
        <v>46363</v>
      </c>
      <c r="J16" s="1002">
        <f t="shared" si="6"/>
        <v>46370</v>
      </c>
      <c r="K16" s="1002">
        <f t="shared" si="6"/>
        <v>46377</v>
      </c>
      <c r="L16" s="1002">
        <f t="shared" si="6"/>
        <v>46384</v>
      </c>
      <c r="M16" s="1002">
        <f t="shared" si="6"/>
        <v>46391</v>
      </c>
      <c r="N16" s="1002">
        <f t="shared" si="6"/>
        <v>46398</v>
      </c>
      <c r="O16" s="1002">
        <f t="shared" si="6"/>
        <v>46405</v>
      </c>
    </row>
    <row r="17" spans="1:16" s="988" customFormat="1" ht="30" customHeight="1" x14ac:dyDescent="0.35">
      <c r="A17" s="102"/>
      <c r="B17" s="975" t="s">
        <v>220</v>
      </c>
      <c r="C17" s="1001">
        <f t="shared" ref="C17:O17" si="7">_xlfn.ISOWEEKNUM(DATE($O$2,MONTH(C16),DAY(C16)))</f>
        <v>44</v>
      </c>
      <c r="D17" s="1001">
        <f t="shared" si="7"/>
        <v>45</v>
      </c>
      <c r="E17" s="1001">
        <f t="shared" si="7"/>
        <v>46</v>
      </c>
      <c r="F17" s="1001">
        <f t="shared" si="7"/>
        <v>47</v>
      </c>
      <c r="G17" s="1001">
        <f t="shared" si="7"/>
        <v>48</v>
      </c>
      <c r="H17" s="1001">
        <f t="shared" si="7"/>
        <v>49</v>
      </c>
      <c r="I17" s="1001">
        <f t="shared" si="7"/>
        <v>50</v>
      </c>
      <c r="J17" s="1001">
        <f t="shared" si="7"/>
        <v>51</v>
      </c>
      <c r="K17" s="1001">
        <f t="shared" si="7"/>
        <v>52</v>
      </c>
      <c r="L17" s="1001">
        <f t="shared" si="7"/>
        <v>53</v>
      </c>
      <c r="M17" s="1001">
        <f t="shared" si="7"/>
        <v>1</v>
      </c>
      <c r="N17" s="1001">
        <f t="shared" si="7"/>
        <v>2</v>
      </c>
      <c r="O17" s="1001">
        <f t="shared" si="7"/>
        <v>3</v>
      </c>
    </row>
    <row r="18" spans="1:16" s="979" customFormat="1" ht="200.1" customHeight="1" x14ac:dyDescent="0.35">
      <c r="A18" s="978"/>
      <c r="B18" s="978"/>
      <c r="C18" s="982"/>
      <c r="D18" s="982"/>
      <c r="E18" s="982"/>
      <c r="F18" s="982"/>
      <c r="G18" s="982"/>
      <c r="H18" s="982"/>
      <c r="I18" s="982"/>
      <c r="J18" s="982"/>
      <c r="K18" s="982"/>
      <c r="L18" s="982"/>
      <c r="M18" s="982"/>
      <c r="N18" s="982"/>
      <c r="O18" s="982"/>
    </row>
    <row r="19" spans="1:16" ht="16.2" thickBot="1" x14ac:dyDescent="0.35">
      <c r="A19" s="488"/>
      <c r="B19" s="742"/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</row>
    <row r="21" spans="1:16" s="980" customFormat="1" ht="20.399999999999999" x14ac:dyDescent="0.35"/>
    <row r="22" spans="1:16" s="980" customFormat="1" ht="20.399999999999999" x14ac:dyDescent="0.35">
      <c r="B22" s="981"/>
    </row>
    <row r="23" spans="1:16" s="980" customFormat="1" ht="20.399999999999999" x14ac:dyDescent="0.35">
      <c r="B23" s="981"/>
    </row>
    <row r="24" spans="1:16" s="980" customFormat="1" ht="20.399999999999999" x14ac:dyDescent="0.35">
      <c r="B24" s="981"/>
    </row>
    <row r="25" spans="1:16" s="980" customFormat="1" ht="20.399999999999999" x14ac:dyDescent="0.35">
      <c r="B25" s="981"/>
    </row>
    <row r="26" spans="1:16" s="980" customFormat="1" ht="20.399999999999999" x14ac:dyDescent="0.35">
      <c r="B26" s="981"/>
    </row>
    <row r="27" spans="1:16" s="980" customFormat="1" ht="20.399999999999999" x14ac:dyDescent="0.35">
      <c r="B27" s="981"/>
    </row>
  </sheetData>
  <sheetProtection formatCells="0" formatColumns="0" formatRows="0" insertColumns="0" insertRows="0" insertHyperlinks="0" deleteColumns="0" deleteRows="0" sort="0" autoFilter="0" pivotTables="0"/>
  <phoneticPr fontId="6" type="noConversion"/>
  <conditionalFormatting sqref="C5:O5">
    <cfRule type="expression" dxfId="4" priority="4922">
      <formula>C$5=0</formula>
    </cfRule>
  </conditionalFormatting>
  <conditionalFormatting sqref="C9:O9">
    <cfRule type="expression" dxfId="3" priority="3">
      <formula>C$5=0</formula>
    </cfRule>
  </conditionalFormatting>
  <conditionalFormatting sqref="C13:O13">
    <cfRule type="expression" dxfId="2" priority="2">
      <formula>C$5=0</formula>
    </cfRule>
  </conditionalFormatting>
  <conditionalFormatting sqref="C17:O17">
    <cfRule type="expression" dxfId="1" priority="1">
      <formula>C$5=0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42" orientation="landscape" r:id="rId1"/>
  <colBreaks count="1" manualBreakCount="1">
    <brk id="16" max="29" man="1"/>
  </colBreaks>
  <ignoredErrors>
    <ignoredError sqref="C5:O5 C9:O9 C13:O13 C17:O17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E651938-C2E2-4549-A6EB-05176967C1B6}">
          <x14:formula1>
            <xm:f>Info!$AM$3:$AM$14</xm:f>
          </x14:formula1>
          <xm:sqref>B2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>
    <pageSetUpPr autoPageBreaks="0"/>
  </sheetPr>
  <dimension ref="A1:AI872"/>
  <sheetViews>
    <sheetView showGridLines="0" showZeros="0" view="pageBreakPreview" zoomScaleNormal="25" zoomScaleSheetLayoutView="100" workbookViewId="0">
      <pane ySplit="5" topLeftCell="A6" activePane="bottomLeft" state="frozen"/>
      <selection activeCell="D17" sqref="D17"/>
      <selection pane="bottomLeft" activeCell="C3" sqref="C3"/>
    </sheetView>
  </sheetViews>
  <sheetFormatPr baseColWidth="10" defaultColWidth="10.77734375" defaultRowHeight="15.6" x14ac:dyDescent="0.3"/>
  <cols>
    <col min="1" max="1" width="3.21875" style="746" customWidth="1"/>
    <col min="2" max="4" width="7.21875" style="669" customWidth="1"/>
    <col min="5" max="5" width="10.77734375" style="669" customWidth="1"/>
    <col min="6" max="35" width="16.44140625" style="672" customWidth="1"/>
    <col min="36" max="16384" width="10.77734375" style="672"/>
  </cols>
  <sheetData>
    <row r="1" spans="1:35" s="131" customFormat="1" ht="24" customHeight="1" x14ac:dyDescent="0.45">
      <c r="A1" s="718" t="s">
        <v>270</v>
      </c>
      <c r="B1" s="450"/>
      <c r="C1" s="450"/>
      <c r="D1" s="450"/>
      <c r="E1" s="450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3"/>
      <c r="Q1" s="454"/>
      <c r="R1" s="454"/>
      <c r="S1" s="454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3"/>
      <c r="AH1" s="452"/>
      <c r="AI1" s="452"/>
    </row>
    <row r="2" spans="1:35" s="13" customFormat="1" ht="18" customHeight="1" x14ac:dyDescent="0.3">
      <c r="A2" s="616"/>
      <c r="B2" s="667" t="str">
        <f>IModulo&amp;" ("&amp;IProfesor&amp;")"</f>
        <v>FPM-it-1-0237 Infra. comunes de teleco en viviendas y edificios (Rafa Sanz)</v>
      </c>
      <c r="C2" s="466"/>
      <c r="D2" s="46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Q2" s="46"/>
      <c r="R2" s="46"/>
      <c r="S2" s="46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H2" s="15"/>
      <c r="AI2" s="15"/>
    </row>
    <row r="3" spans="1:35" s="692" customFormat="1" ht="100.5" customHeight="1" x14ac:dyDescent="0.3">
      <c r="A3" s="519"/>
      <c r="B3" s="116" t="s">
        <v>131</v>
      </c>
      <c r="C3" s="116" t="s">
        <v>287</v>
      </c>
      <c r="D3" s="146"/>
      <c r="E3" s="688" t="s">
        <v>41</v>
      </c>
      <c r="F3" s="689" t="str">
        <f>AlNo01&amp;CHAR(10)&amp;AlAp01</f>
        <v>nom1 --
ap1 --</v>
      </c>
      <c r="G3" s="690" t="str">
        <f>AlNo02&amp;CHAR(10)&amp;AlAp02</f>
        <v>nom2 --
ap2 --</v>
      </c>
      <c r="H3" s="690" t="str">
        <f>AlNo03&amp;CHAR(10)&amp;AlAp03</f>
        <v>nom3 --
ap3 --</v>
      </c>
      <c r="I3" s="690" t="str">
        <f>AlNo04&amp;CHAR(10)&amp;AlAp04</f>
        <v>nom4 --
ap4 --</v>
      </c>
      <c r="J3" s="691" t="str">
        <f>AlNo05&amp;CHAR(10)&amp;AlAp05</f>
        <v>nom5-----
ap5----</v>
      </c>
      <c r="K3" s="690" t="str">
        <f>AlNo06&amp;CHAR(10)&amp;AlAp06</f>
        <v>nom6-----
ap6------</v>
      </c>
      <c r="L3" s="690" t="str">
        <f>AlNo07&amp;CHAR(10)&amp;AlAp07</f>
        <v xml:space="preserve">
</v>
      </c>
      <c r="M3" s="690" t="str">
        <f>AlNo08&amp;CHAR(10)&amp;AlAp08</f>
        <v xml:space="preserve">
</v>
      </c>
      <c r="N3" s="690" t="str">
        <f>AlNo09&amp;CHAR(10)&amp;AlAp09</f>
        <v xml:space="preserve">
</v>
      </c>
      <c r="O3" s="691" t="str">
        <f>AlNo10&amp;CHAR(10)&amp;AlAp10</f>
        <v xml:space="preserve">
</v>
      </c>
      <c r="P3" s="690" t="str">
        <f>AlNo11&amp;CHAR(10)&amp;AlAp11</f>
        <v xml:space="preserve">
</v>
      </c>
      <c r="Q3" s="690" t="str">
        <f>AlNo12&amp;CHAR(10)&amp;AlAp12</f>
        <v xml:space="preserve">
</v>
      </c>
      <c r="R3" s="690" t="str">
        <f>AlNo13&amp;CHAR(10)&amp;AlAp13</f>
        <v xml:space="preserve">
</v>
      </c>
      <c r="S3" s="690" t="str">
        <f>AlNo14&amp;CHAR(10)&amp;AlAp14</f>
        <v xml:space="preserve">
</v>
      </c>
      <c r="T3" s="691" t="str">
        <f>AlNo15&amp;CHAR(10)&amp;AlAp15</f>
        <v xml:space="preserve">
</v>
      </c>
      <c r="U3" s="690" t="str">
        <f>AlNo16&amp;CHAR(10)&amp;AlAp16</f>
        <v xml:space="preserve">
</v>
      </c>
      <c r="V3" s="690" t="str">
        <f>AlNo17&amp;CHAR(10)&amp;AlAp17</f>
        <v xml:space="preserve">
</v>
      </c>
      <c r="W3" s="690" t="str">
        <f>AlNo18&amp;CHAR(10)&amp;AlAp18</f>
        <v xml:space="preserve">
</v>
      </c>
      <c r="X3" s="690" t="str">
        <f>AlNo19&amp;CHAR(10)&amp;AlAp19</f>
        <v xml:space="preserve">
</v>
      </c>
      <c r="Y3" s="691" t="str">
        <f>AlNo20&amp;CHAR(10)&amp;AlAp20</f>
        <v xml:space="preserve">
</v>
      </c>
      <c r="Z3" s="690" t="str">
        <f>AlNo21&amp;CHAR(10)&amp;AlAp21</f>
        <v xml:space="preserve">
</v>
      </c>
      <c r="AA3" s="690" t="str">
        <f>AlNo22&amp;CHAR(10)&amp;AlAp22</f>
        <v xml:space="preserve">
</v>
      </c>
      <c r="AB3" s="690" t="str">
        <f>AlNo23&amp;CHAR(10)&amp;AlAp23</f>
        <v xml:space="preserve">
</v>
      </c>
      <c r="AC3" s="690" t="str">
        <f>AlNo24&amp;CHAR(10)&amp;AlAp24</f>
        <v xml:space="preserve">
</v>
      </c>
      <c r="AD3" s="691" t="str">
        <f>AlNo25&amp;CHAR(10)&amp;AlAp25</f>
        <v xml:space="preserve">
</v>
      </c>
      <c r="AE3" s="690" t="str">
        <f>AlNo26&amp;CHAR(10)&amp;AlAp26</f>
        <v xml:space="preserve">
</v>
      </c>
      <c r="AF3" s="690" t="str">
        <f>AlNo27&amp;CHAR(10)&amp;AlAp27</f>
        <v xml:space="preserve">
</v>
      </c>
      <c r="AG3" s="690" t="str">
        <f>AlNo28&amp;CHAR(10)&amp;AlAp28</f>
        <v xml:space="preserve">
</v>
      </c>
      <c r="AH3" s="690" t="str">
        <f>AlNo29&amp;CHAR(10)&amp;AlAp29</f>
        <v xml:space="preserve">
</v>
      </c>
      <c r="AI3" s="691" t="str">
        <f>AlNo30&amp;CHAR(10)&amp;AlAp30</f>
        <v xml:space="preserve">
</v>
      </c>
    </row>
    <row r="4" spans="1:35" s="669" customFormat="1" x14ac:dyDescent="0.3">
      <c r="A4" s="568"/>
      <c r="B4" s="668">
        <f ca="1">HReal</f>
        <v>138</v>
      </c>
      <c r="C4" s="668">
        <f>NClase</f>
        <v>138</v>
      </c>
      <c r="E4" s="76" t="s">
        <v>32</v>
      </c>
      <c r="F4" s="566" t="str">
        <f>AlCo01</f>
        <v>AN01</v>
      </c>
      <c r="G4" s="416" t="str">
        <f>AlCo02</f>
        <v>AN02</v>
      </c>
      <c r="H4" s="416" t="str">
        <f>AlCo03</f>
        <v>AN03</v>
      </c>
      <c r="I4" s="416" t="str">
        <f>AlCo04</f>
        <v>AN04</v>
      </c>
      <c r="J4" s="417" t="str">
        <f>AlCo05</f>
        <v>AN05</v>
      </c>
      <c r="K4" s="416" t="str">
        <f>AlCo06</f>
        <v>AN06</v>
      </c>
      <c r="L4" s="416" t="str">
        <f>AlCo07</f>
        <v/>
      </c>
      <c r="M4" s="416" t="str">
        <f>AlCo08</f>
        <v/>
      </c>
      <c r="N4" s="416" t="str">
        <f>AlCo09</f>
        <v/>
      </c>
      <c r="O4" s="417" t="str">
        <f>AlCo10</f>
        <v/>
      </c>
      <c r="P4" s="416" t="str">
        <f>AlCo11</f>
        <v/>
      </c>
      <c r="Q4" s="416" t="str">
        <f>AlCo12</f>
        <v/>
      </c>
      <c r="R4" s="416" t="str">
        <f>AlCo13</f>
        <v/>
      </c>
      <c r="S4" s="416" t="str">
        <f>AlCo14</f>
        <v/>
      </c>
      <c r="T4" s="417" t="str">
        <f>AlCo15</f>
        <v/>
      </c>
      <c r="U4" s="416" t="str">
        <f>AlCo16</f>
        <v/>
      </c>
      <c r="V4" s="416" t="str">
        <f>AlCo17</f>
        <v/>
      </c>
      <c r="W4" s="416" t="str">
        <f>AlCo18</f>
        <v/>
      </c>
      <c r="X4" s="416" t="str">
        <f>AlCo19</f>
        <v/>
      </c>
      <c r="Y4" s="417" t="str">
        <f>AlCo20</f>
        <v/>
      </c>
      <c r="Z4" s="416" t="str">
        <f>AlCo21</f>
        <v/>
      </c>
      <c r="AA4" s="416" t="str">
        <f>AlCo22</f>
        <v/>
      </c>
      <c r="AB4" s="416" t="str">
        <f>AlCo23</f>
        <v/>
      </c>
      <c r="AC4" s="416" t="str">
        <f>AlCo24</f>
        <v/>
      </c>
      <c r="AD4" s="417" t="str">
        <f>AlCo25</f>
        <v/>
      </c>
      <c r="AE4" s="416" t="str">
        <f>AlCo26</f>
        <v/>
      </c>
      <c r="AF4" s="416" t="str">
        <f>AlCo27</f>
        <v/>
      </c>
      <c r="AG4" s="416" t="str">
        <f>AlCo28</f>
        <v/>
      </c>
      <c r="AH4" s="416" t="str">
        <f>AlCo29</f>
        <v/>
      </c>
      <c r="AI4" s="417" t="str">
        <f>AlCo30</f>
        <v/>
      </c>
    </row>
    <row r="5" spans="1:35" ht="16.2" thickBot="1" x14ac:dyDescent="0.35">
      <c r="A5" s="286"/>
      <c r="B5" s="670" t="s">
        <v>254</v>
      </c>
      <c r="C5" s="670" t="s">
        <v>54</v>
      </c>
      <c r="D5" s="670" t="s">
        <v>154</v>
      </c>
      <c r="E5" s="670" t="s">
        <v>23</v>
      </c>
      <c r="F5" s="695" t="str">
        <f>AlEs01</f>
        <v>Alta</v>
      </c>
      <c r="G5" s="416" t="str">
        <f>AlEs02</f>
        <v>Alta</v>
      </c>
      <c r="H5" s="416" t="str">
        <f>AlEs03</f>
        <v>Alta</v>
      </c>
      <c r="I5" s="416" t="str">
        <f>AlEs04</f>
        <v>Alta</v>
      </c>
      <c r="J5" s="417" t="str">
        <f>AlEs05</f>
        <v>Alta</v>
      </c>
      <c r="K5" s="416" t="str">
        <f>AlEs06</f>
        <v>Alta</v>
      </c>
      <c r="L5" s="416">
        <f>AlEs07</f>
        <v>0</v>
      </c>
      <c r="M5" s="416">
        <f>AlEs08</f>
        <v>0</v>
      </c>
      <c r="N5" s="416">
        <f>AlEs09</f>
        <v>0</v>
      </c>
      <c r="O5" s="417">
        <f>AlEs10</f>
        <v>0</v>
      </c>
      <c r="P5" s="416">
        <f>AlEs11</f>
        <v>0</v>
      </c>
      <c r="Q5" s="416">
        <f>AlEs12</f>
        <v>0</v>
      </c>
      <c r="R5" s="416">
        <f>AlEs13</f>
        <v>0</v>
      </c>
      <c r="S5" s="416">
        <f>AlEs14</f>
        <v>0</v>
      </c>
      <c r="T5" s="417">
        <f>AlEs15</f>
        <v>0</v>
      </c>
      <c r="U5" s="416">
        <f>AlEs16</f>
        <v>0</v>
      </c>
      <c r="V5" s="416">
        <f>AlEs17</f>
        <v>0</v>
      </c>
      <c r="W5" s="416">
        <f>AlEs18</f>
        <v>0</v>
      </c>
      <c r="X5" s="416">
        <f>AlEs19</f>
        <v>0</v>
      </c>
      <c r="Y5" s="417">
        <f>AlEs20</f>
        <v>0</v>
      </c>
      <c r="Z5" s="416">
        <f>AlEs21</f>
        <v>0</v>
      </c>
      <c r="AA5" s="416">
        <f>AlEs22</f>
        <v>0</v>
      </c>
      <c r="AB5" s="416">
        <f>AlEs23</f>
        <v>0</v>
      </c>
      <c r="AC5" s="416">
        <f>AlEs24</f>
        <v>0</v>
      </c>
      <c r="AD5" s="417">
        <f>AlEs25</f>
        <v>0</v>
      </c>
      <c r="AE5" s="416">
        <f>AlEs26</f>
        <v>0</v>
      </c>
      <c r="AF5" s="416">
        <f>AlEs27</f>
        <v>0</v>
      </c>
      <c r="AG5" s="416">
        <f>AlEs28</f>
        <v>0</v>
      </c>
      <c r="AH5" s="416">
        <f>AlEs29</f>
        <v>0</v>
      </c>
      <c r="AI5" s="417">
        <f>AlEs30</f>
        <v>0</v>
      </c>
    </row>
    <row r="6" spans="1:35" ht="50.1" customHeight="1" x14ac:dyDescent="0.3">
      <c r="B6" s="673">
        <v>1</v>
      </c>
      <c r="C6" s="674" t="str">
        <f ca="1">MID(Vdias,(WEEKDAY(E6,2)-1)*3+1,3)</f>
        <v>Lun</v>
      </c>
      <c r="D6" s="675">
        <f t="shared" ref="D6:D69" ca="1" si="0">E6</f>
        <v>45915</v>
      </c>
      <c r="E6" s="676">
        <f ca="1">IF(B6&gt;HReal,"",IFERROR(VLOOKUP(B6,Flts!$G$14:$I$349,3,FALSE),E5))</f>
        <v>45915</v>
      </c>
      <c r="F6" s="677"/>
      <c r="G6" s="678"/>
      <c r="H6" s="678"/>
      <c r="I6" s="678"/>
      <c r="J6" s="711"/>
      <c r="K6" s="677"/>
      <c r="L6" s="678"/>
      <c r="M6" s="678"/>
      <c r="N6" s="678"/>
      <c r="O6" s="711"/>
      <c r="P6" s="677"/>
      <c r="Q6" s="678"/>
      <c r="R6" s="678"/>
      <c r="S6" s="678"/>
      <c r="T6" s="711"/>
      <c r="U6" s="677"/>
      <c r="V6" s="678"/>
      <c r="W6" s="678"/>
      <c r="X6" s="678"/>
      <c r="Y6" s="711"/>
      <c r="Z6" s="677"/>
      <c r="AA6" s="678"/>
      <c r="AB6" s="678"/>
      <c r="AC6" s="678"/>
      <c r="AD6" s="711"/>
      <c r="AE6" s="677"/>
      <c r="AF6" s="678"/>
      <c r="AG6" s="678"/>
      <c r="AH6" s="678"/>
      <c r="AI6" s="711"/>
    </row>
    <row r="7" spans="1:35" ht="50.1" customHeight="1" x14ac:dyDescent="0.3">
      <c r="B7" s="673">
        <f ca="1">IF(HReal&gt;=MAX(B$6:$B6)+1,B6+1,"")</f>
        <v>2</v>
      </c>
      <c r="C7" s="674" t="str">
        <f t="shared" ref="C7:C38" ca="1" si="1">IF(AND(B7&lt;HReal,E6&lt;&gt;E7),IFERROR(MID(Vdias,(WEEKDAY(E7,2)-1)*3+1,3),C6),"")</f>
        <v>Mar</v>
      </c>
      <c r="D7" s="675">
        <f t="shared" ca="1" si="0"/>
        <v>45916</v>
      </c>
      <c r="E7" s="676">
        <f ca="1">IF(B7&gt;HReal,"",IFERROR(VLOOKUP(B7,Flts!$G$14:$I$349,3,FALSE),E6))</f>
        <v>45916</v>
      </c>
      <c r="F7" s="679"/>
      <c r="G7" s="680"/>
      <c r="H7" s="680"/>
      <c r="I7" s="680"/>
      <c r="J7" s="705"/>
      <c r="K7" s="679"/>
      <c r="L7" s="680"/>
      <c r="M7" s="680"/>
      <c r="N7" s="712"/>
      <c r="O7" s="705"/>
      <c r="P7" s="679"/>
      <c r="Q7" s="680"/>
      <c r="R7" s="680"/>
      <c r="S7" s="680"/>
      <c r="T7" s="705"/>
      <c r="U7" s="679"/>
      <c r="V7" s="680"/>
      <c r="W7" s="680"/>
      <c r="X7" s="680"/>
      <c r="Y7" s="705"/>
      <c r="Z7" s="679"/>
      <c r="AA7" s="680"/>
      <c r="AB7" s="680"/>
      <c r="AC7" s="680"/>
      <c r="AD7" s="705"/>
      <c r="AE7" s="679"/>
      <c r="AF7" s="680"/>
      <c r="AG7" s="680"/>
      <c r="AH7" s="680"/>
      <c r="AI7" s="705"/>
    </row>
    <row r="8" spans="1:35" ht="50.1" customHeight="1" x14ac:dyDescent="0.3">
      <c r="B8" s="673">
        <f ca="1">IF(HReal&gt;=MAX(B$6:$B7)+1,B7+1,"")</f>
        <v>3</v>
      </c>
      <c r="C8" s="674" t="str">
        <f t="shared" ca="1" si="1"/>
        <v>Mié</v>
      </c>
      <c r="D8" s="675">
        <f t="shared" ca="1" si="0"/>
        <v>45917</v>
      </c>
      <c r="E8" s="676">
        <f ca="1">IF(B8&gt;HReal,"",IFERROR(VLOOKUP(B8,Flts!$G$14:$I$349,3,FALSE),E7))</f>
        <v>45917</v>
      </c>
      <c r="F8" s="679"/>
      <c r="G8" s="680"/>
      <c r="H8" s="680"/>
      <c r="I8" s="680"/>
      <c r="J8" s="705"/>
      <c r="K8" s="679"/>
      <c r="L8" s="680"/>
      <c r="M8" s="680"/>
      <c r="N8" s="680"/>
      <c r="O8" s="705"/>
      <c r="P8" s="679"/>
      <c r="Q8" s="680"/>
      <c r="R8" s="680"/>
      <c r="S8" s="680"/>
      <c r="T8" s="705"/>
      <c r="U8" s="679"/>
      <c r="V8" s="680"/>
      <c r="W8" s="680"/>
      <c r="X8" s="680"/>
      <c r="Y8" s="705"/>
      <c r="Z8" s="679"/>
      <c r="AA8" s="680"/>
      <c r="AB8" s="680"/>
      <c r="AC8" s="680"/>
      <c r="AD8" s="705"/>
      <c r="AE8" s="679"/>
      <c r="AF8" s="680"/>
      <c r="AG8" s="680"/>
      <c r="AH8" s="680"/>
      <c r="AI8" s="705"/>
    </row>
    <row r="9" spans="1:35" ht="50.1" customHeight="1" x14ac:dyDescent="0.3">
      <c r="B9" s="673">
        <f ca="1">IF(HReal&gt;=MAX(B$6:$B8)+1,B8+1,"")</f>
        <v>4</v>
      </c>
      <c r="C9" s="674" t="str">
        <f t="shared" ca="1" si="1"/>
        <v>Jue</v>
      </c>
      <c r="D9" s="675">
        <f t="shared" ca="1" si="0"/>
        <v>45918</v>
      </c>
      <c r="E9" s="676">
        <f ca="1">IF(B9&gt;HReal,"",IFERROR(VLOOKUP(B9,Flts!$G$14:$I$349,3,FALSE),E8))</f>
        <v>45918</v>
      </c>
      <c r="F9" s="679"/>
      <c r="G9" s="680"/>
      <c r="H9" s="680"/>
      <c r="I9" s="680"/>
      <c r="J9" s="705"/>
      <c r="K9" s="679"/>
      <c r="L9" s="680"/>
      <c r="M9" s="680"/>
      <c r="N9" s="680"/>
      <c r="O9" s="705"/>
      <c r="P9" s="679"/>
      <c r="Q9" s="680"/>
      <c r="R9" s="680"/>
      <c r="S9" s="680"/>
      <c r="T9" s="705"/>
      <c r="U9" s="679"/>
      <c r="V9" s="680"/>
      <c r="W9" s="680"/>
      <c r="X9" s="680"/>
      <c r="Y9" s="705"/>
      <c r="Z9" s="679"/>
      <c r="AA9" s="680"/>
      <c r="AB9" s="680"/>
      <c r="AC9" s="680"/>
      <c r="AD9" s="705"/>
      <c r="AE9" s="679"/>
      <c r="AF9" s="680"/>
      <c r="AG9" s="680"/>
      <c r="AH9" s="680"/>
      <c r="AI9" s="705"/>
    </row>
    <row r="10" spans="1:35" ht="50.1" customHeight="1" x14ac:dyDescent="0.3">
      <c r="B10" s="673">
        <f ca="1">IF(HReal&gt;=MAX(B$6:$B9)+1,B9+1,"")</f>
        <v>5</v>
      </c>
      <c r="C10" s="674" t="str">
        <f t="shared" ca="1" si="1"/>
        <v>Vie</v>
      </c>
      <c r="D10" s="675">
        <f t="shared" ca="1" si="0"/>
        <v>45919</v>
      </c>
      <c r="E10" s="676">
        <f ca="1">IF(B10&gt;HReal,"",IFERROR(VLOOKUP(B10,Flts!$G$14:$I$349,3,FALSE),E9))</f>
        <v>45919</v>
      </c>
      <c r="F10" s="679"/>
      <c r="G10" s="680"/>
      <c r="H10" s="680"/>
      <c r="I10" s="680"/>
      <c r="J10" s="705"/>
      <c r="K10" s="679"/>
      <c r="L10" s="680"/>
      <c r="M10" s="680"/>
      <c r="N10" s="680"/>
      <c r="O10" s="705"/>
      <c r="P10" s="679"/>
      <c r="Q10" s="680"/>
      <c r="R10" s="680"/>
      <c r="S10" s="680"/>
      <c r="T10" s="705"/>
      <c r="U10" s="679"/>
      <c r="V10" s="680"/>
      <c r="W10" s="680"/>
      <c r="X10" s="680"/>
      <c r="Y10" s="705"/>
      <c r="Z10" s="679"/>
      <c r="AA10" s="680"/>
      <c r="AB10" s="680"/>
      <c r="AC10" s="680"/>
      <c r="AD10" s="705"/>
      <c r="AE10" s="679"/>
      <c r="AF10" s="680"/>
      <c r="AG10" s="680"/>
      <c r="AH10" s="680"/>
      <c r="AI10" s="705"/>
    </row>
    <row r="11" spans="1:35" ht="50.1" customHeight="1" x14ac:dyDescent="0.3">
      <c r="B11" s="673">
        <f ca="1">IF(HReal&gt;=MAX(B$6:$B10)+1,B10+1,"")</f>
        <v>6</v>
      </c>
      <c r="C11" s="674" t="str">
        <f t="shared" ca="1" si="1"/>
        <v>Lun</v>
      </c>
      <c r="D11" s="675">
        <f t="shared" ca="1" si="0"/>
        <v>45922</v>
      </c>
      <c r="E11" s="676">
        <f ca="1">IF(B11&gt;HReal,"",IFERROR(VLOOKUP(B11,Flts!$G$14:$I$349,3,FALSE),E10))</f>
        <v>45922</v>
      </c>
      <c r="F11" s="679"/>
      <c r="G11" s="680"/>
      <c r="H11" s="680"/>
      <c r="I11" s="680"/>
      <c r="J11" s="705"/>
      <c r="K11" s="679"/>
      <c r="L11" s="680"/>
      <c r="M11" s="680"/>
      <c r="N11" s="680"/>
      <c r="O11" s="705"/>
      <c r="P11" s="679"/>
      <c r="Q11" s="680"/>
      <c r="R11" s="680"/>
      <c r="S11" s="680"/>
      <c r="T11" s="705"/>
      <c r="U11" s="679"/>
      <c r="V11" s="680"/>
      <c r="W11" s="680"/>
      <c r="X11" s="680"/>
      <c r="Y11" s="705"/>
      <c r="Z11" s="679"/>
      <c r="AA11" s="680"/>
      <c r="AB11" s="680"/>
      <c r="AC11" s="680"/>
      <c r="AD11" s="705"/>
      <c r="AE11" s="679"/>
      <c r="AF11" s="680"/>
      <c r="AG11" s="680"/>
      <c r="AH11" s="680"/>
      <c r="AI11" s="705"/>
    </row>
    <row r="12" spans="1:35" ht="50.1" customHeight="1" x14ac:dyDescent="0.3">
      <c r="B12" s="673">
        <f ca="1">IF(HReal&gt;=MAX(B$6:$B11)+1,B11+1,"")</f>
        <v>7</v>
      </c>
      <c r="C12" s="674" t="str">
        <f t="shared" ca="1" si="1"/>
        <v>Mar</v>
      </c>
      <c r="D12" s="675">
        <f t="shared" ca="1" si="0"/>
        <v>45923</v>
      </c>
      <c r="E12" s="676">
        <f ca="1">IF(B12&gt;HReal,"",IFERROR(VLOOKUP(B12,Flts!$G$14:$I$349,3,FALSE),E11))</f>
        <v>45923</v>
      </c>
      <c r="F12" s="679"/>
      <c r="G12" s="680"/>
      <c r="H12" s="680"/>
      <c r="I12" s="680"/>
      <c r="J12" s="705"/>
      <c r="K12" s="679"/>
      <c r="L12" s="680"/>
      <c r="M12" s="680"/>
      <c r="N12" s="680"/>
      <c r="O12" s="705"/>
      <c r="P12" s="679"/>
      <c r="Q12" s="680"/>
      <c r="R12" s="680"/>
      <c r="S12" s="680"/>
      <c r="T12" s="705"/>
      <c r="U12" s="679"/>
      <c r="V12" s="680"/>
      <c r="W12" s="680"/>
      <c r="X12" s="680"/>
      <c r="Y12" s="705"/>
      <c r="Z12" s="679"/>
      <c r="AA12" s="680"/>
      <c r="AB12" s="680"/>
      <c r="AC12" s="680"/>
      <c r="AD12" s="705"/>
      <c r="AE12" s="679"/>
      <c r="AF12" s="680"/>
      <c r="AG12" s="680"/>
      <c r="AH12" s="680"/>
      <c r="AI12" s="705"/>
    </row>
    <row r="13" spans="1:35" ht="50.1" customHeight="1" x14ac:dyDescent="0.3">
      <c r="B13" s="673">
        <f ca="1">IF(HReal&gt;=MAX(B$6:$B12)+1,B12+1,"")</f>
        <v>8</v>
      </c>
      <c r="C13" s="674" t="str">
        <f t="shared" ca="1" si="1"/>
        <v>Mié</v>
      </c>
      <c r="D13" s="675">
        <f t="shared" ca="1" si="0"/>
        <v>45924</v>
      </c>
      <c r="E13" s="676">
        <f ca="1">IF(B13&gt;HReal,"",IFERROR(VLOOKUP(B13,Flts!$G$14:$I$349,3,FALSE),E12))</f>
        <v>45924</v>
      </c>
      <c r="F13" s="679"/>
      <c r="G13" s="680"/>
      <c r="H13" s="680"/>
      <c r="I13" s="680"/>
      <c r="J13" s="705"/>
      <c r="K13" s="679"/>
      <c r="L13" s="680"/>
      <c r="M13" s="680"/>
      <c r="N13" s="680"/>
      <c r="O13" s="705"/>
      <c r="P13" s="679"/>
      <c r="Q13" s="680"/>
      <c r="R13" s="680"/>
      <c r="S13" s="680"/>
      <c r="T13" s="705"/>
      <c r="U13" s="679"/>
      <c r="V13" s="680"/>
      <c r="W13" s="680"/>
      <c r="X13" s="680"/>
      <c r="Y13" s="705"/>
      <c r="Z13" s="679"/>
      <c r="AA13" s="680"/>
      <c r="AB13" s="680"/>
      <c r="AC13" s="680"/>
      <c r="AD13" s="705"/>
      <c r="AE13" s="679"/>
      <c r="AF13" s="680"/>
      <c r="AG13" s="680"/>
      <c r="AH13" s="680"/>
      <c r="AI13" s="705"/>
    </row>
    <row r="14" spans="1:35" ht="50.1" customHeight="1" x14ac:dyDescent="0.3">
      <c r="B14" s="673">
        <f ca="1">IF(HReal&gt;=MAX(B$6:$B13)+1,B13+1,"")</f>
        <v>9</v>
      </c>
      <c r="C14" s="674" t="str">
        <f t="shared" ca="1" si="1"/>
        <v>Jue</v>
      </c>
      <c r="D14" s="675">
        <f t="shared" ca="1" si="0"/>
        <v>45925</v>
      </c>
      <c r="E14" s="676">
        <f ca="1">IF(B14&gt;HReal,"",IFERROR(VLOOKUP(B14,Flts!$G$14:$I$349,3,FALSE),E13))</f>
        <v>45925</v>
      </c>
      <c r="F14" s="679"/>
      <c r="G14" s="680"/>
      <c r="H14" s="680"/>
      <c r="I14" s="680"/>
      <c r="J14" s="705"/>
      <c r="K14" s="679"/>
      <c r="L14" s="680"/>
      <c r="M14" s="680"/>
      <c r="N14" s="680"/>
      <c r="O14" s="705"/>
      <c r="P14" s="679"/>
      <c r="Q14" s="680"/>
      <c r="R14" s="680"/>
      <c r="S14" s="680"/>
      <c r="T14" s="705"/>
      <c r="U14" s="679"/>
      <c r="V14" s="680"/>
      <c r="W14" s="680"/>
      <c r="X14" s="680"/>
      <c r="Y14" s="705"/>
      <c r="Z14" s="679"/>
      <c r="AA14" s="680"/>
      <c r="AB14" s="680"/>
      <c r="AC14" s="680"/>
      <c r="AD14" s="705"/>
      <c r="AE14" s="679"/>
      <c r="AF14" s="680"/>
      <c r="AG14" s="680"/>
      <c r="AH14" s="680"/>
      <c r="AI14" s="705"/>
    </row>
    <row r="15" spans="1:35" ht="50.1" customHeight="1" x14ac:dyDescent="0.3">
      <c r="B15" s="673">
        <f ca="1">IF(HReal&gt;=MAX(B$6:$B14)+1,B14+1,"")</f>
        <v>10</v>
      </c>
      <c r="C15" s="674" t="str">
        <f t="shared" ca="1" si="1"/>
        <v>Vie</v>
      </c>
      <c r="D15" s="675">
        <f t="shared" ca="1" si="0"/>
        <v>45926</v>
      </c>
      <c r="E15" s="676">
        <f ca="1">IF(B15&gt;HReal,"",IFERROR(VLOOKUP(B15,Flts!$G$14:$I$349,3,FALSE),E14))</f>
        <v>45926</v>
      </c>
      <c r="F15" s="679"/>
      <c r="G15" s="680"/>
      <c r="H15" s="680"/>
      <c r="I15" s="680"/>
      <c r="J15" s="705"/>
      <c r="K15" s="679"/>
      <c r="L15" s="680"/>
      <c r="M15" s="680"/>
      <c r="N15" s="680"/>
      <c r="O15" s="705"/>
      <c r="P15" s="679"/>
      <c r="Q15" s="680"/>
      <c r="R15" s="680"/>
      <c r="S15" s="680"/>
      <c r="T15" s="705"/>
      <c r="U15" s="679"/>
      <c r="V15" s="680"/>
      <c r="W15" s="680"/>
      <c r="X15" s="680"/>
      <c r="Y15" s="705"/>
      <c r="Z15" s="679"/>
      <c r="AA15" s="680"/>
      <c r="AB15" s="680"/>
      <c r="AC15" s="680"/>
      <c r="AD15" s="705"/>
      <c r="AE15" s="679"/>
      <c r="AF15" s="680"/>
      <c r="AG15" s="680"/>
      <c r="AH15" s="680"/>
      <c r="AI15" s="705"/>
    </row>
    <row r="16" spans="1:35" ht="50.1" customHeight="1" x14ac:dyDescent="0.3">
      <c r="B16" s="673">
        <f ca="1">IF(HReal&gt;=MAX(B$6:$B15)+1,B15+1,"")</f>
        <v>11</v>
      </c>
      <c r="C16" s="674" t="str">
        <f t="shared" ca="1" si="1"/>
        <v>Lun</v>
      </c>
      <c r="D16" s="675">
        <f t="shared" ca="1" si="0"/>
        <v>45929</v>
      </c>
      <c r="E16" s="676">
        <f ca="1">IF(B16&gt;HReal,"",IFERROR(VLOOKUP(B16,Flts!$G$14:$I$349,3,FALSE),E15))</f>
        <v>45929</v>
      </c>
      <c r="F16" s="679"/>
      <c r="G16" s="680"/>
      <c r="H16" s="680"/>
      <c r="I16" s="680"/>
      <c r="J16" s="705"/>
      <c r="K16" s="679"/>
      <c r="L16" s="680"/>
      <c r="M16" s="680"/>
      <c r="N16" s="680"/>
      <c r="O16" s="705"/>
      <c r="P16" s="679"/>
      <c r="Q16" s="680"/>
      <c r="R16" s="680"/>
      <c r="S16" s="680"/>
      <c r="T16" s="705"/>
      <c r="U16" s="679"/>
      <c r="V16" s="680"/>
      <c r="W16" s="680"/>
      <c r="X16" s="680"/>
      <c r="Y16" s="705"/>
      <c r="Z16" s="679"/>
      <c r="AA16" s="680"/>
      <c r="AB16" s="680"/>
      <c r="AC16" s="680"/>
      <c r="AD16" s="705"/>
      <c r="AE16" s="679"/>
      <c r="AF16" s="680"/>
      <c r="AG16" s="680"/>
      <c r="AH16" s="680"/>
      <c r="AI16" s="705"/>
    </row>
    <row r="17" spans="2:35" ht="50.1" customHeight="1" x14ac:dyDescent="0.3">
      <c r="B17" s="673">
        <f ca="1">IF(HReal&gt;=MAX(B$6:$B16)+1,B16+1,"")</f>
        <v>12</v>
      </c>
      <c r="C17" s="674" t="str">
        <f t="shared" ca="1" si="1"/>
        <v>Mar</v>
      </c>
      <c r="D17" s="675">
        <f t="shared" ca="1" si="0"/>
        <v>45930</v>
      </c>
      <c r="E17" s="676">
        <f ca="1">IF(B17&gt;HReal,"",IFERROR(VLOOKUP(B17,Flts!$G$14:$I$349,3,FALSE),E16))</f>
        <v>45930</v>
      </c>
      <c r="F17" s="679"/>
      <c r="G17" s="680"/>
      <c r="H17" s="680"/>
      <c r="I17" s="680"/>
      <c r="J17" s="705"/>
      <c r="K17" s="679"/>
      <c r="L17" s="680"/>
      <c r="M17" s="680"/>
      <c r="N17" s="680"/>
      <c r="O17" s="705"/>
      <c r="P17" s="679"/>
      <c r="Q17" s="680"/>
      <c r="R17" s="680"/>
      <c r="S17" s="680"/>
      <c r="T17" s="705"/>
      <c r="U17" s="679"/>
      <c r="V17" s="680"/>
      <c r="W17" s="680"/>
      <c r="X17" s="680"/>
      <c r="Y17" s="705"/>
      <c r="Z17" s="679"/>
      <c r="AA17" s="680"/>
      <c r="AB17" s="680"/>
      <c r="AC17" s="680"/>
      <c r="AD17" s="705"/>
      <c r="AE17" s="679"/>
      <c r="AF17" s="680"/>
      <c r="AG17" s="680"/>
      <c r="AH17" s="680"/>
      <c r="AI17" s="705"/>
    </row>
    <row r="18" spans="2:35" ht="50.1" customHeight="1" x14ac:dyDescent="0.3">
      <c r="B18" s="673">
        <f ca="1">IF(HReal&gt;=MAX(B$6:$B17)+1,B17+1,"")</f>
        <v>13</v>
      </c>
      <c r="C18" s="674" t="str">
        <f t="shared" ca="1" si="1"/>
        <v>Mié</v>
      </c>
      <c r="D18" s="675">
        <f t="shared" ca="1" si="0"/>
        <v>45931</v>
      </c>
      <c r="E18" s="676">
        <f ca="1">IF(B18&gt;HReal,"",IFERROR(VLOOKUP(B18,Flts!$G$14:$I$349,3,FALSE),E17))</f>
        <v>45931</v>
      </c>
      <c r="F18" s="679"/>
      <c r="G18" s="680"/>
      <c r="H18" s="680"/>
      <c r="I18" s="680"/>
      <c r="J18" s="705"/>
      <c r="K18" s="679"/>
      <c r="L18" s="680"/>
      <c r="M18" s="680"/>
      <c r="N18" s="680"/>
      <c r="O18" s="705"/>
      <c r="P18" s="679"/>
      <c r="Q18" s="680"/>
      <c r="R18" s="680"/>
      <c r="S18" s="680"/>
      <c r="T18" s="705"/>
      <c r="U18" s="679"/>
      <c r="V18" s="680"/>
      <c r="W18" s="680"/>
      <c r="X18" s="680"/>
      <c r="Y18" s="705"/>
      <c r="Z18" s="679"/>
      <c r="AA18" s="680"/>
      <c r="AB18" s="680"/>
      <c r="AC18" s="680"/>
      <c r="AD18" s="705"/>
      <c r="AE18" s="679"/>
      <c r="AF18" s="680"/>
      <c r="AG18" s="680"/>
      <c r="AH18" s="680"/>
      <c r="AI18" s="705"/>
    </row>
    <row r="19" spans="2:35" ht="50.1" customHeight="1" x14ac:dyDescent="0.3">
      <c r="B19" s="673">
        <f ca="1">IF(HReal&gt;=MAX(B$6:$B18)+1,B18+1,"")</f>
        <v>14</v>
      </c>
      <c r="C19" s="748" t="str">
        <f t="shared" ca="1" si="1"/>
        <v>Jue</v>
      </c>
      <c r="D19" s="675">
        <f t="shared" ca="1" si="0"/>
        <v>45932</v>
      </c>
      <c r="E19" s="676">
        <f ca="1">IF(B19&gt;HReal,"",IFERROR(VLOOKUP(B19,Flts!$G$14:$I$349,3,FALSE),E18))</f>
        <v>45932</v>
      </c>
      <c r="F19" s="679"/>
      <c r="G19" s="680"/>
      <c r="H19" s="680"/>
      <c r="I19" s="680"/>
      <c r="J19" s="705"/>
      <c r="K19" s="679"/>
      <c r="L19" s="680"/>
      <c r="M19" s="680"/>
      <c r="N19" s="680"/>
      <c r="O19" s="705"/>
      <c r="P19" s="679"/>
      <c r="Q19" s="680"/>
      <c r="R19" s="680"/>
      <c r="S19" s="680"/>
      <c r="T19" s="705"/>
      <c r="U19" s="679"/>
      <c r="V19" s="680"/>
      <c r="W19" s="680"/>
      <c r="X19" s="680"/>
      <c r="Y19" s="705"/>
      <c r="Z19" s="679"/>
      <c r="AA19" s="680"/>
      <c r="AB19" s="680"/>
      <c r="AC19" s="680"/>
      <c r="AD19" s="705"/>
      <c r="AE19" s="679"/>
      <c r="AF19" s="680"/>
      <c r="AG19" s="680"/>
      <c r="AH19" s="680"/>
      <c r="AI19" s="705"/>
    </row>
    <row r="20" spans="2:35" ht="50.1" customHeight="1" x14ac:dyDescent="0.3">
      <c r="B20" s="673">
        <f ca="1">IF(HReal&gt;=MAX(B$6:$B19)+1,B19+1,"")</f>
        <v>15</v>
      </c>
      <c r="C20" s="748" t="str">
        <f t="shared" ca="1" si="1"/>
        <v>Vie</v>
      </c>
      <c r="D20" s="675">
        <f t="shared" ca="1" si="0"/>
        <v>45933</v>
      </c>
      <c r="E20" s="676">
        <f ca="1">IF(B20&gt;HReal,"",IFERROR(VLOOKUP(B20,Flts!$G$14:$I$349,3,FALSE),E19))</f>
        <v>45933</v>
      </c>
      <c r="F20" s="679"/>
      <c r="G20" s="680"/>
      <c r="H20" s="680"/>
      <c r="I20" s="680"/>
      <c r="J20" s="705"/>
      <c r="K20" s="679"/>
      <c r="L20" s="680"/>
      <c r="M20" s="680"/>
      <c r="N20" s="680"/>
      <c r="O20" s="705"/>
      <c r="P20" s="679"/>
      <c r="Q20" s="680"/>
      <c r="R20" s="680"/>
      <c r="S20" s="680"/>
      <c r="T20" s="705"/>
      <c r="U20" s="679"/>
      <c r="V20" s="680"/>
      <c r="W20" s="680"/>
      <c r="X20" s="680"/>
      <c r="Y20" s="705"/>
      <c r="Z20" s="679"/>
      <c r="AA20" s="680"/>
      <c r="AB20" s="680"/>
      <c r="AC20" s="680"/>
      <c r="AD20" s="705"/>
      <c r="AE20" s="679"/>
      <c r="AF20" s="680"/>
      <c r="AG20" s="680"/>
      <c r="AH20" s="680"/>
      <c r="AI20" s="705"/>
    </row>
    <row r="21" spans="2:35" ht="50.1" customHeight="1" x14ac:dyDescent="0.3">
      <c r="B21" s="673">
        <f ca="1">IF(HReal&gt;=MAX(B$6:$B20)+1,B20+1,"")</f>
        <v>16</v>
      </c>
      <c r="C21" s="748" t="str">
        <f t="shared" ca="1" si="1"/>
        <v>Lun</v>
      </c>
      <c r="D21" s="675">
        <f t="shared" ca="1" si="0"/>
        <v>45936</v>
      </c>
      <c r="E21" s="676">
        <f ca="1">IF(B21&gt;HReal,"",IFERROR(VLOOKUP(B21,Flts!$G$14:$I$349,3,FALSE),E20))</f>
        <v>45936</v>
      </c>
      <c r="F21" s="679"/>
      <c r="G21" s="680"/>
      <c r="H21" s="680"/>
      <c r="I21" s="680"/>
      <c r="J21" s="705"/>
      <c r="K21" s="679"/>
      <c r="L21" s="680"/>
      <c r="M21" s="680"/>
      <c r="N21" s="680"/>
      <c r="O21" s="705"/>
      <c r="P21" s="679"/>
      <c r="Q21" s="680"/>
      <c r="R21" s="680"/>
      <c r="S21" s="680"/>
      <c r="T21" s="705"/>
      <c r="U21" s="679"/>
      <c r="V21" s="680"/>
      <c r="W21" s="680"/>
      <c r="X21" s="680"/>
      <c r="Y21" s="705"/>
      <c r="Z21" s="679"/>
      <c r="AA21" s="680"/>
      <c r="AB21" s="680"/>
      <c r="AC21" s="680"/>
      <c r="AD21" s="705"/>
      <c r="AE21" s="679"/>
      <c r="AF21" s="680"/>
      <c r="AG21" s="680"/>
      <c r="AH21" s="680"/>
      <c r="AI21" s="705"/>
    </row>
    <row r="22" spans="2:35" ht="50.1" customHeight="1" x14ac:dyDescent="0.3">
      <c r="B22" s="673">
        <f ca="1">IF(HReal&gt;=MAX(B$6:$B21)+1,B21+1,"")</f>
        <v>17</v>
      </c>
      <c r="C22" s="674" t="str">
        <f t="shared" ca="1" si="1"/>
        <v>Mar</v>
      </c>
      <c r="D22" s="675">
        <f t="shared" ca="1" si="0"/>
        <v>45937</v>
      </c>
      <c r="E22" s="676">
        <f ca="1">IF(B22&gt;HReal,"",IFERROR(VLOOKUP(B22,Flts!$G$14:$I$349,3,FALSE),E21))</f>
        <v>45937</v>
      </c>
      <c r="F22" s="679"/>
      <c r="G22" s="680"/>
      <c r="H22" s="680"/>
      <c r="I22" s="680"/>
      <c r="J22" s="705"/>
      <c r="K22" s="679"/>
      <c r="L22" s="680"/>
      <c r="M22" s="680"/>
      <c r="N22" s="680"/>
      <c r="O22" s="705"/>
      <c r="P22" s="679"/>
      <c r="Q22" s="680"/>
      <c r="R22" s="680"/>
      <c r="S22" s="680"/>
      <c r="T22" s="705"/>
      <c r="U22" s="679"/>
      <c r="V22" s="680"/>
      <c r="W22" s="680"/>
      <c r="X22" s="680"/>
      <c r="Y22" s="705"/>
      <c r="Z22" s="679"/>
      <c r="AA22" s="680"/>
      <c r="AB22" s="680"/>
      <c r="AC22" s="680"/>
      <c r="AD22" s="705"/>
      <c r="AE22" s="679"/>
      <c r="AF22" s="680"/>
      <c r="AG22" s="680"/>
      <c r="AH22" s="680"/>
      <c r="AI22" s="705"/>
    </row>
    <row r="23" spans="2:35" ht="50.1" customHeight="1" x14ac:dyDescent="0.3">
      <c r="B23" s="673">
        <f ca="1">IF(HReal&gt;=MAX(B$6:$B22)+1,B22+1,"")</f>
        <v>18</v>
      </c>
      <c r="C23" s="674" t="str">
        <f t="shared" ca="1" si="1"/>
        <v>Mié</v>
      </c>
      <c r="D23" s="675">
        <f t="shared" ca="1" si="0"/>
        <v>45938</v>
      </c>
      <c r="E23" s="676">
        <f ca="1">IF(B23&gt;HReal,"",IFERROR(VLOOKUP(B23,Flts!$G$14:$I$349,3,FALSE),E22))</f>
        <v>45938</v>
      </c>
      <c r="F23" s="679"/>
      <c r="G23" s="680"/>
      <c r="H23" s="680"/>
      <c r="I23" s="680"/>
      <c r="J23" s="705"/>
      <c r="K23" s="679"/>
      <c r="L23" s="680"/>
      <c r="M23" s="680"/>
      <c r="N23" s="680"/>
      <c r="O23" s="705"/>
      <c r="P23" s="679"/>
      <c r="Q23" s="680"/>
      <c r="R23" s="680"/>
      <c r="S23" s="680"/>
      <c r="T23" s="705"/>
      <c r="U23" s="679"/>
      <c r="V23" s="680"/>
      <c r="W23" s="680"/>
      <c r="X23" s="680"/>
      <c r="Y23" s="705"/>
      <c r="Z23" s="679"/>
      <c r="AA23" s="680"/>
      <c r="AB23" s="680"/>
      <c r="AC23" s="680"/>
      <c r="AD23" s="705"/>
      <c r="AE23" s="679"/>
      <c r="AF23" s="680"/>
      <c r="AG23" s="680"/>
      <c r="AH23" s="680"/>
      <c r="AI23" s="705"/>
    </row>
    <row r="24" spans="2:35" ht="50.1" customHeight="1" x14ac:dyDescent="0.3">
      <c r="B24" s="673">
        <f ca="1">IF(HReal&gt;=MAX(B$6:$B23)+1,B23+1,"")</f>
        <v>19</v>
      </c>
      <c r="C24" s="674" t="str">
        <f t="shared" ca="1" si="1"/>
        <v>Jue</v>
      </c>
      <c r="D24" s="675">
        <f t="shared" ca="1" si="0"/>
        <v>45939</v>
      </c>
      <c r="E24" s="676">
        <f ca="1">IF(B24&gt;HReal,"",IFERROR(VLOOKUP(B24,Flts!$G$14:$I$349,3,FALSE),E23))</f>
        <v>45939</v>
      </c>
      <c r="F24" s="679"/>
      <c r="G24" s="680"/>
      <c r="H24" s="680"/>
      <c r="I24" s="680"/>
      <c r="J24" s="705"/>
      <c r="K24" s="679"/>
      <c r="L24" s="680"/>
      <c r="M24" s="680"/>
      <c r="N24" s="680"/>
      <c r="O24" s="705"/>
      <c r="P24" s="679"/>
      <c r="Q24" s="680"/>
      <c r="R24" s="680"/>
      <c r="S24" s="680"/>
      <c r="T24" s="705"/>
      <c r="U24" s="679"/>
      <c r="V24" s="680"/>
      <c r="W24" s="680"/>
      <c r="X24" s="680"/>
      <c r="Y24" s="705"/>
      <c r="Z24" s="679"/>
      <c r="AA24" s="680"/>
      <c r="AB24" s="680"/>
      <c r="AC24" s="680"/>
      <c r="AD24" s="705"/>
      <c r="AE24" s="679"/>
      <c r="AF24" s="680"/>
      <c r="AG24" s="680"/>
      <c r="AH24" s="680"/>
      <c r="AI24" s="705"/>
    </row>
    <row r="25" spans="2:35" ht="50.1" customHeight="1" x14ac:dyDescent="0.3">
      <c r="B25" s="673">
        <f ca="1">IF(HReal&gt;=MAX(B$6:$B24)+1,B24+1,"")</f>
        <v>20</v>
      </c>
      <c r="C25" s="674" t="str">
        <f t="shared" ca="1" si="1"/>
        <v>Mar</v>
      </c>
      <c r="D25" s="675">
        <f t="shared" ca="1" si="0"/>
        <v>45944</v>
      </c>
      <c r="E25" s="676">
        <f ca="1">IF(B25&gt;HReal,"",IFERROR(VLOOKUP(B25,Flts!$G$14:$I$349,3,FALSE),E24))</f>
        <v>45944</v>
      </c>
      <c r="F25" s="679"/>
      <c r="G25" s="680"/>
      <c r="H25" s="680"/>
      <c r="I25" s="680"/>
      <c r="J25" s="705"/>
      <c r="K25" s="679"/>
      <c r="L25" s="680"/>
      <c r="M25" s="680"/>
      <c r="N25" s="680"/>
      <c r="O25" s="705"/>
      <c r="P25" s="679"/>
      <c r="Q25" s="680"/>
      <c r="R25" s="680"/>
      <c r="S25" s="680"/>
      <c r="T25" s="705"/>
      <c r="U25" s="679"/>
      <c r="V25" s="680"/>
      <c r="W25" s="680"/>
      <c r="X25" s="680"/>
      <c r="Y25" s="705"/>
      <c r="Z25" s="679"/>
      <c r="AA25" s="680"/>
      <c r="AB25" s="680"/>
      <c r="AC25" s="680"/>
      <c r="AD25" s="705"/>
      <c r="AE25" s="679"/>
      <c r="AF25" s="680"/>
      <c r="AG25" s="680"/>
      <c r="AH25" s="680"/>
      <c r="AI25" s="705"/>
    </row>
    <row r="26" spans="2:35" ht="50.1" customHeight="1" x14ac:dyDescent="0.3">
      <c r="B26" s="673">
        <f ca="1">IF(HReal&gt;=MAX(B$6:$B25)+1,B25+1,"")</f>
        <v>21</v>
      </c>
      <c r="C26" s="674" t="str">
        <f t="shared" ca="1" si="1"/>
        <v>Mié</v>
      </c>
      <c r="D26" s="675">
        <f t="shared" ca="1" si="0"/>
        <v>45945</v>
      </c>
      <c r="E26" s="676">
        <f ca="1">IF(B26&gt;HReal,"",IFERROR(VLOOKUP(B26,Flts!$G$14:$I$349,3,FALSE),E25))</f>
        <v>45945</v>
      </c>
      <c r="F26" s="679"/>
      <c r="G26" s="680"/>
      <c r="H26" s="680"/>
      <c r="I26" s="680"/>
      <c r="J26" s="705"/>
      <c r="K26" s="679"/>
      <c r="L26" s="680"/>
      <c r="M26" s="680"/>
      <c r="N26" s="680"/>
      <c r="O26" s="705"/>
      <c r="P26" s="679"/>
      <c r="Q26" s="680"/>
      <c r="R26" s="680"/>
      <c r="S26" s="680"/>
      <c r="T26" s="705"/>
      <c r="U26" s="679"/>
      <c r="V26" s="680"/>
      <c r="W26" s="680"/>
      <c r="X26" s="680"/>
      <c r="Y26" s="705"/>
      <c r="Z26" s="679"/>
      <c r="AA26" s="680"/>
      <c r="AB26" s="680"/>
      <c r="AC26" s="680"/>
      <c r="AD26" s="705"/>
      <c r="AE26" s="679"/>
      <c r="AF26" s="680"/>
      <c r="AG26" s="680"/>
      <c r="AH26" s="680"/>
      <c r="AI26" s="705"/>
    </row>
    <row r="27" spans="2:35" ht="50.1" customHeight="1" x14ac:dyDescent="0.3">
      <c r="B27" s="673">
        <f ca="1">IF(HReal&gt;=MAX(B$6:$B26)+1,B26+1,"")</f>
        <v>22</v>
      </c>
      <c r="C27" s="674" t="str">
        <f t="shared" ca="1" si="1"/>
        <v>Jue</v>
      </c>
      <c r="D27" s="675">
        <f t="shared" ca="1" si="0"/>
        <v>45946</v>
      </c>
      <c r="E27" s="676">
        <f ca="1">IF(B27&gt;HReal,"",IFERROR(VLOOKUP(B27,Flts!$G$14:$I$349,3,FALSE),E26))</f>
        <v>45946</v>
      </c>
      <c r="F27" s="679"/>
      <c r="G27" s="680"/>
      <c r="H27" s="680"/>
      <c r="I27" s="680"/>
      <c r="J27" s="705"/>
      <c r="K27" s="679"/>
      <c r="L27" s="680"/>
      <c r="M27" s="680"/>
      <c r="N27" s="680"/>
      <c r="O27" s="705"/>
      <c r="P27" s="679"/>
      <c r="Q27" s="680"/>
      <c r="R27" s="680"/>
      <c r="S27" s="680"/>
      <c r="T27" s="705"/>
      <c r="U27" s="679"/>
      <c r="V27" s="680"/>
      <c r="W27" s="680"/>
      <c r="X27" s="680"/>
      <c r="Y27" s="705"/>
      <c r="Z27" s="679"/>
      <c r="AA27" s="680"/>
      <c r="AB27" s="680"/>
      <c r="AC27" s="680"/>
      <c r="AD27" s="705"/>
      <c r="AE27" s="679"/>
      <c r="AF27" s="680"/>
      <c r="AG27" s="680"/>
      <c r="AH27" s="680"/>
      <c r="AI27" s="705"/>
    </row>
    <row r="28" spans="2:35" ht="50.1" customHeight="1" x14ac:dyDescent="0.3">
      <c r="B28" s="673">
        <f ca="1">IF(HReal&gt;=MAX(B$6:$B27)+1,B27+1,"")</f>
        <v>23</v>
      </c>
      <c r="C28" s="674" t="str">
        <f t="shared" ca="1" si="1"/>
        <v>Vie</v>
      </c>
      <c r="D28" s="675">
        <f t="shared" ca="1" si="0"/>
        <v>45947</v>
      </c>
      <c r="E28" s="676">
        <f ca="1">IF(B28&gt;HReal,"",IFERROR(VLOOKUP(B28,Flts!$G$14:$I$349,3,FALSE),E27))</f>
        <v>45947</v>
      </c>
      <c r="F28" s="679"/>
      <c r="G28" s="680"/>
      <c r="H28" s="680"/>
      <c r="I28" s="680"/>
      <c r="J28" s="705"/>
      <c r="K28" s="679"/>
      <c r="L28" s="680"/>
      <c r="M28" s="680"/>
      <c r="N28" s="680"/>
      <c r="O28" s="705"/>
      <c r="P28" s="679"/>
      <c r="Q28" s="680"/>
      <c r="R28" s="680"/>
      <c r="S28" s="680"/>
      <c r="T28" s="705"/>
      <c r="U28" s="679"/>
      <c r="V28" s="680"/>
      <c r="W28" s="680"/>
      <c r="X28" s="680"/>
      <c r="Y28" s="705"/>
      <c r="Z28" s="679"/>
      <c r="AA28" s="680"/>
      <c r="AB28" s="680"/>
      <c r="AC28" s="680"/>
      <c r="AD28" s="705"/>
      <c r="AE28" s="679"/>
      <c r="AF28" s="680"/>
      <c r="AG28" s="680"/>
      <c r="AH28" s="680"/>
      <c r="AI28" s="705"/>
    </row>
    <row r="29" spans="2:35" ht="50.1" customHeight="1" x14ac:dyDescent="0.3">
      <c r="B29" s="673">
        <f ca="1">IF(HReal&gt;=MAX(B$6:$B28)+1,B28+1,"")</f>
        <v>24</v>
      </c>
      <c r="C29" s="674" t="str">
        <f t="shared" ca="1" si="1"/>
        <v>Lun</v>
      </c>
      <c r="D29" s="675">
        <f t="shared" ca="1" si="0"/>
        <v>45950</v>
      </c>
      <c r="E29" s="676">
        <f ca="1">IF(B29&gt;HReal,"",IFERROR(VLOOKUP(B29,Flts!$G$14:$I$349,3,FALSE),E28))</f>
        <v>45950</v>
      </c>
      <c r="F29" s="679"/>
      <c r="G29" s="680"/>
      <c r="H29" s="680"/>
      <c r="I29" s="680"/>
      <c r="J29" s="705"/>
      <c r="K29" s="679"/>
      <c r="L29" s="680"/>
      <c r="M29" s="680"/>
      <c r="N29" s="680"/>
      <c r="O29" s="705"/>
      <c r="P29" s="679"/>
      <c r="Q29" s="680"/>
      <c r="R29" s="680"/>
      <c r="S29" s="680"/>
      <c r="T29" s="705"/>
      <c r="U29" s="679"/>
      <c r="V29" s="680"/>
      <c r="W29" s="680"/>
      <c r="X29" s="680"/>
      <c r="Y29" s="705"/>
      <c r="Z29" s="679"/>
      <c r="AA29" s="680"/>
      <c r="AB29" s="680"/>
      <c r="AC29" s="680"/>
      <c r="AD29" s="705"/>
      <c r="AE29" s="679"/>
      <c r="AF29" s="680"/>
      <c r="AG29" s="680"/>
      <c r="AH29" s="680"/>
      <c r="AI29" s="705"/>
    </row>
    <row r="30" spans="2:35" ht="50.1" customHeight="1" x14ac:dyDescent="0.3">
      <c r="B30" s="673">
        <f ca="1">IF(HReal&gt;=MAX(B$6:$B29)+1,B29+1,"")</f>
        <v>25</v>
      </c>
      <c r="C30" s="674" t="str">
        <f t="shared" ca="1" si="1"/>
        <v>Mar</v>
      </c>
      <c r="D30" s="675">
        <f t="shared" ca="1" si="0"/>
        <v>45951</v>
      </c>
      <c r="E30" s="676">
        <f ca="1">IF(B30&gt;HReal,"",IFERROR(VLOOKUP(B30,Flts!$G$14:$I$349,3,FALSE),E29))</f>
        <v>45951</v>
      </c>
      <c r="F30" s="679"/>
      <c r="G30" s="680"/>
      <c r="H30" s="680"/>
      <c r="I30" s="680"/>
      <c r="J30" s="705"/>
      <c r="K30" s="679"/>
      <c r="L30" s="680"/>
      <c r="M30" s="680"/>
      <c r="N30" s="680"/>
      <c r="O30" s="705"/>
      <c r="P30" s="679"/>
      <c r="Q30" s="680"/>
      <c r="R30" s="680"/>
      <c r="S30" s="680"/>
      <c r="T30" s="705"/>
      <c r="U30" s="679"/>
      <c r="V30" s="680"/>
      <c r="W30" s="680"/>
      <c r="X30" s="680"/>
      <c r="Y30" s="705"/>
      <c r="Z30" s="679"/>
      <c r="AA30" s="680"/>
      <c r="AB30" s="680"/>
      <c r="AC30" s="680"/>
      <c r="AD30" s="705"/>
      <c r="AE30" s="679"/>
      <c r="AF30" s="680"/>
      <c r="AG30" s="680"/>
      <c r="AH30" s="680"/>
      <c r="AI30" s="705"/>
    </row>
    <row r="31" spans="2:35" ht="50.1" customHeight="1" x14ac:dyDescent="0.3">
      <c r="B31" s="673">
        <f ca="1">IF(HReal&gt;=MAX(B$6:$B30)+1,B30+1,"")</f>
        <v>26</v>
      </c>
      <c r="C31" s="674" t="str">
        <f t="shared" ca="1" si="1"/>
        <v>Mié</v>
      </c>
      <c r="D31" s="675">
        <f t="shared" ca="1" si="0"/>
        <v>45952</v>
      </c>
      <c r="E31" s="676">
        <f ca="1">IF(B31&gt;HReal,"",IFERROR(VLOOKUP(B31,Flts!$G$14:$I$349,3,FALSE),E30))</f>
        <v>45952</v>
      </c>
      <c r="F31" s="679"/>
      <c r="G31" s="680"/>
      <c r="H31" s="680"/>
      <c r="I31" s="680"/>
      <c r="J31" s="705"/>
      <c r="K31" s="679"/>
      <c r="L31" s="680"/>
      <c r="M31" s="680"/>
      <c r="N31" s="680"/>
      <c r="O31" s="705"/>
      <c r="P31" s="679"/>
      <c r="Q31" s="680"/>
      <c r="R31" s="680"/>
      <c r="S31" s="680"/>
      <c r="T31" s="705"/>
      <c r="U31" s="679"/>
      <c r="V31" s="680"/>
      <c r="W31" s="680"/>
      <c r="X31" s="680"/>
      <c r="Y31" s="705"/>
      <c r="Z31" s="679"/>
      <c r="AA31" s="680"/>
      <c r="AB31" s="680"/>
      <c r="AC31" s="680"/>
      <c r="AD31" s="705"/>
      <c r="AE31" s="679"/>
      <c r="AF31" s="680"/>
      <c r="AG31" s="680"/>
      <c r="AH31" s="680"/>
      <c r="AI31" s="705"/>
    </row>
    <row r="32" spans="2:35" ht="50.1" customHeight="1" x14ac:dyDescent="0.3">
      <c r="B32" s="673">
        <f ca="1">IF(HReal&gt;=MAX(B$6:$B31)+1,B31+1,"")</f>
        <v>27</v>
      </c>
      <c r="C32" s="674" t="str">
        <f t="shared" ca="1" si="1"/>
        <v>Jue</v>
      </c>
      <c r="D32" s="675">
        <f t="shared" ca="1" si="0"/>
        <v>45953</v>
      </c>
      <c r="E32" s="676">
        <f ca="1">IF(B32&gt;HReal,"",IFERROR(VLOOKUP(B32,Flts!$G$14:$I$349,3,FALSE),E31))</f>
        <v>45953</v>
      </c>
      <c r="F32" s="679"/>
      <c r="G32" s="680"/>
      <c r="H32" s="680"/>
      <c r="I32" s="680"/>
      <c r="J32" s="705"/>
      <c r="K32" s="679"/>
      <c r="L32" s="680"/>
      <c r="M32" s="680"/>
      <c r="N32" s="680"/>
      <c r="O32" s="705"/>
      <c r="P32" s="679"/>
      <c r="Q32" s="680"/>
      <c r="R32" s="680"/>
      <c r="S32" s="680"/>
      <c r="T32" s="705"/>
      <c r="U32" s="679"/>
      <c r="V32" s="680"/>
      <c r="W32" s="680"/>
      <c r="X32" s="680"/>
      <c r="Y32" s="705"/>
      <c r="Z32" s="679"/>
      <c r="AA32" s="680"/>
      <c r="AB32" s="680"/>
      <c r="AC32" s="680"/>
      <c r="AD32" s="705"/>
      <c r="AE32" s="679"/>
      <c r="AF32" s="680"/>
      <c r="AG32" s="680"/>
      <c r="AH32" s="680"/>
      <c r="AI32" s="705"/>
    </row>
    <row r="33" spans="2:35" ht="50.1" customHeight="1" x14ac:dyDescent="0.3">
      <c r="B33" s="673">
        <f ca="1">IF(HReal&gt;=MAX(B$6:$B32)+1,B32+1,"")</f>
        <v>28</v>
      </c>
      <c r="C33" s="674" t="str">
        <f t="shared" ca="1" si="1"/>
        <v>Vie</v>
      </c>
      <c r="D33" s="675">
        <f t="shared" ca="1" si="0"/>
        <v>45954</v>
      </c>
      <c r="E33" s="676">
        <f ca="1">IF(B33&gt;HReal,"",IFERROR(VLOOKUP(B33,Flts!$G$14:$I$349,3,FALSE),E32))</f>
        <v>45954</v>
      </c>
      <c r="F33" s="679"/>
      <c r="G33" s="680"/>
      <c r="H33" s="680"/>
      <c r="I33" s="680"/>
      <c r="J33" s="705"/>
      <c r="K33" s="679"/>
      <c r="L33" s="680"/>
      <c r="M33" s="680"/>
      <c r="N33" s="680"/>
      <c r="O33" s="705"/>
      <c r="P33" s="679"/>
      <c r="Q33" s="680"/>
      <c r="R33" s="680"/>
      <c r="S33" s="680"/>
      <c r="T33" s="705"/>
      <c r="U33" s="679"/>
      <c r="V33" s="680"/>
      <c r="W33" s="680"/>
      <c r="X33" s="680"/>
      <c r="Y33" s="705"/>
      <c r="Z33" s="679"/>
      <c r="AA33" s="680"/>
      <c r="AB33" s="680"/>
      <c r="AC33" s="680"/>
      <c r="AD33" s="705"/>
      <c r="AE33" s="679"/>
      <c r="AF33" s="680"/>
      <c r="AG33" s="680"/>
      <c r="AH33" s="680"/>
      <c r="AI33" s="705"/>
    </row>
    <row r="34" spans="2:35" ht="50.1" customHeight="1" x14ac:dyDescent="0.3">
      <c r="B34" s="673">
        <f ca="1">IF(HReal&gt;=MAX(B$6:$B33)+1,B33+1,"")</f>
        <v>29</v>
      </c>
      <c r="C34" s="674" t="str">
        <f t="shared" ca="1" si="1"/>
        <v>Lun</v>
      </c>
      <c r="D34" s="675">
        <f t="shared" ca="1" si="0"/>
        <v>45957</v>
      </c>
      <c r="E34" s="676">
        <f ca="1">IF(B34&gt;HReal,"",IFERROR(VLOOKUP(B34,Flts!$G$14:$I$349,3,FALSE),E33))</f>
        <v>45957</v>
      </c>
      <c r="F34" s="679"/>
      <c r="G34" s="680"/>
      <c r="H34" s="680"/>
      <c r="I34" s="680"/>
      <c r="J34" s="705"/>
      <c r="K34" s="679"/>
      <c r="L34" s="680"/>
      <c r="M34" s="680"/>
      <c r="N34" s="680"/>
      <c r="O34" s="705"/>
      <c r="P34" s="679"/>
      <c r="Q34" s="680"/>
      <c r="R34" s="680"/>
      <c r="S34" s="680"/>
      <c r="T34" s="705"/>
      <c r="U34" s="679"/>
      <c r="V34" s="680"/>
      <c r="W34" s="680"/>
      <c r="X34" s="680"/>
      <c r="Y34" s="705"/>
      <c r="Z34" s="679"/>
      <c r="AA34" s="680"/>
      <c r="AB34" s="680"/>
      <c r="AC34" s="680"/>
      <c r="AD34" s="705"/>
      <c r="AE34" s="679"/>
      <c r="AF34" s="680"/>
      <c r="AG34" s="680"/>
      <c r="AH34" s="680"/>
      <c r="AI34" s="705"/>
    </row>
    <row r="35" spans="2:35" ht="50.1" customHeight="1" x14ac:dyDescent="0.3">
      <c r="B35" s="673">
        <f ca="1">IF(HReal&gt;=MAX(B$6:$B34)+1,B34+1,"")</f>
        <v>30</v>
      </c>
      <c r="C35" s="674" t="str">
        <f t="shared" ca="1" si="1"/>
        <v>Mar</v>
      </c>
      <c r="D35" s="675">
        <f t="shared" ca="1" si="0"/>
        <v>45958</v>
      </c>
      <c r="E35" s="676">
        <f ca="1">IF(B35&gt;HReal,"",IFERROR(VLOOKUP(B35,Flts!$G$14:$I$349,3,FALSE),E34))</f>
        <v>45958</v>
      </c>
      <c r="F35" s="679"/>
      <c r="G35" s="680"/>
      <c r="H35" s="680"/>
      <c r="I35" s="680"/>
      <c r="J35" s="705"/>
      <c r="K35" s="679"/>
      <c r="L35" s="680"/>
      <c r="M35" s="680"/>
      <c r="N35" s="680"/>
      <c r="O35" s="705"/>
      <c r="P35" s="679"/>
      <c r="Q35" s="680"/>
      <c r="R35" s="680"/>
      <c r="S35" s="680"/>
      <c r="T35" s="705"/>
      <c r="U35" s="679"/>
      <c r="V35" s="680"/>
      <c r="W35" s="680"/>
      <c r="X35" s="680"/>
      <c r="Y35" s="705"/>
      <c r="Z35" s="679"/>
      <c r="AA35" s="680"/>
      <c r="AB35" s="680"/>
      <c r="AC35" s="680"/>
      <c r="AD35" s="705"/>
      <c r="AE35" s="679"/>
      <c r="AF35" s="680"/>
      <c r="AG35" s="680"/>
      <c r="AH35" s="680"/>
      <c r="AI35" s="705"/>
    </row>
    <row r="36" spans="2:35" ht="50.1" customHeight="1" x14ac:dyDescent="0.3">
      <c r="B36" s="673">
        <f ca="1">IF(HReal&gt;=MAX(B$6:$B35)+1,B35+1,"")</f>
        <v>31</v>
      </c>
      <c r="C36" s="674" t="str">
        <f t="shared" ca="1" si="1"/>
        <v>Mié</v>
      </c>
      <c r="D36" s="675">
        <f t="shared" ca="1" si="0"/>
        <v>45959</v>
      </c>
      <c r="E36" s="676">
        <f ca="1">IF(B36&gt;HReal,"",IFERROR(VLOOKUP(B36,Flts!$G$14:$I$349,3,FALSE),E35))</f>
        <v>45959</v>
      </c>
      <c r="F36" s="679"/>
      <c r="G36" s="680"/>
      <c r="H36" s="680"/>
      <c r="I36" s="680"/>
      <c r="J36" s="705"/>
      <c r="K36" s="679"/>
      <c r="L36" s="680"/>
      <c r="M36" s="680"/>
      <c r="N36" s="680"/>
      <c r="O36" s="705"/>
      <c r="P36" s="679"/>
      <c r="Q36" s="680"/>
      <c r="R36" s="680"/>
      <c r="S36" s="680"/>
      <c r="T36" s="705"/>
      <c r="U36" s="679"/>
      <c r="V36" s="680"/>
      <c r="W36" s="680"/>
      <c r="X36" s="680"/>
      <c r="Y36" s="705"/>
      <c r="Z36" s="679"/>
      <c r="AA36" s="680"/>
      <c r="AB36" s="680"/>
      <c r="AC36" s="680"/>
      <c r="AD36" s="705"/>
      <c r="AE36" s="679"/>
      <c r="AF36" s="680"/>
      <c r="AG36" s="680"/>
      <c r="AH36" s="680"/>
      <c r="AI36" s="705"/>
    </row>
    <row r="37" spans="2:35" ht="50.1" customHeight="1" x14ac:dyDescent="0.3">
      <c r="B37" s="673">
        <f ca="1">IF(HReal&gt;=MAX(B$6:$B36)+1,B36+1,"")</f>
        <v>32</v>
      </c>
      <c r="C37" s="674" t="str">
        <f t="shared" ca="1" si="1"/>
        <v>Jue</v>
      </c>
      <c r="D37" s="675">
        <f t="shared" ca="1" si="0"/>
        <v>45960</v>
      </c>
      <c r="E37" s="676">
        <f ca="1">IF(B37&gt;HReal,"",IFERROR(VLOOKUP(B37,Flts!$G$14:$I$349,3,FALSE),E36))</f>
        <v>45960</v>
      </c>
      <c r="F37" s="679"/>
      <c r="G37" s="680"/>
      <c r="H37" s="680"/>
      <c r="I37" s="680"/>
      <c r="J37" s="705"/>
      <c r="K37" s="679"/>
      <c r="L37" s="680"/>
      <c r="M37" s="680"/>
      <c r="N37" s="680"/>
      <c r="O37" s="705"/>
      <c r="P37" s="679"/>
      <c r="Q37" s="680"/>
      <c r="R37" s="680"/>
      <c r="S37" s="680"/>
      <c r="T37" s="705"/>
      <c r="U37" s="679"/>
      <c r="V37" s="680"/>
      <c r="W37" s="680"/>
      <c r="X37" s="680"/>
      <c r="Y37" s="705"/>
      <c r="Z37" s="679"/>
      <c r="AA37" s="680"/>
      <c r="AB37" s="680"/>
      <c r="AC37" s="680"/>
      <c r="AD37" s="705"/>
      <c r="AE37" s="679"/>
      <c r="AF37" s="680"/>
      <c r="AG37" s="680"/>
      <c r="AH37" s="680"/>
      <c r="AI37" s="705"/>
    </row>
    <row r="38" spans="2:35" ht="50.1" customHeight="1" x14ac:dyDescent="0.3">
      <c r="B38" s="673">
        <f ca="1">IF(HReal&gt;=MAX(B$6:$B37)+1,B37+1,"")</f>
        <v>33</v>
      </c>
      <c r="C38" s="674" t="str">
        <f t="shared" ca="1" si="1"/>
        <v>Vie</v>
      </c>
      <c r="D38" s="675">
        <f t="shared" ca="1" si="0"/>
        <v>45961</v>
      </c>
      <c r="E38" s="676">
        <f ca="1">IF(B38&gt;HReal,"",IFERROR(VLOOKUP(B38,Flts!$G$14:$I$349,3,FALSE),E37))</f>
        <v>45961</v>
      </c>
      <c r="F38" s="679"/>
      <c r="G38" s="680"/>
      <c r="H38" s="680"/>
      <c r="I38" s="680"/>
      <c r="J38" s="705"/>
      <c r="K38" s="679"/>
      <c r="L38" s="680"/>
      <c r="M38" s="680"/>
      <c r="N38" s="680"/>
      <c r="O38" s="705"/>
      <c r="P38" s="679"/>
      <c r="Q38" s="680"/>
      <c r="R38" s="680"/>
      <c r="S38" s="680"/>
      <c r="T38" s="705"/>
      <c r="U38" s="679"/>
      <c r="V38" s="680"/>
      <c r="W38" s="680"/>
      <c r="X38" s="680"/>
      <c r="Y38" s="705"/>
      <c r="Z38" s="679"/>
      <c r="AA38" s="680"/>
      <c r="AB38" s="680"/>
      <c r="AC38" s="680"/>
      <c r="AD38" s="705"/>
      <c r="AE38" s="679"/>
      <c r="AF38" s="680"/>
      <c r="AG38" s="680"/>
      <c r="AH38" s="680"/>
      <c r="AI38" s="705"/>
    </row>
    <row r="39" spans="2:35" ht="50.1" customHeight="1" x14ac:dyDescent="0.3">
      <c r="B39" s="673">
        <f ca="1">IF(HReal&gt;=MAX(B$6:$B38)+1,B38+1,"")</f>
        <v>34</v>
      </c>
      <c r="C39" s="674" t="str">
        <f t="shared" ref="C39:C70" ca="1" si="2">IF(AND(B39&lt;HReal,E38&lt;&gt;E39),IFERROR(MID(Vdias,(WEEKDAY(E39,2)-1)*3+1,3),C38),"")</f>
        <v>Mar</v>
      </c>
      <c r="D39" s="675">
        <f t="shared" ca="1" si="0"/>
        <v>45965</v>
      </c>
      <c r="E39" s="676">
        <f ca="1">IF(B39&gt;HReal,"",IFERROR(VLOOKUP(B39,Flts!$G$14:$I$349,3,FALSE),E38))</f>
        <v>45965</v>
      </c>
      <c r="F39" s="679"/>
      <c r="G39" s="680"/>
      <c r="H39" s="680"/>
      <c r="I39" s="680"/>
      <c r="J39" s="705"/>
      <c r="K39" s="679"/>
      <c r="L39" s="680"/>
      <c r="M39" s="680"/>
      <c r="N39" s="680"/>
      <c r="O39" s="705"/>
      <c r="P39" s="679"/>
      <c r="Q39" s="680"/>
      <c r="R39" s="680"/>
      <c r="S39" s="680"/>
      <c r="T39" s="705"/>
      <c r="U39" s="679"/>
      <c r="V39" s="680"/>
      <c r="W39" s="680"/>
      <c r="X39" s="680"/>
      <c r="Y39" s="705"/>
      <c r="Z39" s="679"/>
      <c r="AA39" s="680"/>
      <c r="AB39" s="680"/>
      <c r="AC39" s="680"/>
      <c r="AD39" s="705"/>
      <c r="AE39" s="679"/>
      <c r="AF39" s="680"/>
      <c r="AG39" s="680"/>
      <c r="AH39" s="680"/>
      <c r="AI39" s="705"/>
    </row>
    <row r="40" spans="2:35" ht="50.1" customHeight="1" x14ac:dyDescent="0.3">
      <c r="B40" s="673">
        <f ca="1">IF(HReal&gt;=MAX(B$6:$B39)+1,B39+1,"")</f>
        <v>35</v>
      </c>
      <c r="C40" s="674" t="str">
        <f t="shared" ca="1" si="2"/>
        <v>Mié</v>
      </c>
      <c r="D40" s="675">
        <f t="shared" ca="1" si="0"/>
        <v>45966</v>
      </c>
      <c r="E40" s="676">
        <f ca="1">IF(B40&gt;HReal,"",IFERROR(VLOOKUP(B40,Flts!$G$14:$I$349,3,FALSE),E39))</f>
        <v>45966</v>
      </c>
      <c r="F40" s="679"/>
      <c r="G40" s="680"/>
      <c r="H40" s="680"/>
      <c r="I40" s="680"/>
      <c r="J40" s="705"/>
      <c r="K40" s="679"/>
      <c r="L40" s="680"/>
      <c r="M40" s="680"/>
      <c r="N40" s="680"/>
      <c r="O40" s="705"/>
      <c r="P40" s="679"/>
      <c r="Q40" s="680"/>
      <c r="R40" s="680"/>
      <c r="S40" s="680"/>
      <c r="T40" s="705"/>
      <c r="U40" s="679"/>
      <c r="V40" s="680"/>
      <c r="W40" s="680"/>
      <c r="X40" s="680"/>
      <c r="Y40" s="705"/>
      <c r="Z40" s="679"/>
      <c r="AA40" s="680"/>
      <c r="AB40" s="680"/>
      <c r="AC40" s="680"/>
      <c r="AD40" s="705"/>
      <c r="AE40" s="679"/>
      <c r="AF40" s="680"/>
      <c r="AG40" s="680"/>
      <c r="AH40" s="680"/>
      <c r="AI40" s="705"/>
    </row>
    <row r="41" spans="2:35" ht="50.1" customHeight="1" x14ac:dyDescent="0.3">
      <c r="B41" s="673">
        <f ca="1">IF(HReal&gt;=MAX(B$6:$B40)+1,B40+1,"")</f>
        <v>36</v>
      </c>
      <c r="C41" s="674" t="str">
        <f t="shared" ca="1" si="2"/>
        <v>Jue</v>
      </c>
      <c r="D41" s="675">
        <f t="shared" ca="1" si="0"/>
        <v>45967</v>
      </c>
      <c r="E41" s="676">
        <f ca="1">IF(B41&gt;HReal,"",IFERROR(VLOOKUP(B41,Flts!$G$14:$I$349,3,FALSE),E40))</f>
        <v>45967</v>
      </c>
      <c r="F41" s="679"/>
      <c r="G41" s="680"/>
      <c r="H41" s="680"/>
      <c r="I41" s="680"/>
      <c r="J41" s="705"/>
      <c r="K41" s="679"/>
      <c r="L41" s="680"/>
      <c r="M41" s="680"/>
      <c r="N41" s="680"/>
      <c r="O41" s="705"/>
      <c r="P41" s="679"/>
      <c r="Q41" s="680"/>
      <c r="R41" s="680"/>
      <c r="S41" s="680"/>
      <c r="T41" s="705"/>
      <c r="U41" s="679"/>
      <c r="V41" s="680"/>
      <c r="W41" s="680"/>
      <c r="X41" s="680"/>
      <c r="Y41" s="705"/>
      <c r="Z41" s="679"/>
      <c r="AA41" s="680"/>
      <c r="AB41" s="680"/>
      <c r="AC41" s="680"/>
      <c r="AD41" s="705"/>
      <c r="AE41" s="679"/>
      <c r="AF41" s="680"/>
      <c r="AG41" s="680"/>
      <c r="AH41" s="680"/>
      <c r="AI41" s="705"/>
    </row>
    <row r="42" spans="2:35" ht="50.1" customHeight="1" x14ac:dyDescent="0.3">
      <c r="B42" s="673">
        <f ca="1">IF(HReal&gt;=MAX(B$6:$B41)+1,B41+1,"")</f>
        <v>37</v>
      </c>
      <c r="C42" s="674" t="str">
        <f t="shared" ca="1" si="2"/>
        <v>Vie</v>
      </c>
      <c r="D42" s="675">
        <f t="shared" ca="1" si="0"/>
        <v>45968</v>
      </c>
      <c r="E42" s="676">
        <f ca="1">IF(B42&gt;HReal,"",IFERROR(VLOOKUP(B42,Flts!$G$14:$I$349,3,FALSE),E41))</f>
        <v>45968</v>
      </c>
      <c r="F42" s="679"/>
      <c r="G42" s="680"/>
      <c r="H42" s="680"/>
      <c r="I42" s="680"/>
      <c r="J42" s="705"/>
      <c r="K42" s="679"/>
      <c r="L42" s="680"/>
      <c r="M42" s="680"/>
      <c r="N42" s="680"/>
      <c r="O42" s="705"/>
      <c r="P42" s="679"/>
      <c r="Q42" s="680"/>
      <c r="R42" s="680"/>
      <c r="S42" s="680"/>
      <c r="T42" s="705"/>
      <c r="U42" s="679"/>
      <c r="V42" s="680"/>
      <c r="W42" s="680"/>
      <c r="X42" s="680"/>
      <c r="Y42" s="705"/>
      <c r="Z42" s="679"/>
      <c r="AA42" s="680"/>
      <c r="AB42" s="680"/>
      <c r="AC42" s="680"/>
      <c r="AD42" s="705"/>
      <c r="AE42" s="679"/>
      <c r="AF42" s="680"/>
      <c r="AG42" s="680"/>
      <c r="AH42" s="680"/>
      <c r="AI42" s="705"/>
    </row>
    <row r="43" spans="2:35" ht="50.1" customHeight="1" x14ac:dyDescent="0.3">
      <c r="B43" s="673">
        <f ca="1">IF(HReal&gt;=MAX(B$6:$B42)+1,B42+1,"")</f>
        <v>38</v>
      </c>
      <c r="C43" s="674" t="str">
        <f t="shared" ca="1" si="2"/>
        <v>Lun</v>
      </c>
      <c r="D43" s="675">
        <f t="shared" ca="1" si="0"/>
        <v>45971</v>
      </c>
      <c r="E43" s="676">
        <f ca="1">IF(B43&gt;HReal,"",IFERROR(VLOOKUP(B43,Flts!$G$14:$I$349,3,FALSE),E42))</f>
        <v>45971</v>
      </c>
      <c r="F43" s="679"/>
      <c r="G43" s="680"/>
      <c r="H43" s="680"/>
      <c r="I43" s="680"/>
      <c r="J43" s="705"/>
      <c r="K43" s="679"/>
      <c r="L43" s="680"/>
      <c r="M43" s="680"/>
      <c r="N43" s="680"/>
      <c r="O43" s="705"/>
      <c r="P43" s="679"/>
      <c r="Q43" s="680"/>
      <c r="R43" s="680"/>
      <c r="S43" s="680"/>
      <c r="T43" s="705"/>
      <c r="U43" s="679"/>
      <c r="V43" s="680"/>
      <c r="W43" s="680"/>
      <c r="X43" s="680"/>
      <c r="Y43" s="705"/>
      <c r="Z43" s="679"/>
      <c r="AA43" s="680"/>
      <c r="AB43" s="680"/>
      <c r="AC43" s="680"/>
      <c r="AD43" s="705"/>
      <c r="AE43" s="679"/>
      <c r="AF43" s="680"/>
      <c r="AG43" s="680"/>
      <c r="AH43" s="680"/>
      <c r="AI43" s="705"/>
    </row>
    <row r="44" spans="2:35" ht="50.1" customHeight="1" x14ac:dyDescent="0.3">
      <c r="B44" s="673">
        <f ca="1">IF(HReal&gt;=MAX(B$6:$B43)+1,B43+1,"")</f>
        <v>39</v>
      </c>
      <c r="C44" s="674" t="str">
        <f t="shared" ca="1" si="2"/>
        <v>Mar</v>
      </c>
      <c r="D44" s="675">
        <f t="shared" ca="1" si="0"/>
        <v>45972</v>
      </c>
      <c r="E44" s="676">
        <f ca="1">IF(B44&gt;HReal,"",IFERROR(VLOOKUP(B44,Flts!$G$14:$I$349,3,FALSE),E43))</f>
        <v>45972</v>
      </c>
      <c r="F44" s="679"/>
      <c r="G44" s="680"/>
      <c r="H44" s="680"/>
      <c r="I44" s="680"/>
      <c r="J44" s="705"/>
      <c r="K44" s="679"/>
      <c r="L44" s="680"/>
      <c r="M44" s="680"/>
      <c r="N44" s="680"/>
      <c r="O44" s="705"/>
      <c r="P44" s="679"/>
      <c r="Q44" s="680"/>
      <c r="R44" s="680"/>
      <c r="S44" s="680"/>
      <c r="T44" s="705"/>
      <c r="U44" s="679"/>
      <c r="V44" s="680"/>
      <c r="W44" s="680"/>
      <c r="X44" s="680"/>
      <c r="Y44" s="705"/>
      <c r="Z44" s="679"/>
      <c r="AA44" s="680"/>
      <c r="AB44" s="680"/>
      <c r="AC44" s="680"/>
      <c r="AD44" s="705"/>
      <c r="AE44" s="679"/>
      <c r="AF44" s="680"/>
      <c r="AG44" s="680"/>
      <c r="AH44" s="680"/>
      <c r="AI44" s="705"/>
    </row>
    <row r="45" spans="2:35" ht="50.1" customHeight="1" x14ac:dyDescent="0.3">
      <c r="B45" s="673">
        <f ca="1">IF(HReal&gt;=MAX(B$6:$B44)+1,B44+1,"")</f>
        <v>40</v>
      </c>
      <c r="C45" s="674" t="str">
        <f t="shared" ca="1" si="2"/>
        <v>Mié</v>
      </c>
      <c r="D45" s="675">
        <f t="shared" ca="1" si="0"/>
        <v>45973</v>
      </c>
      <c r="E45" s="676">
        <f ca="1">IF(B45&gt;HReal,"",IFERROR(VLOOKUP(B45,Flts!$G$14:$I$349,3,FALSE),E44))</f>
        <v>45973</v>
      </c>
      <c r="F45" s="679"/>
      <c r="G45" s="680"/>
      <c r="H45" s="680"/>
      <c r="I45" s="680"/>
      <c r="J45" s="705"/>
      <c r="K45" s="679"/>
      <c r="L45" s="680"/>
      <c r="M45" s="680"/>
      <c r="N45" s="680"/>
      <c r="O45" s="705"/>
      <c r="P45" s="679"/>
      <c r="Q45" s="680"/>
      <c r="R45" s="680"/>
      <c r="S45" s="680"/>
      <c r="T45" s="705"/>
      <c r="U45" s="679"/>
      <c r="V45" s="680"/>
      <c r="W45" s="680"/>
      <c r="X45" s="680"/>
      <c r="Y45" s="705"/>
      <c r="Z45" s="679"/>
      <c r="AA45" s="680"/>
      <c r="AB45" s="680"/>
      <c r="AC45" s="680"/>
      <c r="AD45" s="705"/>
      <c r="AE45" s="679"/>
      <c r="AF45" s="680"/>
      <c r="AG45" s="680"/>
      <c r="AH45" s="680"/>
      <c r="AI45" s="705"/>
    </row>
    <row r="46" spans="2:35" ht="50.1" customHeight="1" x14ac:dyDescent="0.3">
      <c r="B46" s="673">
        <f ca="1">IF(HReal&gt;=MAX(B$6:$B45)+1,B45+1,"")</f>
        <v>41</v>
      </c>
      <c r="C46" s="674" t="str">
        <f t="shared" ca="1" si="2"/>
        <v>Jue</v>
      </c>
      <c r="D46" s="675">
        <f t="shared" ca="1" si="0"/>
        <v>45974</v>
      </c>
      <c r="E46" s="676">
        <f ca="1">IF(B46&gt;HReal,"",IFERROR(VLOOKUP(B46,Flts!$G$14:$I$349,3,FALSE),E45))</f>
        <v>45974</v>
      </c>
      <c r="F46" s="679"/>
      <c r="G46" s="680"/>
      <c r="H46" s="680"/>
      <c r="I46" s="680"/>
      <c r="J46" s="705"/>
      <c r="K46" s="679"/>
      <c r="L46" s="680"/>
      <c r="M46" s="680"/>
      <c r="N46" s="680"/>
      <c r="O46" s="705"/>
      <c r="P46" s="679"/>
      <c r="Q46" s="680"/>
      <c r="R46" s="680"/>
      <c r="S46" s="680"/>
      <c r="T46" s="705"/>
      <c r="U46" s="679"/>
      <c r="V46" s="680"/>
      <c r="W46" s="680"/>
      <c r="X46" s="680"/>
      <c r="Y46" s="705"/>
      <c r="Z46" s="679"/>
      <c r="AA46" s="680"/>
      <c r="AB46" s="680"/>
      <c r="AC46" s="680"/>
      <c r="AD46" s="705"/>
      <c r="AE46" s="679"/>
      <c r="AF46" s="680"/>
      <c r="AG46" s="680"/>
      <c r="AH46" s="680"/>
      <c r="AI46" s="705"/>
    </row>
    <row r="47" spans="2:35" ht="50.1" customHeight="1" x14ac:dyDescent="0.3">
      <c r="B47" s="673">
        <f ca="1">IF(HReal&gt;=MAX(B$6:$B46)+1,B46+1,"")</f>
        <v>42</v>
      </c>
      <c r="C47" s="674" t="str">
        <f t="shared" ca="1" si="2"/>
        <v>Vie</v>
      </c>
      <c r="D47" s="675">
        <f t="shared" ca="1" si="0"/>
        <v>45975</v>
      </c>
      <c r="E47" s="676">
        <f ca="1">IF(B47&gt;HReal,"",IFERROR(VLOOKUP(B47,Flts!$G$14:$I$349,3,FALSE),E46))</f>
        <v>45975</v>
      </c>
      <c r="F47" s="679"/>
      <c r="G47" s="680"/>
      <c r="H47" s="680"/>
      <c r="I47" s="680"/>
      <c r="J47" s="705"/>
      <c r="K47" s="679"/>
      <c r="L47" s="680"/>
      <c r="M47" s="680"/>
      <c r="N47" s="680"/>
      <c r="O47" s="705"/>
      <c r="P47" s="679"/>
      <c r="Q47" s="680"/>
      <c r="R47" s="680"/>
      <c r="S47" s="680"/>
      <c r="T47" s="705"/>
      <c r="U47" s="679"/>
      <c r="V47" s="680"/>
      <c r="W47" s="680"/>
      <c r="X47" s="680"/>
      <c r="Y47" s="705"/>
      <c r="Z47" s="679"/>
      <c r="AA47" s="680"/>
      <c r="AB47" s="680"/>
      <c r="AC47" s="680"/>
      <c r="AD47" s="705"/>
      <c r="AE47" s="679"/>
      <c r="AF47" s="680"/>
      <c r="AG47" s="680"/>
      <c r="AH47" s="680"/>
      <c r="AI47" s="705"/>
    </row>
    <row r="48" spans="2:35" ht="50.1" customHeight="1" x14ac:dyDescent="0.3">
      <c r="B48" s="673">
        <f ca="1">IF(HReal&gt;=MAX(B$6:$B47)+1,B47+1,"")</f>
        <v>43</v>
      </c>
      <c r="C48" s="674" t="str">
        <f t="shared" ca="1" si="2"/>
        <v>Lun</v>
      </c>
      <c r="D48" s="675">
        <f t="shared" ca="1" si="0"/>
        <v>45978</v>
      </c>
      <c r="E48" s="676">
        <f ca="1">IF(B48&gt;HReal,"",IFERROR(VLOOKUP(B48,Flts!$G$14:$I$349,3,FALSE),E47))</f>
        <v>45978</v>
      </c>
      <c r="F48" s="679"/>
      <c r="G48" s="680"/>
      <c r="H48" s="680"/>
      <c r="I48" s="680"/>
      <c r="J48" s="705"/>
      <c r="K48" s="679"/>
      <c r="L48" s="680"/>
      <c r="M48" s="680"/>
      <c r="N48" s="680"/>
      <c r="O48" s="705"/>
      <c r="P48" s="679"/>
      <c r="Q48" s="680"/>
      <c r="R48" s="680"/>
      <c r="S48" s="680"/>
      <c r="T48" s="705"/>
      <c r="U48" s="679"/>
      <c r="V48" s="680"/>
      <c r="W48" s="680"/>
      <c r="X48" s="680"/>
      <c r="Y48" s="705"/>
      <c r="Z48" s="679"/>
      <c r="AA48" s="680"/>
      <c r="AB48" s="680"/>
      <c r="AC48" s="680"/>
      <c r="AD48" s="705"/>
      <c r="AE48" s="679"/>
      <c r="AF48" s="680"/>
      <c r="AG48" s="680"/>
      <c r="AH48" s="680"/>
      <c r="AI48" s="705"/>
    </row>
    <row r="49" spans="2:35" ht="50.1" customHeight="1" x14ac:dyDescent="0.3">
      <c r="B49" s="673">
        <f ca="1">IF(HReal&gt;=MAX(B$6:$B48)+1,B48+1,"")</f>
        <v>44</v>
      </c>
      <c r="C49" s="674" t="str">
        <f t="shared" ca="1" si="2"/>
        <v>Mar</v>
      </c>
      <c r="D49" s="675">
        <f t="shared" ca="1" si="0"/>
        <v>45979</v>
      </c>
      <c r="E49" s="676">
        <f ca="1">IF(B49&gt;HReal,"",IFERROR(VLOOKUP(B49,Flts!$G$14:$I$349,3,FALSE),E48))</f>
        <v>45979</v>
      </c>
      <c r="F49" s="679"/>
      <c r="G49" s="680"/>
      <c r="H49" s="680"/>
      <c r="I49" s="680"/>
      <c r="J49" s="705"/>
      <c r="K49" s="679"/>
      <c r="L49" s="680"/>
      <c r="M49" s="680"/>
      <c r="N49" s="680"/>
      <c r="O49" s="705"/>
      <c r="P49" s="679"/>
      <c r="Q49" s="680"/>
      <c r="R49" s="680"/>
      <c r="S49" s="680"/>
      <c r="T49" s="705"/>
      <c r="U49" s="679"/>
      <c r="V49" s="680"/>
      <c r="W49" s="680"/>
      <c r="X49" s="680"/>
      <c r="Y49" s="705"/>
      <c r="Z49" s="679"/>
      <c r="AA49" s="680"/>
      <c r="AB49" s="680"/>
      <c r="AC49" s="680"/>
      <c r="AD49" s="705"/>
      <c r="AE49" s="679"/>
      <c r="AF49" s="680"/>
      <c r="AG49" s="680"/>
      <c r="AH49" s="680"/>
      <c r="AI49" s="705"/>
    </row>
    <row r="50" spans="2:35" ht="50.1" customHeight="1" x14ac:dyDescent="0.3">
      <c r="B50" s="673">
        <f ca="1">IF(HReal&gt;=MAX(B$6:$B49)+1,B49+1,"")</f>
        <v>45</v>
      </c>
      <c r="C50" s="674" t="str">
        <f t="shared" ca="1" si="2"/>
        <v>Mié</v>
      </c>
      <c r="D50" s="675">
        <f t="shared" ca="1" si="0"/>
        <v>45980</v>
      </c>
      <c r="E50" s="676">
        <f ca="1">IF(B50&gt;HReal,"",IFERROR(VLOOKUP(B50,Flts!$G$14:$I$349,3,FALSE),E49))</f>
        <v>45980</v>
      </c>
      <c r="F50" s="679"/>
      <c r="G50" s="680"/>
      <c r="H50" s="680"/>
      <c r="I50" s="680"/>
      <c r="J50" s="705"/>
      <c r="K50" s="679"/>
      <c r="L50" s="680"/>
      <c r="M50" s="680"/>
      <c r="N50" s="680"/>
      <c r="O50" s="705"/>
      <c r="P50" s="679"/>
      <c r="Q50" s="680"/>
      <c r="R50" s="680"/>
      <c r="S50" s="680"/>
      <c r="T50" s="705"/>
      <c r="U50" s="679"/>
      <c r="V50" s="680"/>
      <c r="W50" s="680"/>
      <c r="X50" s="680"/>
      <c r="Y50" s="705"/>
      <c r="Z50" s="679"/>
      <c r="AA50" s="680"/>
      <c r="AB50" s="680"/>
      <c r="AC50" s="680"/>
      <c r="AD50" s="705"/>
      <c r="AE50" s="679"/>
      <c r="AF50" s="680"/>
      <c r="AG50" s="680"/>
      <c r="AH50" s="680"/>
      <c r="AI50" s="705"/>
    </row>
    <row r="51" spans="2:35" ht="50.1" customHeight="1" x14ac:dyDescent="0.3">
      <c r="B51" s="673">
        <f ca="1">IF(HReal&gt;=MAX(B$6:$B50)+1,B50+1,"")</f>
        <v>46</v>
      </c>
      <c r="C51" s="674" t="str">
        <f t="shared" ca="1" si="2"/>
        <v>Jue</v>
      </c>
      <c r="D51" s="675">
        <f t="shared" ca="1" si="0"/>
        <v>45981</v>
      </c>
      <c r="E51" s="676">
        <f ca="1">IF(B51&gt;HReal,"",IFERROR(VLOOKUP(B51,Flts!$G$14:$I$349,3,FALSE),E50))</f>
        <v>45981</v>
      </c>
      <c r="F51" s="679"/>
      <c r="G51" s="680"/>
      <c r="H51" s="680"/>
      <c r="I51" s="680"/>
      <c r="J51" s="705"/>
      <c r="K51" s="679"/>
      <c r="L51" s="680"/>
      <c r="M51" s="680"/>
      <c r="N51" s="680"/>
      <c r="O51" s="705"/>
      <c r="P51" s="679"/>
      <c r="Q51" s="680"/>
      <c r="R51" s="680"/>
      <c r="S51" s="680"/>
      <c r="T51" s="705"/>
      <c r="U51" s="679"/>
      <c r="V51" s="680"/>
      <c r="W51" s="680"/>
      <c r="X51" s="680"/>
      <c r="Y51" s="705"/>
      <c r="Z51" s="679"/>
      <c r="AA51" s="680"/>
      <c r="AB51" s="680"/>
      <c r="AC51" s="680"/>
      <c r="AD51" s="705"/>
      <c r="AE51" s="679"/>
      <c r="AF51" s="680"/>
      <c r="AG51" s="680"/>
      <c r="AH51" s="680"/>
      <c r="AI51" s="705"/>
    </row>
    <row r="52" spans="2:35" ht="50.1" customHeight="1" x14ac:dyDescent="0.3">
      <c r="B52" s="673">
        <f ca="1">IF(HReal&gt;=MAX(B$6:$B51)+1,B51+1,"")</f>
        <v>47</v>
      </c>
      <c r="C52" s="674" t="str">
        <f t="shared" ca="1" si="2"/>
        <v>Vie</v>
      </c>
      <c r="D52" s="675">
        <f t="shared" ca="1" si="0"/>
        <v>45982</v>
      </c>
      <c r="E52" s="676">
        <f ca="1">IF(B52&gt;HReal,"",IFERROR(VLOOKUP(B52,Flts!$G$14:$I$349,3,FALSE),E51))</f>
        <v>45982</v>
      </c>
      <c r="F52" s="679"/>
      <c r="G52" s="680"/>
      <c r="H52" s="680"/>
      <c r="I52" s="680"/>
      <c r="J52" s="705"/>
      <c r="K52" s="679"/>
      <c r="L52" s="680"/>
      <c r="M52" s="680"/>
      <c r="N52" s="680"/>
      <c r="O52" s="705"/>
      <c r="P52" s="679"/>
      <c r="Q52" s="680"/>
      <c r="R52" s="680"/>
      <c r="S52" s="680"/>
      <c r="T52" s="705"/>
      <c r="U52" s="679"/>
      <c r="V52" s="680"/>
      <c r="W52" s="680"/>
      <c r="X52" s="680"/>
      <c r="Y52" s="705"/>
      <c r="Z52" s="679"/>
      <c r="AA52" s="680"/>
      <c r="AB52" s="680"/>
      <c r="AC52" s="680"/>
      <c r="AD52" s="705"/>
      <c r="AE52" s="679"/>
      <c r="AF52" s="680"/>
      <c r="AG52" s="680"/>
      <c r="AH52" s="680"/>
      <c r="AI52" s="705"/>
    </row>
    <row r="53" spans="2:35" ht="50.1" customHeight="1" x14ac:dyDescent="0.3">
      <c r="B53" s="673">
        <f ca="1">IF(HReal&gt;=MAX(B$6:$B52)+1,B52+1,"")</f>
        <v>48</v>
      </c>
      <c r="C53" s="674" t="str">
        <f t="shared" ca="1" si="2"/>
        <v>Lun</v>
      </c>
      <c r="D53" s="675">
        <f t="shared" ca="1" si="0"/>
        <v>45985</v>
      </c>
      <c r="E53" s="676">
        <f ca="1">IF(B53&gt;HReal,"",IFERROR(VLOOKUP(B53,Flts!$G$14:$I$349,3,FALSE),E52))</f>
        <v>45985</v>
      </c>
      <c r="F53" s="679"/>
      <c r="G53" s="680"/>
      <c r="H53" s="680"/>
      <c r="I53" s="680"/>
      <c r="J53" s="705"/>
      <c r="K53" s="679"/>
      <c r="L53" s="680"/>
      <c r="M53" s="680"/>
      <c r="N53" s="680"/>
      <c r="O53" s="705"/>
      <c r="P53" s="679"/>
      <c r="Q53" s="680"/>
      <c r="R53" s="680"/>
      <c r="S53" s="680"/>
      <c r="T53" s="705"/>
      <c r="U53" s="679"/>
      <c r="V53" s="680"/>
      <c r="W53" s="680"/>
      <c r="X53" s="680"/>
      <c r="Y53" s="705"/>
      <c r="Z53" s="679"/>
      <c r="AA53" s="680"/>
      <c r="AB53" s="680"/>
      <c r="AC53" s="680"/>
      <c r="AD53" s="705"/>
      <c r="AE53" s="679"/>
      <c r="AF53" s="680"/>
      <c r="AG53" s="680"/>
      <c r="AH53" s="680"/>
      <c r="AI53" s="705"/>
    </row>
    <row r="54" spans="2:35" ht="50.1" customHeight="1" x14ac:dyDescent="0.3">
      <c r="B54" s="673">
        <f ca="1">IF(HReal&gt;=MAX(B$6:$B53)+1,B53+1,"")</f>
        <v>49</v>
      </c>
      <c r="C54" s="674" t="str">
        <f t="shared" ca="1" si="2"/>
        <v>Mar</v>
      </c>
      <c r="D54" s="675">
        <f t="shared" ca="1" si="0"/>
        <v>45986</v>
      </c>
      <c r="E54" s="676">
        <f ca="1">IF(B54&gt;HReal,"",IFERROR(VLOOKUP(B54,Flts!$G$14:$I$349,3,FALSE),E53))</f>
        <v>45986</v>
      </c>
      <c r="F54" s="679"/>
      <c r="G54" s="680"/>
      <c r="H54" s="680"/>
      <c r="I54" s="680"/>
      <c r="J54" s="705"/>
      <c r="K54" s="679"/>
      <c r="L54" s="680"/>
      <c r="M54" s="680"/>
      <c r="N54" s="680"/>
      <c r="O54" s="705"/>
      <c r="P54" s="679"/>
      <c r="Q54" s="680"/>
      <c r="R54" s="680"/>
      <c r="S54" s="680"/>
      <c r="T54" s="705"/>
      <c r="U54" s="679"/>
      <c r="V54" s="680"/>
      <c r="W54" s="680"/>
      <c r="X54" s="680"/>
      <c r="Y54" s="705"/>
      <c r="Z54" s="679"/>
      <c r="AA54" s="680"/>
      <c r="AB54" s="680"/>
      <c r="AC54" s="680"/>
      <c r="AD54" s="705"/>
      <c r="AE54" s="679"/>
      <c r="AF54" s="680"/>
      <c r="AG54" s="680"/>
      <c r="AH54" s="680"/>
      <c r="AI54" s="705"/>
    </row>
    <row r="55" spans="2:35" ht="50.1" customHeight="1" x14ac:dyDescent="0.3">
      <c r="B55" s="673">
        <f ca="1">IF(HReal&gt;=MAX(B$6:$B54)+1,B54+1,"")</f>
        <v>50</v>
      </c>
      <c r="C55" s="674" t="str">
        <f t="shared" ca="1" si="2"/>
        <v>Mié</v>
      </c>
      <c r="D55" s="675">
        <f t="shared" ca="1" si="0"/>
        <v>45987</v>
      </c>
      <c r="E55" s="676">
        <f ca="1">IF(B55&gt;HReal,"",IFERROR(VLOOKUP(B55,Flts!$G$14:$I$349,3,FALSE),E54))</f>
        <v>45987</v>
      </c>
      <c r="F55" s="679"/>
      <c r="G55" s="680"/>
      <c r="H55" s="680"/>
      <c r="I55" s="680"/>
      <c r="J55" s="705"/>
      <c r="K55" s="679"/>
      <c r="L55" s="680"/>
      <c r="M55" s="680"/>
      <c r="N55" s="680"/>
      <c r="O55" s="705"/>
      <c r="P55" s="679"/>
      <c r="Q55" s="680"/>
      <c r="R55" s="680"/>
      <c r="S55" s="680"/>
      <c r="T55" s="705"/>
      <c r="U55" s="679"/>
      <c r="V55" s="680"/>
      <c r="W55" s="680"/>
      <c r="X55" s="680"/>
      <c r="Y55" s="705"/>
      <c r="Z55" s="679"/>
      <c r="AA55" s="680"/>
      <c r="AB55" s="680"/>
      <c r="AC55" s="680"/>
      <c r="AD55" s="705"/>
      <c r="AE55" s="679"/>
      <c r="AF55" s="680"/>
      <c r="AG55" s="680"/>
      <c r="AH55" s="680"/>
      <c r="AI55" s="705"/>
    </row>
    <row r="56" spans="2:35" ht="50.1" customHeight="1" x14ac:dyDescent="0.3">
      <c r="B56" s="673">
        <f ca="1">IF(HReal&gt;=MAX(B$6:$B55)+1,B55+1,"")</f>
        <v>51</v>
      </c>
      <c r="C56" s="674" t="str">
        <f t="shared" ca="1" si="2"/>
        <v>Jue</v>
      </c>
      <c r="D56" s="675">
        <f t="shared" ca="1" si="0"/>
        <v>45988</v>
      </c>
      <c r="E56" s="676">
        <f ca="1">IF(B56&gt;HReal,"",IFERROR(VLOOKUP(B56,Flts!$G$14:$I$349,3,FALSE),E55))</f>
        <v>45988</v>
      </c>
      <c r="F56" s="679"/>
      <c r="G56" s="680"/>
      <c r="H56" s="680"/>
      <c r="I56" s="680"/>
      <c r="J56" s="705"/>
      <c r="K56" s="679"/>
      <c r="L56" s="680"/>
      <c r="M56" s="680"/>
      <c r="N56" s="680"/>
      <c r="O56" s="705"/>
      <c r="P56" s="679"/>
      <c r="Q56" s="680"/>
      <c r="R56" s="680"/>
      <c r="S56" s="680"/>
      <c r="T56" s="705"/>
      <c r="U56" s="679"/>
      <c r="V56" s="680"/>
      <c r="W56" s="680"/>
      <c r="X56" s="680"/>
      <c r="Y56" s="705"/>
      <c r="Z56" s="679"/>
      <c r="AA56" s="680"/>
      <c r="AB56" s="680"/>
      <c r="AC56" s="680"/>
      <c r="AD56" s="705"/>
      <c r="AE56" s="679"/>
      <c r="AF56" s="680"/>
      <c r="AG56" s="680"/>
      <c r="AH56" s="680"/>
      <c r="AI56" s="705"/>
    </row>
    <row r="57" spans="2:35" ht="50.1" customHeight="1" x14ac:dyDescent="0.3">
      <c r="B57" s="673">
        <f ca="1">IF(HReal&gt;=MAX(B$6:$B56)+1,B56+1,"")</f>
        <v>52</v>
      </c>
      <c r="C57" s="674" t="str">
        <f t="shared" ca="1" si="2"/>
        <v>Vie</v>
      </c>
      <c r="D57" s="675">
        <f t="shared" ca="1" si="0"/>
        <v>45989</v>
      </c>
      <c r="E57" s="676">
        <f ca="1">IF(B57&gt;HReal,"",IFERROR(VLOOKUP(B57,Flts!$G$14:$I$349,3,FALSE),E56))</f>
        <v>45989</v>
      </c>
      <c r="F57" s="679"/>
      <c r="G57" s="680"/>
      <c r="H57" s="680"/>
      <c r="I57" s="680"/>
      <c r="J57" s="705"/>
      <c r="K57" s="679"/>
      <c r="L57" s="680"/>
      <c r="M57" s="680"/>
      <c r="N57" s="680"/>
      <c r="O57" s="705"/>
      <c r="P57" s="679"/>
      <c r="Q57" s="680"/>
      <c r="R57" s="680"/>
      <c r="S57" s="680"/>
      <c r="T57" s="705"/>
      <c r="U57" s="679"/>
      <c r="V57" s="680"/>
      <c r="W57" s="680"/>
      <c r="X57" s="680"/>
      <c r="Y57" s="705"/>
      <c r="Z57" s="679"/>
      <c r="AA57" s="680"/>
      <c r="AB57" s="680"/>
      <c r="AC57" s="680"/>
      <c r="AD57" s="705"/>
      <c r="AE57" s="679"/>
      <c r="AF57" s="680"/>
      <c r="AG57" s="680"/>
      <c r="AH57" s="680"/>
      <c r="AI57" s="705"/>
    </row>
    <row r="58" spans="2:35" ht="50.1" customHeight="1" x14ac:dyDescent="0.3">
      <c r="B58" s="673">
        <f ca="1">IF(HReal&gt;=MAX(B$6:$B57)+1,B57+1,"")</f>
        <v>53</v>
      </c>
      <c r="C58" s="674" t="str">
        <f t="shared" ca="1" si="2"/>
        <v>Lun</v>
      </c>
      <c r="D58" s="675">
        <f t="shared" ca="1" si="0"/>
        <v>45992</v>
      </c>
      <c r="E58" s="676">
        <f ca="1">IF(B58&gt;HReal,"",IFERROR(VLOOKUP(B58,Flts!$G$14:$I$349,3,FALSE),E57))</f>
        <v>45992</v>
      </c>
      <c r="F58" s="679"/>
      <c r="G58" s="680"/>
      <c r="H58" s="680"/>
      <c r="I58" s="680"/>
      <c r="J58" s="705"/>
      <c r="K58" s="679"/>
      <c r="L58" s="680"/>
      <c r="M58" s="680"/>
      <c r="N58" s="680"/>
      <c r="O58" s="705"/>
      <c r="P58" s="679"/>
      <c r="Q58" s="680"/>
      <c r="R58" s="680"/>
      <c r="S58" s="680"/>
      <c r="T58" s="705"/>
      <c r="U58" s="679"/>
      <c r="V58" s="680"/>
      <c r="W58" s="680"/>
      <c r="X58" s="680"/>
      <c r="Y58" s="705"/>
      <c r="Z58" s="679"/>
      <c r="AA58" s="680"/>
      <c r="AB58" s="680"/>
      <c r="AC58" s="680"/>
      <c r="AD58" s="705"/>
      <c r="AE58" s="679"/>
      <c r="AF58" s="680"/>
      <c r="AG58" s="680"/>
      <c r="AH58" s="680"/>
      <c r="AI58" s="705"/>
    </row>
    <row r="59" spans="2:35" ht="50.1" customHeight="1" x14ac:dyDescent="0.3">
      <c r="B59" s="673">
        <f ca="1">IF(HReal&gt;=MAX(B$6:$B58)+1,B58+1,"")</f>
        <v>54</v>
      </c>
      <c r="C59" s="674" t="str">
        <f t="shared" ca="1" si="2"/>
        <v>Mar</v>
      </c>
      <c r="D59" s="675">
        <f t="shared" ca="1" si="0"/>
        <v>45993</v>
      </c>
      <c r="E59" s="676">
        <f ca="1">IF(B59&gt;HReal,"",IFERROR(VLOOKUP(B59,Flts!$G$14:$I$349,3,FALSE),E58))</f>
        <v>45993</v>
      </c>
      <c r="F59" s="679"/>
      <c r="G59" s="680"/>
      <c r="H59" s="680"/>
      <c r="I59" s="680"/>
      <c r="J59" s="705"/>
      <c r="K59" s="679"/>
      <c r="L59" s="680"/>
      <c r="M59" s="680"/>
      <c r="N59" s="680"/>
      <c r="O59" s="705"/>
      <c r="P59" s="679"/>
      <c r="Q59" s="680"/>
      <c r="R59" s="680"/>
      <c r="S59" s="680"/>
      <c r="T59" s="705"/>
      <c r="U59" s="679"/>
      <c r="V59" s="680"/>
      <c r="W59" s="680"/>
      <c r="X59" s="680"/>
      <c r="Y59" s="705"/>
      <c r="Z59" s="679"/>
      <c r="AA59" s="680"/>
      <c r="AB59" s="680"/>
      <c r="AC59" s="680"/>
      <c r="AD59" s="705"/>
      <c r="AE59" s="679"/>
      <c r="AF59" s="680"/>
      <c r="AG59" s="680"/>
      <c r="AH59" s="680"/>
      <c r="AI59" s="705"/>
    </row>
    <row r="60" spans="2:35" ht="50.1" customHeight="1" x14ac:dyDescent="0.3">
      <c r="B60" s="673">
        <f ca="1">IF(HReal&gt;=MAX(B$6:$B59)+1,B59+1,"")</f>
        <v>55</v>
      </c>
      <c r="C60" s="674" t="str">
        <f t="shared" ca="1" si="2"/>
        <v>Mié</v>
      </c>
      <c r="D60" s="675">
        <f t="shared" ca="1" si="0"/>
        <v>45994</v>
      </c>
      <c r="E60" s="676">
        <f ca="1">IF(B60&gt;HReal,"",IFERROR(VLOOKUP(B60,Flts!$G$14:$I$349,3,FALSE),E59))</f>
        <v>45994</v>
      </c>
      <c r="F60" s="679"/>
      <c r="G60" s="680"/>
      <c r="H60" s="680"/>
      <c r="I60" s="680"/>
      <c r="J60" s="705"/>
      <c r="K60" s="679"/>
      <c r="L60" s="680"/>
      <c r="M60" s="680"/>
      <c r="N60" s="680"/>
      <c r="O60" s="705"/>
      <c r="P60" s="679"/>
      <c r="Q60" s="680"/>
      <c r="R60" s="680"/>
      <c r="S60" s="680"/>
      <c r="T60" s="705"/>
      <c r="U60" s="679"/>
      <c r="V60" s="680"/>
      <c r="W60" s="680"/>
      <c r="X60" s="680"/>
      <c r="Y60" s="705"/>
      <c r="Z60" s="679"/>
      <c r="AA60" s="680"/>
      <c r="AB60" s="680"/>
      <c r="AC60" s="680"/>
      <c r="AD60" s="705"/>
      <c r="AE60" s="679"/>
      <c r="AF60" s="680"/>
      <c r="AG60" s="680"/>
      <c r="AH60" s="680"/>
      <c r="AI60" s="705"/>
    </row>
    <row r="61" spans="2:35" ht="50.1" customHeight="1" x14ac:dyDescent="0.3">
      <c r="B61" s="673">
        <f ca="1">IF(HReal&gt;=MAX(B$6:$B60)+1,B60+1,"")</f>
        <v>56</v>
      </c>
      <c r="C61" s="674" t="str">
        <f t="shared" ca="1" si="2"/>
        <v>Jue</v>
      </c>
      <c r="D61" s="675">
        <f t="shared" ca="1" si="0"/>
        <v>45995</v>
      </c>
      <c r="E61" s="676">
        <f ca="1">IF(B61&gt;HReal,"",IFERROR(VLOOKUP(B61,Flts!$G$14:$I$349,3,FALSE),E60))</f>
        <v>45995</v>
      </c>
      <c r="F61" s="679"/>
      <c r="G61" s="680"/>
      <c r="H61" s="680"/>
      <c r="I61" s="680"/>
      <c r="J61" s="705"/>
      <c r="K61" s="679"/>
      <c r="L61" s="680"/>
      <c r="M61" s="680"/>
      <c r="N61" s="680"/>
      <c r="O61" s="705"/>
      <c r="P61" s="679"/>
      <c r="Q61" s="680"/>
      <c r="R61" s="680"/>
      <c r="S61" s="680"/>
      <c r="T61" s="705"/>
      <c r="U61" s="679"/>
      <c r="V61" s="680"/>
      <c r="W61" s="680"/>
      <c r="X61" s="680"/>
      <c r="Y61" s="705"/>
      <c r="Z61" s="679"/>
      <c r="AA61" s="680"/>
      <c r="AB61" s="680"/>
      <c r="AC61" s="680"/>
      <c r="AD61" s="705"/>
      <c r="AE61" s="679"/>
      <c r="AF61" s="680"/>
      <c r="AG61" s="680"/>
      <c r="AH61" s="680"/>
      <c r="AI61" s="705"/>
    </row>
    <row r="62" spans="2:35" ht="50.1" customHeight="1" x14ac:dyDescent="0.3">
      <c r="B62" s="673">
        <f ca="1">IF(HReal&gt;=MAX(B$6:$B61)+1,B61+1,"")</f>
        <v>57</v>
      </c>
      <c r="C62" s="674" t="str">
        <f t="shared" ca="1" si="2"/>
        <v>Vie</v>
      </c>
      <c r="D62" s="675">
        <f t="shared" ca="1" si="0"/>
        <v>45996</v>
      </c>
      <c r="E62" s="676">
        <f ca="1">IF(B62&gt;HReal,"",IFERROR(VLOOKUP(B62,Flts!$G$14:$I$349,3,FALSE),E61))</f>
        <v>45996</v>
      </c>
      <c r="F62" s="679"/>
      <c r="G62" s="680"/>
      <c r="H62" s="680"/>
      <c r="I62" s="680"/>
      <c r="J62" s="705"/>
      <c r="K62" s="679"/>
      <c r="L62" s="680"/>
      <c r="M62" s="680"/>
      <c r="N62" s="680"/>
      <c r="O62" s="705"/>
      <c r="P62" s="679"/>
      <c r="Q62" s="680"/>
      <c r="R62" s="680"/>
      <c r="S62" s="680"/>
      <c r="T62" s="705"/>
      <c r="U62" s="679"/>
      <c r="V62" s="680"/>
      <c r="W62" s="680"/>
      <c r="X62" s="680"/>
      <c r="Y62" s="705"/>
      <c r="Z62" s="679"/>
      <c r="AA62" s="680"/>
      <c r="AB62" s="680"/>
      <c r="AC62" s="680"/>
      <c r="AD62" s="705"/>
      <c r="AE62" s="679"/>
      <c r="AF62" s="680"/>
      <c r="AG62" s="680"/>
      <c r="AH62" s="680"/>
      <c r="AI62" s="705"/>
    </row>
    <row r="63" spans="2:35" ht="50.1" customHeight="1" x14ac:dyDescent="0.3">
      <c r="B63" s="673">
        <f ca="1">IF(HReal&gt;=MAX(B$6:$B62)+1,B62+1,"")</f>
        <v>58</v>
      </c>
      <c r="C63" s="674" t="str">
        <f t="shared" ca="1" si="2"/>
        <v>Mar</v>
      </c>
      <c r="D63" s="675">
        <f t="shared" ca="1" si="0"/>
        <v>46000</v>
      </c>
      <c r="E63" s="676">
        <f ca="1">IF(B63&gt;HReal,"",IFERROR(VLOOKUP(B63,Flts!$G$14:$I$349,3,FALSE),E62))</f>
        <v>46000</v>
      </c>
      <c r="F63" s="679"/>
      <c r="G63" s="680"/>
      <c r="H63" s="680"/>
      <c r="I63" s="680"/>
      <c r="J63" s="705"/>
      <c r="K63" s="679"/>
      <c r="L63" s="680"/>
      <c r="M63" s="680"/>
      <c r="N63" s="680"/>
      <c r="O63" s="705"/>
      <c r="P63" s="679"/>
      <c r="Q63" s="680"/>
      <c r="R63" s="680"/>
      <c r="S63" s="680"/>
      <c r="T63" s="705"/>
      <c r="U63" s="679"/>
      <c r="V63" s="680"/>
      <c r="W63" s="680"/>
      <c r="X63" s="680"/>
      <c r="Y63" s="705"/>
      <c r="Z63" s="679"/>
      <c r="AA63" s="680"/>
      <c r="AB63" s="680"/>
      <c r="AC63" s="680"/>
      <c r="AD63" s="705"/>
      <c r="AE63" s="679"/>
      <c r="AF63" s="680"/>
      <c r="AG63" s="680"/>
      <c r="AH63" s="680"/>
      <c r="AI63" s="705"/>
    </row>
    <row r="64" spans="2:35" ht="50.1" customHeight="1" x14ac:dyDescent="0.3">
      <c r="B64" s="673">
        <f ca="1">IF(HReal&gt;=MAX(B$6:$B63)+1,B63+1,"")</f>
        <v>59</v>
      </c>
      <c r="C64" s="674" t="str">
        <f t="shared" ca="1" si="2"/>
        <v>Mié</v>
      </c>
      <c r="D64" s="675">
        <f t="shared" ca="1" si="0"/>
        <v>46001</v>
      </c>
      <c r="E64" s="676">
        <f ca="1">IF(B64&gt;HReal,"",IFERROR(VLOOKUP(B64,Flts!$G$14:$I$349,3,FALSE),E63))</f>
        <v>46001</v>
      </c>
      <c r="F64" s="679"/>
      <c r="G64" s="680"/>
      <c r="H64" s="680"/>
      <c r="I64" s="680"/>
      <c r="J64" s="705"/>
      <c r="K64" s="679"/>
      <c r="L64" s="680"/>
      <c r="M64" s="680"/>
      <c r="N64" s="680"/>
      <c r="O64" s="705"/>
      <c r="P64" s="679"/>
      <c r="Q64" s="680"/>
      <c r="R64" s="680"/>
      <c r="S64" s="680"/>
      <c r="T64" s="705"/>
      <c r="U64" s="679"/>
      <c r="V64" s="680"/>
      <c r="W64" s="680"/>
      <c r="X64" s="680"/>
      <c r="Y64" s="705"/>
      <c r="Z64" s="679"/>
      <c r="AA64" s="680"/>
      <c r="AB64" s="680"/>
      <c r="AC64" s="680"/>
      <c r="AD64" s="705"/>
      <c r="AE64" s="679"/>
      <c r="AF64" s="680"/>
      <c r="AG64" s="680"/>
      <c r="AH64" s="680"/>
      <c r="AI64" s="705"/>
    </row>
    <row r="65" spans="2:35" ht="50.1" customHeight="1" x14ac:dyDescent="0.3">
      <c r="B65" s="673">
        <f ca="1">IF(HReal&gt;=MAX(B$6:$B64)+1,B64+1,"")</f>
        <v>60</v>
      </c>
      <c r="C65" s="674" t="str">
        <f t="shared" ca="1" si="2"/>
        <v>Jue</v>
      </c>
      <c r="D65" s="675">
        <f t="shared" ca="1" si="0"/>
        <v>46002</v>
      </c>
      <c r="E65" s="676">
        <f ca="1">IF(B65&gt;HReal,"",IFERROR(VLOOKUP(B65,Flts!$G$14:$I$349,3,FALSE),E64))</f>
        <v>46002</v>
      </c>
      <c r="F65" s="679"/>
      <c r="G65" s="680"/>
      <c r="H65" s="680"/>
      <c r="I65" s="680"/>
      <c r="J65" s="705"/>
      <c r="K65" s="679"/>
      <c r="L65" s="680"/>
      <c r="M65" s="680"/>
      <c r="N65" s="680"/>
      <c r="O65" s="705"/>
      <c r="P65" s="679"/>
      <c r="Q65" s="680"/>
      <c r="R65" s="680"/>
      <c r="S65" s="680"/>
      <c r="T65" s="705"/>
      <c r="U65" s="679"/>
      <c r="V65" s="680"/>
      <c r="W65" s="680"/>
      <c r="X65" s="680"/>
      <c r="Y65" s="705"/>
      <c r="Z65" s="679"/>
      <c r="AA65" s="680"/>
      <c r="AB65" s="680"/>
      <c r="AC65" s="680"/>
      <c r="AD65" s="705"/>
      <c r="AE65" s="679"/>
      <c r="AF65" s="680"/>
      <c r="AG65" s="680"/>
      <c r="AH65" s="680"/>
      <c r="AI65" s="705"/>
    </row>
    <row r="66" spans="2:35" ht="50.1" customHeight="1" x14ac:dyDescent="0.3">
      <c r="B66" s="673">
        <f ca="1">IF(HReal&gt;=MAX(B$6:$B65)+1,B65+1,"")</f>
        <v>61</v>
      </c>
      <c r="C66" s="674" t="str">
        <f t="shared" ca="1" si="2"/>
        <v>Vie</v>
      </c>
      <c r="D66" s="675">
        <f t="shared" ca="1" si="0"/>
        <v>46003</v>
      </c>
      <c r="E66" s="676">
        <f ca="1">IF(B66&gt;HReal,"",IFERROR(VLOOKUP(B66,Flts!$G$14:$I$349,3,FALSE),E65))</f>
        <v>46003</v>
      </c>
      <c r="F66" s="679"/>
      <c r="G66" s="680"/>
      <c r="H66" s="680"/>
      <c r="I66" s="680"/>
      <c r="J66" s="705"/>
      <c r="K66" s="679"/>
      <c r="L66" s="680"/>
      <c r="M66" s="680"/>
      <c r="N66" s="680"/>
      <c r="O66" s="705"/>
      <c r="P66" s="679"/>
      <c r="Q66" s="680"/>
      <c r="R66" s="680"/>
      <c r="S66" s="680"/>
      <c r="T66" s="705"/>
      <c r="U66" s="679"/>
      <c r="V66" s="680"/>
      <c r="W66" s="680"/>
      <c r="X66" s="680"/>
      <c r="Y66" s="705"/>
      <c r="Z66" s="679"/>
      <c r="AA66" s="680"/>
      <c r="AB66" s="680"/>
      <c r="AC66" s="680"/>
      <c r="AD66" s="705"/>
      <c r="AE66" s="679"/>
      <c r="AF66" s="680"/>
      <c r="AG66" s="680"/>
      <c r="AH66" s="680"/>
      <c r="AI66" s="705"/>
    </row>
    <row r="67" spans="2:35" ht="50.1" customHeight="1" x14ac:dyDescent="0.3">
      <c r="B67" s="673">
        <f ca="1">IF(HReal&gt;=MAX(B$6:$B66)+1,B66+1,"")</f>
        <v>62</v>
      </c>
      <c r="C67" s="674" t="str">
        <f t="shared" ca="1" si="2"/>
        <v>Lun</v>
      </c>
      <c r="D67" s="675">
        <f t="shared" ca="1" si="0"/>
        <v>46006</v>
      </c>
      <c r="E67" s="676">
        <f ca="1">IF(B67&gt;HReal,"",IFERROR(VLOOKUP(B67,Flts!$G$14:$I$349,3,FALSE),E66))</f>
        <v>46006</v>
      </c>
      <c r="F67" s="679"/>
      <c r="G67" s="680"/>
      <c r="H67" s="680"/>
      <c r="I67" s="680"/>
      <c r="J67" s="705"/>
      <c r="K67" s="679"/>
      <c r="L67" s="680"/>
      <c r="M67" s="680"/>
      <c r="N67" s="680"/>
      <c r="O67" s="705"/>
      <c r="P67" s="679"/>
      <c r="Q67" s="680"/>
      <c r="R67" s="680"/>
      <c r="S67" s="680"/>
      <c r="T67" s="705"/>
      <c r="U67" s="679"/>
      <c r="V67" s="680"/>
      <c r="W67" s="680"/>
      <c r="X67" s="680"/>
      <c r="Y67" s="705"/>
      <c r="Z67" s="679"/>
      <c r="AA67" s="680"/>
      <c r="AB67" s="680"/>
      <c r="AC67" s="680"/>
      <c r="AD67" s="705"/>
      <c r="AE67" s="679"/>
      <c r="AF67" s="680"/>
      <c r="AG67" s="680"/>
      <c r="AH67" s="680"/>
      <c r="AI67" s="705"/>
    </row>
    <row r="68" spans="2:35" ht="50.1" customHeight="1" x14ac:dyDescent="0.3">
      <c r="B68" s="673">
        <f ca="1">IF(HReal&gt;=MAX(B$6:$B67)+1,B67+1,"")</f>
        <v>63</v>
      </c>
      <c r="C68" s="674" t="str">
        <f t="shared" ca="1" si="2"/>
        <v>Mar</v>
      </c>
      <c r="D68" s="675">
        <f t="shared" ca="1" si="0"/>
        <v>46007</v>
      </c>
      <c r="E68" s="676">
        <f ca="1">IF(B68&gt;HReal,"",IFERROR(VLOOKUP(B68,Flts!$G$14:$I$349,3,FALSE),E67))</f>
        <v>46007</v>
      </c>
      <c r="F68" s="679"/>
      <c r="G68" s="680"/>
      <c r="H68" s="680"/>
      <c r="I68" s="680"/>
      <c r="J68" s="705"/>
      <c r="K68" s="679"/>
      <c r="L68" s="680"/>
      <c r="M68" s="680"/>
      <c r="N68" s="680"/>
      <c r="O68" s="705"/>
      <c r="P68" s="679"/>
      <c r="Q68" s="680"/>
      <c r="R68" s="680"/>
      <c r="S68" s="680"/>
      <c r="T68" s="705"/>
      <c r="U68" s="679"/>
      <c r="V68" s="680"/>
      <c r="W68" s="680"/>
      <c r="X68" s="680"/>
      <c r="Y68" s="705"/>
      <c r="Z68" s="679"/>
      <c r="AA68" s="680"/>
      <c r="AB68" s="680"/>
      <c r="AC68" s="680"/>
      <c r="AD68" s="705"/>
      <c r="AE68" s="679"/>
      <c r="AF68" s="680"/>
      <c r="AG68" s="680"/>
      <c r="AH68" s="680"/>
      <c r="AI68" s="705"/>
    </row>
    <row r="69" spans="2:35" ht="50.1" customHeight="1" x14ac:dyDescent="0.3">
      <c r="B69" s="673">
        <f ca="1">IF(HReal&gt;=MAX(B$6:$B68)+1,B68+1,"")</f>
        <v>64</v>
      </c>
      <c r="C69" s="674" t="str">
        <f t="shared" ca="1" si="2"/>
        <v>Mié</v>
      </c>
      <c r="D69" s="675">
        <f t="shared" ca="1" si="0"/>
        <v>46008</v>
      </c>
      <c r="E69" s="676">
        <f ca="1">IF(B69&gt;HReal,"",IFERROR(VLOOKUP(B69,Flts!$G$14:$I$349,3,FALSE),E68))</f>
        <v>46008</v>
      </c>
      <c r="F69" s="679"/>
      <c r="G69" s="680"/>
      <c r="H69" s="680"/>
      <c r="I69" s="680"/>
      <c r="J69" s="705"/>
      <c r="K69" s="679"/>
      <c r="L69" s="680"/>
      <c r="M69" s="680"/>
      <c r="N69" s="680"/>
      <c r="O69" s="705"/>
      <c r="P69" s="679"/>
      <c r="Q69" s="680"/>
      <c r="R69" s="680"/>
      <c r="S69" s="680"/>
      <c r="T69" s="705"/>
      <c r="U69" s="679"/>
      <c r="V69" s="680"/>
      <c r="W69" s="680"/>
      <c r="X69" s="680"/>
      <c r="Y69" s="705"/>
      <c r="Z69" s="679"/>
      <c r="AA69" s="680"/>
      <c r="AB69" s="680"/>
      <c r="AC69" s="680"/>
      <c r="AD69" s="705"/>
      <c r="AE69" s="679"/>
      <c r="AF69" s="680"/>
      <c r="AG69" s="680"/>
      <c r="AH69" s="680"/>
      <c r="AI69" s="705"/>
    </row>
    <row r="70" spans="2:35" ht="50.1" customHeight="1" x14ac:dyDescent="0.3">
      <c r="B70" s="673">
        <f ca="1">IF(HReal&gt;=MAX(B$6:$B69)+1,B69+1,"")</f>
        <v>65</v>
      </c>
      <c r="C70" s="674" t="str">
        <f t="shared" ca="1" si="2"/>
        <v>Jue</v>
      </c>
      <c r="D70" s="675">
        <f t="shared" ref="D70:D133" ca="1" si="3">E70</f>
        <v>46009</v>
      </c>
      <c r="E70" s="676">
        <f ca="1">IF(B70&gt;HReal,"",IFERROR(VLOOKUP(B70,Flts!$G$14:$I$349,3,FALSE),E69))</f>
        <v>46009</v>
      </c>
      <c r="F70" s="679"/>
      <c r="G70" s="680"/>
      <c r="H70" s="680"/>
      <c r="I70" s="680"/>
      <c r="J70" s="705"/>
      <c r="K70" s="679"/>
      <c r="L70" s="680"/>
      <c r="M70" s="680"/>
      <c r="N70" s="680"/>
      <c r="O70" s="705"/>
      <c r="P70" s="679"/>
      <c r="Q70" s="680"/>
      <c r="R70" s="680"/>
      <c r="S70" s="680"/>
      <c r="T70" s="705"/>
      <c r="U70" s="679"/>
      <c r="V70" s="680"/>
      <c r="W70" s="680"/>
      <c r="X70" s="680"/>
      <c r="Y70" s="705"/>
      <c r="Z70" s="679"/>
      <c r="AA70" s="680"/>
      <c r="AB70" s="680"/>
      <c r="AC70" s="680"/>
      <c r="AD70" s="705"/>
      <c r="AE70" s="679"/>
      <c r="AF70" s="680"/>
      <c r="AG70" s="680"/>
      <c r="AH70" s="680"/>
      <c r="AI70" s="705"/>
    </row>
    <row r="71" spans="2:35" ht="50.1" customHeight="1" x14ac:dyDescent="0.3">
      <c r="B71" s="673">
        <f ca="1">IF(HReal&gt;=MAX(B$6:$B70)+1,B70+1,"")</f>
        <v>66</v>
      </c>
      <c r="C71" s="674" t="str">
        <f t="shared" ref="C71:C102" ca="1" si="4">IF(AND(B71&lt;HReal,E70&lt;&gt;E71),IFERROR(MID(Vdias,(WEEKDAY(E71,2)-1)*3+1,3),C70),"")</f>
        <v>Vie</v>
      </c>
      <c r="D71" s="675">
        <f t="shared" ca="1" si="3"/>
        <v>46010</v>
      </c>
      <c r="E71" s="676">
        <f ca="1">IF(B71&gt;HReal,"",IFERROR(VLOOKUP(B71,Flts!$G$14:$I$349,3,FALSE),E70))</f>
        <v>46010</v>
      </c>
      <c r="F71" s="679"/>
      <c r="G71" s="680"/>
      <c r="H71" s="680"/>
      <c r="I71" s="680"/>
      <c r="J71" s="705"/>
      <c r="K71" s="679"/>
      <c r="L71" s="680"/>
      <c r="M71" s="680"/>
      <c r="N71" s="680"/>
      <c r="O71" s="705"/>
      <c r="P71" s="679"/>
      <c r="Q71" s="680"/>
      <c r="R71" s="680"/>
      <c r="S71" s="680"/>
      <c r="T71" s="705"/>
      <c r="U71" s="679"/>
      <c r="V71" s="680"/>
      <c r="W71" s="680"/>
      <c r="X71" s="680"/>
      <c r="Y71" s="705"/>
      <c r="Z71" s="679"/>
      <c r="AA71" s="680"/>
      <c r="AB71" s="680"/>
      <c r="AC71" s="680"/>
      <c r="AD71" s="705"/>
      <c r="AE71" s="679"/>
      <c r="AF71" s="680"/>
      <c r="AG71" s="680"/>
      <c r="AH71" s="680"/>
      <c r="AI71" s="705"/>
    </row>
    <row r="72" spans="2:35" ht="50.1" customHeight="1" x14ac:dyDescent="0.3">
      <c r="B72" s="673">
        <f ca="1">IF(HReal&gt;=MAX(B$6:$B71)+1,B71+1,"")</f>
        <v>67</v>
      </c>
      <c r="C72" s="674" t="str">
        <f t="shared" ca="1" si="4"/>
        <v>Mié</v>
      </c>
      <c r="D72" s="675">
        <f t="shared" ca="1" si="3"/>
        <v>46029</v>
      </c>
      <c r="E72" s="676">
        <f ca="1">IF(B72&gt;HReal,"",IFERROR(VLOOKUP(B72,Flts!$G$14:$I$349,3,FALSE),E71))</f>
        <v>46029</v>
      </c>
      <c r="F72" s="679"/>
      <c r="G72" s="680"/>
      <c r="H72" s="680"/>
      <c r="I72" s="680"/>
      <c r="J72" s="705"/>
      <c r="K72" s="679"/>
      <c r="L72" s="680"/>
      <c r="M72" s="680"/>
      <c r="N72" s="680"/>
      <c r="O72" s="705"/>
      <c r="P72" s="679"/>
      <c r="Q72" s="680"/>
      <c r="R72" s="680"/>
      <c r="S72" s="680"/>
      <c r="T72" s="705"/>
      <c r="U72" s="679"/>
      <c r="V72" s="680"/>
      <c r="W72" s="680"/>
      <c r="X72" s="680"/>
      <c r="Y72" s="705"/>
      <c r="Z72" s="679"/>
      <c r="AA72" s="680"/>
      <c r="AB72" s="680"/>
      <c r="AC72" s="680"/>
      <c r="AD72" s="705"/>
      <c r="AE72" s="679"/>
      <c r="AF72" s="680"/>
      <c r="AG72" s="680"/>
      <c r="AH72" s="680"/>
      <c r="AI72" s="705"/>
    </row>
    <row r="73" spans="2:35" ht="50.1" customHeight="1" x14ac:dyDescent="0.3">
      <c r="B73" s="673">
        <f ca="1">IF(HReal&gt;=MAX(B$6:$B72)+1,B72+1,"")</f>
        <v>68</v>
      </c>
      <c r="C73" s="674" t="str">
        <f t="shared" ca="1" si="4"/>
        <v>Jue</v>
      </c>
      <c r="D73" s="675">
        <f t="shared" ca="1" si="3"/>
        <v>46030</v>
      </c>
      <c r="E73" s="676">
        <f ca="1">IF(B73&gt;HReal,"",IFERROR(VLOOKUP(B73,Flts!$G$14:$I$349,3,FALSE),E72))</f>
        <v>46030</v>
      </c>
      <c r="F73" s="679"/>
      <c r="G73" s="680"/>
      <c r="H73" s="680"/>
      <c r="I73" s="680"/>
      <c r="J73" s="705"/>
      <c r="K73" s="679"/>
      <c r="L73" s="680"/>
      <c r="M73" s="680"/>
      <c r="N73" s="680"/>
      <c r="O73" s="705"/>
      <c r="P73" s="679"/>
      <c r="Q73" s="680"/>
      <c r="R73" s="680"/>
      <c r="S73" s="680"/>
      <c r="T73" s="705"/>
      <c r="U73" s="679"/>
      <c r="V73" s="680"/>
      <c r="W73" s="680"/>
      <c r="X73" s="680"/>
      <c r="Y73" s="705"/>
      <c r="Z73" s="679"/>
      <c r="AA73" s="680"/>
      <c r="AB73" s="680"/>
      <c r="AC73" s="680"/>
      <c r="AD73" s="705"/>
      <c r="AE73" s="679"/>
      <c r="AF73" s="680"/>
      <c r="AG73" s="680"/>
      <c r="AH73" s="680"/>
      <c r="AI73" s="705"/>
    </row>
    <row r="74" spans="2:35" ht="50.1" customHeight="1" x14ac:dyDescent="0.3">
      <c r="B74" s="673">
        <f ca="1">IF(HReal&gt;=MAX(B$6:$B73)+1,B73+1,"")</f>
        <v>69</v>
      </c>
      <c r="C74" s="674" t="str">
        <f t="shared" ca="1" si="4"/>
        <v>Vie</v>
      </c>
      <c r="D74" s="675">
        <f t="shared" ca="1" si="3"/>
        <v>46031</v>
      </c>
      <c r="E74" s="676">
        <f ca="1">IF(B74&gt;HReal,"",IFERROR(VLOOKUP(B74,Flts!$G$14:$I$349,3,FALSE),E73))</f>
        <v>46031</v>
      </c>
      <c r="F74" s="679"/>
      <c r="G74" s="680"/>
      <c r="H74" s="680"/>
      <c r="I74" s="680"/>
      <c r="J74" s="705"/>
      <c r="K74" s="679"/>
      <c r="L74" s="680"/>
      <c r="M74" s="680"/>
      <c r="N74" s="680"/>
      <c r="O74" s="705"/>
      <c r="P74" s="679"/>
      <c r="Q74" s="680"/>
      <c r="R74" s="680"/>
      <c r="S74" s="680"/>
      <c r="T74" s="705"/>
      <c r="U74" s="679"/>
      <c r="V74" s="680"/>
      <c r="W74" s="680"/>
      <c r="X74" s="680"/>
      <c r="Y74" s="705"/>
      <c r="Z74" s="679"/>
      <c r="AA74" s="680"/>
      <c r="AB74" s="680"/>
      <c r="AC74" s="680"/>
      <c r="AD74" s="705"/>
      <c r="AE74" s="679"/>
      <c r="AF74" s="680"/>
      <c r="AG74" s="680"/>
      <c r="AH74" s="680"/>
      <c r="AI74" s="705"/>
    </row>
    <row r="75" spans="2:35" ht="50.1" customHeight="1" x14ac:dyDescent="0.3">
      <c r="B75" s="673">
        <f ca="1">IF(HReal&gt;=MAX(B$6:$B74)+1,B74+1,"")</f>
        <v>70</v>
      </c>
      <c r="C75" s="674" t="str">
        <f t="shared" ca="1" si="4"/>
        <v>Lun</v>
      </c>
      <c r="D75" s="675">
        <f t="shared" ca="1" si="3"/>
        <v>46034</v>
      </c>
      <c r="E75" s="676">
        <f ca="1">IF(B75&gt;HReal,"",IFERROR(VLOOKUP(B75,Flts!$G$14:$I$349,3,FALSE),E74))</f>
        <v>46034</v>
      </c>
      <c r="F75" s="679"/>
      <c r="G75" s="680"/>
      <c r="H75" s="680"/>
      <c r="I75" s="680"/>
      <c r="J75" s="705"/>
      <c r="K75" s="679"/>
      <c r="L75" s="680"/>
      <c r="M75" s="680"/>
      <c r="N75" s="680"/>
      <c r="O75" s="705"/>
      <c r="P75" s="679"/>
      <c r="Q75" s="680"/>
      <c r="R75" s="680"/>
      <c r="S75" s="680"/>
      <c r="T75" s="705"/>
      <c r="U75" s="679"/>
      <c r="V75" s="680"/>
      <c r="W75" s="680"/>
      <c r="X75" s="680"/>
      <c r="Y75" s="705"/>
      <c r="Z75" s="679"/>
      <c r="AA75" s="680"/>
      <c r="AB75" s="680"/>
      <c r="AC75" s="680"/>
      <c r="AD75" s="705"/>
      <c r="AE75" s="679"/>
      <c r="AF75" s="680"/>
      <c r="AG75" s="680"/>
      <c r="AH75" s="680"/>
      <c r="AI75" s="705"/>
    </row>
    <row r="76" spans="2:35" ht="50.1" customHeight="1" x14ac:dyDescent="0.3">
      <c r="B76" s="673">
        <f ca="1">IF(HReal&gt;=MAX(B$6:$B75)+1,B75+1,"")</f>
        <v>71</v>
      </c>
      <c r="C76" s="674" t="str">
        <f t="shared" ca="1" si="4"/>
        <v>Mar</v>
      </c>
      <c r="D76" s="675">
        <f t="shared" ca="1" si="3"/>
        <v>46035</v>
      </c>
      <c r="E76" s="676">
        <f ca="1">IF(B76&gt;HReal,"",IFERROR(VLOOKUP(B76,Flts!$G$14:$I$349,3,FALSE),E75))</f>
        <v>46035</v>
      </c>
      <c r="F76" s="679"/>
      <c r="G76" s="680"/>
      <c r="H76" s="680"/>
      <c r="I76" s="680"/>
      <c r="J76" s="705"/>
      <c r="K76" s="679"/>
      <c r="L76" s="680"/>
      <c r="M76" s="680"/>
      <c r="N76" s="680"/>
      <c r="O76" s="705"/>
      <c r="P76" s="679"/>
      <c r="Q76" s="680"/>
      <c r="R76" s="680"/>
      <c r="S76" s="680"/>
      <c r="T76" s="705"/>
      <c r="U76" s="679"/>
      <c r="V76" s="680"/>
      <c r="W76" s="680"/>
      <c r="X76" s="680"/>
      <c r="Y76" s="705"/>
      <c r="Z76" s="679"/>
      <c r="AA76" s="680"/>
      <c r="AB76" s="680"/>
      <c r="AC76" s="680"/>
      <c r="AD76" s="705"/>
      <c r="AE76" s="679"/>
      <c r="AF76" s="680"/>
      <c r="AG76" s="680"/>
      <c r="AH76" s="680"/>
      <c r="AI76" s="705"/>
    </row>
    <row r="77" spans="2:35" ht="50.1" customHeight="1" x14ac:dyDescent="0.3">
      <c r="B77" s="673">
        <f ca="1">IF(HReal&gt;=MAX(B$6:$B76)+1,B76+1,"")</f>
        <v>72</v>
      </c>
      <c r="C77" s="674" t="str">
        <f t="shared" ca="1" si="4"/>
        <v>Mié</v>
      </c>
      <c r="D77" s="675">
        <f t="shared" ca="1" si="3"/>
        <v>46036</v>
      </c>
      <c r="E77" s="676">
        <f ca="1">IF(B77&gt;HReal,"",IFERROR(VLOOKUP(B77,Flts!$G$14:$I$349,3,FALSE),E76))</f>
        <v>46036</v>
      </c>
      <c r="F77" s="679"/>
      <c r="G77" s="680"/>
      <c r="H77" s="680"/>
      <c r="I77" s="680"/>
      <c r="J77" s="705"/>
      <c r="K77" s="679"/>
      <c r="L77" s="680"/>
      <c r="M77" s="680"/>
      <c r="N77" s="680"/>
      <c r="O77" s="705"/>
      <c r="P77" s="679"/>
      <c r="Q77" s="680"/>
      <c r="R77" s="680"/>
      <c r="S77" s="680"/>
      <c r="T77" s="705"/>
      <c r="U77" s="679"/>
      <c r="V77" s="680"/>
      <c r="W77" s="680"/>
      <c r="X77" s="680"/>
      <c r="Y77" s="705"/>
      <c r="Z77" s="679"/>
      <c r="AA77" s="680"/>
      <c r="AB77" s="680"/>
      <c r="AC77" s="680"/>
      <c r="AD77" s="705"/>
      <c r="AE77" s="679"/>
      <c r="AF77" s="680"/>
      <c r="AG77" s="680"/>
      <c r="AH77" s="680"/>
      <c r="AI77" s="705"/>
    </row>
    <row r="78" spans="2:35" ht="50.1" customHeight="1" x14ac:dyDescent="0.3">
      <c r="B78" s="673">
        <f ca="1">IF(HReal&gt;=MAX(B$6:$B77)+1,B77+1,"")</f>
        <v>73</v>
      </c>
      <c r="C78" s="674" t="str">
        <f t="shared" ca="1" si="4"/>
        <v>Jue</v>
      </c>
      <c r="D78" s="675">
        <f t="shared" ca="1" si="3"/>
        <v>46037</v>
      </c>
      <c r="E78" s="676">
        <f ca="1">IF(B78&gt;HReal,"",IFERROR(VLOOKUP(B78,Flts!$G$14:$I$349,3,FALSE),E77))</f>
        <v>46037</v>
      </c>
      <c r="F78" s="679"/>
      <c r="G78" s="680"/>
      <c r="H78" s="680"/>
      <c r="I78" s="680"/>
      <c r="J78" s="705"/>
      <c r="K78" s="679"/>
      <c r="L78" s="680"/>
      <c r="M78" s="680"/>
      <c r="N78" s="680"/>
      <c r="O78" s="705"/>
      <c r="P78" s="679"/>
      <c r="Q78" s="680"/>
      <c r="R78" s="680"/>
      <c r="S78" s="680"/>
      <c r="T78" s="705"/>
      <c r="U78" s="679"/>
      <c r="V78" s="680"/>
      <c r="W78" s="680"/>
      <c r="X78" s="680"/>
      <c r="Y78" s="705"/>
      <c r="Z78" s="679"/>
      <c r="AA78" s="680"/>
      <c r="AB78" s="680"/>
      <c r="AC78" s="680"/>
      <c r="AD78" s="705"/>
      <c r="AE78" s="679"/>
      <c r="AF78" s="680"/>
      <c r="AG78" s="680"/>
      <c r="AH78" s="680"/>
      <c r="AI78" s="705"/>
    </row>
    <row r="79" spans="2:35" ht="50.1" customHeight="1" x14ac:dyDescent="0.3">
      <c r="B79" s="673">
        <f ca="1">IF(HReal&gt;=MAX(B$6:$B78)+1,B78+1,"")</f>
        <v>74</v>
      </c>
      <c r="C79" s="674" t="str">
        <f t="shared" ca="1" si="4"/>
        <v>Vie</v>
      </c>
      <c r="D79" s="675">
        <f t="shared" ca="1" si="3"/>
        <v>46038</v>
      </c>
      <c r="E79" s="676">
        <f ca="1">IF(B79&gt;HReal,"",IFERROR(VLOOKUP(B79,Flts!$G$14:$I$349,3,FALSE),E78))</f>
        <v>46038</v>
      </c>
      <c r="F79" s="679"/>
      <c r="G79" s="680"/>
      <c r="H79" s="680"/>
      <c r="I79" s="680"/>
      <c r="J79" s="705"/>
      <c r="K79" s="679"/>
      <c r="L79" s="680"/>
      <c r="M79" s="680"/>
      <c r="N79" s="680"/>
      <c r="O79" s="705"/>
      <c r="P79" s="679"/>
      <c r="Q79" s="680"/>
      <c r="R79" s="680"/>
      <c r="S79" s="680"/>
      <c r="T79" s="705"/>
      <c r="U79" s="679"/>
      <c r="V79" s="680"/>
      <c r="W79" s="680"/>
      <c r="X79" s="680"/>
      <c r="Y79" s="705"/>
      <c r="Z79" s="679"/>
      <c r="AA79" s="680"/>
      <c r="AB79" s="680"/>
      <c r="AC79" s="680"/>
      <c r="AD79" s="705"/>
      <c r="AE79" s="679"/>
      <c r="AF79" s="680"/>
      <c r="AG79" s="680"/>
      <c r="AH79" s="680"/>
      <c r="AI79" s="705"/>
    </row>
    <row r="80" spans="2:35" ht="50.1" customHeight="1" x14ac:dyDescent="0.3">
      <c r="B80" s="673">
        <f ca="1">IF(HReal&gt;=MAX(B$6:$B79)+1,B79+1,"")</f>
        <v>75</v>
      </c>
      <c r="C80" s="674" t="str">
        <f t="shared" ca="1" si="4"/>
        <v>Lun</v>
      </c>
      <c r="D80" s="675">
        <f t="shared" ca="1" si="3"/>
        <v>46041</v>
      </c>
      <c r="E80" s="676">
        <f ca="1">IF(B80&gt;HReal,"",IFERROR(VLOOKUP(B80,Flts!$G$14:$I$349,3,FALSE),E79))</f>
        <v>46041</v>
      </c>
      <c r="F80" s="679"/>
      <c r="G80" s="680"/>
      <c r="H80" s="680"/>
      <c r="I80" s="680"/>
      <c r="J80" s="705"/>
      <c r="K80" s="679"/>
      <c r="L80" s="680"/>
      <c r="M80" s="680"/>
      <c r="N80" s="680"/>
      <c r="O80" s="705"/>
      <c r="P80" s="679"/>
      <c r="Q80" s="680"/>
      <c r="R80" s="680"/>
      <c r="S80" s="680"/>
      <c r="T80" s="705"/>
      <c r="U80" s="679"/>
      <c r="V80" s="680"/>
      <c r="W80" s="680"/>
      <c r="X80" s="680"/>
      <c r="Y80" s="705"/>
      <c r="Z80" s="679"/>
      <c r="AA80" s="680"/>
      <c r="AB80" s="680"/>
      <c r="AC80" s="680"/>
      <c r="AD80" s="705"/>
      <c r="AE80" s="679"/>
      <c r="AF80" s="680"/>
      <c r="AG80" s="680"/>
      <c r="AH80" s="680"/>
      <c r="AI80" s="705"/>
    </row>
    <row r="81" spans="2:35" ht="50.1" customHeight="1" x14ac:dyDescent="0.3">
      <c r="B81" s="673">
        <f ca="1">IF(HReal&gt;=MAX(B$6:$B80)+1,B80+1,"")</f>
        <v>76</v>
      </c>
      <c r="C81" s="674" t="str">
        <f t="shared" ca="1" si="4"/>
        <v>Mar</v>
      </c>
      <c r="D81" s="675">
        <f t="shared" ca="1" si="3"/>
        <v>46042</v>
      </c>
      <c r="E81" s="676">
        <f ca="1">IF(B81&gt;HReal,"",IFERROR(VLOOKUP(B81,Flts!$G$14:$I$349,3,FALSE),E80))</f>
        <v>46042</v>
      </c>
      <c r="F81" s="679"/>
      <c r="G81" s="680"/>
      <c r="H81" s="680"/>
      <c r="I81" s="680"/>
      <c r="J81" s="705"/>
      <c r="K81" s="679"/>
      <c r="L81" s="680"/>
      <c r="M81" s="680"/>
      <c r="N81" s="680"/>
      <c r="O81" s="705"/>
      <c r="P81" s="679"/>
      <c r="Q81" s="680"/>
      <c r="R81" s="680"/>
      <c r="S81" s="680"/>
      <c r="T81" s="705"/>
      <c r="U81" s="679"/>
      <c r="V81" s="680"/>
      <c r="W81" s="680"/>
      <c r="X81" s="680"/>
      <c r="Y81" s="705"/>
      <c r="Z81" s="679"/>
      <c r="AA81" s="680"/>
      <c r="AB81" s="680"/>
      <c r="AC81" s="680"/>
      <c r="AD81" s="705"/>
      <c r="AE81" s="679"/>
      <c r="AF81" s="680"/>
      <c r="AG81" s="680"/>
      <c r="AH81" s="680"/>
      <c r="AI81" s="705"/>
    </row>
    <row r="82" spans="2:35" ht="50.1" customHeight="1" x14ac:dyDescent="0.3">
      <c r="B82" s="673">
        <f ca="1">IF(HReal&gt;=MAX(B$6:$B81)+1,B81+1,"")</f>
        <v>77</v>
      </c>
      <c r="C82" s="674" t="str">
        <f t="shared" ca="1" si="4"/>
        <v>Mié</v>
      </c>
      <c r="D82" s="675">
        <f t="shared" ca="1" si="3"/>
        <v>46043</v>
      </c>
      <c r="E82" s="676">
        <f ca="1">IF(B82&gt;HReal,"",IFERROR(VLOOKUP(B82,Flts!$G$14:$I$349,3,FALSE),E81))</f>
        <v>46043</v>
      </c>
      <c r="F82" s="679"/>
      <c r="G82" s="680"/>
      <c r="H82" s="680"/>
      <c r="I82" s="680"/>
      <c r="J82" s="705"/>
      <c r="K82" s="679"/>
      <c r="L82" s="680"/>
      <c r="M82" s="680"/>
      <c r="N82" s="680"/>
      <c r="O82" s="705"/>
      <c r="P82" s="679"/>
      <c r="Q82" s="680"/>
      <c r="R82" s="680"/>
      <c r="S82" s="680"/>
      <c r="T82" s="705"/>
      <c r="U82" s="679"/>
      <c r="V82" s="680"/>
      <c r="W82" s="680"/>
      <c r="X82" s="680"/>
      <c r="Y82" s="705"/>
      <c r="Z82" s="679"/>
      <c r="AA82" s="680"/>
      <c r="AB82" s="680"/>
      <c r="AC82" s="680"/>
      <c r="AD82" s="705"/>
      <c r="AE82" s="679"/>
      <c r="AF82" s="680"/>
      <c r="AG82" s="680"/>
      <c r="AH82" s="680"/>
      <c r="AI82" s="705"/>
    </row>
    <row r="83" spans="2:35" ht="50.1" customHeight="1" x14ac:dyDescent="0.3">
      <c r="B83" s="673">
        <f ca="1">IF(HReal&gt;=MAX(B$6:$B82)+1,B82+1,"")</f>
        <v>78</v>
      </c>
      <c r="C83" s="674" t="str">
        <f t="shared" ca="1" si="4"/>
        <v>Jue</v>
      </c>
      <c r="D83" s="675">
        <f t="shared" ca="1" si="3"/>
        <v>46044</v>
      </c>
      <c r="E83" s="676">
        <f ca="1">IF(B83&gt;HReal,"",IFERROR(VLOOKUP(B83,Flts!$G$14:$I$349,3,FALSE),E82))</f>
        <v>46044</v>
      </c>
      <c r="F83" s="679"/>
      <c r="G83" s="680"/>
      <c r="H83" s="680"/>
      <c r="I83" s="680"/>
      <c r="J83" s="705"/>
      <c r="K83" s="679"/>
      <c r="L83" s="680"/>
      <c r="M83" s="680"/>
      <c r="N83" s="680"/>
      <c r="O83" s="705"/>
      <c r="P83" s="679"/>
      <c r="Q83" s="680"/>
      <c r="R83" s="680"/>
      <c r="S83" s="680"/>
      <c r="T83" s="705"/>
      <c r="U83" s="679"/>
      <c r="V83" s="680"/>
      <c r="W83" s="680"/>
      <c r="X83" s="680"/>
      <c r="Y83" s="705"/>
      <c r="Z83" s="679"/>
      <c r="AA83" s="680"/>
      <c r="AB83" s="680"/>
      <c r="AC83" s="680"/>
      <c r="AD83" s="705"/>
      <c r="AE83" s="679"/>
      <c r="AF83" s="680"/>
      <c r="AG83" s="680"/>
      <c r="AH83" s="680"/>
      <c r="AI83" s="705"/>
    </row>
    <row r="84" spans="2:35" ht="50.1" customHeight="1" x14ac:dyDescent="0.3">
      <c r="B84" s="673">
        <f ca="1">IF(HReal&gt;=MAX(B$6:$B83)+1,B83+1,"")</f>
        <v>79</v>
      </c>
      <c r="C84" s="674" t="str">
        <f t="shared" ca="1" si="4"/>
        <v>Vie</v>
      </c>
      <c r="D84" s="675">
        <f t="shared" ca="1" si="3"/>
        <v>46045</v>
      </c>
      <c r="E84" s="676">
        <f ca="1">IF(B84&gt;HReal,"",IFERROR(VLOOKUP(B84,Flts!$G$14:$I$349,3,FALSE),E83))</f>
        <v>46045</v>
      </c>
      <c r="F84" s="679"/>
      <c r="G84" s="680"/>
      <c r="H84" s="680"/>
      <c r="I84" s="680"/>
      <c r="J84" s="705"/>
      <c r="K84" s="679"/>
      <c r="L84" s="680"/>
      <c r="M84" s="680"/>
      <c r="N84" s="680"/>
      <c r="O84" s="705"/>
      <c r="P84" s="679"/>
      <c r="Q84" s="680"/>
      <c r="R84" s="680"/>
      <c r="S84" s="680"/>
      <c r="T84" s="705"/>
      <c r="U84" s="679"/>
      <c r="V84" s="680"/>
      <c r="W84" s="680"/>
      <c r="X84" s="680"/>
      <c r="Y84" s="705"/>
      <c r="Z84" s="679"/>
      <c r="AA84" s="680"/>
      <c r="AB84" s="680"/>
      <c r="AC84" s="680"/>
      <c r="AD84" s="705"/>
      <c r="AE84" s="679"/>
      <c r="AF84" s="680"/>
      <c r="AG84" s="680"/>
      <c r="AH84" s="680"/>
      <c r="AI84" s="705"/>
    </row>
    <row r="85" spans="2:35" ht="50.1" customHeight="1" x14ac:dyDescent="0.3">
      <c r="B85" s="673">
        <f ca="1">IF(HReal&gt;=MAX(B$6:$B84)+1,B84+1,"")</f>
        <v>80</v>
      </c>
      <c r="C85" s="674" t="str">
        <f t="shared" ca="1" si="4"/>
        <v>Lun</v>
      </c>
      <c r="D85" s="675">
        <f t="shared" ca="1" si="3"/>
        <v>46048</v>
      </c>
      <c r="E85" s="676">
        <f ca="1">IF(B85&gt;HReal,"",IFERROR(VLOOKUP(B85,Flts!$G$14:$I$349,3,FALSE),E84))</f>
        <v>46048</v>
      </c>
      <c r="F85" s="679"/>
      <c r="G85" s="680"/>
      <c r="H85" s="680"/>
      <c r="I85" s="680"/>
      <c r="J85" s="705"/>
      <c r="K85" s="679"/>
      <c r="L85" s="680"/>
      <c r="M85" s="680"/>
      <c r="N85" s="680"/>
      <c r="O85" s="705"/>
      <c r="P85" s="679"/>
      <c r="Q85" s="680"/>
      <c r="R85" s="680"/>
      <c r="S85" s="680"/>
      <c r="T85" s="705"/>
      <c r="U85" s="679"/>
      <c r="V85" s="680"/>
      <c r="W85" s="680"/>
      <c r="X85" s="680"/>
      <c r="Y85" s="705"/>
      <c r="Z85" s="679"/>
      <c r="AA85" s="680"/>
      <c r="AB85" s="680"/>
      <c r="AC85" s="680"/>
      <c r="AD85" s="705"/>
      <c r="AE85" s="679"/>
      <c r="AF85" s="680"/>
      <c r="AG85" s="680"/>
      <c r="AH85" s="680"/>
      <c r="AI85" s="705"/>
    </row>
    <row r="86" spans="2:35" ht="50.1" customHeight="1" x14ac:dyDescent="0.3">
      <c r="B86" s="673">
        <f ca="1">IF(HReal&gt;=MAX(B$6:$B85)+1,B85+1,"")</f>
        <v>81</v>
      </c>
      <c r="C86" s="674" t="str">
        <f t="shared" ca="1" si="4"/>
        <v>Mar</v>
      </c>
      <c r="D86" s="675">
        <f t="shared" ca="1" si="3"/>
        <v>46049</v>
      </c>
      <c r="E86" s="676">
        <f ca="1">IF(B86&gt;HReal,"",IFERROR(VLOOKUP(B86,Flts!$G$14:$I$349,3,FALSE),E85))</f>
        <v>46049</v>
      </c>
      <c r="F86" s="679"/>
      <c r="G86" s="680"/>
      <c r="H86" s="680"/>
      <c r="I86" s="680"/>
      <c r="J86" s="705"/>
      <c r="K86" s="679"/>
      <c r="L86" s="680"/>
      <c r="M86" s="680"/>
      <c r="N86" s="680"/>
      <c r="O86" s="705"/>
      <c r="P86" s="679"/>
      <c r="Q86" s="680"/>
      <c r="R86" s="680"/>
      <c r="S86" s="680"/>
      <c r="T86" s="705"/>
      <c r="U86" s="679"/>
      <c r="V86" s="680"/>
      <c r="W86" s="680"/>
      <c r="X86" s="680"/>
      <c r="Y86" s="705"/>
      <c r="Z86" s="679"/>
      <c r="AA86" s="680"/>
      <c r="AB86" s="680"/>
      <c r="AC86" s="680"/>
      <c r="AD86" s="705"/>
      <c r="AE86" s="679"/>
      <c r="AF86" s="680"/>
      <c r="AG86" s="680"/>
      <c r="AH86" s="680"/>
      <c r="AI86" s="705"/>
    </row>
    <row r="87" spans="2:35" ht="50.1" customHeight="1" x14ac:dyDescent="0.3">
      <c r="B87" s="673">
        <f ca="1">IF(HReal&gt;=MAX(B$6:$B86)+1,B86+1,"")</f>
        <v>82</v>
      </c>
      <c r="C87" s="674" t="str">
        <f t="shared" ca="1" si="4"/>
        <v>Mié</v>
      </c>
      <c r="D87" s="675">
        <f t="shared" ca="1" si="3"/>
        <v>46050</v>
      </c>
      <c r="E87" s="676">
        <f ca="1">IF(B87&gt;HReal,"",IFERROR(VLOOKUP(B87,Flts!$G$14:$I$349,3,FALSE),E86))</f>
        <v>46050</v>
      </c>
      <c r="F87" s="679"/>
      <c r="G87" s="680"/>
      <c r="H87" s="680"/>
      <c r="I87" s="680"/>
      <c r="J87" s="705"/>
      <c r="K87" s="679"/>
      <c r="L87" s="680"/>
      <c r="M87" s="680"/>
      <c r="N87" s="680"/>
      <c r="O87" s="705"/>
      <c r="P87" s="679"/>
      <c r="Q87" s="680"/>
      <c r="R87" s="680"/>
      <c r="S87" s="680"/>
      <c r="T87" s="705"/>
      <c r="U87" s="679"/>
      <c r="V87" s="680"/>
      <c r="W87" s="680"/>
      <c r="X87" s="680"/>
      <c r="Y87" s="705"/>
      <c r="Z87" s="679"/>
      <c r="AA87" s="680"/>
      <c r="AB87" s="680"/>
      <c r="AC87" s="680"/>
      <c r="AD87" s="705"/>
      <c r="AE87" s="679"/>
      <c r="AF87" s="680"/>
      <c r="AG87" s="680"/>
      <c r="AH87" s="680"/>
      <c r="AI87" s="705"/>
    </row>
    <row r="88" spans="2:35" ht="50.1" customHeight="1" x14ac:dyDescent="0.3">
      <c r="B88" s="673">
        <f ca="1">IF(HReal&gt;=MAX(B$6:$B87)+1,B87+1,"")</f>
        <v>83</v>
      </c>
      <c r="C88" s="674" t="str">
        <f t="shared" ca="1" si="4"/>
        <v>Vie</v>
      </c>
      <c r="D88" s="675">
        <f t="shared" ca="1" si="3"/>
        <v>46052</v>
      </c>
      <c r="E88" s="676">
        <f ca="1">IF(B88&gt;HReal,"",IFERROR(VLOOKUP(B88,Flts!$G$14:$I$349,3,FALSE),E87))</f>
        <v>46052</v>
      </c>
      <c r="F88" s="679"/>
      <c r="G88" s="680"/>
      <c r="H88" s="680"/>
      <c r="I88" s="680"/>
      <c r="J88" s="705"/>
      <c r="K88" s="679"/>
      <c r="L88" s="680"/>
      <c r="M88" s="680"/>
      <c r="N88" s="680"/>
      <c r="O88" s="705"/>
      <c r="P88" s="679"/>
      <c r="Q88" s="680"/>
      <c r="R88" s="680"/>
      <c r="S88" s="680"/>
      <c r="T88" s="705"/>
      <c r="U88" s="679"/>
      <c r="V88" s="680"/>
      <c r="W88" s="680"/>
      <c r="X88" s="680"/>
      <c r="Y88" s="705"/>
      <c r="Z88" s="679"/>
      <c r="AA88" s="680"/>
      <c r="AB88" s="680"/>
      <c r="AC88" s="680"/>
      <c r="AD88" s="705"/>
      <c r="AE88" s="679"/>
      <c r="AF88" s="680"/>
      <c r="AG88" s="680"/>
      <c r="AH88" s="680"/>
      <c r="AI88" s="705"/>
    </row>
    <row r="89" spans="2:35" ht="50.1" customHeight="1" x14ac:dyDescent="0.3">
      <c r="B89" s="673">
        <f ca="1">IF(HReal&gt;=MAX(B$6:$B88)+1,B88+1,"")</f>
        <v>84</v>
      </c>
      <c r="C89" s="674" t="str">
        <f t="shared" ca="1" si="4"/>
        <v>Lun</v>
      </c>
      <c r="D89" s="675">
        <f t="shared" ca="1" si="3"/>
        <v>46083</v>
      </c>
      <c r="E89" s="676">
        <f ca="1">IF(B89&gt;HReal,"",IFERROR(VLOOKUP(B89,Flts!$G$14:$I$349,3,FALSE),E88))</f>
        <v>46083</v>
      </c>
      <c r="F89" s="679"/>
      <c r="G89" s="680"/>
      <c r="H89" s="680"/>
      <c r="I89" s="680"/>
      <c r="J89" s="705"/>
      <c r="K89" s="679"/>
      <c r="L89" s="680"/>
      <c r="M89" s="680"/>
      <c r="N89" s="680"/>
      <c r="O89" s="705"/>
      <c r="P89" s="679"/>
      <c r="Q89" s="680"/>
      <c r="R89" s="680"/>
      <c r="S89" s="680"/>
      <c r="T89" s="705"/>
      <c r="U89" s="679"/>
      <c r="V89" s="680"/>
      <c r="W89" s="680"/>
      <c r="X89" s="680"/>
      <c r="Y89" s="705"/>
      <c r="Z89" s="679"/>
      <c r="AA89" s="680"/>
      <c r="AB89" s="680"/>
      <c r="AC89" s="680"/>
      <c r="AD89" s="705"/>
      <c r="AE89" s="679"/>
      <c r="AF89" s="680"/>
      <c r="AG89" s="680"/>
      <c r="AH89" s="680"/>
      <c r="AI89" s="705"/>
    </row>
    <row r="90" spans="2:35" ht="50.1" customHeight="1" x14ac:dyDescent="0.3">
      <c r="B90" s="673">
        <f ca="1">IF(HReal&gt;=MAX(B$6:$B89)+1,B89+1,"")</f>
        <v>85</v>
      </c>
      <c r="C90" s="674" t="str">
        <f t="shared" ca="1" si="4"/>
        <v>Mar</v>
      </c>
      <c r="D90" s="675">
        <f t="shared" ca="1" si="3"/>
        <v>46084</v>
      </c>
      <c r="E90" s="676">
        <f ca="1">IF(B90&gt;HReal,"",IFERROR(VLOOKUP(B90,Flts!$G$14:$I$349,3,FALSE),E89))</f>
        <v>46084</v>
      </c>
      <c r="F90" s="679"/>
      <c r="G90" s="680"/>
      <c r="H90" s="680"/>
      <c r="I90" s="680"/>
      <c r="J90" s="705"/>
      <c r="K90" s="679"/>
      <c r="L90" s="680"/>
      <c r="M90" s="680"/>
      <c r="N90" s="680"/>
      <c r="O90" s="705"/>
      <c r="P90" s="679"/>
      <c r="Q90" s="680"/>
      <c r="R90" s="680"/>
      <c r="S90" s="680"/>
      <c r="T90" s="705"/>
      <c r="U90" s="679"/>
      <c r="V90" s="680"/>
      <c r="W90" s="680"/>
      <c r="X90" s="680"/>
      <c r="Y90" s="705"/>
      <c r="Z90" s="679"/>
      <c r="AA90" s="680"/>
      <c r="AB90" s="680"/>
      <c r="AC90" s="680"/>
      <c r="AD90" s="705"/>
      <c r="AE90" s="679"/>
      <c r="AF90" s="680"/>
      <c r="AG90" s="680"/>
      <c r="AH90" s="680"/>
      <c r="AI90" s="705"/>
    </row>
    <row r="91" spans="2:35" ht="50.1" customHeight="1" x14ac:dyDescent="0.3">
      <c r="B91" s="673">
        <f ca="1">IF(HReal&gt;=MAX(B$6:$B90)+1,B90+1,"")</f>
        <v>86</v>
      </c>
      <c r="C91" s="674" t="str">
        <f t="shared" ca="1" si="4"/>
        <v>Mié</v>
      </c>
      <c r="D91" s="675">
        <f t="shared" ca="1" si="3"/>
        <v>46085</v>
      </c>
      <c r="E91" s="676">
        <f ca="1">IF(B91&gt;HReal,"",IFERROR(VLOOKUP(B91,Flts!$G$14:$I$349,3,FALSE),E90))</f>
        <v>46085</v>
      </c>
      <c r="F91" s="679"/>
      <c r="G91" s="680"/>
      <c r="H91" s="680"/>
      <c r="I91" s="680"/>
      <c r="J91" s="705"/>
      <c r="K91" s="679"/>
      <c r="L91" s="680"/>
      <c r="M91" s="680"/>
      <c r="N91" s="680"/>
      <c r="O91" s="705"/>
      <c r="P91" s="679"/>
      <c r="Q91" s="680"/>
      <c r="R91" s="680"/>
      <c r="S91" s="680"/>
      <c r="T91" s="705"/>
      <c r="U91" s="679"/>
      <c r="V91" s="680"/>
      <c r="W91" s="680"/>
      <c r="X91" s="680"/>
      <c r="Y91" s="705"/>
      <c r="Z91" s="679"/>
      <c r="AA91" s="680"/>
      <c r="AB91" s="680"/>
      <c r="AC91" s="680"/>
      <c r="AD91" s="705"/>
      <c r="AE91" s="679"/>
      <c r="AF91" s="680"/>
      <c r="AG91" s="680"/>
      <c r="AH91" s="680"/>
      <c r="AI91" s="705"/>
    </row>
    <row r="92" spans="2:35" ht="50.1" customHeight="1" x14ac:dyDescent="0.3">
      <c r="B92" s="673">
        <f ca="1">IF(HReal&gt;=MAX(B$6:$B91)+1,B91+1,"")</f>
        <v>87</v>
      </c>
      <c r="C92" s="674" t="str">
        <f t="shared" ca="1" si="4"/>
        <v>Jue</v>
      </c>
      <c r="D92" s="675">
        <f t="shared" ca="1" si="3"/>
        <v>46086</v>
      </c>
      <c r="E92" s="676">
        <f ca="1">IF(B92&gt;HReal,"",IFERROR(VLOOKUP(B92,Flts!$G$14:$I$349,3,FALSE),E91))</f>
        <v>46086</v>
      </c>
      <c r="F92" s="679"/>
      <c r="G92" s="680"/>
      <c r="H92" s="680"/>
      <c r="I92" s="680"/>
      <c r="J92" s="705"/>
      <c r="K92" s="679"/>
      <c r="L92" s="680"/>
      <c r="M92" s="680"/>
      <c r="N92" s="680"/>
      <c r="O92" s="705"/>
      <c r="P92" s="679"/>
      <c r="Q92" s="680"/>
      <c r="R92" s="680"/>
      <c r="S92" s="680"/>
      <c r="T92" s="705"/>
      <c r="U92" s="679"/>
      <c r="V92" s="680"/>
      <c r="W92" s="680"/>
      <c r="X92" s="680"/>
      <c r="Y92" s="705"/>
      <c r="Z92" s="679"/>
      <c r="AA92" s="680"/>
      <c r="AB92" s="680"/>
      <c r="AC92" s="680"/>
      <c r="AD92" s="705"/>
      <c r="AE92" s="679"/>
      <c r="AF92" s="680"/>
      <c r="AG92" s="680"/>
      <c r="AH92" s="680"/>
      <c r="AI92" s="705"/>
    </row>
    <row r="93" spans="2:35" ht="50.1" customHeight="1" x14ac:dyDescent="0.3">
      <c r="B93" s="673">
        <f ca="1">IF(HReal&gt;=MAX(B$6:$B92)+1,B92+1,"")</f>
        <v>88</v>
      </c>
      <c r="C93" s="674" t="str">
        <f t="shared" ca="1" si="4"/>
        <v>Lun</v>
      </c>
      <c r="D93" s="675">
        <f t="shared" ca="1" si="3"/>
        <v>46090</v>
      </c>
      <c r="E93" s="676">
        <f ca="1">IF(B93&gt;HReal,"",IFERROR(VLOOKUP(B93,Flts!$G$14:$I$349,3,FALSE),E92))</f>
        <v>46090</v>
      </c>
      <c r="F93" s="679"/>
      <c r="G93" s="680"/>
      <c r="H93" s="680"/>
      <c r="I93" s="680"/>
      <c r="J93" s="705"/>
      <c r="K93" s="679"/>
      <c r="L93" s="680"/>
      <c r="M93" s="680"/>
      <c r="N93" s="680"/>
      <c r="O93" s="705"/>
      <c r="P93" s="679"/>
      <c r="Q93" s="680"/>
      <c r="R93" s="680"/>
      <c r="S93" s="680"/>
      <c r="T93" s="705"/>
      <c r="U93" s="679"/>
      <c r="V93" s="680"/>
      <c r="W93" s="680"/>
      <c r="X93" s="680"/>
      <c r="Y93" s="705"/>
      <c r="Z93" s="679"/>
      <c r="AA93" s="680"/>
      <c r="AB93" s="680"/>
      <c r="AC93" s="680"/>
      <c r="AD93" s="705"/>
      <c r="AE93" s="679"/>
      <c r="AF93" s="680"/>
      <c r="AG93" s="680"/>
      <c r="AH93" s="680"/>
      <c r="AI93" s="705"/>
    </row>
    <row r="94" spans="2:35" ht="50.1" customHeight="1" x14ac:dyDescent="0.3">
      <c r="B94" s="673">
        <f ca="1">IF(HReal&gt;=MAX(B$6:$B93)+1,B93+1,"")</f>
        <v>89</v>
      </c>
      <c r="C94" s="674" t="str">
        <f t="shared" ca="1" si="4"/>
        <v>Mar</v>
      </c>
      <c r="D94" s="675">
        <f t="shared" ca="1" si="3"/>
        <v>46091</v>
      </c>
      <c r="E94" s="676">
        <f ca="1">IF(B94&gt;HReal,"",IFERROR(VLOOKUP(B94,Flts!$G$14:$I$349,3,FALSE),E93))</f>
        <v>46091</v>
      </c>
      <c r="F94" s="679"/>
      <c r="G94" s="680"/>
      <c r="H94" s="680"/>
      <c r="I94" s="680"/>
      <c r="J94" s="705"/>
      <c r="K94" s="679"/>
      <c r="L94" s="680"/>
      <c r="M94" s="680"/>
      <c r="N94" s="680"/>
      <c r="O94" s="705"/>
      <c r="P94" s="679"/>
      <c r="Q94" s="680"/>
      <c r="R94" s="680"/>
      <c r="S94" s="680"/>
      <c r="T94" s="705"/>
      <c r="U94" s="679"/>
      <c r="V94" s="680"/>
      <c r="W94" s="680"/>
      <c r="X94" s="680"/>
      <c r="Y94" s="705"/>
      <c r="Z94" s="679"/>
      <c r="AA94" s="680"/>
      <c r="AB94" s="680"/>
      <c r="AC94" s="680"/>
      <c r="AD94" s="705"/>
      <c r="AE94" s="679"/>
      <c r="AF94" s="680"/>
      <c r="AG94" s="680"/>
      <c r="AH94" s="680"/>
      <c r="AI94" s="705"/>
    </row>
    <row r="95" spans="2:35" ht="50.1" customHeight="1" x14ac:dyDescent="0.3">
      <c r="B95" s="673">
        <f ca="1">IF(HReal&gt;=MAX(B$6:$B94)+1,B94+1,"")</f>
        <v>90</v>
      </c>
      <c r="C95" s="674" t="str">
        <f t="shared" ca="1" si="4"/>
        <v>Mié</v>
      </c>
      <c r="D95" s="675">
        <f t="shared" ca="1" si="3"/>
        <v>46092</v>
      </c>
      <c r="E95" s="676">
        <f ca="1">IF(B95&gt;HReal,"",IFERROR(VLOOKUP(B95,Flts!$G$14:$I$349,3,FALSE),E94))</f>
        <v>46092</v>
      </c>
      <c r="F95" s="679"/>
      <c r="G95" s="680"/>
      <c r="H95" s="680"/>
      <c r="I95" s="680"/>
      <c r="J95" s="705"/>
      <c r="K95" s="679"/>
      <c r="L95" s="680"/>
      <c r="M95" s="680"/>
      <c r="N95" s="680"/>
      <c r="O95" s="705"/>
      <c r="P95" s="679"/>
      <c r="Q95" s="680"/>
      <c r="R95" s="680"/>
      <c r="S95" s="680"/>
      <c r="T95" s="705"/>
      <c r="U95" s="679"/>
      <c r="V95" s="680"/>
      <c r="W95" s="680"/>
      <c r="X95" s="680"/>
      <c r="Y95" s="705"/>
      <c r="Z95" s="679"/>
      <c r="AA95" s="680"/>
      <c r="AB95" s="680"/>
      <c r="AC95" s="680"/>
      <c r="AD95" s="705"/>
      <c r="AE95" s="679"/>
      <c r="AF95" s="680"/>
      <c r="AG95" s="680"/>
      <c r="AH95" s="680"/>
      <c r="AI95" s="705"/>
    </row>
    <row r="96" spans="2:35" ht="50.1" customHeight="1" x14ac:dyDescent="0.3">
      <c r="B96" s="673">
        <f ca="1">IF(HReal&gt;=MAX(B$6:$B95)+1,B95+1,"")</f>
        <v>91</v>
      </c>
      <c r="C96" s="674" t="str">
        <f t="shared" ca="1" si="4"/>
        <v>Jue</v>
      </c>
      <c r="D96" s="675">
        <f t="shared" ca="1" si="3"/>
        <v>46093</v>
      </c>
      <c r="E96" s="676">
        <f ca="1">IF(B96&gt;HReal,"",IFERROR(VLOOKUP(B96,Flts!$G$14:$I$349,3,FALSE),E95))</f>
        <v>46093</v>
      </c>
      <c r="F96" s="679"/>
      <c r="G96" s="680"/>
      <c r="H96" s="680"/>
      <c r="I96" s="680"/>
      <c r="J96" s="705"/>
      <c r="K96" s="679"/>
      <c r="L96" s="680"/>
      <c r="M96" s="680"/>
      <c r="N96" s="680"/>
      <c r="O96" s="705"/>
      <c r="P96" s="679"/>
      <c r="Q96" s="680"/>
      <c r="R96" s="680"/>
      <c r="S96" s="680"/>
      <c r="T96" s="705"/>
      <c r="U96" s="679"/>
      <c r="V96" s="680"/>
      <c r="W96" s="680"/>
      <c r="X96" s="680"/>
      <c r="Y96" s="705"/>
      <c r="Z96" s="679"/>
      <c r="AA96" s="680"/>
      <c r="AB96" s="680"/>
      <c r="AC96" s="680"/>
      <c r="AD96" s="705"/>
      <c r="AE96" s="679"/>
      <c r="AF96" s="680"/>
      <c r="AG96" s="680"/>
      <c r="AH96" s="680"/>
      <c r="AI96" s="705"/>
    </row>
    <row r="97" spans="2:35" ht="50.1" customHeight="1" x14ac:dyDescent="0.3">
      <c r="B97" s="673">
        <f ca="1">IF(HReal&gt;=MAX(B$6:$B96)+1,B96+1,"")</f>
        <v>92</v>
      </c>
      <c r="C97" s="674" t="str">
        <f t="shared" ca="1" si="4"/>
        <v>Vie</v>
      </c>
      <c r="D97" s="675">
        <f t="shared" ca="1" si="3"/>
        <v>46094</v>
      </c>
      <c r="E97" s="676">
        <f ca="1">IF(B97&gt;HReal,"",IFERROR(VLOOKUP(B97,Flts!$G$14:$I$349,3,FALSE),E96))</f>
        <v>46094</v>
      </c>
      <c r="F97" s="679"/>
      <c r="G97" s="680"/>
      <c r="H97" s="680"/>
      <c r="I97" s="680"/>
      <c r="J97" s="705"/>
      <c r="K97" s="679"/>
      <c r="L97" s="680"/>
      <c r="M97" s="680"/>
      <c r="N97" s="680"/>
      <c r="O97" s="705"/>
      <c r="P97" s="679"/>
      <c r="Q97" s="680"/>
      <c r="R97" s="680"/>
      <c r="S97" s="680"/>
      <c r="T97" s="705"/>
      <c r="U97" s="679"/>
      <c r="V97" s="680"/>
      <c r="W97" s="680"/>
      <c r="X97" s="680"/>
      <c r="Y97" s="705"/>
      <c r="Z97" s="679"/>
      <c r="AA97" s="680"/>
      <c r="AB97" s="680"/>
      <c r="AC97" s="680"/>
      <c r="AD97" s="705"/>
      <c r="AE97" s="679"/>
      <c r="AF97" s="680"/>
      <c r="AG97" s="680"/>
      <c r="AH97" s="680"/>
      <c r="AI97" s="705"/>
    </row>
    <row r="98" spans="2:35" ht="50.1" customHeight="1" x14ac:dyDescent="0.3">
      <c r="B98" s="673">
        <f ca="1">IF(HReal&gt;=MAX(B$6:$B97)+1,B97+1,"")</f>
        <v>93</v>
      </c>
      <c r="C98" s="674" t="str">
        <f t="shared" ca="1" si="4"/>
        <v>Lun</v>
      </c>
      <c r="D98" s="675">
        <f t="shared" ca="1" si="3"/>
        <v>46097</v>
      </c>
      <c r="E98" s="676">
        <f ca="1">IF(B98&gt;HReal,"",IFERROR(VLOOKUP(B98,Flts!$G$14:$I$349,3,FALSE),E97))</f>
        <v>46097</v>
      </c>
      <c r="F98" s="679"/>
      <c r="G98" s="680"/>
      <c r="H98" s="680"/>
      <c r="I98" s="680"/>
      <c r="J98" s="705"/>
      <c r="K98" s="679"/>
      <c r="L98" s="680"/>
      <c r="M98" s="680"/>
      <c r="N98" s="680"/>
      <c r="O98" s="705"/>
      <c r="P98" s="679"/>
      <c r="Q98" s="680"/>
      <c r="R98" s="680"/>
      <c r="S98" s="680"/>
      <c r="T98" s="705"/>
      <c r="U98" s="679"/>
      <c r="V98" s="680"/>
      <c r="W98" s="680"/>
      <c r="X98" s="680"/>
      <c r="Y98" s="705"/>
      <c r="Z98" s="679"/>
      <c r="AA98" s="680"/>
      <c r="AB98" s="680"/>
      <c r="AC98" s="680"/>
      <c r="AD98" s="705"/>
      <c r="AE98" s="679"/>
      <c r="AF98" s="680"/>
      <c r="AG98" s="680"/>
      <c r="AH98" s="680"/>
      <c r="AI98" s="705"/>
    </row>
    <row r="99" spans="2:35" ht="50.1" customHeight="1" x14ac:dyDescent="0.3">
      <c r="B99" s="673">
        <f ca="1">IF(HReal&gt;=MAX(B$6:$B98)+1,B98+1,"")</f>
        <v>94</v>
      </c>
      <c r="C99" s="674" t="str">
        <f t="shared" ca="1" si="4"/>
        <v>Mar</v>
      </c>
      <c r="D99" s="675">
        <f t="shared" ca="1" si="3"/>
        <v>46098</v>
      </c>
      <c r="E99" s="676">
        <f ca="1">IF(B99&gt;HReal,"",IFERROR(VLOOKUP(B99,Flts!$G$14:$I$349,3,FALSE),E98))</f>
        <v>46098</v>
      </c>
      <c r="F99" s="679"/>
      <c r="G99" s="680"/>
      <c r="H99" s="680"/>
      <c r="I99" s="680"/>
      <c r="J99" s="705"/>
      <c r="K99" s="679"/>
      <c r="L99" s="680"/>
      <c r="M99" s="680"/>
      <c r="N99" s="680"/>
      <c r="O99" s="705"/>
      <c r="P99" s="679"/>
      <c r="Q99" s="680"/>
      <c r="R99" s="680"/>
      <c r="S99" s="680"/>
      <c r="T99" s="705"/>
      <c r="U99" s="679"/>
      <c r="V99" s="680"/>
      <c r="W99" s="680"/>
      <c r="X99" s="680"/>
      <c r="Y99" s="705"/>
      <c r="Z99" s="679"/>
      <c r="AA99" s="680"/>
      <c r="AB99" s="680"/>
      <c r="AC99" s="680"/>
      <c r="AD99" s="705"/>
      <c r="AE99" s="679"/>
      <c r="AF99" s="680"/>
      <c r="AG99" s="680"/>
      <c r="AH99" s="680"/>
      <c r="AI99" s="705"/>
    </row>
    <row r="100" spans="2:35" ht="50.1" customHeight="1" x14ac:dyDescent="0.3">
      <c r="B100" s="673">
        <f ca="1">IF(HReal&gt;=MAX(B$6:$B99)+1,B99+1,"")</f>
        <v>95</v>
      </c>
      <c r="C100" s="674" t="str">
        <f t="shared" ca="1" si="4"/>
        <v>Mié</v>
      </c>
      <c r="D100" s="675">
        <f t="shared" ca="1" si="3"/>
        <v>46099</v>
      </c>
      <c r="E100" s="676">
        <f ca="1">IF(B100&gt;HReal,"",IFERROR(VLOOKUP(B100,Flts!$G$14:$I$349,3,FALSE),E99))</f>
        <v>46099</v>
      </c>
      <c r="F100" s="679"/>
      <c r="G100" s="680"/>
      <c r="H100" s="680"/>
      <c r="I100" s="680"/>
      <c r="J100" s="705"/>
      <c r="K100" s="679"/>
      <c r="L100" s="680"/>
      <c r="M100" s="680"/>
      <c r="N100" s="680"/>
      <c r="O100" s="705"/>
      <c r="P100" s="679"/>
      <c r="Q100" s="680"/>
      <c r="R100" s="680"/>
      <c r="S100" s="680"/>
      <c r="T100" s="705"/>
      <c r="U100" s="679"/>
      <c r="V100" s="680"/>
      <c r="W100" s="680"/>
      <c r="X100" s="680"/>
      <c r="Y100" s="705"/>
      <c r="Z100" s="679"/>
      <c r="AA100" s="680"/>
      <c r="AB100" s="680"/>
      <c r="AC100" s="680"/>
      <c r="AD100" s="705"/>
      <c r="AE100" s="679"/>
      <c r="AF100" s="680"/>
      <c r="AG100" s="680"/>
      <c r="AH100" s="680"/>
      <c r="AI100" s="705"/>
    </row>
    <row r="101" spans="2:35" ht="50.1" customHeight="1" x14ac:dyDescent="0.3">
      <c r="B101" s="673">
        <f ca="1">IF(HReal&gt;=MAX(B$6:$B100)+1,B100+1,"")</f>
        <v>96</v>
      </c>
      <c r="C101" s="674" t="str">
        <f t="shared" ca="1" si="4"/>
        <v>Jue</v>
      </c>
      <c r="D101" s="675">
        <f t="shared" ca="1" si="3"/>
        <v>46100</v>
      </c>
      <c r="E101" s="676">
        <f ca="1">IF(B101&gt;HReal,"",IFERROR(VLOOKUP(B101,Flts!$G$14:$I$349,3,FALSE),E100))</f>
        <v>46100</v>
      </c>
      <c r="F101" s="679"/>
      <c r="G101" s="680"/>
      <c r="H101" s="680"/>
      <c r="I101" s="680"/>
      <c r="J101" s="705"/>
      <c r="K101" s="679"/>
      <c r="L101" s="680"/>
      <c r="M101" s="680"/>
      <c r="N101" s="680"/>
      <c r="O101" s="705"/>
      <c r="P101" s="679"/>
      <c r="Q101" s="680"/>
      <c r="R101" s="680"/>
      <c r="S101" s="680"/>
      <c r="T101" s="705"/>
      <c r="U101" s="679"/>
      <c r="V101" s="680"/>
      <c r="W101" s="680"/>
      <c r="X101" s="680"/>
      <c r="Y101" s="705"/>
      <c r="Z101" s="679"/>
      <c r="AA101" s="680"/>
      <c r="AB101" s="680"/>
      <c r="AC101" s="680"/>
      <c r="AD101" s="705"/>
      <c r="AE101" s="679"/>
      <c r="AF101" s="680"/>
      <c r="AG101" s="680"/>
      <c r="AH101" s="680"/>
      <c r="AI101" s="705"/>
    </row>
    <row r="102" spans="2:35" ht="50.1" customHeight="1" x14ac:dyDescent="0.3">
      <c r="B102" s="673">
        <f ca="1">IF(HReal&gt;=MAX(B$6:$B101)+1,B101+1,"")</f>
        <v>97</v>
      </c>
      <c r="C102" s="674" t="str">
        <f t="shared" ca="1" si="4"/>
        <v>Vie</v>
      </c>
      <c r="D102" s="675">
        <f t="shared" ca="1" si="3"/>
        <v>46101</v>
      </c>
      <c r="E102" s="676">
        <f ca="1">IF(B102&gt;HReal,"",IFERROR(VLOOKUP(B102,Flts!$G$14:$I$349,3,FALSE),E101))</f>
        <v>46101</v>
      </c>
      <c r="F102" s="679"/>
      <c r="G102" s="680"/>
      <c r="H102" s="680"/>
      <c r="I102" s="680"/>
      <c r="J102" s="705"/>
      <c r="K102" s="679"/>
      <c r="L102" s="680"/>
      <c r="M102" s="680"/>
      <c r="N102" s="680"/>
      <c r="O102" s="705"/>
      <c r="P102" s="679"/>
      <c r="Q102" s="680"/>
      <c r="R102" s="680"/>
      <c r="S102" s="680"/>
      <c r="T102" s="705"/>
      <c r="U102" s="679"/>
      <c r="V102" s="680"/>
      <c r="W102" s="680"/>
      <c r="X102" s="680"/>
      <c r="Y102" s="705"/>
      <c r="Z102" s="679"/>
      <c r="AA102" s="680"/>
      <c r="AB102" s="680"/>
      <c r="AC102" s="680"/>
      <c r="AD102" s="705"/>
      <c r="AE102" s="679"/>
      <c r="AF102" s="680"/>
      <c r="AG102" s="680"/>
      <c r="AH102" s="680"/>
      <c r="AI102" s="705"/>
    </row>
    <row r="103" spans="2:35" ht="50.1" customHeight="1" x14ac:dyDescent="0.3">
      <c r="B103" s="673">
        <f ca="1">IF(HReal&gt;=MAX(B$6:$B102)+1,B102+1,"")</f>
        <v>98</v>
      </c>
      <c r="C103" s="674" t="str">
        <f t="shared" ref="C103:C134" ca="1" si="5">IF(AND(B103&lt;HReal,E102&lt;&gt;E103),IFERROR(MID(Vdias,(WEEKDAY(E103,2)-1)*3+1,3),C102),"")</f>
        <v>Lun</v>
      </c>
      <c r="D103" s="675">
        <f t="shared" ca="1" si="3"/>
        <v>46104</v>
      </c>
      <c r="E103" s="676">
        <f ca="1">IF(B103&gt;HReal,"",IFERROR(VLOOKUP(B103,Flts!$G$14:$I$349,3,FALSE),E102))</f>
        <v>46104</v>
      </c>
      <c r="F103" s="679"/>
      <c r="G103" s="680"/>
      <c r="H103" s="680"/>
      <c r="I103" s="680"/>
      <c r="J103" s="705"/>
      <c r="K103" s="679"/>
      <c r="L103" s="680"/>
      <c r="M103" s="680"/>
      <c r="N103" s="680"/>
      <c r="O103" s="705"/>
      <c r="P103" s="679"/>
      <c r="Q103" s="680"/>
      <c r="R103" s="680"/>
      <c r="S103" s="680"/>
      <c r="T103" s="705"/>
      <c r="U103" s="679"/>
      <c r="V103" s="680"/>
      <c r="W103" s="680"/>
      <c r="X103" s="680"/>
      <c r="Y103" s="705"/>
      <c r="Z103" s="679"/>
      <c r="AA103" s="680"/>
      <c r="AB103" s="680"/>
      <c r="AC103" s="680"/>
      <c r="AD103" s="705"/>
      <c r="AE103" s="679"/>
      <c r="AF103" s="680"/>
      <c r="AG103" s="680"/>
      <c r="AH103" s="680"/>
      <c r="AI103" s="705"/>
    </row>
    <row r="104" spans="2:35" ht="50.1" customHeight="1" x14ac:dyDescent="0.3">
      <c r="B104" s="673">
        <f ca="1">IF(HReal&gt;=MAX(B$6:$B103)+1,B103+1,"")</f>
        <v>99</v>
      </c>
      <c r="C104" s="674" t="str">
        <f t="shared" ca="1" si="5"/>
        <v>Mar</v>
      </c>
      <c r="D104" s="675">
        <f t="shared" ca="1" si="3"/>
        <v>46105</v>
      </c>
      <c r="E104" s="676">
        <f ca="1">IF(B104&gt;HReal,"",IFERROR(VLOOKUP(B104,Flts!$G$14:$I$349,3,FALSE),E103))</f>
        <v>46105</v>
      </c>
      <c r="F104" s="679"/>
      <c r="G104" s="680"/>
      <c r="H104" s="680"/>
      <c r="I104" s="680"/>
      <c r="J104" s="705"/>
      <c r="K104" s="679"/>
      <c r="L104" s="680"/>
      <c r="M104" s="680"/>
      <c r="N104" s="680"/>
      <c r="O104" s="705"/>
      <c r="P104" s="679"/>
      <c r="Q104" s="680"/>
      <c r="R104" s="680"/>
      <c r="S104" s="680"/>
      <c r="T104" s="705"/>
      <c r="U104" s="679"/>
      <c r="V104" s="680"/>
      <c r="W104" s="680"/>
      <c r="X104" s="680"/>
      <c r="Y104" s="705"/>
      <c r="Z104" s="679"/>
      <c r="AA104" s="680"/>
      <c r="AB104" s="680"/>
      <c r="AC104" s="680"/>
      <c r="AD104" s="705"/>
      <c r="AE104" s="679"/>
      <c r="AF104" s="680"/>
      <c r="AG104" s="680"/>
      <c r="AH104" s="680"/>
      <c r="AI104" s="705"/>
    </row>
    <row r="105" spans="2:35" ht="50.1" customHeight="1" x14ac:dyDescent="0.3">
      <c r="B105" s="673">
        <f ca="1">IF(HReal&gt;=MAX(B$6:$B104)+1,B104+1,"")</f>
        <v>100</v>
      </c>
      <c r="C105" s="674" t="str">
        <f t="shared" ca="1" si="5"/>
        <v>Mié</v>
      </c>
      <c r="D105" s="675">
        <f t="shared" ca="1" si="3"/>
        <v>46106</v>
      </c>
      <c r="E105" s="676">
        <f ca="1">IF(B105&gt;HReal,"",IFERROR(VLOOKUP(B105,Flts!$G$14:$I$349,3,FALSE),E104))</f>
        <v>46106</v>
      </c>
      <c r="F105" s="679"/>
      <c r="G105" s="680"/>
      <c r="H105" s="680"/>
      <c r="I105" s="680"/>
      <c r="J105" s="705"/>
      <c r="K105" s="679"/>
      <c r="L105" s="680"/>
      <c r="M105" s="680"/>
      <c r="N105" s="680"/>
      <c r="O105" s="705"/>
      <c r="P105" s="679"/>
      <c r="Q105" s="680"/>
      <c r="R105" s="680"/>
      <c r="S105" s="680"/>
      <c r="T105" s="705"/>
      <c r="U105" s="679"/>
      <c r="V105" s="680"/>
      <c r="W105" s="680"/>
      <c r="X105" s="680"/>
      <c r="Y105" s="705"/>
      <c r="Z105" s="679"/>
      <c r="AA105" s="680"/>
      <c r="AB105" s="680"/>
      <c r="AC105" s="680"/>
      <c r="AD105" s="705"/>
      <c r="AE105" s="679"/>
      <c r="AF105" s="680"/>
      <c r="AG105" s="680"/>
      <c r="AH105" s="680"/>
      <c r="AI105" s="705"/>
    </row>
    <row r="106" spans="2:35" ht="50.1" customHeight="1" x14ac:dyDescent="0.3">
      <c r="B106" s="673">
        <f ca="1">IF(HReal&gt;=MAX(B$6:$B105)+1,B105+1,"")</f>
        <v>101</v>
      </c>
      <c r="C106" s="674" t="str">
        <f t="shared" ca="1" si="5"/>
        <v>Jue</v>
      </c>
      <c r="D106" s="675">
        <f t="shared" ca="1" si="3"/>
        <v>46107</v>
      </c>
      <c r="E106" s="676">
        <f ca="1">IF(B106&gt;HReal,"",IFERROR(VLOOKUP(B106,Flts!$G$14:$I$349,3,FALSE),E105))</f>
        <v>46107</v>
      </c>
      <c r="F106" s="679"/>
      <c r="G106" s="680"/>
      <c r="H106" s="680"/>
      <c r="I106" s="680"/>
      <c r="J106" s="705"/>
      <c r="K106" s="679"/>
      <c r="L106" s="680"/>
      <c r="M106" s="680"/>
      <c r="N106" s="680"/>
      <c r="O106" s="705"/>
      <c r="P106" s="679"/>
      <c r="Q106" s="680"/>
      <c r="R106" s="680"/>
      <c r="S106" s="680"/>
      <c r="T106" s="705"/>
      <c r="U106" s="679"/>
      <c r="V106" s="680"/>
      <c r="W106" s="680"/>
      <c r="X106" s="680"/>
      <c r="Y106" s="705"/>
      <c r="Z106" s="679"/>
      <c r="AA106" s="680"/>
      <c r="AB106" s="680"/>
      <c r="AC106" s="680"/>
      <c r="AD106" s="705"/>
      <c r="AE106" s="679"/>
      <c r="AF106" s="680"/>
      <c r="AG106" s="680"/>
      <c r="AH106" s="680"/>
      <c r="AI106" s="705"/>
    </row>
    <row r="107" spans="2:35" ht="50.1" customHeight="1" x14ac:dyDescent="0.3">
      <c r="B107" s="673">
        <f ca="1">IF(HReal&gt;=MAX(B$6:$B106)+1,B106+1,"")</f>
        <v>102</v>
      </c>
      <c r="C107" s="674" t="str">
        <f t="shared" ca="1" si="5"/>
        <v>Vie</v>
      </c>
      <c r="D107" s="675">
        <f t="shared" ca="1" si="3"/>
        <v>46108</v>
      </c>
      <c r="E107" s="676">
        <f ca="1">IF(B107&gt;HReal,"",IFERROR(VLOOKUP(B107,Flts!$G$14:$I$349,3,FALSE),E106))</f>
        <v>46108</v>
      </c>
      <c r="F107" s="679"/>
      <c r="G107" s="680"/>
      <c r="H107" s="680"/>
      <c r="I107" s="680"/>
      <c r="J107" s="705"/>
      <c r="K107" s="679"/>
      <c r="L107" s="680"/>
      <c r="M107" s="680"/>
      <c r="N107" s="680"/>
      <c r="O107" s="705"/>
      <c r="P107" s="679"/>
      <c r="Q107" s="680"/>
      <c r="R107" s="680"/>
      <c r="S107" s="680"/>
      <c r="T107" s="705"/>
      <c r="U107" s="679"/>
      <c r="V107" s="680"/>
      <c r="W107" s="680"/>
      <c r="X107" s="680"/>
      <c r="Y107" s="705"/>
      <c r="Z107" s="679"/>
      <c r="AA107" s="680"/>
      <c r="AB107" s="680"/>
      <c r="AC107" s="680"/>
      <c r="AD107" s="705"/>
      <c r="AE107" s="679"/>
      <c r="AF107" s="680"/>
      <c r="AG107" s="680"/>
      <c r="AH107" s="680"/>
      <c r="AI107" s="705"/>
    </row>
    <row r="108" spans="2:35" ht="50.1" customHeight="1" x14ac:dyDescent="0.3">
      <c r="B108" s="673">
        <f ca="1">IF(HReal&gt;=MAX(B$6:$B107)+1,B107+1,"")</f>
        <v>103</v>
      </c>
      <c r="C108" s="674" t="str">
        <f t="shared" ca="1" si="5"/>
        <v>Mar</v>
      </c>
      <c r="D108" s="675">
        <f t="shared" ca="1" si="3"/>
        <v>46119</v>
      </c>
      <c r="E108" s="676">
        <f ca="1">IF(B108&gt;HReal,"",IFERROR(VLOOKUP(B108,Flts!$G$14:$I$349,3,FALSE),E107))</f>
        <v>46119</v>
      </c>
      <c r="F108" s="679"/>
      <c r="G108" s="680"/>
      <c r="H108" s="680"/>
      <c r="I108" s="680"/>
      <c r="J108" s="705"/>
      <c r="K108" s="679"/>
      <c r="L108" s="680"/>
      <c r="M108" s="680"/>
      <c r="N108" s="680"/>
      <c r="O108" s="705"/>
      <c r="P108" s="679"/>
      <c r="Q108" s="680"/>
      <c r="R108" s="680"/>
      <c r="S108" s="680"/>
      <c r="T108" s="705"/>
      <c r="U108" s="679"/>
      <c r="V108" s="680"/>
      <c r="W108" s="680"/>
      <c r="X108" s="680"/>
      <c r="Y108" s="705"/>
      <c r="Z108" s="679"/>
      <c r="AA108" s="680"/>
      <c r="AB108" s="680"/>
      <c r="AC108" s="680"/>
      <c r="AD108" s="705"/>
      <c r="AE108" s="679"/>
      <c r="AF108" s="680"/>
      <c r="AG108" s="680"/>
      <c r="AH108" s="680"/>
      <c r="AI108" s="705"/>
    </row>
    <row r="109" spans="2:35" ht="50.1" customHeight="1" x14ac:dyDescent="0.3">
      <c r="B109" s="673">
        <f ca="1">IF(HReal&gt;=MAX(B$6:$B108)+1,B108+1,"")</f>
        <v>104</v>
      </c>
      <c r="C109" s="674" t="str">
        <f t="shared" ca="1" si="5"/>
        <v>Mié</v>
      </c>
      <c r="D109" s="675">
        <f t="shared" ca="1" si="3"/>
        <v>46120</v>
      </c>
      <c r="E109" s="676">
        <f ca="1">IF(B109&gt;HReal,"",IFERROR(VLOOKUP(B109,Flts!$G$14:$I$349,3,FALSE),E108))</f>
        <v>46120</v>
      </c>
      <c r="F109" s="679"/>
      <c r="G109" s="680"/>
      <c r="H109" s="680"/>
      <c r="I109" s="680"/>
      <c r="J109" s="705"/>
      <c r="K109" s="679"/>
      <c r="L109" s="680"/>
      <c r="M109" s="680"/>
      <c r="N109" s="680"/>
      <c r="O109" s="705"/>
      <c r="P109" s="679"/>
      <c r="Q109" s="680"/>
      <c r="R109" s="680"/>
      <c r="S109" s="680"/>
      <c r="T109" s="705"/>
      <c r="U109" s="679"/>
      <c r="V109" s="680"/>
      <c r="W109" s="680"/>
      <c r="X109" s="680"/>
      <c r="Y109" s="705"/>
      <c r="Z109" s="679"/>
      <c r="AA109" s="680"/>
      <c r="AB109" s="680"/>
      <c r="AC109" s="680"/>
      <c r="AD109" s="705"/>
      <c r="AE109" s="679"/>
      <c r="AF109" s="680"/>
      <c r="AG109" s="680"/>
      <c r="AH109" s="680"/>
      <c r="AI109" s="705"/>
    </row>
    <row r="110" spans="2:35" ht="50.1" customHeight="1" x14ac:dyDescent="0.3">
      <c r="B110" s="673">
        <f ca="1">IF(HReal&gt;=MAX(B$6:$B109)+1,B109+1,"")</f>
        <v>105</v>
      </c>
      <c r="C110" s="674" t="str">
        <f t="shared" ca="1" si="5"/>
        <v>Jue</v>
      </c>
      <c r="D110" s="675">
        <f t="shared" ca="1" si="3"/>
        <v>46121</v>
      </c>
      <c r="E110" s="676">
        <f ca="1">IF(B110&gt;HReal,"",IFERROR(VLOOKUP(B110,Flts!$G$14:$I$349,3,FALSE),E109))</f>
        <v>46121</v>
      </c>
      <c r="F110" s="679"/>
      <c r="G110" s="680"/>
      <c r="H110" s="680"/>
      <c r="I110" s="680"/>
      <c r="J110" s="705"/>
      <c r="K110" s="679"/>
      <c r="L110" s="680"/>
      <c r="M110" s="680"/>
      <c r="N110" s="680"/>
      <c r="O110" s="705"/>
      <c r="P110" s="679"/>
      <c r="Q110" s="680"/>
      <c r="R110" s="680"/>
      <c r="S110" s="680"/>
      <c r="T110" s="705"/>
      <c r="U110" s="679"/>
      <c r="V110" s="680"/>
      <c r="W110" s="680"/>
      <c r="X110" s="680"/>
      <c r="Y110" s="705"/>
      <c r="Z110" s="679"/>
      <c r="AA110" s="680"/>
      <c r="AB110" s="680"/>
      <c r="AC110" s="680"/>
      <c r="AD110" s="705"/>
      <c r="AE110" s="679"/>
      <c r="AF110" s="680"/>
      <c r="AG110" s="680"/>
      <c r="AH110" s="680"/>
      <c r="AI110" s="705"/>
    </row>
    <row r="111" spans="2:35" ht="50.1" customHeight="1" x14ac:dyDescent="0.3">
      <c r="B111" s="673">
        <f ca="1">IF(HReal&gt;=MAX(B$6:$B110)+1,B110+1,"")</f>
        <v>106</v>
      </c>
      <c r="C111" s="674" t="str">
        <f t="shared" ca="1" si="5"/>
        <v>Vie</v>
      </c>
      <c r="D111" s="675">
        <f t="shared" ca="1" si="3"/>
        <v>46122</v>
      </c>
      <c r="E111" s="676">
        <f ca="1">IF(B111&gt;HReal,"",IFERROR(VLOOKUP(B111,Flts!$G$14:$I$349,3,FALSE),E110))</f>
        <v>46122</v>
      </c>
      <c r="F111" s="679"/>
      <c r="G111" s="680"/>
      <c r="H111" s="680"/>
      <c r="I111" s="680"/>
      <c r="J111" s="705"/>
      <c r="K111" s="679"/>
      <c r="L111" s="680"/>
      <c r="M111" s="680"/>
      <c r="N111" s="680"/>
      <c r="O111" s="705"/>
      <c r="P111" s="679"/>
      <c r="Q111" s="680"/>
      <c r="R111" s="680"/>
      <c r="S111" s="680"/>
      <c r="T111" s="705"/>
      <c r="U111" s="679"/>
      <c r="V111" s="680"/>
      <c r="W111" s="680"/>
      <c r="X111" s="680"/>
      <c r="Y111" s="705"/>
      <c r="Z111" s="679"/>
      <c r="AA111" s="680"/>
      <c r="AB111" s="680"/>
      <c r="AC111" s="680"/>
      <c r="AD111" s="705"/>
      <c r="AE111" s="679"/>
      <c r="AF111" s="680"/>
      <c r="AG111" s="680"/>
      <c r="AH111" s="680"/>
      <c r="AI111" s="705"/>
    </row>
    <row r="112" spans="2:35" ht="50.1" customHeight="1" x14ac:dyDescent="0.3">
      <c r="B112" s="673">
        <f ca="1">IF(HReal&gt;=MAX(B$6:$B111)+1,B111+1,"")</f>
        <v>107</v>
      </c>
      <c r="C112" s="674" t="str">
        <f t="shared" ca="1" si="5"/>
        <v>Lun</v>
      </c>
      <c r="D112" s="675">
        <f t="shared" ca="1" si="3"/>
        <v>46125</v>
      </c>
      <c r="E112" s="676">
        <f ca="1">IF(B112&gt;HReal,"",IFERROR(VLOOKUP(B112,Flts!$G$14:$I$349,3,FALSE),E111))</f>
        <v>46125</v>
      </c>
      <c r="F112" s="679"/>
      <c r="G112" s="680"/>
      <c r="H112" s="680"/>
      <c r="I112" s="680"/>
      <c r="J112" s="705"/>
      <c r="K112" s="679"/>
      <c r="L112" s="680"/>
      <c r="M112" s="680"/>
      <c r="N112" s="680"/>
      <c r="O112" s="705"/>
      <c r="P112" s="679"/>
      <c r="Q112" s="680"/>
      <c r="R112" s="680"/>
      <c r="S112" s="680"/>
      <c r="T112" s="705"/>
      <c r="U112" s="679"/>
      <c r="V112" s="680"/>
      <c r="W112" s="680"/>
      <c r="X112" s="680"/>
      <c r="Y112" s="705"/>
      <c r="Z112" s="679"/>
      <c r="AA112" s="680"/>
      <c r="AB112" s="680"/>
      <c r="AC112" s="680"/>
      <c r="AD112" s="705"/>
      <c r="AE112" s="679"/>
      <c r="AF112" s="680"/>
      <c r="AG112" s="680"/>
      <c r="AH112" s="680"/>
      <c r="AI112" s="705"/>
    </row>
    <row r="113" spans="2:35" ht="50.1" customHeight="1" x14ac:dyDescent="0.3">
      <c r="B113" s="673">
        <f ca="1">IF(HReal&gt;=MAX(B$6:$B112)+1,B112+1,"")</f>
        <v>108</v>
      </c>
      <c r="C113" s="674" t="str">
        <f t="shared" ca="1" si="5"/>
        <v>Mar</v>
      </c>
      <c r="D113" s="675">
        <f t="shared" ca="1" si="3"/>
        <v>46126</v>
      </c>
      <c r="E113" s="676">
        <f ca="1">IF(B113&gt;HReal,"",IFERROR(VLOOKUP(B113,Flts!$G$14:$I$349,3,FALSE),E112))</f>
        <v>46126</v>
      </c>
      <c r="F113" s="679"/>
      <c r="G113" s="680"/>
      <c r="H113" s="680"/>
      <c r="I113" s="680"/>
      <c r="J113" s="705"/>
      <c r="K113" s="679"/>
      <c r="L113" s="680"/>
      <c r="M113" s="680"/>
      <c r="N113" s="680"/>
      <c r="O113" s="705"/>
      <c r="P113" s="679"/>
      <c r="Q113" s="680"/>
      <c r="R113" s="680"/>
      <c r="S113" s="680"/>
      <c r="T113" s="705"/>
      <c r="U113" s="679"/>
      <c r="V113" s="680"/>
      <c r="W113" s="680"/>
      <c r="X113" s="680"/>
      <c r="Y113" s="705"/>
      <c r="Z113" s="679"/>
      <c r="AA113" s="680"/>
      <c r="AB113" s="680"/>
      <c r="AC113" s="680"/>
      <c r="AD113" s="705"/>
      <c r="AE113" s="679"/>
      <c r="AF113" s="680"/>
      <c r="AG113" s="680"/>
      <c r="AH113" s="680"/>
      <c r="AI113" s="705"/>
    </row>
    <row r="114" spans="2:35" ht="50.1" customHeight="1" x14ac:dyDescent="0.3">
      <c r="B114" s="673">
        <f ca="1">IF(HReal&gt;=MAX(B$6:$B113)+1,B113+1,"")</f>
        <v>109</v>
      </c>
      <c r="C114" s="674" t="str">
        <f t="shared" ca="1" si="5"/>
        <v>Mié</v>
      </c>
      <c r="D114" s="675">
        <f t="shared" ca="1" si="3"/>
        <v>46127</v>
      </c>
      <c r="E114" s="676">
        <f ca="1">IF(B114&gt;HReal,"",IFERROR(VLOOKUP(B114,Flts!$G$14:$I$349,3,FALSE),E113))</f>
        <v>46127</v>
      </c>
      <c r="F114" s="679"/>
      <c r="G114" s="680"/>
      <c r="H114" s="680"/>
      <c r="I114" s="680"/>
      <c r="J114" s="705"/>
      <c r="K114" s="679"/>
      <c r="L114" s="680"/>
      <c r="M114" s="680"/>
      <c r="N114" s="680"/>
      <c r="O114" s="705"/>
      <c r="P114" s="679"/>
      <c r="Q114" s="680"/>
      <c r="R114" s="680"/>
      <c r="S114" s="680"/>
      <c r="T114" s="705"/>
      <c r="U114" s="679"/>
      <c r="V114" s="680"/>
      <c r="W114" s="680"/>
      <c r="X114" s="680"/>
      <c r="Y114" s="705"/>
      <c r="Z114" s="679"/>
      <c r="AA114" s="680"/>
      <c r="AB114" s="680"/>
      <c r="AC114" s="680"/>
      <c r="AD114" s="705"/>
      <c r="AE114" s="679"/>
      <c r="AF114" s="680"/>
      <c r="AG114" s="680"/>
      <c r="AH114" s="680"/>
      <c r="AI114" s="705"/>
    </row>
    <row r="115" spans="2:35" ht="50.1" customHeight="1" x14ac:dyDescent="0.3">
      <c r="B115" s="673">
        <f ca="1">IF(HReal&gt;=MAX(B$6:$B114)+1,B114+1,"")</f>
        <v>110</v>
      </c>
      <c r="C115" s="674" t="str">
        <f t="shared" ca="1" si="5"/>
        <v>Jue</v>
      </c>
      <c r="D115" s="675">
        <f t="shared" ca="1" si="3"/>
        <v>46128</v>
      </c>
      <c r="E115" s="676">
        <f ca="1">IF(B115&gt;HReal,"",IFERROR(VLOOKUP(B115,Flts!$G$14:$I$349,3,FALSE),E114))</f>
        <v>46128</v>
      </c>
      <c r="F115" s="679"/>
      <c r="G115" s="680"/>
      <c r="H115" s="680"/>
      <c r="I115" s="680"/>
      <c r="J115" s="705"/>
      <c r="K115" s="679"/>
      <c r="L115" s="680"/>
      <c r="M115" s="680"/>
      <c r="N115" s="680"/>
      <c r="O115" s="705"/>
      <c r="P115" s="679"/>
      <c r="Q115" s="680"/>
      <c r="R115" s="680"/>
      <c r="S115" s="680"/>
      <c r="T115" s="705"/>
      <c r="U115" s="679"/>
      <c r="V115" s="680"/>
      <c r="W115" s="680"/>
      <c r="X115" s="680"/>
      <c r="Y115" s="705"/>
      <c r="Z115" s="679"/>
      <c r="AA115" s="680"/>
      <c r="AB115" s="680"/>
      <c r="AC115" s="680"/>
      <c r="AD115" s="705"/>
      <c r="AE115" s="679"/>
      <c r="AF115" s="680"/>
      <c r="AG115" s="680"/>
      <c r="AH115" s="680"/>
      <c r="AI115" s="705"/>
    </row>
    <row r="116" spans="2:35" ht="50.1" customHeight="1" x14ac:dyDescent="0.3">
      <c r="B116" s="673">
        <f ca="1">IF(HReal&gt;=MAX(B$6:$B115)+1,B115+1,"")</f>
        <v>111</v>
      </c>
      <c r="C116" s="674" t="str">
        <f t="shared" ca="1" si="5"/>
        <v>Vie</v>
      </c>
      <c r="D116" s="675">
        <f t="shared" ca="1" si="3"/>
        <v>46129</v>
      </c>
      <c r="E116" s="676">
        <f ca="1">IF(B116&gt;HReal,"",IFERROR(VLOOKUP(B116,Flts!$G$14:$I$349,3,FALSE),E115))</f>
        <v>46129</v>
      </c>
      <c r="F116" s="679"/>
      <c r="G116" s="680"/>
      <c r="H116" s="680"/>
      <c r="I116" s="680"/>
      <c r="J116" s="705"/>
      <c r="K116" s="679"/>
      <c r="L116" s="680"/>
      <c r="M116" s="680"/>
      <c r="N116" s="680"/>
      <c r="O116" s="705"/>
      <c r="P116" s="679"/>
      <c r="Q116" s="680"/>
      <c r="R116" s="680"/>
      <c r="S116" s="680"/>
      <c r="T116" s="705"/>
      <c r="U116" s="679"/>
      <c r="V116" s="680"/>
      <c r="W116" s="680"/>
      <c r="X116" s="680"/>
      <c r="Y116" s="705"/>
      <c r="Z116" s="679"/>
      <c r="AA116" s="680"/>
      <c r="AB116" s="680"/>
      <c r="AC116" s="680"/>
      <c r="AD116" s="705"/>
      <c r="AE116" s="679"/>
      <c r="AF116" s="680"/>
      <c r="AG116" s="680"/>
      <c r="AH116" s="680"/>
      <c r="AI116" s="705"/>
    </row>
    <row r="117" spans="2:35" ht="50.1" customHeight="1" x14ac:dyDescent="0.3">
      <c r="B117" s="673">
        <f ca="1">IF(HReal&gt;=MAX(B$6:$B116)+1,B116+1,"")</f>
        <v>112</v>
      </c>
      <c r="C117" s="674" t="str">
        <f t="shared" ca="1" si="5"/>
        <v>Lun</v>
      </c>
      <c r="D117" s="675">
        <f t="shared" ca="1" si="3"/>
        <v>46132</v>
      </c>
      <c r="E117" s="676">
        <f ca="1">IF(B117&gt;HReal,"",IFERROR(VLOOKUP(B117,Flts!$G$14:$I$349,3,FALSE),E116))</f>
        <v>46132</v>
      </c>
      <c r="F117" s="679"/>
      <c r="G117" s="680"/>
      <c r="H117" s="680"/>
      <c r="I117" s="680"/>
      <c r="J117" s="705"/>
      <c r="K117" s="679"/>
      <c r="L117" s="680"/>
      <c r="M117" s="680"/>
      <c r="N117" s="680"/>
      <c r="O117" s="705"/>
      <c r="P117" s="679"/>
      <c r="Q117" s="680"/>
      <c r="R117" s="680"/>
      <c r="S117" s="680"/>
      <c r="T117" s="705"/>
      <c r="U117" s="679"/>
      <c r="V117" s="680"/>
      <c r="W117" s="680"/>
      <c r="X117" s="680"/>
      <c r="Y117" s="705"/>
      <c r="Z117" s="679"/>
      <c r="AA117" s="680"/>
      <c r="AB117" s="680"/>
      <c r="AC117" s="680"/>
      <c r="AD117" s="705"/>
      <c r="AE117" s="679"/>
      <c r="AF117" s="680"/>
      <c r="AG117" s="680"/>
      <c r="AH117" s="680"/>
      <c r="AI117" s="705"/>
    </row>
    <row r="118" spans="2:35" ht="50.1" customHeight="1" x14ac:dyDescent="0.3">
      <c r="B118" s="673">
        <f ca="1">IF(HReal&gt;=MAX(B$6:$B117)+1,B117+1,"")</f>
        <v>113</v>
      </c>
      <c r="C118" s="674" t="str">
        <f t="shared" ca="1" si="5"/>
        <v>Mar</v>
      </c>
      <c r="D118" s="675">
        <f t="shared" ca="1" si="3"/>
        <v>46133</v>
      </c>
      <c r="E118" s="676">
        <f ca="1">IF(B118&gt;HReal,"",IFERROR(VLOOKUP(B118,Flts!$G$14:$I$349,3,FALSE),E117))</f>
        <v>46133</v>
      </c>
      <c r="F118" s="679"/>
      <c r="G118" s="680"/>
      <c r="H118" s="680"/>
      <c r="I118" s="680"/>
      <c r="J118" s="705"/>
      <c r="K118" s="679"/>
      <c r="L118" s="680"/>
      <c r="M118" s="680"/>
      <c r="N118" s="680"/>
      <c r="O118" s="705"/>
      <c r="P118" s="679"/>
      <c r="Q118" s="680"/>
      <c r="R118" s="680"/>
      <c r="S118" s="680"/>
      <c r="T118" s="705"/>
      <c r="U118" s="679"/>
      <c r="V118" s="680"/>
      <c r="W118" s="680"/>
      <c r="X118" s="680"/>
      <c r="Y118" s="705"/>
      <c r="Z118" s="679"/>
      <c r="AA118" s="680"/>
      <c r="AB118" s="680"/>
      <c r="AC118" s="680"/>
      <c r="AD118" s="705"/>
      <c r="AE118" s="679"/>
      <c r="AF118" s="680"/>
      <c r="AG118" s="680"/>
      <c r="AH118" s="680"/>
      <c r="AI118" s="705"/>
    </row>
    <row r="119" spans="2:35" ht="50.1" customHeight="1" x14ac:dyDescent="0.3">
      <c r="B119" s="673">
        <f ca="1">IF(HReal&gt;=MAX(B$6:$B118)+1,B118+1,"")</f>
        <v>114</v>
      </c>
      <c r="C119" s="674" t="str">
        <f t="shared" ca="1" si="5"/>
        <v>Mié</v>
      </c>
      <c r="D119" s="675">
        <f t="shared" ca="1" si="3"/>
        <v>46134</v>
      </c>
      <c r="E119" s="676">
        <f ca="1">IF(B119&gt;HReal,"",IFERROR(VLOOKUP(B119,Flts!$G$14:$I$349,3,FALSE),E118))</f>
        <v>46134</v>
      </c>
      <c r="F119" s="679"/>
      <c r="G119" s="680"/>
      <c r="H119" s="680"/>
      <c r="I119" s="680"/>
      <c r="J119" s="705"/>
      <c r="K119" s="679"/>
      <c r="L119" s="680"/>
      <c r="M119" s="680"/>
      <c r="N119" s="680"/>
      <c r="O119" s="705"/>
      <c r="P119" s="679"/>
      <c r="Q119" s="680"/>
      <c r="R119" s="680"/>
      <c r="S119" s="680"/>
      <c r="T119" s="705"/>
      <c r="U119" s="679"/>
      <c r="V119" s="680"/>
      <c r="W119" s="680"/>
      <c r="X119" s="680"/>
      <c r="Y119" s="705"/>
      <c r="Z119" s="679"/>
      <c r="AA119" s="680"/>
      <c r="AB119" s="680"/>
      <c r="AC119" s="680"/>
      <c r="AD119" s="705"/>
      <c r="AE119" s="679"/>
      <c r="AF119" s="680"/>
      <c r="AG119" s="680"/>
      <c r="AH119" s="680"/>
      <c r="AI119" s="705"/>
    </row>
    <row r="120" spans="2:35" ht="50.1" customHeight="1" x14ac:dyDescent="0.3">
      <c r="B120" s="673">
        <f ca="1">IF(HReal&gt;=MAX(B$6:$B119)+1,B119+1,"")</f>
        <v>115</v>
      </c>
      <c r="C120" s="674" t="str">
        <f t="shared" ca="1" si="5"/>
        <v>Lun</v>
      </c>
      <c r="D120" s="675">
        <f t="shared" ca="1" si="3"/>
        <v>46139</v>
      </c>
      <c r="E120" s="676">
        <f ca="1">IF(B120&gt;HReal,"",IFERROR(VLOOKUP(B120,Flts!$G$14:$I$349,3,FALSE),E119))</f>
        <v>46139</v>
      </c>
      <c r="F120" s="679"/>
      <c r="G120" s="680"/>
      <c r="H120" s="680"/>
      <c r="I120" s="680"/>
      <c r="J120" s="705"/>
      <c r="K120" s="679"/>
      <c r="L120" s="680"/>
      <c r="M120" s="680"/>
      <c r="N120" s="680"/>
      <c r="O120" s="705"/>
      <c r="P120" s="679"/>
      <c r="Q120" s="680"/>
      <c r="R120" s="680"/>
      <c r="S120" s="680"/>
      <c r="T120" s="705"/>
      <c r="U120" s="679"/>
      <c r="V120" s="680"/>
      <c r="W120" s="680"/>
      <c r="X120" s="680"/>
      <c r="Y120" s="705"/>
      <c r="Z120" s="679"/>
      <c r="AA120" s="680"/>
      <c r="AB120" s="680"/>
      <c r="AC120" s="680"/>
      <c r="AD120" s="705"/>
      <c r="AE120" s="679"/>
      <c r="AF120" s="680"/>
      <c r="AG120" s="680"/>
      <c r="AH120" s="680"/>
      <c r="AI120" s="705"/>
    </row>
    <row r="121" spans="2:35" ht="50.1" customHeight="1" x14ac:dyDescent="0.3">
      <c r="B121" s="673">
        <f ca="1">IF(HReal&gt;=MAX(B$6:$B120)+1,B120+1,"")</f>
        <v>116</v>
      </c>
      <c r="C121" s="674" t="str">
        <f t="shared" ca="1" si="5"/>
        <v>Mar</v>
      </c>
      <c r="D121" s="675">
        <f t="shared" ca="1" si="3"/>
        <v>46140</v>
      </c>
      <c r="E121" s="676">
        <f ca="1">IF(B121&gt;HReal,"",IFERROR(VLOOKUP(B121,Flts!$G$14:$I$349,3,FALSE),E120))</f>
        <v>46140</v>
      </c>
      <c r="F121" s="679"/>
      <c r="G121" s="680"/>
      <c r="H121" s="680"/>
      <c r="I121" s="680"/>
      <c r="J121" s="705"/>
      <c r="K121" s="679"/>
      <c r="L121" s="680"/>
      <c r="M121" s="680"/>
      <c r="N121" s="680"/>
      <c r="O121" s="705"/>
      <c r="P121" s="679"/>
      <c r="Q121" s="680"/>
      <c r="R121" s="680"/>
      <c r="S121" s="680"/>
      <c r="T121" s="705"/>
      <c r="U121" s="679"/>
      <c r="V121" s="680"/>
      <c r="W121" s="680"/>
      <c r="X121" s="680"/>
      <c r="Y121" s="705"/>
      <c r="Z121" s="679"/>
      <c r="AA121" s="680"/>
      <c r="AB121" s="680"/>
      <c r="AC121" s="680"/>
      <c r="AD121" s="705"/>
      <c r="AE121" s="679"/>
      <c r="AF121" s="680"/>
      <c r="AG121" s="680"/>
      <c r="AH121" s="680"/>
      <c r="AI121" s="705"/>
    </row>
    <row r="122" spans="2:35" ht="50.1" customHeight="1" x14ac:dyDescent="0.3">
      <c r="B122" s="673">
        <f ca="1">IF(HReal&gt;=MAX(B$6:$B121)+1,B121+1,"")</f>
        <v>117</v>
      </c>
      <c r="C122" s="674" t="str">
        <f t="shared" ca="1" si="5"/>
        <v>Mié</v>
      </c>
      <c r="D122" s="675">
        <f t="shared" ca="1" si="3"/>
        <v>46141</v>
      </c>
      <c r="E122" s="676">
        <f ca="1">IF(B122&gt;HReal,"",IFERROR(VLOOKUP(B122,Flts!$G$14:$I$349,3,FALSE),E121))</f>
        <v>46141</v>
      </c>
      <c r="F122" s="679"/>
      <c r="G122" s="680"/>
      <c r="H122" s="680"/>
      <c r="I122" s="680"/>
      <c r="J122" s="705"/>
      <c r="K122" s="679"/>
      <c r="L122" s="680"/>
      <c r="M122" s="680"/>
      <c r="N122" s="680"/>
      <c r="O122" s="705"/>
      <c r="P122" s="679"/>
      <c r="Q122" s="680"/>
      <c r="R122" s="680"/>
      <c r="S122" s="680"/>
      <c r="T122" s="705"/>
      <c r="U122" s="679"/>
      <c r="V122" s="680"/>
      <c r="W122" s="680"/>
      <c r="X122" s="680"/>
      <c r="Y122" s="705"/>
      <c r="Z122" s="679"/>
      <c r="AA122" s="680"/>
      <c r="AB122" s="680"/>
      <c r="AC122" s="680"/>
      <c r="AD122" s="705"/>
      <c r="AE122" s="679"/>
      <c r="AF122" s="680"/>
      <c r="AG122" s="680"/>
      <c r="AH122" s="680"/>
      <c r="AI122" s="705"/>
    </row>
    <row r="123" spans="2:35" ht="50.1" customHeight="1" x14ac:dyDescent="0.3">
      <c r="B123" s="673">
        <f ca="1">IF(HReal&gt;=MAX(B$6:$B122)+1,B122+1,"")</f>
        <v>118</v>
      </c>
      <c r="C123" s="674" t="str">
        <f t="shared" ca="1" si="5"/>
        <v>Jue</v>
      </c>
      <c r="D123" s="675">
        <f t="shared" ca="1" si="3"/>
        <v>46142</v>
      </c>
      <c r="E123" s="676">
        <f ca="1">IF(B123&gt;HReal,"",IFERROR(VLOOKUP(B123,Flts!$G$14:$I$349,3,FALSE),E122))</f>
        <v>46142</v>
      </c>
      <c r="F123" s="679"/>
      <c r="G123" s="680"/>
      <c r="H123" s="680"/>
      <c r="I123" s="680"/>
      <c r="J123" s="705"/>
      <c r="K123" s="679"/>
      <c r="L123" s="680"/>
      <c r="M123" s="680"/>
      <c r="N123" s="680"/>
      <c r="O123" s="705"/>
      <c r="P123" s="679"/>
      <c r="Q123" s="680"/>
      <c r="R123" s="680"/>
      <c r="S123" s="680"/>
      <c r="T123" s="705"/>
      <c r="U123" s="679"/>
      <c r="V123" s="680"/>
      <c r="W123" s="680"/>
      <c r="X123" s="680"/>
      <c r="Y123" s="705"/>
      <c r="Z123" s="679"/>
      <c r="AA123" s="680"/>
      <c r="AB123" s="680"/>
      <c r="AC123" s="680"/>
      <c r="AD123" s="705"/>
      <c r="AE123" s="679"/>
      <c r="AF123" s="680"/>
      <c r="AG123" s="680"/>
      <c r="AH123" s="680"/>
      <c r="AI123" s="705"/>
    </row>
    <row r="124" spans="2:35" ht="50.1" customHeight="1" x14ac:dyDescent="0.3">
      <c r="B124" s="673">
        <f ca="1">IF(HReal&gt;=MAX(B$6:$B123)+1,B123+1,"")</f>
        <v>119</v>
      </c>
      <c r="C124" s="674" t="str">
        <f t="shared" ca="1" si="5"/>
        <v>Lun</v>
      </c>
      <c r="D124" s="675">
        <f t="shared" ca="1" si="3"/>
        <v>46146</v>
      </c>
      <c r="E124" s="676">
        <f ca="1">IF(B124&gt;HReal,"",IFERROR(VLOOKUP(B124,Flts!$G$14:$I$349,3,FALSE),E123))</f>
        <v>46146</v>
      </c>
      <c r="F124" s="679"/>
      <c r="G124" s="680"/>
      <c r="H124" s="680"/>
      <c r="I124" s="680"/>
      <c r="J124" s="705"/>
      <c r="K124" s="679"/>
      <c r="L124" s="680"/>
      <c r="M124" s="680"/>
      <c r="N124" s="680"/>
      <c r="O124" s="705"/>
      <c r="P124" s="679"/>
      <c r="Q124" s="680"/>
      <c r="R124" s="680"/>
      <c r="S124" s="680"/>
      <c r="T124" s="705"/>
      <c r="U124" s="679"/>
      <c r="V124" s="680"/>
      <c r="W124" s="680"/>
      <c r="X124" s="680"/>
      <c r="Y124" s="705"/>
      <c r="Z124" s="679"/>
      <c r="AA124" s="680"/>
      <c r="AB124" s="680"/>
      <c r="AC124" s="680"/>
      <c r="AD124" s="705"/>
      <c r="AE124" s="679"/>
      <c r="AF124" s="680"/>
      <c r="AG124" s="680"/>
      <c r="AH124" s="680"/>
      <c r="AI124" s="705"/>
    </row>
    <row r="125" spans="2:35" ht="50.1" customHeight="1" x14ac:dyDescent="0.3">
      <c r="B125" s="673">
        <f ca="1">IF(HReal&gt;=MAX(B$6:$B124)+1,B124+1,"")</f>
        <v>120</v>
      </c>
      <c r="C125" s="674" t="str">
        <f t="shared" ca="1" si="5"/>
        <v>Mar</v>
      </c>
      <c r="D125" s="675">
        <f t="shared" ca="1" si="3"/>
        <v>46147</v>
      </c>
      <c r="E125" s="676">
        <f ca="1">IF(B125&gt;HReal,"",IFERROR(VLOOKUP(B125,Flts!$G$14:$I$349,3,FALSE),E124))</f>
        <v>46147</v>
      </c>
      <c r="F125" s="679"/>
      <c r="G125" s="680"/>
      <c r="H125" s="680"/>
      <c r="I125" s="680"/>
      <c r="J125" s="705"/>
      <c r="K125" s="679"/>
      <c r="L125" s="680"/>
      <c r="M125" s="680"/>
      <c r="N125" s="680"/>
      <c r="O125" s="705"/>
      <c r="P125" s="679"/>
      <c r="Q125" s="680"/>
      <c r="R125" s="680"/>
      <c r="S125" s="680"/>
      <c r="T125" s="705"/>
      <c r="U125" s="679"/>
      <c r="V125" s="680"/>
      <c r="W125" s="680"/>
      <c r="X125" s="680"/>
      <c r="Y125" s="705"/>
      <c r="Z125" s="679"/>
      <c r="AA125" s="680"/>
      <c r="AB125" s="680"/>
      <c r="AC125" s="680"/>
      <c r="AD125" s="705"/>
      <c r="AE125" s="679"/>
      <c r="AF125" s="680"/>
      <c r="AG125" s="680"/>
      <c r="AH125" s="680"/>
      <c r="AI125" s="705"/>
    </row>
    <row r="126" spans="2:35" ht="50.1" customHeight="1" x14ac:dyDescent="0.3">
      <c r="B126" s="673">
        <f ca="1">IF(HReal&gt;=MAX(B$6:$B125)+1,B125+1,"")</f>
        <v>121</v>
      </c>
      <c r="C126" s="674" t="str">
        <f t="shared" ca="1" si="5"/>
        <v>Mié</v>
      </c>
      <c r="D126" s="675">
        <f t="shared" ca="1" si="3"/>
        <v>46148</v>
      </c>
      <c r="E126" s="676">
        <f ca="1">IF(B126&gt;HReal,"",IFERROR(VLOOKUP(B126,Flts!$G$14:$I$349,3,FALSE),E125))</f>
        <v>46148</v>
      </c>
      <c r="F126" s="679"/>
      <c r="G126" s="680"/>
      <c r="H126" s="680"/>
      <c r="I126" s="680"/>
      <c r="J126" s="705"/>
      <c r="K126" s="679"/>
      <c r="L126" s="680"/>
      <c r="M126" s="680"/>
      <c r="N126" s="680"/>
      <c r="O126" s="705"/>
      <c r="P126" s="679"/>
      <c r="Q126" s="680"/>
      <c r="R126" s="680"/>
      <c r="S126" s="680"/>
      <c r="T126" s="705"/>
      <c r="U126" s="679"/>
      <c r="V126" s="680"/>
      <c r="W126" s="680"/>
      <c r="X126" s="680"/>
      <c r="Y126" s="705"/>
      <c r="Z126" s="679"/>
      <c r="AA126" s="680"/>
      <c r="AB126" s="680"/>
      <c r="AC126" s="680"/>
      <c r="AD126" s="705"/>
      <c r="AE126" s="679"/>
      <c r="AF126" s="680"/>
      <c r="AG126" s="680"/>
      <c r="AH126" s="680"/>
      <c r="AI126" s="705"/>
    </row>
    <row r="127" spans="2:35" ht="50.1" customHeight="1" x14ac:dyDescent="0.3">
      <c r="B127" s="673">
        <f ca="1">IF(HReal&gt;=MAX(B$6:$B126)+1,B126+1,"")</f>
        <v>122</v>
      </c>
      <c r="C127" s="674" t="str">
        <f t="shared" ca="1" si="5"/>
        <v>Jue</v>
      </c>
      <c r="D127" s="675">
        <f t="shared" ca="1" si="3"/>
        <v>46149</v>
      </c>
      <c r="E127" s="676">
        <f ca="1">IF(B127&gt;HReal,"",IFERROR(VLOOKUP(B127,Flts!$G$14:$I$349,3,FALSE),E126))</f>
        <v>46149</v>
      </c>
      <c r="F127" s="679"/>
      <c r="G127" s="680"/>
      <c r="H127" s="680"/>
      <c r="I127" s="680"/>
      <c r="J127" s="705"/>
      <c r="K127" s="679"/>
      <c r="L127" s="680"/>
      <c r="M127" s="680"/>
      <c r="N127" s="680"/>
      <c r="O127" s="705"/>
      <c r="P127" s="679"/>
      <c r="Q127" s="680"/>
      <c r="R127" s="680"/>
      <c r="S127" s="680"/>
      <c r="T127" s="705"/>
      <c r="U127" s="679"/>
      <c r="V127" s="680"/>
      <c r="W127" s="680"/>
      <c r="X127" s="680"/>
      <c r="Y127" s="705"/>
      <c r="Z127" s="679"/>
      <c r="AA127" s="680"/>
      <c r="AB127" s="680"/>
      <c r="AC127" s="680"/>
      <c r="AD127" s="705"/>
      <c r="AE127" s="679"/>
      <c r="AF127" s="680"/>
      <c r="AG127" s="680"/>
      <c r="AH127" s="680"/>
      <c r="AI127" s="705"/>
    </row>
    <row r="128" spans="2:35" ht="50.1" customHeight="1" x14ac:dyDescent="0.3">
      <c r="B128" s="673">
        <f ca="1">IF(HReal&gt;=MAX(B$6:$B127)+1,B127+1,"")</f>
        <v>123</v>
      </c>
      <c r="C128" s="674" t="str">
        <f t="shared" ca="1" si="5"/>
        <v>Vie</v>
      </c>
      <c r="D128" s="675">
        <f t="shared" ca="1" si="3"/>
        <v>46150</v>
      </c>
      <c r="E128" s="676">
        <f ca="1">IF(B128&gt;HReal,"",IFERROR(VLOOKUP(B128,Flts!$G$14:$I$349,3,FALSE),E127))</f>
        <v>46150</v>
      </c>
      <c r="F128" s="679"/>
      <c r="G128" s="680"/>
      <c r="H128" s="680"/>
      <c r="I128" s="680"/>
      <c r="J128" s="705"/>
      <c r="K128" s="679"/>
      <c r="L128" s="680"/>
      <c r="M128" s="680"/>
      <c r="N128" s="680"/>
      <c r="O128" s="705"/>
      <c r="P128" s="679"/>
      <c r="Q128" s="680"/>
      <c r="R128" s="680"/>
      <c r="S128" s="680"/>
      <c r="T128" s="705"/>
      <c r="U128" s="679"/>
      <c r="V128" s="680"/>
      <c r="W128" s="680"/>
      <c r="X128" s="680"/>
      <c r="Y128" s="705"/>
      <c r="Z128" s="679"/>
      <c r="AA128" s="680"/>
      <c r="AB128" s="680"/>
      <c r="AC128" s="680"/>
      <c r="AD128" s="705"/>
      <c r="AE128" s="679"/>
      <c r="AF128" s="680"/>
      <c r="AG128" s="680"/>
      <c r="AH128" s="680"/>
      <c r="AI128" s="705"/>
    </row>
    <row r="129" spans="2:35" ht="50.1" customHeight="1" x14ac:dyDescent="0.3">
      <c r="B129" s="673">
        <f ca="1">IF(HReal&gt;=MAX(B$6:$B128)+1,B128+1,"")</f>
        <v>124</v>
      </c>
      <c r="C129" s="674" t="str">
        <f t="shared" ca="1" si="5"/>
        <v>Lun</v>
      </c>
      <c r="D129" s="675">
        <f t="shared" ca="1" si="3"/>
        <v>46153</v>
      </c>
      <c r="E129" s="676">
        <f ca="1">IF(B129&gt;HReal,"",IFERROR(VLOOKUP(B129,Flts!$G$14:$I$349,3,FALSE),E128))</f>
        <v>46153</v>
      </c>
      <c r="F129" s="679"/>
      <c r="G129" s="680"/>
      <c r="H129" s="680"/>
      <c r="I129" s="680"/>
      <c r="J129" s="705"/>
      <c r="K129" s="679"/>
      <c r="L129" s="680"/>
      <c r="M129" s="680"/>
      <c r="N129" s="680"/>
      <c r="O129" s="705"/>
      <c r="P129" s="679"/>
      <c r="Q129" s="680"/>
      <c r="R129" s="680"/>
      <c r="S129" s="680"/>
      <c r="T129" s="705"/>
      <c r="U129" s="679"/>
      <c r="V129" s="680"/>
      <c r="W129" s="680"/>
      <c r="X129" s="680"/>
      <c r="Y129" s="705"/>
      <c r="Z129" s="679"/>
      <c r="AA129" s="680"/>
      <c r="AB129" s="680"/>
      <c r="AC129" s="680"/>
      <c r="AD129" s="705"/>
      <c r="AE129" s="679"/>
      <c r="AF129" s="680"/>
      <c r="AG129" s="680"/>
      <c r="AH129" s="680"/>
      <c r="AI129" s="705"/>
    </row>
    <row r="130" spans="2:35" ht="50.1" customHeight="1" x14ac:dyDescent="0.3">
      <c r="B130" s="673">
        <f ca="1">IF(HReal&gt;=MAX(B$6:$B129)+1,B129+1,"")</f>
        <v>125</v>
      </c>
      <c r="C130" s="674" t="str">
        <f t="shared" ca="1" si="5"/>
        <v>Mar</v>
      </c>
      <c r="D130" s="675">
        <f t="shared" ca="1" si="3"/>
        <v>46154</v>
      </c>
      <c r="E130" s="676">
        <f ca="1">IF(B130&gt;HReal,"",IFERROR(VLOOKUP(B130,Flts!$G$14:$I$349,3,FALSE),E129))</f>
        <v>46154</v>
      </c>
      <c r="F130" s="679"/>
      <c r="G130" s="680"/>
      <c r="H130" s="680"/>
      <c r="I130" s="680"/>
      <c r="J130" s="705"/>
      <c r="K130" s="679"/>
      <c r="L130" s="680"/>
      <c r="M130" s="680"/>
      <c r="N130" s="680"/>
      <c r="O130" s="705"/>
      <c r="P130" s="679"/>
      <c r="Q130" s="680"/>
      <c r="R130" s="680"/>
      <c r="S130" s="680"/>
      <c r="T130" s="705"/>
      <c r="U130" s="679"/>
      <c r="V130" s="680"/>
      <c r="W130" s="680"/>
      <c r="X130" s="680"/>
      <c r="Y130" s="705"/>
      <c r="Z130" s="679"/>
      <c r="AA130" s="680"/>
      <c r="AB130" s="680"/>
      <c r="AC130" s="680"/>
      <c r="AD130" s="705"/>
      <c r="AE130" s="679"/>
      <c r="AF130" s="680"/>
      <c r="AG130" s="680"/>
      <c r="AH130" s="680"/>
      <c r="AI130" s="705"/>
    </row>
    <row r="131" spans="2:35" ht="50.1" customHeight="1" x14ac:dyDescent="0.3">
      <c r="B131" s="673">
        <f ca="1">IF(HReal&gt;=MAX(B$6:$B130)+1,B130+1,"")</f>
        <v>126</v>
      </c>
      <c r="C131" s="674" t="str">
        <f t="shared" ca="1" si="5"/>
        <v>Mié</v>
      </c>
      <c r="D131" s="675">
        <f t="shared" ca="1" si="3"/>
        <v>46155</v>
      </c>
      <c r="E131" s="676">
        <f ca="1">IF(B131&gt;HReal,"",IFERROR(VLOOKUP(B131,Flts!$G$14:$I$349,3,FALSE),E130))</f>
        <v>46155</v>
      </c>
      <c r="F131" s="679"/>
      <c r="G131" s="680"/>
      <c r="H131" s="680"/>
      <c r="I131" s="680"/>
      <c r="J131" s="705"/>
      <c r="K131" s="679"/>
      <c r="L131" s="680"/>
      <c r="M131" s="680"/>
      <c r="N131" s="680"/>
      <c r="O131" s="705"/>
      <c r="P131" s="679"/>
      <c r="Q131" s="680"/>
      <c r="R131" s="680"/>
      <c r="S131" s="680"/>
      <c r="T131" s="705"/>
      <c r="U131" s="679"/>
      <c r="V131" s="680"/>
      <c r="W131" s="680"/>
      <c r="X131" s="680"/>
      <c r="Y131" s="705"/>
      <c r="Z131" s="679"/>
      <c r="AA131" s="680"/>
      <c r="AB131" s="680"/>
      <c r="AC131" s="680"/>
      <c r="AD131" s="705"/>
      <c r="AE131" s="679"/>
      <c r="AF131" s="680"/>
      <c r="AG131" s="680"/>
      <c r="AH131" s="680"/>
      <c r="AI131" s="705"/>
    </row>
    <row r="132" spans="2:35" ht="50.1" customHeight="1" x14ac:dyDescent="0.3">
      <c r="B132" s="673">
        <f ca="1">IF(HReal&gt;=MAX(B$6:$B131)+1,B131+1,"")</f>
        <v>127</v>
      </c>
      <c r="C132" s="674" t="str">
        <f t="shared" ca="1" si="5"/>
        <v>Jue</v>
      </c>
      <c r="D132" s="675">
        <f t="shared" ca="1" si="3"/>
        <v>46156</v>
      </c>
      <c r="E132" s="676">
        <f ca="1">IF(B132&gt;HReal,"",IFERROR(VLOOKUP(B132,Flts!$G$14:$I$349,3,FALSE),E131))</f>
        <v>46156</v>
      </c>
      <c r="F132" s="679"/>
      <c r="G132" s="680"/>
      <c r="H132" s="680"/>
      <c r="I132" s="680"/>
      <c r="J132" s="705"/>
      <c r="K132" s="679"/>
      <c r="L132" s="680"/>
      <c r="M132" s="680"/>
      <c r="N132" s="680"/>
      <c r="O132" s="705"/>
      <c r="P132" s="679"/>
      <c r="Q132" s="680"/>
      <c r="R132" s="680"/>
      <c r="S132" s="680"/>
      <c r="T132" s="705"/>
      <c r="U132" s="679"/>
      <c r="V132" s="680"/>
      <c r="W132" s="680"/>
      <c r="X132" s="680"/>
      <c r="Y132" s="705"/>
      <c r="Z132" s="679"/>
      <c r="AA132" s="680"/>
      <c r="AB132" s="680"/>
      <c r="AC132" s="680"/>
      <c r="AD132" s="705"/>
      <c r="AE132" s="679"/>
      <c r="AF132" s="680"/>
      <c r="AG132" s="680"/>
      <c r="AH132" s="680"/>
      <c r="AI132" s="705"/>
    </row>
    <row r="133" spans="2:35" ht="50.1" customHeight="1" x14ac:dyDescent="0.3">
      <c r="B133" s="673">
        <f ca="1">IF(HReal&gt;=MAX(B$6:$B132)+1,B132+1,"")</f>
        <v>128</v>
      </c>
      <c r="C133" s="674" t="str">
        <f t="shared" ca="1" si="5"/>
        <v>Vie</v>
      </c>
      <c r="D133" s="675">
        <f t="shared" ca="1" si="3"/>
        <v>46157</v>
      </c>
      <c r="E133" s="676">
        <f ca="1">IF(B133&gt;HReal,"",IFERROR(VLOOKUP(B133,Flts!$G$14:$I$349,3,FALSE),E132))</f>
        <v>46157</v>
      </c>
      <c r="F133" s="679"/>
      <c r="G133" s="680"/>
      <c r="H133" s="680"/>
      <c r="I133" s="680"/>
      <c r="J133" s="705"/>
      <c r="K133" s="679"/>
      <c r="L133" s="680"/>
      <c r="M133" s="680"/>
      <c r="N133" s="680"/>
      <c r="O133" s="705"/>
      <c r="P133" s="679"/>
      <c r="Q133" s="680"/>
      <c r="R133" s="680"/>
      <c r="S133" s="680"/>
      <c r="T133" s="705"/>
      <c r="U133" s="679"/>
      <c r="V133" s="680"/>
      <c r="W133" s="680"/>
      <c r="X133" s="680"/>
      <c r="Y133" s="705"/>
      <c r="Z133" s="679"/>
      <c r="AA133" s="680"/>
      <c r="AB133" s="680"/>
      <c r="AC133" s="680"/>
      <c r="AD133" s="705"/>
      <c r="AE133" s="679"/>
      <c r="AF133" s="680"/>
      <c r="AG133" s="680"/>
      <c r="AH133" s="680"/>
      <c r="AI133" s="705"/>
    </row>
    <row r="134" spans="2:35" ht="50.1" customHeight="1" x14ac:dyDescent="0.3">
      <c r="B134" s="673">
        <f ca="1">IF(HReal&gt;=MAX(B$6:$B133)+1,B133+1,"")</f>
        <v>129</v>
      </c>
      <c r="C134" s="674" t="str">
        <f t="shared" ca="1" si="5"/>
        <v>Lun</v>
      </c>
      <c r="D134" s="675">
        <f t="shared" ref="D134:D194" ca="1" si="6">E134</f>
        <v>46160</v>
      </c>
      <c r="E134" s="676">
        <f ca="1">IF(B134&gt;HReal,"",IFERROR(VLOOKUP(B134,Flts!$G$14:$I$349,3,FALSE),E133))</f>
        <v>46160</v>
      </c>
      <c r="F134" s="679"/>
      <c r="G134" s="680"/>
      <c r="H134" s="680"/>
      <c r="I134" s="680"/>
      <c r="J134" s="705"/>
      <c r="K134" s="679"/>
      <c r="L134" s="680"/>
      <c r="M134" s="680"/>
      <c r="N134" s="680"/>
      <c r="O134" s="705"/>
      <c r="P134" s="679"/>
      <c r="Q134" s="680"/>
      <c r="R134" s="680"/>
      <c r="S134" s="680"/>
      <c r="T134" s="705"/>
      <c r="U134" s="679"/>
      <c r="V134" s="680"/>
      <c r="W134" s="680"/>
      <c r="X134" s="680"/>
      <c r="Y134" s="705"/>
      <c r="Z134" s="679"/>
      <c r="AA134" s="680"/>
      <c r="AB134" s="680"/>
      <c r="AC134" s="680"/>
      <c r="AD134" s="705"/>
      <c r="AE134" s="679"/>
      <c r="AF134" s="680"/>
      <c r="AG134" s="680"/>
      <c r="AH134" s="680"/>
      <c r="AI134" s="705"/>
    </row>
    <row r="135" spans="2:35" ht="50.1" customHeight="1" x14ac:dyDescent="0.3">
      <c r="B135" s="673">
        <f ca="1">IF(HReal&gt;=MAX(B$6:$B134)+1,B134+1,"")</f>
        <v>130</v>
      </c>
      <c r="C135" s="674" t="str">
        <f t="shared" ref="C135:C195" ca="1" si="7">IF(AND(B135&lt;HReal,E134&lt;&gt;E135),IFERROR(MID(Vdias,(WEEKDAY(E135,2)-1)*3+1,3),C134),"")</f>
        <v>Mar</v>
      </c>
      <c r="D135" s="675">
        <f t="shared" ca="1" si="6"/>
        <v>46161</v>
      </c>
      <c r="E135" s="676">
        <f ca="1">IF(B135&gt;HReal,"",IFERROR(VLOOKUP(B135,Flts!$G$14:$I$349,3,FALSE),E134))</f>
        <v>46161</v>
      </c>
      <c r="F135" s="679"/>
      <c r="G135" s="680"/>
      <c r="H135" s="680"/>
      <c r="I135" s="680"/>
      <c r="J135" s="705"/>
      <c r="K135" s="679"/>
      <c r="L135" s="680"/>
      <c r="M135" s="680"/>
      <c r="N135" s="680"/>
      <c r="O135" s="705"/>
      <c r="P135" s="679"/>
      <c r="Q135" s="680"/>
      <c r="R135" s="680"/>
      <c r="S135" s="680"/>
      <c r="T135" s="705"/>
      <c r="U135" s="679"/>
      <c r="V135" s="680"/>
      <c r="W135" s="680"/>
      <c r="X135" s="680"/>
      <c r="Y135" s="705"/>
      <c r="Z135" s="679"/>
      <c r="AA135" s="680"/>
      <c r="AB135" s="680"/>
      <c r="AC135" s="680"/>
      <c r="AD135" s="705"/>
      <c r="AE135" s="679"/>
      <c r="AF135" s="680"/>
      <c r="AG135" s="680"/>
      <c r="AH135" s="680"/>
      <c r="AI135" s="705"/>
    </row>
    <row r="136" spans="2:35" ht="50.1" customHeight="1" x14ac:dyDescent="0.3">
      <c r="B136" s="673">
        <f ca="1">IF(HReal&gt;=MAX(B$6:$B135)+1,B135+1,"")</f>
        <v>131</v>
      </c>
      <c r="C136" s="674" t="str">
        <f t="shared" ca="1" si="7"/>
        <v>Mié</v>
      </c>
      <c r="D136" s="675">
        <f t="shared" ca="1" si="6"/>
        <v>46162</v>
      </c>
      <c r="E136" s="676">
        <f ca="1">IF(B136&gt;HReal,"",IFERROR(VLOOKUP(B136,Flts!$G$14:$I$349,3,FALSE),E135))</f>
        <v>46162</v>
      </c>
      <c r="F136" s="679"/>
      <c r="G136" s="680"/>
      <c r="H136" s="680"/>
      <c r="I136" s="680"/>
      <c r="J136" s="705"/>
      <c r="K136" s="679"/>
      <c r="L136" s="680"/>
      <c r="M136" s="680"/>
      <c r="N136" s="680"/>
      <c r="O136" s="705"/>
      <c r="P136" s="679"/>
      <c r="Q136" s="680"/>
      <c r="R136" s="680"/>
      <c r="S136" s="680"/>
      <c r="T136" s="705"/>
      <c r="U136" s="679"/>
      <c r="V136" s="680"/>
      <c r="W136" s="680"/>
      <c r="X136" s="680"/>
      <c r="Y136" s="705"/>
      <c r="Z136" s="679"/>
      <c r="AA136" s="680"/>
      <c r="AB136" s="680"/>
      <c r="AC136" s="680"/>
      <c r="AD136" s="705"/>
      <c r="AE136" s="679"/>
      <c r="AF136" s="680"/>
      <c r="AG136" s="680"/>
      <c r="AH136" s="680"/>
      <c r="AI136" s="705"/>
    </row>
    <row r="137" spans="2:35" ht="50.1" customHeight="1" x14ac:dyDescent="0.3">
      <c r="B137" s="673">
        <f ca="1">IF(HReal&gt;=MAX(B$6:$B136)+1,B136+1,"")</f>
        <v>132</v>
      </c>
      <c r="C137" s="674" t="str">
        <f t="shared" ca="1" si="7"/>
        <v>Jue</v>
      </c>
      <c r="D137" s="675">
        <f t="shared" ca="1" si="6"/>
        <v>46163</v>
      </c>
      <c r="E137" s="676">
        <f ca="1">IF(B137&gt;HReal,"",IFERROR(VLOOKUP(B137,Flts!$G$14:$I$349,3,FALSE),E136))</f>
        <v>46163</v>
      </c>
      <c r="F137" s="679"/>
      <c r="G137" s="680"/>
      <c r="H137" s="680"/>
      <c r="I137" s="680"/>
      <c r="J137" s="705"/>
      <c r="K137" s="679"/>
      <c r="L137" s="680"/>
      <c r="M137" s="680"/>
      <c r="N137" s="680"/>
      <c r="O137" s="705"/>
      <c r="P137" s="679"/>
      <c r="Q137" s="680"/>
      <c r="R137" s="680"/>
      <c r="S137" s="680"/>
      <c r="T137" s="705"/>
      <c r="U137" s="679"/>
      <c r="V137" s="680"/>
      <c r="W137" s="680"/>
      <c r="X137" s="680"/>
      <c r="Y137" s="705"/>
      <c r="Z137" s="679"/>
      <c r="AA137" s="680"/>
      <c r="AB137" s="680"/>
      <c r="AC137" s="680"/>
      <c r="AD137" s="705"/>
      <c r="AE137" s="679"/>
      <c r="AF137" s="680"/>
      <c r="AG137" s="680"/>
      <c r="AH137" s="680"/>
      <c r="AI137" s="705"/>
    </row>
    <row r="138" spans="2:35" ht="50.1" customHeight="1" x14ac:dyDescent="0.3">
      <c r="B138" s="673">
        <f ca="1">IF(HReal&gt;=MAX(B$6:$B137)+1,B137+1,"")</f>
        <v>133</v>
      </c>
      <c r="C138" s="674" t="str">
        <f t="shared" ca="1" si="7"/>
        <v>Vie</v>
      </c>
      <c r="D138" s="675">
        <f t="shared" ca="1" si="6"/>
        <v>46164</v>
      </c>
      <c r="E138" s="676">
        <f ca="1">IF(B138&gt;HReal,"",IFERROR(VLOOKUP(B138,Flts!$G$14:$I$349,3,FALSE),E137))</f>
        <v>46164</v>
      </c>
      <c r="F138" s="679"/>
      <c r="G138" s="680"/>
      <c r="H138" s="680"/>
      <c r="I138" s="680"/>
      <c r="J138" s="705"/>
      <c r="K138" s="679"/>
      <c r="L138" s="680"/>
      <c r="M138" s="680"/>
      <c r="N138" s="680"/>
      <c r="O138" s="705"/>
      <c r="P138" s="679"/>
      <c r="Q138" s="680"/>
      <c r="R138" s="680"/>
      <c r="S138" s="680"/>
      <c r="T138" s="705"/>
      <c r="U138" s="679"/>
      <c r="V138" s="680"/>
      <c r="W138" s="680"/>
      <c r="X138" s="680"/>
      <c r="Y138" s="705"/>
      <c r="Z138" s="679"/>
      <c r="AA138" s="680"/>
      <c r="AB138" s="680"/>
      <c r="AC138" s="680"/>
      <c r="AD138" s="705"/>
      <c r="AE138" s="679"/>
      <c r="AF138" s="680"/>
      <c r="AG138" s="680"/>
      <c r="AH138" s="680"/>
      <c r="AI138" s="705"/>
    </row>
    <row r="139" spans="2:35" ht="50.1" customHeight="1" x14ac:dyDescent="0.3">
      <c r="B139" s="673">
        <f ca="1">IF(HReal&gt;=MAX(B$6:$B138)+1,B138+1,"")</f>
        <v>134</v>
      </c>
      <c r="C139" s="674" t="str">
        <f t="shared" ca="1" si="7"/>
        <v>Lun</v>
      </c>
      <c r="D139" s="675">
        <f t="shared" ca="1" si="6"/>
        <v>46167</v>
      </c>
      <c r="E139" s="676">
        <f ca="1">IF(B139&gt;HReal,"",IFERROR(VLOOKUP(B139,Flts!$G$14:$I$349,3,FALSE),E138))</f>
        <v>46167</v>
      </c>
      <c r="F139" s="679"/>
      <c r="G139" s="680"/>
      <c r="H139" s="680"/>
      <c r="I139" s="680"/>
      <c r="J139" s="705"/>
      <c r="K139" s="679"/>
      <c r="L139" s="680"/>
      <c r="M139" s="680"/>
      <c r="N139" s="680"/>
      <c r="O139" s="705"/>
      <c r="P139" s="679"/>
      <c r="Q139" s="680"/>
      <c r="R139" s="680"/>
      <c r="S139" s="680"/>
      <c r="T139" s="705"/>
      <c r="U139" s="679"/>
      <c r="V139" s="680"/>
      <c r="W139" s="680"/>
      <c r="X139" s="680"/>
      <c r="Y139" s="705"/>
      <c r="Z139" s="679"/>
      <c r="AA139" s="680"/>
      <c r="AB139" s="680"/>
      <c r="AC139" s="680"/>
      <c r="AD139" s="705"/>
      <c r="AE139" s="679"/>
      <c r="AF139" s="680"/>
      <c r="AG139" s="680"/>
      <c r="AH139" s="680"/>
      <c r="AI139" s="705"/>
    </row>
    <row r="140" spans="2:35" ht="50.1" customHeight="1" x14ac:dyDescent="0.3">
      <c r="B140" s="673">
        <f ca="1">IF(HReal&gt;=MAX(B$6:$B139)+1,B139+1,"")</f>
        <v>135</v>
      </c>
      <c r="C140" s="674" t="str">
        <f t="shared" ca="1" si="7"/>
        <v>Mar</v>
      </c>
      <c r="D140" s="675">
        <f t="shared" ca="1" si="6"/>
        <v>46168</v>
      </c>
      <c r="E140" s="676">
        <f ca="1">IF(B140&gt;HReal,"",IFERROR(VLOOKUP(B140,Flts!$G$14:$I$349,3,FALSE),E139))</f>
        <v>46168</v>
      </c>
      <c r="F140" s="679"/>
      <c r="G140" s="680"/>
      <c r="H140" s="680"/>
      <c r="I140" s="680"/>
      <c r="J140" s="705"/>
      <c r="K140" s="679"/>
      <c r="L140" s="680"/>
      <c r="M140" s="680"/>
      <c r="N140" s="680"/>
      <c r="O140" s="705"/>
      <c r="P140" s="679"/>
      <c r="Q140" s="680"/>
      <c r="R140" s="680"/>
      <c r="S140" s="680"/>
      <c r="T140" s="705"/>
      <c r="U140" s="679"/>
      <c r="V140" s="680"/>
      <c r="W140" s="680"/>
      <c r="X140" s="680"/>
      <c r="Y140" s="705"/>
      <c r="Z140" s="679"/>
      <c r="AA140" s="680"/>
      <c r="AB140" s="680"/>
      <c r="AC140" s="680"/>
      <c r="AD140" s="705"/>
      <c r="AE140" s="679"/>
      <c r="AF140" s="680"/>
      <c r="AG140" s="680"/>
      <c r="AH140" s="680"/>
      <c r="AI140" s="705"/>
    </row>
    <row r="141" spans="2:35" ht="50.1" customHeight="1" x14ac:dyDescent="0.3">
      <c r="B141" s="673">
        <f ca="1">IF(HReal&gt;=MAX(B$6:$B140)+1,B140+1,"")</f>
        <v>136</v>
      </c>
      <c r="C141" s="674" t="str">
        <f t="shared" ca="1" si="7"/>
        <v>Mié</v>
      </c>
      <c r="D141" s="675">
        <f t="shared" ca="1" si="6"/>
        <v>46169</v>
      </c>
      <c r="E141" s="676">
        <f ca="1">IF(B141&gt;HReal,"",IFERROR(VLOOKUP(B141,Flts!$G$14:$I$349,3,FALSE),E140))</f>
        <v>46169</v>
      </c>
      <c r="F141" s="679"/>
      <c r="G141" s="680"/>
      <c r="H141" s="680"/>
      <c r="I141" s="680"/>
      <c r="J141" s="705"/>
      <c r="K141" s="679"/>
      <c r="L141" s="680"/>
      <c r="M141" s="680"/>
      <c r="N141" s="680"/>
      <c r="O141" s="705"/>
      <c r="P141" s="679"/>
      <c r="Q141" s="680"/>
      <c r="R141" s="680"/>
      <c r="S141" s="680"/>
      <c r="T141" s="705"/>
      <c r="U141" s="679"/>
      <c r="V141" s="680"/>
      <c r="W141" s="680"/>
      <c r="X141" s="680"/>
      <c r="Y141" s="705"/>
      <c r="Z141" s="679"/>
      <c r="AA141" s="680"/>
      <c r="AB141" s="680"/>
      <c r="AC141" s="680"/>
      <c r="AD141" s="705"/>
      <c r="AE141" s="679"/>
      <c r="AF141" s="680"/>
      <c r="AG141" s="680"/>
      <c r="AH141" s="680"/>
      <c r="AI141" s="705"/>
    </row>
    <row r="142" spans="2:35" ht="50.1" customHeight="1" x14ac:dyDescent="0.3">
      <c r="B142" s="673">
        <f ca="1">IF(HReal&gt;=MAX(B$6:$B141)+1,B141+1,"")</f>
        <v>137</v>
      </c>
      <c r="C142" s="674" t="str">
        <f t="shared" ca="1" si="7"/>
        <v>Jue</v>
      </c>
      <c r="D142" s="675">
        <f t="shared" ca="1" si="6"/>
        <v>46170</v>
      </c>
      <c r="E142" s="676">
        <f ca="1">IF(B142&gt;HReal,"",IFERROR(VLOOKUP(B142,Flts!$G$14:$I$349,3,FALSE),E141))</f>
        <v>46170</v>
      </c>
      <c r="F142" s="679"/>
      <c r="G142" s="680"/>
      <c r="H142" s="680"/>
      <c r="I142" s="680"/>
      <c r="J142" s="705"/>
      <c r="K142" s="679"/>
      <c r="L142" s="680"/>
      <c r="M142" s="680"/>
      <c r="N142" s="680"/>
      <c r="O142" s="705"/>
      <c r="P142" s="679"/>
      <c r="Q142" s="680"/>
      <c r="R142" s="680"/>
      <c r="S142" s="680"/>
      <c r="T142" s="705"/>
      <c r="U142" s="679"/>
      <c r="V142" s="680"/>
      <c r="W142" s="680"/>
      <c r="X142" s="680"/>
      <c r="Y142" s="705"/>
      <c r="Z142" s="679"/>
      <c r="AA142" s="680"/>
      <c r="AB142" s="680"/>
      <c r="AC142" s="680"/>
      <c r="AD142" s="705"/>
      <c r="AE142" s="679"/>
      <c r="AF142" s="680"/>
      <c r="AG142" s="680"/>
      <c r="AH142" s="680"/>
      <c r="AI142" s="705"/>
    </row>
    <row r="143" spans="2:35" ht="50.1" customHeight="1" x14ac:dyDescent="0.3">
      <c r="B143" s="673">
        <f ca="1">IF(HReal&gt;=MAX(B$6:$B142)+1,B142+1,"")</f>
        <v>138</v>
      </c>
      <c r="C143" s="674" t="str">
        <f t="shared" ca="1" si="7"/>
        <v/>
      </c>
      <c r="D143" s="675">
        <f t="shared" ca="1" si="6"/>
        <v>46171</v>
      </c>
      <c r="E143" s="676">
        <f ca="1">IF(B143&gt;HReal,"",IFERROR(VLOOKUP(B143,Flts!$G$14:$I$349,3,FALSE),E142))</f>
        <v>46171</v>
      </c>
      <c r="F143" s="679"/>
      <c r="G143" s="680"/>
      <c r="H143" s="680"/>
      <c r="I143" s="680"/>
      <c r="J143" s="705"/>
      <c r="K143" s="679"/>
      <c r="L143" s="680"/>
      <c r="M143" s="680"/>
      <c r="N143" s="680"/>
      <c r="O143" s="705"/>
      <c r="P143" s="679"/>
      <c r="Q143" s="680"/>
      <c r="R143" s="680"/>
      <c r="S143" s="680"/>
      <c r="T143" s="705"/>
      <c r="U143" s="679"/>
      <c r="V143" s="680"/>
      <c r="W143" s="680"/>
      <c r="X143" s="680"/>
      <c r="Y143" s="705"/>
      <c r="Z143" s="679"/>
      <c r="AA143" s="680"/>
      <c r="AB143" s="680"/>
      <c r="AC143" s="680"/>
      <c r="AD143" s="705"/>
      <c r="AE143" s="679"/>
      <c r="AF143" s="680"/>
      <c r="AG143" s="680"/>
      <c r="AH143" s="680"/>
      <c r="AI143" s="705"/>
    </row>
    <row r="144" spans="2:35" ht="50.1" customHeight="1" x14ac:dyDescent="0.3">
      <c r="B144" s="673" t="str">
        <f ca="1">IF(HReal&gt;=MAX(B$6:$B143)+1,B143+1,"")</f>
        <v/>
      </c>
      <c r="C144" s="674" t="str">
        <f t="shared" ca="1" si="7"/>
        <v/>
      </c>
      <c r="D144" s="675" t="str">
        <f t="shared" ca="1" si="6"/>
        <v/>
      </c>
      <c r="E144" s="676" t="str">
        <f ca="1">IF(B144&gt;HReal,"",IFERROR(VLOOKUP(B144,Flts!$G$14:$I$349,3,FALSE),E143))</f>
        <v/>
      </c>
      <c r="F144" s="679"/>
      <c r="G144" s="680"/>
      <c r="H144" s="680"/>
      <c r="I144" s="680"/>
      <c r="J144" s="705"/>
      <c r="K144" s="679"/>
      <c r="L144" s="680"/>
      <c r="M144" s="680"/>
      <c r="N144" s="680"/>
      <c r="O144" s="705"/>
      <c r="P144" s="679"/>
      <c r="Q144" s="680"/>
      <c r="R144" s="680"/>
      <c r="S144" s="680"/>
      <c r="T144" s="705"/>
      <c r="U144" s="679"/>
      <c r="V144" s="680"/>
      <c r="W144" s="680"/>
      <c r="X144" s="680"/>
      <c r="Y144" s="705"/>
      <c r="Z144" s="679"/>
      <c r="AA144" s="680"/>
      <c r="AB144" s="680"/>
      <c r="AC144" s="680"/>
      <c r="AD144" s="705"/>
      <c r="AE144" s="679"/>
      <c r="AF144" s="680"/>
      <c r="AG144" s="680"/>
      <c r="AH144" s="680"/>
      <c r="AI144" s="705"/>
    </row>
    <row r="145" spans="2:35" ht="50.1" customHeight="1" x14ac:dyDescent="0.3">
      <c r="B145" s="673" t="str">
        <f ca="1">IF(HReal&gt;=MAX(B$6:$B144)+1,B144+1,"")</f>
        <v/>
      </c>
      <c r="C145" s="674" t="str">
        <f t="shared" ca="1" si="7"/>
        <v/>
      </c>
      <c r="D145" s="675" t="str">
        <f t="shared" ca="1" si="6"/>
        <v/>
      </c>
      <c r="E145" s="676" t="str">
        <f ca="1">IF(B145&gt;HReal,"",IFERROR(VLOOKUP(B145,Flts!$G$14:$I$349,3,FALSE),E144))</f>
        <v/>
      </c>
      <c r="F145" s="679"/>
      <c r="G145" s="680"/>
      <c r="H145" s="680"/>
      <c r="I145" s="680"/>
      <c r="J145" s="705"/>
      <c r="K145" s="679"/>
      <c r="L145" s="680"/>
      <c r="M145" s="680"/>
      <c r="N145" s="680"/>
      <c r="O145" s="705"/>
      <c r="P145" s="679"/>
      <c r="Q145" s="680"/>
      <c r="R145" s="680"/>
      <c r="S145" s="680"/>
      <c r="T145" s="705"/>
      <c r="U145" s="679"/>
      <c r="V145" s="680"/>
      <c r="W145" s="680"/>
      <c r="X145" s="680"/>
      <c r="Y145" s="705"/>
      <c r="Z145" s="679"/>
      <c r="AA145" s="680"/>
      <c r="AB145" s="680"/>
      <c r="AC145" s="680"/>
      <c r="AD145" s="705"/>
      <c r="AE145" s="679"/>
      <c r="AF145" s="680"/>
      <c r="AG145" s="680"/>
      <c r="AH145" s="680"/>
      <c r="AI145" s="705"/>
    </row>
    <row r="146" spans="2:35" ht="50.1" customHeight="1" x14ac:dyDescent="0.3">
      <c r="B146" s="673" t="str">
        <f ca="1">IF(HReal&gt;=MAX(B$6:$B145)+1,B145+1,"")</f>
        <v/>
      </c>
      <c r="C146" s="674" t="str">
        <f t="shared" ca="1" si="7"/>
        <v/>
      </c>
      <c r="D146" s="675" t="str">
        <f t="shared" ca="1" si="6"/>
        <v/>
      </c>
      <c r="E146" s="676" t="str">
        <f ca="1">IF(B146&gt;HReal,"",IFERROR(VLOOKUP(B146,Flts!$G$14:$I$349,3,FALSE),E145))</f>
        <v/>
      </c>
      <c r="F146" s="679"/>
      <c r="G146" s="680"/>
      <c r="H146" s="680"/>
      <c r="I146" s="680"/>
      <c r="J146" s="705"/>
      <c r="K146" s="679"/>
      <c r="L146" s="680"/>
      <c r="M146" s="680"/>
      <c r="N146" s="680"/>
      <c r="O146" s="705"/>
      <c r="P146" s="679"/>
      <c r="Q146" s="680"/>
      <c r="R146" s="680"/>
      <c r="S146" s="680"/>
      <c r="T146" s="705"/>
      <c r="U146" s="679"/>
      <c r="V146" s="680"/>
      <c r="W146" s="680"/>
      <c r="X146" s="680"/>
      <c r="Y146" s="705"/>
      <c r="Z146" s="679"/>
      <c r="AA146" s="680"/>
      <c r="AB146" s="680"/>
      <c r="AC146" s="680"/>
      <c r="AD146" s="705"/>
      <c r="AE146" s="679"/>
      <c r="AF146" s="680"/>
      <c r="AG146" s="680"/>
      <c r="AH146" s="680"/>
      <c r="AI146" s="705"/>
    </row>
    <row r="147" spans="2:35" ht="50.1" customHeight="1" x14ac:dyDescent="0.3">
      <c r="B147" s="673" t="str">
        <f ca="1">IF(HReal&gt;=MAX(B$6:$B146)+1,B146+1,"")</f>
        <v/>
      </c>
      <c r="C147" s="674" t="str">
        <f t="shared" ca="1" si="7"/>
        <v/>
      </c>
      <c r="D147" s="675" t="str">
        <f t="shared" ca="1" si="6"/>
        <v/>
      </c>
      <c r="E147" s="676" t="str">
        <f ca="1">IF(B147&gt;HReal,"",IFERROR(VLOOKUP(B147,Flts!$G$14:$I$349,3,FALSE),E146))</f>
        <v/>
      </c>
      <c r="F147" s="679"/>
      <c r="G147" s="680"/>
      <c r="H147" s="680"/>
      <c r="I147" s="680"/>
      <c r="J147" s="705"/>
      <c r="K147" s="679"/>
      <c r="L147" s="680"/>
      <c r="M147" s="680"/>
      <c r="N147" s="680"/>
      <c r="O147" s="705"/>
      <c r="P147" s="679"/>
      <c r="Q147" s="680"/>
      <c r="R147" s="680"/>
      <c r="S147" s="680"/>
      <c r="T147" s="705"/>
      <c r="U147" s="679"/>
      <c r="V147" s="680"/>
      <c r="W147" s="680"/>
      <c r="X147" s="680"/>
      <c r="Y147" s="705"/>
      <c r="Z147" s="679"/>
      <c r="AA147" s="680"/>
      <c r="AB147" s="680"/>
      <c r="AC147" s="680"/>
      <c r="AD147" s="705"/>
      <c r="AE147" s="679"/>
      <c r="AF147" s="680"/>
      <c r="AG147" s="680"/>
      <c r="AH147" s="680"/>
      <c r="AI147" s="705"/>
    </row>
    <row r="148" spans="2:35" ht="50.1" customHeight="1" x14ac:dyDescent="0.3">
      <c r="B148" s="673" t="str">
        <f ca="1">IF(HReal&gt;=MAX(B$6:$B147)+1,B147+1,"")</f>
        <v/>
      </c>
      <c r="C148" s="674" t="str">
        <f t="shared" ca="1" si="7"/>
        <v/>
      </c>
      <c r="D148" s="675" t="str">
        <f t="shared" ca="1" si="6"/>
        <v/>
      </c>
      <c r="E148" s="676" t="str">
        <f ca="1">IF(B148&gt;HReal,"",IFERROR(VLOOKUP(B148,Flts!$G$14:$I$349,3,FALSE),E147))</f>
        <v/>
      </c>
      <c r="F148" s="679"/>
      <c r="G148" s="680"/>
      <c r="H148" s="680"/>
      <c r="I148" s="680"/>
      <c r="J148" s="705"/>
      <c r="K148" s="679"/>
      <c r="L148" s="680"/>
      <c r="M148" s="680"/>
      <c r="N148" s="680"/>
      <c r="O148" s="705"/>
      <c r="P148" s="679"/>
      <c r="Q148" s="680"/>
      <c r="R148" s="680"/>
      <c r="S148" s="680"/>
      <c r="T148" s="705"/>
      <c r="U148" s="679"/>
      <c r="V148" s="680"/>
      <c r="W148" s="680"/>
      <c r="X148" s="680"/>
      <c r="Y148" s="705"/>
      <c r="Z148" s="679"/>
      <c r="AA148" s="680"/>
      <c r="AB148" s="680"/>
      <c r="AC148" s="680"/>
      <c r="AD148" s="705"/>
      <c r="AE148" s="679"/>
      <c r="AF148" s="680"/>
      <c r="AG148" s="680"/>
      <c r="AH148" s="680"/>
      <c r="AI148" s="705"/>
    </row>
    <row r="149" spans="2:35" ht="50.1" customHeight="1" x14ac:dyDescent="0.3">
      <c r="B149" s="673" t="str">
        <f ca="1">IF(HReal&gt;=MAX(B$6:$B148)+1,B148+1,"")</f>
        <v/>
      </c>
      <c r="C149" s="674" t="str">
        <f t="shared" ca="1" si="7"/>
        <v/>
      </c>
      <c r="D149" s="675" t="str">
        <f t="shared" ca="1" si="6"/>
        <v/>
      </c>
      <c r="E149" s="676" t="str">
        <f ca="1">IF(B149&gt;HReal,"",IFERROR(VLOOKUP(B149,Flts!$G$14:$I$349,3,FALSE),E148))</f>
        <v/>
      </c>
      <c r="F149" s="679"/>
      <c r="G149" s="680"/>
      <c r="H149" s="680"/>
      <c r="I149" s="680"/>
      <c r="J149" s="705"/>
      <c r="K149" s="679"/>
      <c r="L149" s="680"/>
      <c r="M149" s="680"/>
      <c r="N149" s="680"/>
      <c r="O149" s="705"/>
      <c r="P149" s="679"/>
      <c r="Q149" s="680"/>
      <c r="R149" s="680"/>
      <c r="S149" s="680"/>
      <c r="T149" s="705"/>
      <c r="U149" s="679"/>
      <c r="V149" s="680"/>
      <c r="W149" s="680"/>
      <c r="X149" s="680"/>
      <c r="Y149" s="705"/>
      <c r="Z149" s="679"/>
      <c r="AA149" s="680"/>
      <c r="AB149" s="680"/>
      <c r="AC149" s="680"/>
      <c r="AD149" s="705"/>
      <c r="AE149" s="679"/>
      <c r="AF149" s="680"/>
      <c r="AG149" s="680"/>
      <c r="AH149" s="680"/>
      <c r="AI149" s="705"/>
    </row>
    <row r="150" spans="2:35" ht="50.1" customHeight="1" x14ac:dyDescent="0.3">
      <c r="B150" s="673" t="str">
        <f ca="1">IF(HReal&gt;=MAX(B$6:$B149)+1,B149+1,"")</f>
        <v/>
      </c>
      <c r="C150" s="674" t="str">
        <f t="shared" ca="1" si="7"/>
        <v/>
      </c>
      <c r="D150" s="675" t="str">
        <f t="shared" ca="1" si="6"/>
        <v/>
      </c>
      <c r="E150" s="676" t="str">
        <f ca="1">IF(B150&gt;HReal,"",IFERROR(VLOOKUP(B150,Flts!$G$14:$I$349,3,FALSE),E149))</f>
        <v/>
      </c>
      <c r="F150" s="679"/>
      <c r="G150" s="680"/>
      <c r="H150" s="680"/>
      <c r="I150" s="680"/>
      <c r="J150" s="705"/>
      <c r="K150" s="679"/>
      <c r="L150" s="680"/>
      <c r="M150" s="680"/>
      <c r="N150" s="680"/>
      <c r="O150" s="705"/>
      <c r="P150" s="679"/>
      <c r="Q150" s="680"/>
      <c r="R150" s="680"/>
      <c r="S150" s="680"/>
      <c r="T150" s="705"/>
      <c r="U150" s="679"/>
      <c r="V150" s="680"/>
      <c r="W150" s="680"/>
      <c r="X150" s="680"/>
      <c r="Y150" s="705"/>
      <c r="Z150" s="679"/>
      <c r="AA150" s="680"/>
      <c r="AB150" s="680"/>
      <c r="AC150" s="680"/>
      <c r="AD150" s="705"/>
      <c r="AE150" s="679"/>
      <c r="AF150" s="680"/>
      <c r="AG150" s="680"/>
      <c r="AH150" s="680"/>
      <c r="AI150" s="705"/>
    </row>
    <row r="151" spans="2:35" ht="50.1" customHeight="1" x14ac:dyDescent="0.3">
      <c r="B151" s="673" t="str">
        <f ca="1">IF(HReal&gt;=MAX(B$6:$B150)+1,B150+1,"")</f>
        <v/>
      </c>
      <c r="C151" s="674" t="str">
        <f t="shared" ca="1" si="7"/>
        <v/>
      </c>
      <c r="D151" s="675" t="str">
        <f t="shared" ca="1" si="6"/>
        <v/>
      </c>
      <c r="E151" s="676" t="str">
        <f ca="1">IF(B151&gt;HReal,"",IFERROR(VLOOKUP(B151,Flts!$G$14:$I$349,3,FALSE),E150))</f>
        <v/>
      </c>
      <c r="F151" s="679"/>
      <c r="G151" s="680"/>
      <c r="H151" s="680"/>
      <c r="I151" s="680"/>
      <c r="J151" s="705"/>
      <c r="K151" s="679"/>
      <c r="L151" s="680"/>
      <c r="M151" s="680"/>
      <c r="N151" s="680"/>
      <c r="O151" s="705"/>
      <c r="P151" s="679"/>
      <c r="Q151" s="680"/>
      <c r="R151" s="680"/>
      <c r="S151" s="680"/>
      <c r="T151" s="705"/>
      <c r="U151" s="679"/>
      <c r="V151" s="680"/>
      <c r="W151" s="680"/>
      <c r="X151" s="680"/>
      <c r="Y151" s="705"/>
      <c r="Z151" s="679"/>
      <c r="AA151" s="680"/>
      <c r="AB151" s="680"/>
      <c r="AC151" s="680"/>
      <c r="AD151" s="705"/>
      <c r="AE151" s="679"/>
      <c r="AF151" s="680"/>
      <c r="AG151" s="680"/>
      <c r="AH151" s="680"/>
      <c r="AI151" s="705"/>
    </row>
    <row r="152" spans="2:35" ht="50.1" customHeight="1" x14ac:dyDescent="0.3">
      <c r="B152" s="673" t="str">
        <f ca="1">IF(HReal&gt;=MAX(B$6:$B151)+1,B151+1,"")</f>
        <v/>
      </c>
      <c r="C152" s="674" t="str">
        <f t="shared" ca="1" si="7"/>
        <v/>
      </c>
      <c r="D152" s="675" t="str">
        <f t="shared" ca="1" si="6"/>
        <v/>
      </c>
      <c r="E152" s="676" t="str">
        <f ca="1">IF(B152&gt;HReal,"",IFERROR(VLOOKUP(B152,Flts!$G$14:$I$349,3,FALSE),E151))</f>
        <v/>
      </c>
      <c r="F152" s="679"/>
      <c r="G152" s="680"/>
      <c r="H152" s="680"/>
      <c r="I152" s="680"/>
      <c r="J152" s="705"/>
      <c r="K152" s="679"/>
      <c r="L152" s="680"/>
      <c r="M152" s="680"/>
      <c r="N152" s="680"/>
      <c r="O152" s="705"/>
      <c r="P152" s="679"/>
      <c r="Q152" s="680"/>
      <c r="R152" s="680"/>
      <c r="S152" s="680"/>
      <c r="T152" s="705"/>
      <c r="U152" s="679"/>
      <c r="V152" s="680"/>
      <c r="W152" s="680"/>
      <c r="X152" s="680"/>
      <c r="Y152" s="705"/>
      <c r="Z152" s="679"/>
      <c r="AA152" s="680"/>
      <c r="AB152" s="680"/>
      <c r="AC152" s="680"/>
      <c r="AD152" s="705"/>
      <c r="AE152" s="679"/>
      <c r="AF152" s="680"/>
      <c r="AG152" s="680"/>
      <c r="AH152" s="680"/>
      <c r="AI152" s="705"/>
    </row>
    <row r="153" spans="2:35" ht="50.1" customHeight="1" x14ac:dyDescent="0.3">
      <c r="B153" s="673" t="str">
        <f ca="1">IF(HReal&gt;=MAX(B$6:$B152)+1,B152+1,"")</f>
        <v/>
      </c>
      <c r="C153" s="674" t="str">
        <f t="shared" ca="1" si="7"/>
        <v/>
      </c>
      <c r="D153" s="675" t="str">
        <f t="shared" ca="1" si="6"/>
        <v/>
      </c>
      <c r="E153" s="676" t="str">
        <f ca="1">IF(B153&gt;HReal,"",IFERROR(VLOOKUP(B153,Flts!$G$14:$I$349,3,FALSE),E152))</f>
        <v/>
      </c>
      <c r="F153" s="679"/>
      <c r="G153" s="680"/>
      <c r="H153" s="680"/>
      <c r="I153" s="680"/>
      <c r="J153" s="705"/>
      <c r="K153" s="679"/>
      <c r="L153" s="680"/>
      <c r="M153" s="680"/>
      <c r="N153" s="680"/>
      <c r="O153" s="705"/>
      <c r="P153" s="679"/>
      <c r="Q153" s="680"/>
      <c r="R153" s="680"/>
      <c r="S153" s="680"/>
      <c r="T153" s="705"/>
      <c r="U153" s="679"/>
      <c r="V153" s="680"/>
      <c r="W153" s="680"/>
      <c r="X153" s="680"/>
      <c r="Y153" s="705"/>
      <c r="Z153" s="679"/>
      <c r="AA153" s="680"/>
      <c r="AB153" s="680"/>
      <c r="AC153" s="680"/>
      <c r="AD153" s="705"/>
      <c r="AE153" s="679"/>
      <c r="AF153" s="680"/>
      <c r="AG153" s="680"/>
      <c r="AH153" s="680"/>
      <c r="AI153" s="705"/>
    </row>
    <row r="154" spans="2:35" ht="50.1" customHeight="1" x14ac:dyDescent="0.3">
      <c r="B154" s="673" t="str">
        <f ca="1">IF(HReal&gt;=MAX(B$6:$B153)+1,B153+1,"")</f>
        <v/>
      </c>
      <c r="C154" s="674" t="str">
        <f t="shared" ca="1" si="7"/>
        <v/>
      </c>
      <c r="D154" s="675" t="str">
        <f t="shared" ca="1" si="6"/>
        <v/>
      </c>
      <c r="E154" s="676" t="str">
        <f ca="1">IF(B154&gt;HReal,"",IFERROR(VLOOKUP(B154,Flts!$G$14:$I$349,3,FALSE),E153))</f>
        <v/>
      </c>
      <c r="F154" s="679"/>
      <c r="G154" s="680"/>
      <c r="H154" s="680"/>
      <c r="I154" s="680"/>
      <c r="J154" s="705"/>
      <c r="K154" s="679"/>
      <c r="L154" s="680"/>
      <c r="M154" s="680"/>
      <c r="N154" s="680"/>
      <c r="O154" s="705"/>
      <c r="P154" s="679"/>
      <c r="Q154" s="680"/>
      <c r="R154" s="680"/>
      <c r="S154" s="680"/>
      <c r="T154" s="705"/>
      <c r="U154" s="679"/>
      <c r="V154" s="680"/>
      <c r="W154" s="680"/>
      <c r="X154" s="680"/>
      <c r="Y154" s="705"/>
      <c r="Z154" s="679"/>
      <c r="AA154" s="680"/>
      <c r="AB154" s="680"/>
      <c r="AC154" s="680"/>
      <c r="AD154" s="705"/>
      <c r="AE154" s="679"/>
      <c r="AF154" s="680"/>
      <c r="AG154" s="680"/>
      <c r="AH154" s="680"/>
      <c r="AI154" s="705"/>
    </row>
    <row r="155" spans="2:35" ht="50.1" customHeight="1" x14ac:dyDescent="0.3">
      <c r="B155" s="673" t="str">
        <f ca="1">IF(HReal&gt;=MAX(B$6:$B154)+1,B154+1,"")</f>
        <v/>
      </c>
      <c r="C155" s="674" t="str">
        <f t="shared" ca="1" si="7"/>
        <v/>
      </c>
      <c r="D155" s="675" t="str">
        <f t="shared" ca="1" si="6"/>
        <v/>
      </c>
      <c r="E155" s="676" t="str">
        <f ca="1">IF(B155&gt;HReal,"",IFERROR(VLOOKUP(B155,Flts!$G$14:$I$349,3,FALSE),E154))</f>
        <v/>
      </c>
      <c r="F155" s="679"/>
      <c r="G155" s="680"/>
      <c r="H155" s="680"/>
      <c r="I155" s="680"/>
      <c r="J155" s="705"/>
      <c r="K155" s="679"/>
      <c r="L155" s="680"/>
      <c r="M155" s="680"/>
      <c r="N155" s="680"/>
      <c r="O155" s="705"/>
      <c r="P155" s="679"/>
      <c r="Q155" s="680"/>
      <c r="R155" s="680"/>
      <c r="S155" s="680"/>
      <c r="T155" s="705"/>
      <c r="U155" s="679"/>
      <c r="V155" s="680"/>
      <c r="W155" s="680"/>
      <c r="X155" s="680"/>
      <c r="Y155" s="705"/>
      <c r="Z155" s="679"/>
      <c r="AA155" s="680"/>
      <c r="AB155" s="680"/>
      <c r="AC155" s="680"/>
      <c r="AD155" s="705"/>
      <c r="AE155" s="679"/>
      <c r="AF155" s="680"/>
      <c r="AG155" s="680"/>
      <c r="AH155" s="680"/>
      <c r="AI155" s="705"/>
    </row>
    <row r="156" spans="2:35" ht="50.1" customHeight="1" x14ac:dyDescent="0.3">
      <c r="B156" s="673" t="str">
        <f ca="1">IF(HReal&gt;=MAX(B$6:$B155)+1,B155+1,"")</f>
        <v/>
      </c>
      <c r="C156" s="674" t="str">
        <f t="shared" ca="1" si="7"/>
        <v/>
      </c>
      <c r="D156" s="675" t="str">
        <f t="shared" ca="1" si="6"/>
        <v/>
      </c>
      <c r="E156" s="676" t="str">
        <f ca="1">IF(B156&gt;HReal,"",IFERROR(VLOOKUP(B156,Flts!$G$14:$I$349,3,FALSE),E155))</f>
        <v/>
      </c>
      <c r="F156" s="679"/>
      <c r="G156" s="680"/>
      <c r="H156" s="680"/>
      <c r="I156" s="680"/>
      <c r="J156" s="705"/>
      <c r="K156" s="679"/>
      <c r="L156" s="680"/>
      <c r="M156" s="680"/>
      <c r="N156" s="680"/>
      <c r="O156" s="705"/>
      <c r="P156" s="679"/>
      <c r="Q156" s="680"/>
      <c r="R156" s="680"/>
      <c r="S156" s="680"/>
      <c r="T156" s="705"/>
      <c r="U156" s="679"/>
      <c r="V156" s="680"/>
      <c r="W156" s="680"/>
      <c r="X156" s="680"/>
      <c r="Y156" s="705"/>
      <c r="Z156" s="679"/>
      <c r="AA156" s="680"/>
      <c r="AB156" s="680"/>
      <c r="AC156" s="680"/>
      <c r="AD156" s="705"/>
      <c r="AE156" s="679"/>
      <c r="AF156" s="680"/>
      <c r="AG156" s="680"/>
      <c r="AH156" s="680"/>
      <c r="AI156" s="705"/>
    </row>
    <row r="157" spans="2:35" ht="50.1" customHeight="1" x14ac:dyDescent="0.3">
      <c r="B157" s="673" t="str">
        <f ca="1">IF(HReal&gt;=MAX(B$6:$B156)+1,B156+1,"")</f>
        <v/>
      </c>
      <c r="C157" s="674" t="str">
        <f t="shared" ca="1" si="7"/>
        <v/>
      </c>
      <c r="D157" s="675" t="str">
        <f t="shared" ca="1" si="6"/>
        <v/>
      </c>
      <c r="E157" s="676" t="str">
        <f ca="1">IF(B157&gt;HReal,"",IFERROR(VLOOKUP(B157,Flts!$G$14:$I$349,3,FALSE),E156))</f>
        <v/>
      </c>
      <c r="F157" s="679"/>
      <c r="G157" s="680"/>
      <c r="H157" s="680"/>
      <c r="I157" s="680"/>
      <c r="J157" s="705"/>
      <c r="K157" s="679"/>
      <c r="L157" s="680"/>
      <c r="M157" s="680"/>
      <c r="N157" s="680"/>
      <c r="O157" s="705"/>
      <c r="P157" s="679"/>
      <c r="Q157" s="680"/>
      <c r="R157" s="680"/>
      <c r="S157" s="680"/>
      <c r="T157" s="705"/>
      <c r="U157" s="679"/>
      <c r="V157" s="680"/>
      <c r="W157" s="680"/>
      <c r="X157" s="680"/>
      <c r="Y157" s="705"/>
      <c r="Z157" s="679"/>
      <c r="AA157" s="680"/>
      <c r="AB157" s="680"/>
      <c r="AC157" s="680"/>
      <c r="AD157" s="705"/>
      <c r="AE157" s="679"/>
      <c r="AF157" s="680"/>
      <c r="AG157" s="680"/>
      <c r="AH157" s="680"/>
      <c r="AI157" s="705"/>
    </row>
    <row r="158" spans="2:35" ht="50.1" customHeight="1" x14ac:dyDescent="0.3">
      <c r="B158" s="673" t="str">
        <f ca="1">IF(HReal&gt;=MAX(B$6:$B157)+1,B157+1,"")</f>
        <v/>
      </c>
      <c r="C158" s="674" t="str">
        <f t="shared" ca="1" si="7"/>
        <v/>
      </c>
      <c r="D158" s="675" t="str">
        <f t="shared" ca="1" si="6"/>
        <v/>
      </c>
      <c r="E158" s="676" t="str">
        <f ca="1">IF(B158&gt;HReal,"",IFERROR(VLOOKUP(B158,Flts!$G$14:$I$349,3,FALSE),E157))</f>
        <v/>
      </c>
      <c r="F158" s="679"/>
      <c r="G158" s="680"/>
      <c r="H158" s="680"/>
      <c r="I158" s="680"/>
      <c r="J158" s="705"/>
      <c r="K158" s="679"/>
      <c r="L158" s="680"/>
      <c r="M158" s="680"/>
      <c r="N158" s="680"/>
      <c r="O158" s="705"/>
      <c r="P158" s="679"/>
      <c r="Q158" s="680"/>
      <c r="R158" s="680"/>
      <c r="S158" s="680"/>
      <c r="T158" s="705"/>
      <c r="U158" s="679"/>
      <c r="V158" s="680"/>
      <c r="W158" s="680"/>
      <c r="X158" s="680"/>
      <c r="Y158" s="705"/>
      <c r="Z158" s="679"/>
      <c r="AA158" s="680"/>
      <c r="AB158" s="680"/>
      <c r="AC158" s="680"/>
      <c r="AD158" s="705"/>
      <c r="AE158" s="679"/>
      <c r="AF158" s="680"/>
      <c r="AG158" s="680"/>
      <c r="AH158" s="680"/>
      <c r="AI158" s="705"/>
    </row>
    <row r="159" spans="2:35" ht="50.1" customHeight="1" x14ac:dyDescent="0.3">
      <c r="B159" s="673" t="str">
        <f ca="1">IF(HReal&gt;=MAX(B$6:$B158)+1,B158+1,"")</f>
        <v/>
      </c>
      <c r="C159" s="674" t="str">
        <f t="shared" ca="1" si="7"/>
        <v/>
      </c>
      <c r="D159" s="675" t="str">
        <f t="shared" ca="1" si="6"/>
        <v/>
      </c>
      <c r="E159" s="676" t="str">
        <f ca="1">IF(B159&gt;HReal,"",IFERROR(VLOOKUP(B159,Flts!$G$14:$I$349,3,FALSE),E158))</f>
        <v/>
      </c>
      <c r="F159" s="679"/>
      <c r="G159" s="680"/>
      <c r="H159" s="680"/>
      <c r="I159" s="680"/>
      <c r="J159" s="705"/>
      <c r="K159" s="679"/>
      <c r="L159" s="680"/>
      <c r="M159" s="680"/>
      <c r="N159" s="680"/>
      <c r="O159" s="705"/>
      <c r="P159" s="679"/>
      <c r="Q159" s="680"/>
      <c r="R159" s="680"/>
      <c r="S159" s="680"/>
      <c r="T159" s="705"/>
      <c r="U159" s="679"/>
      <c r="V159" s="680"/>
      <c r="W159" s="680"/>
      <c r="X159" s="680"/>
      <c r="Y159" s="705"/>
      <c r="Z159" s="679"/>
      <c r="AA159" s="680"/>
      <c r="AB159" s="680"/>
      <c r="AC159" s="680"/>
      <c r="AD159" s="705"/>
      <c r="AE159" s="679"/>
      <c r="AF159" s="680"/>
      <c r="AG159" s="680"/>
      <c r="AH159" s="680"/>
      <c r="AI159" s="705"/>
    </row>
    <row r="160" spans="2:35" ht="50.1" customHeight="1" x14ac:dyDescent="0.3">
      <c r="B160" s="673" t="str">
        <f ca="1">IF(HReal&gt;=MAX(B$6:$B159)+1,B159+1,"")</f>
        <v/>
      </c>
      <c r="C160" s="674" t="str">
        <f t="shared" ca="1" si="7"/>
        <v/>
      </c>
      <c r="D160" s="675" t="str">
        <f t="shared" ca="1" si="6"/>
        <v/>
      </c>
      <c r="E160" s="676" t="str">
        <f ca="1">IF(B160&gt;HReal,"",IFERROR(VLOOKUP(B160,Flts!$G$14:$I$349,3,FALSE),E159))</f>
        <v/>
      </c>
      <c r="F160" s="679"/>
      <c r="G160" s="680"/>
      <c r="H160" s="680"/>
      <c r="I160" s="680"/>
      <c r="J160" s="705"/>
      <c r="K160" s="679"/>
      <c r="L160" s="680"/>
      <c r="M160" s="680"/>
      <c r="N160" s="680"/>
      <c r="O160" s="705"/>
      <c r="P160" s="679"/>
      <c r="Q160" s="680"/>
      <c r="R160" s="680"/>
      <c r="S160" s="680"/>
      <c r="T160" s="705"/>
      <c r="U160" s="679"/>
      <c r="V160" s="680"/>
      <c r="W160" s="680"/>
      <c r="X160" s="680"/>
      <c r="Y160" s="705"/>
      <c r="Z160" s="679"/>
      <c r="AA160" s="680"/>
      <c r="AB160" s="680"/>
      <c r="AC160" s="680"/>
      <c r="AD160" s="705"/>
      <c r="AE160" s="679"/>
      <c r="AF160" s="680"/>
      <c r="AG160" s="680"/>
      <c r="AH160" s="680"/>
      <c r="AI160" s="705"/>
    </row>
    <row r="161" spans="2:35" ht="50.1" customHeight="1" x14ac:dyDescent="0.3">
      <c r="B161" s="673" t="str">
        <f ca="1">IF(HReal&gt;=MAX(B$6:$B160)+1,B160+1,"")</f>
        <v/>
      </c>
      <c r="C161" s="674" t="str">
        <f t="shared" ca="1" si="7"/>
        <v/>
      </c>
      <c r="D161" s="675" t="str">
        <f t="shared" ca="1" si="6"/>
        <v/>
      </c>
      <c r="E161" s="676" t="str">
        <f ca="1">IF(B161&gt;HReal,"",IFERROR(VLOOKUP(B161,Flts!$G$14:$I$349,3,FALSE),E160))</f>
        <v/>
      </c>
      <c r="F161" s="679"/>
      <c r="G161" s="680"/>
      <c r="H161" s="680"/>
      <c r="I161" s="680"/>
      <c r="J161" s="705"/>
      <c r="K161" s="679"/>
      <c r="L161" s="680"/>
      <c r="M161" s="680"/>
      <c r="N161" s="680"/>
      <c r="O161" s="705"/>
      <c r="P161" s="679"/>
      <c r="Q161" s="680"/>
      <c r="R161" s="680"/>
      <c r="S161" s="680"/>
      <c r="T161" s="705"/>
      <c r="U161" s="679"/>
      <c r="V161" s="680"/>
      <c r="W161" s="680"/>
      <c r="X161" s="680"/>
      <c r="Y161" s="705"/>
      <c r="Z161" s="679"/>
      <c r="AA161" s="680"/>
      <c r="AB161" s="680"/>
      <c r="AC161" s="680"/>
      <c r="AD161" s="705"/>
      <c r="AE161" s="679"/>
      <c r="AF161" s="680"/>
      <c r="AG161" s="680"/>
      <c r="AH161" s="680"/>
      <c r="AI161" s="705"/>
    </row>
    <row r="162" spans="2:35" ht="50.1" customHeight="1" x14ac:dyDescent="0.3">
      <c r="B162" s="673" t="str">
        <f ca="1">IF(HReal&gt;=MAX(B$6:$B161)+1,B161+1,"")</f>
        <v/>
      </c>
      <c r="C162" s="674" t="str">
        <f t="shared" ca="1" si="7"/>
        <v/>
      </c>
      <c r="D162" s="675" t="str">
        <f t="shared" ca="1" si="6"/>
        <v/>
      </c>
      <c r="E162" s="676" t="str">
        <f ca="1">IF(B162&gt;HReal,"",IFERROR(VLOOKUP(B162,Flts!$G$14:$I$349,3,FALSE),E161))</f>
        <v/>
      </c>
      <c r="F162" s="679"/>
      <c r="G162" s="680"/>
      <c r="H162" s="680"/>
      <c r="I162" s="680"/>
      <c r="J162" s="705"/>
      <c r="K162" s="679"/>
      <c r="L162" s="680"/>
      <c r="M162" s="680"/>
      <c r="N162" s="680"/>
      <c r="O162" s="705"/>
      <c r="P162" s="679"/>
      <c r="Q162" s="680"/>
      <c r="R162" s="680"/>
      <c r="S162" s="680"/>
      <c r="T162" s="705"/>
      <c r="U162" s="679"/>
      <c r="V162" s="680"/>
      <c r="W162" s="680"/>
      <c r="X162" s="680"/>
      <c r="Y162" s="705"/>
      <c r="Z162" s="679"/>
      <c r="AA162" s="680"/>
      <c r="AB162" s="680"/>
      <c r="AC162" s="680"/>
      <c r="AD162" s="705"/>
      <c r="AE162" s="679"/>
      <c r="AF162" s="680"/>
      <c r="AG162" s="680"/>
      <c r="AH162" s="680"/>
      <c r="AI162" s="705"/>
    </row>
    <row r="163" spans="2:35" ht="50.1" customHeight="1" x14ac:dyDescent="0.3">
      <c r="B163" s="673" t="str">
        <f ca="1">IF(HReal&gt;=MAX(B$6:$B162)+1,B162+1,"")</f>
        <v/>
      </c>
      <c r="C163" s="674" t="str">
        <f t="shared" ca="1" si="7"/>
        <v/>
      </c>
      <c r="D163" s="675" t="str">
        <f t="shared" ca="1" si="6"/>
        <v/>
      </c>
      <c r="E163" s="676" t="str">
        <f ca="1">IF(B163&gt;HReal,"",IFERROR(VLOOKUP(B163,Flts!$G$14:$I$349,3,FALSE),E162))</f>
        <v/>
      </c>
      <c r="F163" s="679"/>
      <c r="G163" s="680"/>
      <c r="H163" s="680"/>
      <c r="I163" s="680"/>
      <c r="J163" s="705"/>
      <c r="K163" s="679"/>
      <c r="L163" s="680"/>
      <c r="M163" s="680"/>
      <c r="N163" s="680"/>
      <c r="O163" s="705"/>
      <c r="P163" s="679"/>
      <c r="Q163" s="680"/>
      <c r="R163" s="680"/>
      <c r="S163" s="680"/>
      <c r="T163" s="705"/>
      <c r="U163" s="679"/>
      <c r="V163" s="680"/>
      <c r="W163" s="680"/>
      <c r="X163" s="680"/>
      <c r="Y163" s="705"/>
      <c r="Z163" s="679"/>
      <c r="AA163" s="680"/>
      <c r="AB163" s="680"/>
      <c r="AC163" s="680"/>
      <c r="AD163" s="705"/>
      <c r="AE163" s="679"/>
      <c r="AF163" s="680"/>
      <c r="AG163" s="680"/>
      <c r="AH163" s="680"/>
      <c r="AI163" s="705"/>
    </row>
    <row r="164" spans="2:35" ht="50.1" customHeight="1" x14ac:dyDescent="0.3">
      <c r="B164" s="673" t="str">
        <f ca="1">IF(HReal&gt;=MAX(B$6:$B163)+1,B163+1,"")</f>
        <v/>
      </c>
      <c r="C164" s="674" t="str">
        <f t="shared" ca="1" si="7"/>
        <v/>
      </c>
      <c r="D164" s="675" t="str">
        <f t="shared" ca="1" si="6"/>
        <v/>
      </c>
      <c r="E164" s="676" t="str">
        <f ca="1">IF(B164&gt;HReal,"",IFERROR(VLOOKUP(B164,Flts!$G$14:$I$349,3,FALSE),E163))</f>
        <v/>
      </c>
      <c r="F164" s="679"/>
      <c r="G164" s="680"/>
      <c r="H164" s="680"/>
      <c r="I164" s="680"/>
      <c r="J164" s="705"/>
      <c r="K164" s="679"/>
      <c r="L164" s="680"/>
      <c r="M164" s="680"/>
      <c r="N164" s="680"/>
      <c r="O164" s="705"/>
      <c r="P164" s="679"/>
      <c r="Q164" s="680"/>
      <c r="R164" s="680"/>
      <c r="S164" s="680"/>
      <c r="T164" s="705"/>
      <c r="U164" s="679"/>
      <c r="V164" s="680"/>
      <c r="W164" s="680"/>
      <c r="X164" s="680"/>
      <c r="Y164" s="705"/>
      <c r="Z164" s="679"/>
      <c r="AA164" s="680"/>
      <c r="AB164" s="680"/>
      <c r="AC164" s="680"/>
      <c r="AD164" s="705"/>
      <c r="AE164" s="679"/>
      <c r="AF164" s="680"/>
      <c r="AG164" s="680"/>
      <c r="AH164" s="680"/>
      <c r="AI164" s="705"/>
    </row>
    <row r="165" spans="2:35" ht="50.1" customHeight="1" x14ac:dyDescent="0.3">
      <c r="B165" s="673" t="str">
        <f ca="1">IF(HReal&gt;=MAX(B$6:$B164)+1,B164+1,"")</f>
        <v/>
      </c>
      <c r="C165" s="674" t="str">
        <f t="shared" ca="1" si="7"/>
        <v/>
      </c>
      <c r="D165" s="675" t="str">
        <f t="shared" ca="1" si="6"/>
        <v/>
      </c>
      <c r="E165" s="676" t="str">
        <f ca="1">IF(B165&gt;HReal,"",IFERROR(VLOOKUP(B165,Flts!$G$14:$I$349,3,FALSE),E164))</f>
        <v/>
      </c>
      <c r="F165" s="679"/>
      <c r="G165" s="680"/>
      <c r="H165" s="680"/>
      <c r="I165" s="680"/>
      <c r="J165" s="705"/>
      <c r="K165" s="679"/>
      <c r="L165" s="680"/>
      <c r="M165" s="680"/>
      <c r="N165" s="680"/>
      <c r="O165" s="705"/>
      <c r="P165" s="679"/>
      <c r="Q165" s="680"/>
      <c r="R165" s="680"/>
      <c r="S165" s="680"/>
      <c r="T165" s="705"/>
      <c r="U165" s="679"/>
      <c r="V165" s="680"/>
      <c r="W165" s="680"/>
      <c r="X165" s="680"/>
      <c r="Y165" s="705"/>
      <c r="Z165" s="679"/>
      <c r="AA165" s="680"/>
      <c r="AB165" s="680"/>
      <c r="AC165" s="680"/>
      <c r="AD165" s="705"/>
      <c r="AE165" s="679"/>
      <c r="AF165" s="680"/>
      <c r="AG165" s="680"/>
      <c r="AH165" s="680"/>
      <c r="AI165" s="705"/>
    </row>
    <row r="166" spans="2:35" ht="50.1" customHeight="1" x14ac:dyDescent="0.3">
      <c r="B166" s="673" t="str">
        <f ca="1">IF(HReal&gt;=MAX(B$6:$B165)+1,B165+1,"")</f>
        <v/>
      </c>
      <c r="C166" s="674" t="str">
        <f t="shared" ca="1" si="7"/>
        <v/>
      </c>
      <c r="D166" s="675" t="str">
        <f t="shared" ca="1" si="6"/>
        <v/>
      </c>
      <c r="E166" s="676" t="str">
        <f ca="1">IF(B166&gt;HReal,"",IFERROR(VLOOKUP(B166,Flts!$G$14:$I$349,3,FALSE),E165))</f>
        <v/>
      </c>
      <c r="F166" s="679"/>
      <c r="G166" s="680"/>
      <c r="H166" s="680"/>
      <c r="I166" s="680"/>
      <c r="J166" s="705"/>
      <c r="K166" s="679"/>
      <c r="L166" s="680"/>
      <c r="M166" s="680"/>
      <c r="N166" s="680"/>
      <c r="O166" s="705"/>
      <c r="P166" s="679"/>
      <c r="Q166" s="680"/>
      <c r="R166" s="680"/>
      <c r="S166" s="680"/>
      <c r="T166" s="705"/>
      <c r="U166" s="679"/>
      <c r="V166" s="680"/>
      <c r="W166" s="680"/>
      <c r="X166" s="680"/>
      <c r="Y166" s="705"/>
      <c r="Z166" s="679"/>
      <c r="AA166" s="680"/>
      <c r="AB166" s="680"/>
      <c r="AC166" s="680"/>
      <c r="AD166" s="705"/>
      <c r="AE166" s="679"/>
      <c r="AF166" s="680"/>
      <c r="AG166" s="680"/>
      <c r="AH166" s="680"/>
      <c r="AI166" s="705"/>
    </row>
    <row r="167" spans="2:35" ht="50.1" customHeight="1" x14ac:dyDescent="0.3">
      <c r="B167" s="673" t="str">
        <f ca="1">IF(HReal&gt;=MAX(B$6:$B166)+1,B166+1,"")</f>
        <v/>
      </c>
      <c r="C167" s="674" t="str">
        <f t="shared" ca="1" si="7"/>
        <v/>
      </c>
      <c r="D167" s="675" t="str">
        <f t="shared" ca="1" si="6"/>
        <v/>
      </c>
      <c r="E167" s="676" t="str">
        <f ca="1">IF(B167&gt;HReal,"",IFERROR(VLOOKUP(B167,Flts!$G$14:$I$349,3,FALSE),E166))</f>
        <v/>
      </c>
      <c r="F167" s="679"/>
      <c r="G167" s="680"/>
      <c r="H167" s="680"/>
      <c r="I167" s="680"/>
      <c r="J167" s="705"/>
      <c r="K167" s="679"/>
      <c r="L167" s="680"/>
      <c r="M167" s="680"/>
      <c r="N167" s="680"/>
      <c r="O167" s="705"/>
      <c r="P167" s="679"/>
      <c r="Q167" s="680"/>
      <c r="R167" s="680"/>
      <c r="S167" s="680"/>
      <c r="T167" s="705"/>
      <c r="U167" s="679"/>
      <c r="V167" s="680"/>
      <c r="W167" s="680"/>
      <c r="X167" s="680"/>
      <c r="Y167" s="705"/>
      <c r="Z167" s="679"/>
      <c r="AA167" s="680"/>
      <c r="AB167" s="680"/>
      <c r="AC167" s="680"/>
      <c r="AD167" s="705"/>
      <c r="AE167" s="679"/>
      <c r="AF167" s="680"/>
      <c r="AG167" s="680"/>
      <c r="AH167" s="680"/>
      <c r="AI167" s="705"/>
    </row>
    <row r="168" spans="2:35" ht="50.1" customHeight="1" x14ac:dyDescent="0.3">
      <c r="B168" s="673" t="str">
        <f ca="1">IF(HReal&gt;=MAX(B$6:$B167)+1,B167+1,"")</f>
        <v/>
      </c>
      <c r="C168" s="674" t="str">
        <f t="shared" ca="1" si="7"/>
        <v/>
      </c>
      <c r="D168" s="675" t="str">
        <f t="shared" ca="1" si="6"/>
        <v/>
      </c>
      <c r="E168" s="676" t="str">
        <f ca="1">IF(B168&gt;HReal,"",IFERROR(VLOOKUP(B168,Flts!$G$14:$I$349,3,FALSE),E167))</f>
        <v/>
      </c>
      <c r="F168" s="679"/>
      <c r="G168" s="680"/>
      <c r="H168" s="680"/>
      <c r="I168" s="680"/>
      <c r="J168" s="705"/>
      <c r="K168" s="679"/>
      <c r="L168" s="680"/>
      <c r="M168" s="680"/>
      <c r="N168" s="680"/>
      <c r="O168" s="705"/>
      <c r="P168" s="679"/>
      <c r="Q168" s="680"/>
      <c r="R168" s="680"/>
      <c r="S168" s="680"/>
      <c r="T168" s="705"/>
      <c r="U168" s="679"/>
      <c r="V168" s="680"/>
      <c r="W168" s="680"/>
      <c r="X168" s="680"/>
      <c r="Y168" s="705"/>
      <c r="Z168" s="679"/>
      <c r="AA168" s="680"/>
      <c r="AB168" s="680"/>
      <c r="AC168" s="680"/>
      <c r="AD168" s="705"/>
      <c r="AE168" s="679"/>
      <c r="AF168" s="680"/>
      <c r="AG168" s="680"/>
      <c r="AH168" s="680"/>
      <c r="AI168" s="705"/>
    </row>
    <row r="169" spans="2:35" ht="50.1" customHeight="1" x14ac:dyDescent="0.3">
      <c r="B169" s="673" t="str">
        <f ca="1">IF(HReal&gt;=MAX(B$6:$B168)+1,B168+1,"")</f>
        <v/>
      </c>
      <c r="C169" s="674" t="str">
        <f t="shared" ca="1" si="7"/>
        <v/>
      </c>
      <c r="D169" s="675" t="str">
        <f t="shared" ca="1" si="6"/>
        <v/>
      </c>
      <c r="E169" s="676" t="str">
        <f ca="1">IF(B169&gt;HReal,"",IFERROR(VLOOKUP(B169,Flts!$G$14:$I$349,3,FALSE),E168))</f>
        <v/>
      </c>
      <c r="F169" s="679"/>
      <c r="G169" s="680"/>
      <c r="H169" s="680"/>
      <c r="I169" s="680"/>
      <c r="J169" s="705"/>
      <c r="K169" s="679"/>
      <c r="L169" s="680"/>
      <c r="M169" s="680"/>
      <c r="N169" s="680"/>
      <c r="O169" s="705"/>
      <c r="P169" s="679"/>
      <c r="Q169" s="680"/>
      <c r="R169" s="680"/>
      <c r="S169" s="680"/>
      <c r="T169" s="705"/>
      <c r="U169" s="679"/>
      <c r="V169" s="680"/>
      <c r="W169" s="680"/>
      <c r="X169" s="680"/>
      <c r="Y169" s="705"/>
      <c r="Z169" s="679"/>
      <c r="AA169" s="680"/>
      <c r="AB169" s="680"/>
      <c r="AC169" s="680"/>
      <c r="AD169" s="705"/>
      <c r="AE169" s="679"/>
      <c r="AF169" s="680"/>
      <c r="AG169" s="680"/>
      <c r="AH169" s="680"/>
      <c r="AI169" s="705"/>
    </row>
    <row r="170" spans="2:35" ht="50.1" customHeight="1" x14ac:dyDescent="0.3">
      <c r="B170" s="673" t="str">
        <f ca="1">IF(HReal&gt;=MAX(B$6:$B169)+1,B169+1,"")</f>
        <v/>
      </c>
      <c r="C170" s="674" t="str">
        <f t="shared" ca="1" si="7"/>
        <v/>
      </c>
      <c r="D170" s="675" t="str">
        <f t="shared" ca="1" si="6"/>
        <v/>
      </c>
      <c r="E170" s="676" t="str">
        <f ca="1">IF(B170&gt;HReal,"",IFERROR(VLOOKUP(B170,Flts!$G$14:$I$349,3,FALSE),E169))</f>
        <v/>
      </c>
      <c r="F170" s="679"/>
      <c r="G170" s="680"/>
      <c r="H170" s="680"/>
      <c r="I170" s="680"/>
      <c r="J170" s="705"/>
      <c r="K170" s="679"/>
      <c r="L170" s="680"/>
      <c r="M170" s="680"/>
      <c r="N170" s="680"/>
      <c r="O170" s="705"/>
      <c r="P170" s="679"/>
      <c r="Q170" s="680"/>
      <c r="R170" s="680"/>
      <c r="S170" s="680"/>
      <c r="T170" s="705"/>
      <c r="U170" s="679"/>
      <c r="V170" s="680"/>
      <c r="W170" s="680"/>
      <c r="X170" s="680"/>
      <c r="Y170" s="705"/>
      <c r="Z170" s="679"/>
      <c r="AA170" s="680"/>
      <c r="AB170" s="680"/>
      <c r="AC170" s="680"/>
      <c r="AD170" s="705"/>
      <c r="AE170" s="679"/>
      <c r="AF170" s="680"/>
      <c r="AG170" s="680"/>
      <c r="AH170" s="680"/>
      <c r="AI170" s="705"/>
    </row>
    <row r="171" spans="2:35" ht="50.1" customHeight="1" x14ac:dyDescent="0.3">
      <c r="B171" s="673" t="str">
        <f ca="1">IF(HReal&gt;=MAX(B$6:$B170)+1,B170+1,"")</f>
        <v/>
      </c>
      <c r="C171" s="674" t="str">
        <f t="shared" ca="1" si="7"/>
        <v/>
      </c>
      <c r="D171" s="675" t="str">
        <f t="shared" ca="1" si="6"/>
        <v/>
      </c>
      <c r="E171" s="676" t="str">
        <f ca="1">IF(B171&gt;HReal,"",IFERROR(VLOOKUP(B171,Flts!$G$14:$I$349,3,FALSE),E170))</f>
        <v/>
      </c>
      <c r="F171" s="679"/>
      <c r="G171" s="680"/>
      <c r="H171" s="680"/>
      <c r="I171" s="680"/>
      <c r="J171" s="705"/>
      <c r="K171" s="679"/>
      <c r="L171" s="680"/>
      <c r="M171" s="680"/>
      <c r="N171" s="680"/>
      <c r="O171" s="705"/>
      <c r="P171" s="679"/>
      <c r="Q171" s="680"/>
      <c r="R171" s="680"/>
      <c r="S171" s="680"/>
      <c r="T171" s="705"/>
      <c r="U171" s="679"/>
      <c r="V171" s="680"/>
      <c r="W171" s="680"/>
      <c r="X171" s="680"/>
      <c r="Y171" s="705"/>
      <c r="Z171" s="679"/>
      <c r="AA171" s="680"/>
      <c r="AB171" s="680"/>
      <c r="AC171" s="680"/>
      <c r="AD171" s="705"/>
      <c r="AE171" s="679"/>
      <c r="AF171" s="680"/>
      <c r="AG171" s="680"/>
      <c r="AH171" s="680"/>
      <c r="AI171" s="705"/>
    </row>
    <row r="172" spans="2:35" ht="50.1" customHeight="1" x14ac:dyDescent="0.3">
      <c r="B172" s="673" t="str">
        <f ca="1">IF(HReal&gt;=MAX(B$6:$B171)+1,B171+1,"")</f>
        <v/>
      </c>
      <c r="C172" s="674" t="str">
        <f t="shared" ca="1" si="7"/>
        <v/>
      </c>
      <c r="D172" s="675" t="str">
        <f t="shared" ca="1" si="6"/>
        <v/>
      </c>
      <c r="E172" s="676" t="str">
        <f ca="1">IF(B172&gt;HReal,"",IFERROR(VLOOKUP(B172,Flts!$G$14:$I$349,3,FALSE),E171))</f>
        <v/>
      </c>
      <c r="F172" s="679"/>
      <c r="G172" s="680"/>
      <c r="H172" s="680"/>
      <c r="I172" s="680"/>
      <c r="J172" s="705"/>
      <c r="K172" s="679"/>
      <c r="L172" s="680"/>
      <c r="M172" s="680"/>
      <c r="N172" s="680"/>
      <c r="O172" s="705"/>
      <c r="P172" s="679"/>
      <c r="Q172" s="680"/>
      <c r="R172" s="680"/>
      <c r="S172" s="680"/>
      <c r="T172" s="705"/>
      <c r="U172" s="679"/>
      <c r="V172" s="680"/>
      <c r="W172" s="680"/>
      <c r="X172" s="680"/>
      <c r="Y172" s="705"/>
      <c r="Z172" s="679"/>
      <c r="AA172" s="680"/>
      <c r="AB172" s="680"/>
      <c r="AC172" s="680"/>
      <c r="AD172" s="705"/>
      <c r="AE172" s="679"/>
      <c r="AF172" s="680"/>
      <c r="AG172" s="680"/>
      <c r="AH172" s="680"/>
      <c r="AI172" s="705"/>
    </row>
    <row r="173" spans="2:35" ht="50.1" customHeight="1" x14ac:dyDescent="0.3">
      <c r="B173" s="673" t="str">
        <f ca="1">IF(HReal&gt;=MAX(B$6:$B172)+1,B172+1,"")</f>
        <v/>
      </c>
      <c r="C173" s="674" t="str">
        <f t="shared" ca="1" si="7"/>
        <v/>
      </c>
      <c r="D173" s="675" t="str">
        <f t="shared" ca="1" si="6"/>
        <v/>
      </c>
      <c r="E173" s="676" t="str">
        <f ca="1">IF(B173&gt;HReal,"",IFERROR(VLOOKUP(B173,Flts!$G$14:$I$349,3,FALSE),E172))</f>
        <v/>
      </c>
      <c r="F173" s="679"/>
      <c r="G173" s="680"/>
      <c r="H173" s="680"/>
      <c r="I173" s="680"/>
      <c r="J173" s="705"/>
      <c r="K173" s="679"/>
      <c r="L173" s="680"/>
      <c r="M173" s="680"/>
      <c r="N173" s="680"/>
      <c r="O173" s="705"/>
      <c r="P173" s="679"/>
      <c r="Q173" s="680"/>
      <c r="R173" s="680"/>
      <c r="S173" s="680"/>
      <c r="T173" s="705"/>
      <c r="U173" s="679"/>
      <c r="V173" s="680"/>
      <c r="W173" s="680"/>
      <c r="X173" s="680"/>
      <c r="Y173" s="705"/>
      <c r="Z173" s="679"/>
      <c r="AA173" s="680"/>
      <c r="AB173" s="680"/>
      <c r="AC173" s="680"/>
      <c r="AD173" s="705"/>
      <c r="AE173" s="679"/>
      <c r="AF173" s="680"/>
      <c r="AG173" s="680"/>
      <c r="AH173" s="680"/>
      <c r="AI173" s="705"/>
    </row>
    <row r="174" spans="2:35" ht="50.1" customHeight="1" x14ac:dyDescent="0.3">
      <c r="B174" s="673" t="str">
        <f ca="1">IF(HReal&gt;=MAX(B$6:$B173)+1,B173+1,"")</f>
        <v/>
      </c>
      <c r="C174" s="674" t="str">
        <f t="shared" ca="1" si="7"/>
        <v/>
      </c>
      <c r="D174" s="675" t="str">
        <f t="shared" ca="1" si="6"/>
        <v/>
      </c>
      <c r="E174" s="676" t="str">
        <f ca="1">IF(B174&gt;HReal,"",IFERROR(VLOOKUP(B174,Flts!$G$14:$I$349,3,FALSE),E173))</f>
        <v/>
      </c>
      <c r="F174" s="679"/>
      <c r="G174" s="680"/>
      <c r="H174" s="680"/>
      <c r="I174" s="680"/>
      <c r="J174" s="705"/>
      <c r="K174" s="679"/>
      <c r="L174" s="680"/>
      <c r="M174" s="680"/>
      <c r="N174" s="680"/>
      <c r="O174" s="705"/>
      <c r="P174" s="679"/>
      <c r="Q174" s="680"/>
      <c r="R174" s="680"/>
      <c r="S174" s="680"/>
      <c r="T174" s="705"/>
      <c r="U174" s="679"/>
      <c r="V174" s="680"/>
      <c r="W174" s="680"/>
      <c r="X174" s="680"/>
      <c r="Y174" s="705"/>
      <c r="Z174" s="679"/>
      <c r="AA174" s="680"/>
      <c r="AB174" s="680"/>
      <c r="AC174" s="680"/>
      <c r="AD174" s="705"/>
      <c r="AE174" s="679"/>
      <c r="AF174" s="680"/>
      <c r="AG174" s="680"/>
      <c r="AH174" s="680"/>
      <c r="AI174" s="705"/>
    </row>
    <row r="175" spans="2:35" ht="50.1" customHeight="1" x14ac:dyDescent="0.3">
      <c r="B175" s="673" t="str">
        <f ca="1">IF(HReal&gt;=MAX(B$6:$B174)+1,B174+1,"")</f>
        <v/>
      </c>
      <c r="C175" s="674" t="str">
        <f t="shared" ca="1" si="7"/>
        <v/>
      </c>
      <c r="D175" s="675" t="str">
        <f t="shared" ca="1" si="6"/>
        <v/>
      </c>
      <c r="E175" s="676" t="str">
        <f ca="1">IF(B175&gt;HReal,"",IFERROR(VLOOKUP(B175,Flts!$G$14:$I$349,3,FALSE),E174))</f>
        <v/>
      </c>
      <c r="F175" s="679"/>
      <c r="G175" s="680"/>
      <c r="H175" s="680"/>
      <c r="I175" s="680"/>
      <c r="J175" s="705"/>
      <c r="K175" s="679"/>
      <c r="L175" s="680"/>
      <c r="M175" s="680"/>
      <c r="N175" s="680"/>
      <c r="O175" s="705"/>
      <c r="P175" s="679"/>
      <c r="Q175" s="680"/>
      <c r="R175" s="680"/>
      <c r="S175" s="680"/>
      <c r="T175" s="705"/>
      <c r="U175" s="679"/>
      <c r="V175" s="680"/>
      <c r="W175" s="680"/>
      <c r="X175" s="680"/>
      <c r="Y175" s="705"/>
      <c r="Z175" s="679"/>
      <c r="AA175" s="680"/>
      <c r="AB175" s="680"/>
      <c r="AC175" s="680"/>
      <c r="AD175" s="705"/>
      <c r="AE175" s="679"/>
      <c r="AF175" s="680"/>
      <c r="AG175" s="680"/>
      <c r="AH175" s="680"/>
      <c r="AI175" s="705"/>
    </row>
    <row r="176" spans="2:35" ht="50.1" customHeight="1" x14ac:dyDescent="0.3">
      <c r="B176" s="673" t="str">
        <f ca="1">IF(HReal&gt;=MAX(B$6:$B175)+1,B175+1,"")</f>
        <v/>
      </c>
      <c r="C176" s="674" t="str">
        <f t="shared" ca="1" si="7"/>
        <v/>
      </c>
      <c r="D176" s="675" t="str">
        <f t="shared" ca="1" si="6"/>
        <v/>
      </c>
      <c r="E176" s="676" t="str">
        <f ca="1">IF(B176&gt;HReal,"",IFERROR(VLOOKUP(B176,Flts!$G$14:$I$349,3,FALSE),E175))</f>
        <v/>
      </c>
      <c r="F176" s="679"/>
      <c r="G176" s="680"/>
      <c r="H176" s="680"/>
      <c r="I176" s="680"/>
      <c r="J176" s="705"/>
      <c r="K176" s="679"/>
      <c r="L176" s="680"/>
      <c r="M176" s="680"/>
      <c r="N176" s="680"/>
      <c r="O176" s="705"/>
      <c r="P176" s="679"/>
      <c r="Q176" s="680"/>
      <c r="R176" s="680"/>
      <c r="S176" s="680"/>
      <c r="T176" s="705"/>
      <c r="U176" s="679"/>
      <c r="V176" s="680"/>
      <c r="W176" s="680"/>
      <c r="X176" s="680"/>
      <c r="Y176" s="705"/>
      <c r="Z176" s="679"/>
      <c r="AA176" s="680"/>
      <c r="AB176" s="680"/>
      <c r="AC176" s="680"/>
      <c r="AD176" s="705"/>
      <c r="AE176" s="679"/>
      <c r="AF176" s="680"/>
      <c r="AG176" s="680"/>
      <c r="AH176" s="680"/>
      <c r="AI176" s="705"/>
    </row>
    <row r="177" spans="2:35" ht="50.1" customHeight="1" x14ac:dyDescent="0.3">
      <c r="B177" s="673" t="str">
        <f ca="1">IF(HReal&gt;=MAX(B$6:$B176)+1,B176+1,"")</f>
        <v/>
      </c>
      <c r="C177" s="674" t="str">
        <f t="shared" ca="1" si="7"/>
        <v/>
      </c>
      <c r="D177" s="675" t="str">
        <f t="shared" ca="1" si="6"/>
        <v/>
      </c>
      <c r="E177" s="676" t="str">
        <f ca="1">IF(B177&gt;HReal,"",IFERROR(VLOOKUP(B177,Flts!$G$14:$I$349,3,FALSE),E176))</f>
        <v/>
      </c>
      <c r="F177" s="679"/>
      <c r="G177" s="680"/>
      <c r="H177" s="680"/>
      <c r="I177" s="680"/>
      <c r="J177" s="705"/>
      <c r="K177" s="679"/>
      <c r="L177" s="680"/>
      <c r="M177" s="680"/>
      <c r="N177" s="680"/>
      <c r="O177" s="705"/>
      <c r="P177" s="679"/>
      <c r="Q177" s="680"/>
      <c r="R177" s="680"/>
      <c r="S177" s="680"/>
      <c r="T177" s="705"/>
      <c r="U177" s="679"/>
      <c r="V177" s="680"/>
      <c r="W177" s="680"/>
      <c r="X177" s="680"/>
      <c r="Y177" s="705"/>
      <c r="Z177" s="679"/>
      <c r="AA177" s="680"/>
      <c r="AB177" s="680"/>
      <c r="AC177" s="680"/>
      <c r="AD177" s="705"/>
      <c r="AE177" s="679"/>
      <c r="AF177" s="680"/>
      <c r="AG177" s="680"/>
      <c r="AH177" s="680"/>
      <c r="AI177" s="705"/>
    </row>
    <row r="178" spans="2:35" ht="50.1" customHeight="1" x14ac:dyDescent="0.3">
      <c r="B178" s="673" t="str">
        <f ca="1">IF(HReal&gt;=MAX(B$6:$B177)+1,B177+1,"")</f>
        <v/>
      </c>
      <c r="C178" s="674" t="str">
        <f t="shared" ca="1" si="7"/>
        <v/>
      </c>
      <c r="D178" s="675" t="str">
        <f t="shared" ca="1" si="6"/>
        <v/>
      </c>
      <c r="E178" s="676" t="str">
        <f ca="1">IF(B178&gt;HReal,"",IFERROR(VLOOKUP(B178,Flts!$G$14:$I$349,3,FALSE),E177))</f>
        <v/>
      </c>
      <c r="F178" s="679"/>
      <c r="G178" s="680"/>
      <c r="H178" s="680"/>
      <c r="I178" s="680"/>
      <c r="J178" s="705"/>
      <c r="K178" s="679"/>
      <c r="L178" s="680"/>
      <c r="M178" s="680"/>
      <c r="N178" s="680"/>
      <c r="O178" s="705"/>
      <c r="P178" s="679"/>
      <c r="Q178" s="680"/>
      <c r="R178" s="680"/>
      <c r="S178" s="680"/>
      <c r="T178" s="705"/>
      <c r="U178" s="679"/>
      <c r="V178" s="680"/>
      <c r="W178" s="680"/>
      <c r="X178" s="680"/>
      <c r="Y178" s="705"/>
      <c r="Z178" s="679"/>
      <c r="AA178" s="680"/>
      <c r="AB178" s="680"/>
      <c r="AC178" s="680"/>
      <c r="AD178" s="705"/>
      <c r="AE178" s="679"/>
      <c r="AF178" s="680"/>
      <c r="AG178" s="680"/>
      <c r="AH178" s="680"/>
      <c r="AI178" s="705"/>
    </row>
    <row r="179" spans="2:35" ht="50.1" customHeight="1" x14ac:dyDescent="0.3">
      <c r="B179" s="673" t="str">
        <f ca="1">IF(HReal&gt;=MAX(B$6:$B178)+1,B178+1,"")</f>
        <v/>
      </c>
      <c r="C179" s="674" t="str">
        <f t="shared" ca="1" si="7"/>
        <v/>
      </c>
      <c r="D179" s="675" t="str">
        <f t="shared" ca="1" si="6"/>
        <v/>
      </c>
      <c r="E179" s="676" t="str">
        <f ca="1">IF(B179&gt;HReal,"",IFERROR(VLOOKUP(B179,Flts!$G$14:$I$349,3,FALSE),E178))</f>
        <v/>
      </c>
      <c r="F179" s="679"/>
      <c r="G179" s="680"/>
      <c r="H179" s="680"/>
      <c r="I179" s="680"/>
      <c r="J179" s="705"/>
      <c r="K179" s="679"/>
      <c r="L179" s="680"/>
      <c r="M179" s="680"/>
      <c r="N179" s="680"/>
      <c r="O179" s="705"/>
      <c r="P179" s="679"/>
      <c r="Q179" s="680"/>
      <c r="R179" s="680"/>
      <c r="S179" s="680"/>
      <c r="T179" s="705"/>
      <c r="U179" s="679"/>
      <c r="V179" s="680"/>
      <c r="W179" s="680"/>
      <c r="X179" s="680"/>
      <c r="Y179" s="705"/>
      <c r="Z179" s="679"/>
      <c r="AA179" s="680"/>
      <c r="AB179" s="680"/>
      <c r="AC179" s="680"/>
      <c r="AD179" s="705"/>
      <c r="AE179" s="679"/>
      <c r="AF179" s="680"/>
      <c r="AG179" s="680"/>
      <c r="AH179" s="680"/>
      <c r="AI179" s="705"/>
    </row>
    <row r="180" spans="2:35" ht="50.1" customHeight="1" x14ac:dyDescent="0.3">
      <c r="B180" s="673" t="str">
        <f ca="1">IF(HReal&gt;=MAX(B$6:$B179)+1,B179+1,"")</f>
        <v/>
      </c>
      <c r="C180" s="674" t="str">
        <f t="shared" ca="1" si="7"/>
        <v/>
      </c>
      <c r="D180" s="675" t="str">
        <f t="shared" ca="1" si="6"/>
        <v/>
      </c>
      <c r="E180" s="676" t="str">
        <f ca="1">IF(B180&gt;HReal,"",IFERROR(VLOOKUP(B180,Flts!$G$14:$I$349,3,FALSE),E179))</f>
        <v/>
      </c>
      <c r="F180" s="679"/>
      <c r="G180" s="680"/>
      <c r="H180" s="680"/>
      <c r="I180" s="680"/>
      <c r="J180" s="705"/>
      <c r="K180" s="679"/>
      <c r="L180" s="680"/>
      <c r="M180" s="680"/>
      <c r="N180" s="680"/>
      <c r="O180" s="705"/>
      <c r="P180" s="679"/>
      <c r="Q180" s="680"/>
      <c r="R180" s="680"/>
      <c r="S180" s="680"/>
      <c r="T180" s="705"/>
      <c r="U180" s="679"/>
      <c r="V180" s="680"/>
      <c r="W180" s="680"/>
      <c r="X180" s="680"/>
      <c r="Y180" s="705"/>
      <c r="Z180" s="679"/>
      <c r="AA180" s="680"/>
      <c r="AB180" s="680"/>
      <c r="AC180" s="680"/>
      <c r="AD180" s="705"/>
      <c r="AE180" s="679"/>
      <c r="AF180" s="680"/>
      <c r="AG180" s="680"/>
      <c r="AH180" s="680"/>
      <c r="AI180" s="705"/>
    </row>
    <row r="181" spans="2:35" ht="50.1" customHeight="1" x14ac:dyDescent="0.3">
      <c r="B181" s="673" t="str">
        <f ca="1">IF(HReal&gt;=MAX(B$6:$B180)+1,B180+1,"")</f>
        <v/>
      </c>
      <c r="C181" s="674" t="str">
        <f t="shared" ca="1" si="7"/>
        <v/>
      </c>
      <c r="D181" s="675" t="str">
        <f t="shared" ca="1" si="6"/>
        <v/>
      </c>
      <c r="E181" s="676" t="str">
        <f ca="1">IF(B181&gt;HReal,"",IFERROR(VLOOKUP(B181,Flts!$G$14:$I$349,3,FALSE),E180))</f>
        <v/>
      </c>
      <c r="F181" s="679"/>
      <c r="G181" s="680"/>
      <c r="H181" s="680"/>
      <c r="I181" s="680"/>
      <c r="J181" s="705"/>
      <c r="K181" s="679"/>
      <c r="L181" s="680"/>
      <c r="M181" s="680"/>
      <c r="N181" s="680"/>
      <c r="O181" s="705"/>
      <c r="P181" s="679"/>
      <c r="Q181" s="680"/>
      <c r="R181" s="680"/>
      <c r="S181" s="680"/>
      <c r="T181" s="705"/>
      <c r="U181" s="679"/>
      <c r="V181" s="680"/>
      <c r="W181" s="680"/>
      <c r="X181" s="680"/>
      <c r="Y181" s="705"/>
      <c r="Z181" s="679"/>
      <c r="AA181" s="680"/>
      <c r="AB181" s="680"/>
      <c r="AC181" s="680"/>
      <c r="AD181" s="705"/>
      <c r="AE181" s="679"/>
      <c r="AF181" s="680"/>
      <c r="AG181" s="680"/>
      <c r="AH181" s="680"/>
      <c r="AI181" s="705"/>
    </row>
    <row r="182" spans="2:35" ht="50.1" customHeight="1" x14ac:dyDescent="0.3">
      <c r="B182" s="673" t="str">
        <f ca="1">IF(HReal&gt;=MAX(B$6:$B181)+1,B181+1,"")</f>
        <v/>
      </c>
      <c r="C182" s="674" t="str">
        <f t="shared" ca="1" si="7"/>
        <v/>
      </c>
      <c r="D182" s="675" t="str">
        <f t="shared" ca="1" si="6"/>
        <v/>
      </c>
      <c r="E182" s="676" t="str">
        <f ca="1">IF(B182&gt;HReal,"",IFERROR(VLOOKUP(B182,Flts!$G$14:$I$349,3,FALSE),E181))</f>
        <v/>
      </c>
      <c r="F182" s="679"/>
      <c r="G182" s="680"/>
      <c r="H182" s="680"/>
      <c r="I182" s="680"/>
      <c r="J182" s="705"/>
      <c r="K182" s="679"/>
      <c r="L182" s="680"/>
      <c r="M182" s="680"/>
      <c r="N182" s="680"/>
      <c r="O182" s="705"/>
      <c r="P182" s="679"/>
      <c r="Q182" s="680"/>
      <c r="R182" s="680"/>
      <c r="S182" s="680"/>
      <c r="T182" s="705"/>
      <c r="U182" s="679"/>
      <c r="V182" s="680"/>
      <c r="W182" s="680"/>
      <c r="X182" s="680"/>
      <c r="Y182" s="705"/>
      <c r="Z182" s="679"/>
      <c r="AA182" s="680"/>
      <c r="AB182" s="680"/>
      <c r="AC182" s="680"/>
      <c r="AD182" s="705"/>
      <c r="AE182" s="679"/>
      <c r="AF182" s="680"/>
      <c r="AG182" s="680"/>
      <c r="AH182" s="680"/>
      <c r="AI182" s="705"/>
    </row>
    <row r="183" spans="2:35" ht="50.1" customHeight="1" x14ac:dyDescent="0.3">
      <c r="B183" s="673" t="str">
        <f ca="1">IF(HReal&gt;=MAX(B$6:$B182)+1,B182+1,"")</f>
        <v/>
      </c>
      <c r="C183" s="674" t="str">
        <f t="shared" ca="1" si="7"/>
        <v/>
      </c>
      <c r="D183" s="675" t="str">
        <f t="shared" ca="1" si="6"/>
        <v/>
      </c>
      <c r="E183" s="676" t="str">
        <f ca="1">IF(B183&gt;HReal,"",IFERROR(VLOOKUP(B183,Flts!$G$14:$I$349,3,FALSE),E182))</f>
        <v/>
      </c>
      <c r="F183" s="679"/>
      <c r="G183" s="680"/>
      <c r="H183" s="680"/>
      <c r="I183" s="680"/>
      <c r="J183" s="705"/>
      <c r="K183" s="679"/>
      <c r="L183" s="680"/>
      <c r="M183" s="680"/>
      <c r="N183" s="680"/>
      <c r="O183" s="705"/>
      <c r="P183" s="679"/>
      <c r="Q183" s="680"/>
      <c r="R183" s="680"/>
      <c r="S183" s="680"/>
      <c r="T183" s="705"/>
      <c r="U183" s="679"/>
      <c r="V183" s="680"/>
      <c r="W183" s="680"/>
      <c r="X183" s="680"/>
      <c r="Y183" s="705"/>
      <c r="Z183" s="679"/>
      <c r="AA183" s="680"/>
      <c r="AB183" s="680"/>
      <c r="AC183" s="680"/>
      <c r="AD183" s="705"/>
      <c r="AE183" s="679"/>
      <c r="AF183" s="680"/>
      <c r="AG183" s="680"/>
      <c r="AH183" s="680"/>
      <c r="AI183" s="705"/>
    </row>
    <row r="184" spans="2:35" ht="50.1" customHeight="1" x14ac:dyDescent="0.3">
      <c r="B184" s="673" t="str">
        <f ca="1">IF(HReal&gt;=MAX(B$6:$B183)+1,B183+1,"")</f>
        <v/>
      </c>
      <c r="C184" s="674" t="str">
        <f t="shared" ca="1" si="7"/>
        <v/>
      </c>
      <c r="D184" s="675" t="str">
        <f t="shared" ca="1" si="6"/>
        <v/>
      </c>
      <c r="E184" s="676" t="str">
        <f ca="1">IF(B184&gt;HReal,"",IFERROR(VLOOKUP(B184,Flts!$G$14:$I$349,3,FALSE),E183))</f>
        <v/>
      </c>
      <c r="F184" s="679"/>
      <c r="G184" s="680"/>
      <c r="H184" s="680"/>
      <c r="I184" s="680"/>
      <c r="J184" s="705"/>
      <c r="K184" s="679"/>
      <c r="L184" s="680"/>
      <c r="M184" s="680"/>
      <c r="N184" s="680"/>
      <c r="O184" s="705"/>
      <c r="P184" s="679"/>
      <c r="Q184" s="680"/>
      <c r="R184" s="680"/>
      <c r="S184" s="680"/>
      <c r="T184" s="705"/>
      <c r="U184" s="679"/>
      <c r="V184" s="680"/>
      <c r="W184" s="680"/>
      <c r="X184" s="680"/>
      <c r="Y184" s="705"/>
      <c r="Z184" s="679"/>
      <c r="AA184" s="680"/>
      <c r="AB184" s="680"/>
      <c r="AC184" s="680"/>
      <c r="AD184" s="705"/>
      <c r="AE184" s="679"/>
      <c r="AF184" s="680"/>
      <c r="AG184" s="680"/>
      <c r="AH184" s="680"/>
      <c r="AI184" s="705"/>
    </row>
    <row r="185" spans="2:35" ht="50.1" customHeight="1" x14ac:dyDescent="0.3">
      <c r="B185" s="673" t="str">
        <f ca="1">IF(HReal&gt;=MAX(B$6:$B184)+1,B184+1,"")</f>
        <v/>
      </c>
      <c r="C185" s="674" t="str">
        <f t="shared" ca="1" si="7"/>
        <v/>
      </c>
      <c r="D185" s="675" t="str">
        <f t="shared" ca="1" si="6"/>
        <v/>
      </c>
      <c r="E185" s="676" t="str">
        <f ca="1">IF(B185&gt;HReal,"",IFERROR(VLOOKUP(B185,Flts!$G$14:$I$349,3,FALSE),E184))</f>
        <v/>
      </c>
      <c r="F185" s="679"/>
      <c r="G185" s="680"/>
      <c r="H185" s="680"/>
      <c r="I185" s="680"/>
      <c r="J185" s="705"/>
      <c r="K185" s="679"/>
      <c r="L185" s="680"/>
      <c r="M185" s="680"/>
      <c r="N185" s="680"/>
      <c r="O185" s="705"/>
      <c r="P185" s="679"/>
      <c r="Q185" s="680"/>
      <c r="R185" s="680"/>
      <c r="S185" s="680"/>
      <c r="T185" s="705"/>
      <c r="U185" s="679"/>
      <c r="V185" s="680"/>
      <c r="W185" s="680"/>
      <c r="X185" s="680"/>
      <c r="Y185" s="705"/>
      <c r="Z185" s="679"/>
      <c r="AA185" s="680"/>
      <c r="AB185" s="680"/>
      <c r="AC185" s="680"/>
      <c r="AD185" s="705"/>
      <c r="AE185" s="679"/>
      <c r="AF185" s="680"/>
      <c r="AG185" s="680"/>
      <c r="AH185" s="680"/>
      <c r="AI185" s="705"/>
    </row>
    <row r="186" spans="2:35" ht="50.1" customHeight="1" x14ac:dyDescent="0.3">
      <c r="B186" s="673" t="str">
        <f ca="1">IF(HReal&gt;=MAX(B$6:$B185)+1,B185+1,"")</f>
        <v/>
      </c>
      <c r="C186" s="674" t="str">
        <f t="shared" ca="1" si="7"/>
        <v/>
      </c>
      <c r="D186" s="675" t="str">
        <f t="shared" ca="1" si="6"/>
        <v/>
      </c>
      <c r="E186" s="676" t="str">
        <f ca="1">IF(B186&gt;HReal,"",IFERROR(VLOOKUP(B186,Flts!$G$14:$I$349,3,FALSE),E185))</f>
        <v/>
      </c>
      <c r="F186" s="679"/>
      <c r="G186" s="680"/>
      <c r="H186" s="680"/>
      <c r="I186" s="680"/>
      <c r="J186" s="705"/>
      <c r="K186" s="679"/>
      <c r="L186" s="680"/>
      <c r="M186" s="680"/>
      <c r="N186" s="680"/>
      <c r="O186" s="705"/>
      <c r="P186" s="679"/>
      <c r="Q186" s="680"/>
      <c r="R186" s="680"/>
      <c r="S186" s="680"/>
      <c r="T186" s="705"/>
      <c r="U186" s="679"/>
      <c r="V186" s="680"/>
      <c r="W186" s="680"/>
      <c r="X186" s="680"/>
      <c r="Y186" s="705"/>
      <c r="Z186" s="679"/>
      <c r="AA186" s="680"/>
      <c r="AB186" s="680"/>
      <c r="AC186" s="680"/>
      <c r="AD186" s="705"/>
      <c r="AE186" s="679"/>
      <c r="AF186" s="680"/>
      <c r="AG186" s="680"/>
      <c r="AH186" s="680"/>
      <c r="AI186" s="705"/>
    </row>
    <row r="187" spans="2:35" ht="50.1" customHeight="1" x14ac:dyDescent="0.3">
      <c r="B187" s="673" t="str">
        <f ca="1">IF(HReal&gt;=MAX(B$6:$B186)+1,B186+1,"")</f>
        <v/>
      </c>
      <c r="C187" s="674" t="str">
        <f t="shared" ca="1" si="7"/>
        <v/>
      </c>
      <c r="D187" s="675" t="str">
        <f t="shared" ca="1" si="6"/>
        <v/>
      </c>
      <c r="E187" s="676" t="str">
        <f ca="1">IF(B187&gt;HReal,"",IFERROR(VLOOKUP(B187,Flts!$G$14:$I$349,3,FALSE),E186))</f>
        <v/>
      </c>
      <c r="F187" s="679"/>
      <c r="G187" s="680"/>
      <c r="H187" s="680"/>
      <c r="I187" s="680"/>
      <c r="J187" s="705"/>
      <c r="K187" s="679"/>
      <c r="L187" s="680"/>
      <c r="M187" s="680"/>
      <c r="N187" s="680"/>
      <c r="O187" s="705"/>
      <c r="P187" s="679"/>
      <c r="Q187" s="680"/>
      <c r="R187" s="680"/>
      <c r="S187" s="680"/>
      <c r="T187" s="705"/>
      <c r="U187" s="679"/>
      <c r="V187" s="680"/>
      <c r="W187" s="680"/>
      <c r="X187" s="680"/>
      <c r="Y187" s="705"/>
      <c r="Z187" s="679"/>
      <c r="AA187" s="680"/>
      <c r="AB187" s="680"/>
      <c r="AC187" s="680"/>
      <c r="AD187" s="705"/>
      <c r="AE187" s="679"/>
      <c r="AF187" s="680"/>
      <c r="AG187" s="680"/>
      <c r="AH187" s="680"/>
      <c r="AI187" s="705"/>
    </row>
    <row r="188" spans="2:35" ht="50.1" customHeight="1" x14ac:dyDescent="0.3">
      <c r="B188" s="673" t="str">
        <f ca="1">IF(HReal&gt;=MAX(B$6:$B187)+1,B187+1,"")</f>
        <v/>
      </c>
      <c r="C188" s="674" t="str">
        <f t="shared" ca="1" si="7"/>
        <v/>
      </c>
      <c r="D188" s="675" t="str">
        <f t="shared" ca="1" si="6"/>
        <v/>
      </c>
      <c r="E188" s="676" t="str">
        <f ca="1">IF(B188&gt;HReal,"",IFERROR(VLOOKUP(B188,Flts!$G$14:$I$349,3,FALSE),E187))</f>
        <v/>
      </c>
      <c r="F188" s="679"/>
      <c r="G188" s="680"/>
      <c r="H188" s="680"/>
      <c r="I188" s="680"/>
      <c r="J188" s="705"/>
      <c r="K188" s="679"/>
      <c r="L188" s="680"/>
      <c r="M188" s="680"/>
      <c r="N188" s="680"/>
      <c r="O188" s="705"/>
      <c r="P188" s="679"/>
      <c r="Q188" s="680"/>
      <c r="R188" s="680"/>
      <c r="S188" s="680"/>
      <c r="T188" s="705"/>
      <c r="U188" s="679"/>
      <c r="V188" s="680"/>
      <c r="W188" s="680"/>
      <c r="X188" s="680"/>
      <c r="Y188" s="705"/>
      <c r="Z188" s="679"/>
      <c r="AA188" s="680"/>
      <c r="AB188" s="680"/>
      <c r="AC188" s="680"/>
      <c r="AD188" s="705"/>
      <c r="AE188" s="679"/>
      <c r="AF188" s="680"/>
      <c r="AG188" s="680"/>
      <c r="AH188" s="680"/>
      <c r="AI188" s="705"/>
    </row>
    <row r="189" spans="2:35" ht="50.1" customHeight="1" x14ac:dyDescent="0.3">
      <c r="B189" s="673" t="str">
        <f ca="1">IF(HReal&gt;=MAX(B$6:$B188)+1,B188+1,"")</f>
        <v/>
      </c>
      <c r="C189" s="674" t="str">
        <f t="shared" ca="1" si="7"/>
        <v/>
      </c>
      <c r="D189" s="675" t="str">
        <f t="shared" ca="1" si="6"/>
        <v/>
      </c>
      <c r="E189" s="676" t="str">
        <f ca="1">IF(B189&gt;HReal,"",IFERROR(VLOOKUP(B189,Flts!$G$14:$I$349,3,FALSE),E188))</f>
        <v/>
      </c>
      <c r="F189" s="679"/>
      <c r="G189" s="680"/>
      <c r="H189" s="680"/>
      <c r="I189" s="680"/>
      <c r="J189" s="705"/>
      <c r="K189" s="679"/>
      <c r="L189" s="680"/>
      <c r="M189" s="680"/>
      <c r="N189" s="680"/>
      <c r="O189" s="705"/>
      <c r="P189" s="679"/>
      <c r="Q189" s="680"/>
      <c r="R189" s="680"/>
      <c r="S189" s="680"/>
      <c r="T189" s="705"/>
      <c r="U189" s="679"/>
      <c r="V189" s="680"/>
      <c r="W189" s="680"/>
      <c r="X189" s="680"/>
      <c r="Y189" s="705"/>
      <c r="Z189" s="679"/>
      <c r="AA189" s="680"/>
      <c r="AB189" s="680"/>
      <c r="AC189" s="680"/>
      <c r="AD189" s="705"/>
      <c r="AE189" s="679"/>
      <c r="AF189" s="680"/>
      <c r="AG189" s="680"/>
      <c r="AH189" s="680"/>
      <c r="AI189" s="705"/>
    </row>
    <row r="190" spans="2:35" ht="50.1" customHeight="1" x14ac:dyDescent="0.3">
      <c r="B190" s="673" t="str">
        <f ca="1">IF(HReal&gt;=MAX(B$6:$B189)+1,B189+1,"")</f>
        <v/>
      </c>
      <c r="C190" s="674" t="str">
        <f t="shared" ca="1" si="7"/>
        <v/>
      </c>
      <c r="D190" s="675" t="str">
        <f t="shared" ca="1" si="6"/>
        <v/>
      </c>
      <c r="E190" s="676" t="str">
        <f ca="1">IF(B190&gt;HReal,"",IFERROR(VLOOKUP(B190,Flts!$G$14:$I$349,3,FALSE),E189))</f>
        <v/>
      </c>
      <c r="F190" s="679"/>
      <c r="G190" s="680"/>
      <c r="H190" s="680"/>
      <c r="I190" s="680"/>
      <c r="J190" s="705"/>
      <c r="K190" s="679"/>
      <c r="L190" s="680"/>
      <c r="M190" s="680"/>
      <c r="N190" s="680"/>
      <c r="O190" s="705"/>
      <c r="P190" s="679"/>
      <c r="Q190" s="680"/>
      <c r="R190" s="680"/>
      <c r="S190" s="680"/>
      <c r="T190" s="705"/>
      <c r="U190" s="679"/>
      <c r="V190" s="680"/>
      <c r="W190" s="680"/>
      <c r="X190" s="680"/>
      <c r="Y190" s="705"/>
      <c r="Z190" s="679"/>
      <c r="AA190" s="680"/>
      <c r="AB190" s="680"/>
      <c r="AC190" s="680"/>
      <c r="AD190" s="705"/>
      <c r="AE190" s="679"/>
      <c r="AF190" s="680"/>
      <c r="AG190" s="680"/>
      <c r="AH190" s="680"/>
      <c r="AI190" s="705"/>
    </row>
    <row r="191" spans="2:35" ht="50.1" customHeight="1" x14ac:dyDescent="0.3">
      <c r="B191" s="673" t="str">
        <f ca="1">IF(HReal&gt;=MAX(B$6:$B190)+1,B190+1,"")</f>
        <v/>
      </c>
      <c r="C191" s="674" t="str">
        <f t="shared" ca="1" si="7"/>
        <v/>
      </c>
      <c r="D191" s="675" t="str">
        <f t="shared" ca="1" si="6"/>
        <v/>
      </c>
      <c r="E191" s="676" t="str">
        <f ca="1">IF(B191&gt;HReal,"",IFERROR(VLOOKUP(B191,Flts!$G$14:$I$349,3,FALSE),E190))</f>
        <v/>
      </c>
      <c r="F191" s="679"/>
      <c r="G191" s="680"/>
      <c r="H191" s="680"/>
      <c r="I191" s="680"/>
      <c r="J191" s="705"/>
      <c r="K191" s="679"/>
      <c r="L191" s="680"/>
      <c r="M191" s="680"/>
      <c r="N191" s="680"/>
      <c r="O191" s="705"/>
      <c r="P191" s="679"/>
      <c r="Q191" s="680"/>
      <c r="R191" s="680"/>
      <c r="S191" s="680"/>
      <c r="T191" s="705"/>
      <c r="U191" s="679"/>
      <c r="V191" s="680"/>
      <c r="W191" s="680"/>
      <c r="X191" s="680"/>
      <c r="Y191" s="705"/>
      <c r="Z191" s="679"/>
      <c r="AA191" s="680"/>
      <c r="AB191" s="680"/>
      <c r="AC191" s="680"/>
      <c r="AD191" s="705"/>
      <c r="AE191" s="679"/>
      <c r="AF191" s="680"/>
      <c r="AG191" s="680"/>
      <c r="AH191" s="680"/>
      <c r="AI191" s="705"/>
    </row>
    <row r="192" spans="2:35" ht="50.1" customHeight="1" x14ac:dyDescent="0.3">
      <c r="B192" s="673" t="str">
        <f ca="1">IF(HReal&gt;=MAX(B$6:$B191)+1,B191+1,"")</f>
        <v/>
      </c>
      <c r="C192" s="674" t="str">
        <f t="shared" ca="1" si="7"/>
        <v/>
      </c>
      <c r="D192" s="675" t="str">
        <f t="shared" ca="1" si="6"/>
        <v/>
      </c>
      <c r="E192" s="676" t="str">
        <f ca="1">IF(B192&gt;HReal,"",IFERROR(VLOOKUP(B192,Flts!$G$14:$I$349,3,FALSE),E191))</f>
        <v/>
      </c>
      <c r="F192" s="679"/>
      <c r="G192" s="680"/>
      <c r="H192" s="680"/>
      <c r="I192" s="680"/>
      <c r="J192" s="705"/>
      <c r="K192" s="679"/>
      <c r="L192" s="680"/>
      <c r="M192" s="680"/>
      <c r="N192" s="680"/>
      <c r="O192" s="705"/>
      <c r="P192" s="679"/>
      <c r="Q192" s="680"/>
      <c r="R192" s="680"/>
      <c r="S192" s="680"/>
      <c r="T192" s="705"/>
      <c r="U192" s="679"/>
      <c r="V192" s="680"/>
      <c r="W192" s="680"/>
      <c r="X192" s="680"/>
      <c r="Y192" s="705"/>
      <c r="Z192" s="679"/>
      <c r="AA192" s="680"/>
      <c r="AB192" s="680"/>
      <c r="AC192" s="680"/>
      <c r="AD192" s="705"/>
      <c r="AE192" s="679"/>
      <c r="AF192" s="680"/>
      <c r="AG192" s="680"/>
      <c r="AH192" s="680"/>
      <c r="AI192" s="705"/>
    </row>
    <row r="193" spans="2:35" ht="50.1" customHeight="1" x14ac:dyDescent="0.3">
      <c r="B193" s="673" t="str">
        <f ca="1">IF(HReal&gt;=MAX(B$6:$B192)+1,B192+1,"")</f>
        <v/>
      </c>
      <c r="C193" s="674" t="str">
        <f t="shared" ca="1" si="7"/>
        <v/>
      </c>
      <c r="D193" s="675" t="str">
        <f t="shared" ca="1" si="6"/>
        <v/>
      </c>
      <c r="E193" s="676" t="str">
        <f ca="1">IF(B193&gt;HReal,"",IFERROR(VLOOKUP(B193,Flts!$G$14:$I$349,3,FALSE),E192))</f>
        <v/>
      </c>
      <c r="F193" s="679"/>
      <c r="G193" s="680"/>
      <c r="H193" s="680"/>
      <c r="I193" s="680"/>
      <c r="J193" s="705"/>
      <c r="K193" s="679"/>
      <c r="L193" s="680"/>
      <c r="M193" s="680"/>
      <c r="N193" s="680"/>
      <c r="O193" s="705"/>
      <c r="P193" s="679"/>
      <c r="Q193" s="680"/>
      <c r="R193" s="680"/>
      <c r="S193" s="680"/>
      <c r="T193" s="705"/>
      <c r="U193" s="679"/>
      <c r="V193" s="680"/>
      <c r="W193" s="680"/>
      <c r="X193" s="680"/>
      <c r="Y193" s="705"/>
      <c r="Z193" s="679"/>
      <c r="AA193" s="680"/>
      <c r="AB193" s="680"/>
      <c r="AC193" s="680"/>
      <c r="AD193" s="705"/>
      <c r="AE193" s="679"/>
      <c r="AF193" s="680"/>
      <c r="AG193" s="680"/>
      <c r="AH193" s="680"/>
      <c r="AI193" s="705"/>
    </row>
    <row r="194" spans="2:35" ht="50.1" customHeight="1" x14ac:dyDescent="0.3">
      <c r="B194" s="673" t="str">
        <f ca="1">IF(HReal&gt;=MAX(B$6:$B193)+1,B193+1,"")</f>
        <v/>
      </c>
      <c r="C194" s="674" t="str">
        <f t="shared" ca="1" si="7"/>
        <v/>
      </c>
      <c r="D194" s="675" t="str">
        <f t="shared" ca="1" si="6"/>
        <v/>
      </c>
      <c r="E194" s="676" t="str">
        <f ca="1">IF(B194&gt;HReal,"",IFERROR(VLOOKUP(B194,Flts!$G$14:$I$349,3,FALSE),E193))</f>
        <v/>
      </c>
      <c r="F194" s="679"/>
      <c r="G194" s="680"/>
      <c r="H194" s="680"/>
      <c r="I194" s="680"/>
      <c r="J194" s="705"/>
      <c r="K194" s="679"/>
      <c r="L194" s="680"/>
      <c r="M194" s="680"/>
      <c r="N194" s="680"/>
      <c r="O194" s="705"/>
      <c r="P194" s="679"/>
      <c r="Q194" s="680"/>
      <c r="R194" s="680"/>
      <c r="S194" s="680"/>
      <c r="T194" s="705"/>
      <c r="U194" s="679"/>
      <c r="V194" s="680"/>
      <c r="W194" s="680"/>
      <c r="X194" s="680"/>
      <c r="Y194" s="705"/>
      <c r="Z194" s="679"/>
      <c r="AA194" s="680"/>
      <c r="AB194" s="680"/>
      <c r="AC194" s="680"/>
      <c r="AD194" s="705"/>
      <c r="AE194" s="679"/>
      <c r="AF194" s="680"/>
      <c r="AG194" s="680"/>
      <c r="AH194" s="680"/>
      <c r="AI194" s="705"/>
    </row>
    <row r="195" spans="2:35" ht="50.1" customHeight="1" x14ac:dyDescent="0.3">
      <c r="B195" s="673" t="str">
        <f ca="1">IF(HReal&gt;=MAX(B$6:$B194)+1,B194+1,"")</f>
        <v/>
      </c>
      <c r="C195" s="674" t="str">
        <f t="shared" ca="1" si="7"/>
        <v/>
      </c>
      <c r="D195" s="675" t="str">
        <f t="shared" ref="D195:D226" ca="1" si="8">E195</f>
        <v/>
      </c>
      <c r="E195" s="676" t="str">
        <f ca="1">IF(B195&gt;HReal,"",IFERROR(VLOOKUP(B195,Flts!$G$14:$I$349,3,FALSE),E194))</f>
        <v/>
      </c>
      <c r="F195" s="679"/>
      <c r="G195" s="680"/>
      <c r="H195" s="680"/>
      <c r="I195" s="680"/>
      <c r="J195" s="705"/>
      <c r="K195" s="679"/>
      <c r="L195" s="680"/>
      <c r="M195" s="680"/>
      <c r="N195" s="680"/>
      <c r="O195" s="705"/>
      <c r="P195" s="679"/>
      <c r="Q195" s="680"/>
      <c r="R195" s="680"/>
      <c r="S195" s="680"/>
      <c r="T195" s="705"/>
      <c r="U195" s="679"/>
      <c r="V195" s="680"/>
      <c r="W195" s="680"/>
      <c r="X195" s="680"/>
      <c r="Y195" s="705"/>
      <c r="Z195" s="679"/>
      <c r="AA195" s="680"/>
      <c r="AB195" s="680"/>
      <c r="AC195" s="680"/>
      <c r="AD195" s="705"/>
      <c r="AE195" s="679"/>
      <c r="AF195" s="680"/>
      <c r="AG195" s="680"/>
      <c r="AH195" s="680"/>
      <c r="AI195" s="705"/>
    </row>
    <row r="196" spans="2:35" ht="50.1" customHeight="1" x14ac:dyDescent="0.3">
      <c r="B196" s="673" t="str">
        <f ca="1">IF(HReal&gt;=MAX(B$6:$B195)+1,B195+1,"")</f>
        <v/>
      </c>
      <c r="C196" s="674" t="str">
        <f t="shared" ref="C196:C226" ca="1" si="9">IF(AND(B196&lt;HReal,E195&lt;&gt;E196),IFERROR(MID(Vdias,(WEEKDAY(E196,2)-1)*3+1,3),C195),"")</f>
        <v/>
      </c>
      <c r="D196" s="675" t="str">
        <f t="shared" ca="1" si="8"/>
        <v/>
      </c>
      <c r="E196" s="676" t="str">
        <f ca="1">IF(B196&gt;HReal,"",IFERROR(VLOOKUP(B196,Flts!$G$14:$I$349,3,FALSE),E195))</f>
        <v/>
      </c>
      <c r="F196" s="679"/>
      <c r="G196" s="680"/>
      <c r="H196" s="680"/>
      <c r="I196" s="680"/>
      <c r="J196" s="705"/>
      <c r="K196" s="679"/>
      <c r="L196" s="680"/>
      <c r="M196" s="680"/>
      <c r="N196" s="680"/>
      <c r="O196" s="705"/>
      <c r="P196" s="679"/>
      <c r="Q196" s="680"/>
      <c r="R196" s="680"/>
      <c r="S196" s="680"/>
      <c r="T196" s="705"/>
      <c r="U196" s="679"/>
      <c r="V196" s="680"/>
      <c r="W196" s="680"/>
      <c r="X196" s="680"/>
      <c r="Y196" s="705"/>
      <c r="Z196" s="679"/>
      <c r="AA196" s="680"/>
      <c r="AB196" s="680"/>
      <c r="AC196" s="680"/>
      <c r="AD196" s="705"/>
      <c r="AE196" s="679"/>
      <c r="AF196" s="680"/>
      <c r="AG196" s="680"/>
      <c r="AH196" s="680"/>
      <c r="AI196" s="705"/>
    </row>
    <row r="197" spans="2:35" ht="50.1" customHeight="1" x14ac:dyDescent="0.3">
      <c r="B197" s="673" t="str">
        <f ca="1">IF(HReal&gt;=MAX(B$6:$B196)+1,B196+1,"")</f>
        <v/>
      </c>
      <c r="C197" s="674" t="str">
        <f t="shared" ca="1" si="9"/>
        <v/>
      </c>
      <c r="D197" s="675" t="str">
        <f t="shared" ca="1" si="8"/>
        <v/>
      </c>
      <c r="E197" s="676" t="str">
        <f ca="1">IF(B197&gt;HReal,"",IFERROR(VLOOKUP(B197,Flts!$G$14:$I$349,3,FALSE),E196))</f>
        <v/>
      </c>
      <c r="F197" s="679"/>
      <c r="G197" s="680"/>
      <c r="H197" s="680"/>
      <c r="I197" s="680"/>
      <c r="J197" s="705"/>
      <c r="K197" s="679"/>
      <c r="L197" s="680"/>
      <c r="M197" s="680"/>
      <c r="N197" s="680"/>
      <c r="O197" s="705"/>
      <c r="P197" s="679"/>
      <c r="Q197" s="680"/>
      <c r="R197" s="680"/>
      <c r="S197" s="680"/>
      <c r="T197" s="705"/>
      <c r="U197" s="679"/>
      <c r="V197" s="680"/>
      <c r="W197" s="680"/>
      <c r="X197" s="680"/>
      <c r="Y197" s="705"/>
      <c r="Z197" s="679"/>
      <c r="AA197" s="680"/>
      <c r="AB197" s="680"/>
      <c r="AC197" s="680"/>
      <c r="AD197" s="705"/>
      <c r="AE197" s="679"/>
      <c r="AF197" s="680"/>
      <c r="AG197" s="680"/>
      <c r="AH197" s="680"/>
      <c r="AI197" s="705"/>
    </row>
    <row r="198" spans="2:35" ht="50.1" customHeight="1" x14ac:dyDescent="0.3">
      <c r="B198" s="673" t="str">
        <f ca="1">IF(HReal&gt;=MAX(B$6:$B197)+1,B197+1,"")</f>
        <v/>
      </c>
      <c r="C198" s="674" t="str">
        <f t="shared" ca="1" si="9"/>
        <v/>
      </c>
      <c r="D198" s="675" t="str">
        <f t="shared" ca="1" si="8"/>
        <v/>
      </c>
      <c r="E198" s="676" t="str">
        <f ca="1">IF(B198&gt;HReal,"",IFERROR(VLOOKUP(B198,Flts!$G$14:$I$349,3,FALSE),E197))</f>
        <v/>
      </c>
      <c r="F198" s="679"/>
      <c r="G198" s="680"/>
      <c r="H198" s="680"/>
      <c r="I198" s="680"/>
      <c r="J198" s="705"/>
      <c r="K198" s="679"/>
      <c r="L198" s="680"/>
      <c r="M198" s="680"/>
      <c r="N198" s="680"/>
      <c r="O198" s="705"/>
      <c r="P198" s="679"/>
      <c r="Q198" s="680"/>
      <c r="R198" s="680"/>
      <c r="S198" s="680"/>
      <c r="T198" s="705"/>
      <c r="U198" s="679"/>
      <c r="V198" s="680"/>
      <c r="W198" s="680"/>
      <c r="X198" s="680"/>
      <c r="Y198" s="705"/>
      <c r="Z198" s="679"/>
      <c r="AA198" s="680"/>
      <c r="AB198" s="680"/>
      <c r="AC198" s="680"/>
      <c r="AD198" s="705"/>
      <c r="AE198" s="679"/>
      <c r="AF198" s="680"/>
      <c r="AG198" s="680"/>
      <c r="AH198" s="680"/>
      <c r="AI198" s="705"/>
    </row>
    <row r="199" spans="2:35" ht="50.1" customHeight="1" x14ac:dyDescent="0.3">
      <c r="B199" s="673" t="str">
        <f ca="1">IF(HReal&gt;=MAX(B$6:$B198)+1,B198+1,"")</f>
        <v/>
      </c>
      <c r="C199" s="674" t="str">
        <f t="shared" ca="1" si="9"/>
        <v/>
      </c>
      <c r="D199" s="675" t="str">
        <f t="shared" ca="1" si="8"/>
        <v/>
      </c>
      <c r="E199" s="676" t="str">
        <f ca="1">IF(B199&gt;HReal,"",IFERROR(VLOOKUP(B199,Flts!$G$14:$I$349,3,FALSE),E198))</f>
        <v/>
      </c>
      <c r="F199" s="679"/>
      <c r="G199" s="680"/>
      <c r="H199" s="680"/>
      <c r="I199" s="680"/>
      <c r="J199" s="705"/>
      <c r="K199" s="679"/>
      <c r="L199" s="680"/>
      <c r="M199" s="680"/>
      <c r="N199" s="680"/>
      <c r="O199" s="705"/>
      <c r="P199" s="679"/>
      <c r="Q199" s="680"/>
      <c r="R199" s="680"/>
      <c r="S199" s="680"/>
      <c r="T199" s="705"/>
      <c r="U199" s="679"/>
      <c r="V199" s="680"/>
      <c r="W199" s="680"/>
      <c r="X199" s="680"/>
      <c r="Y199" s="705"/>
      <c r="Z199" s="679"/>
      <c r="AA199" s="680"/>
      <c r="AB199" s="680"/>
      <c r="AC199" s="680"/>
      <c r="AD199" s="705"/>
      <c r="AE199" s="679"/>
      <c r="AF199" s="680"/>
      <c r="AG199" s="680"/>
      <c r="AH199" s="680"/>
      <c r="AI199" s="705"/>
    </row>
    <row r="200" spans="2:35" ht="50.1" customHeight="1" x14ac:dyDescent="0.3">
      <c r="B200" s="673" t="str">
        <f ca="1">IF(HReal&gt;=MAX(B$6:$B199)+1,B199+1,"")</f>
        <v/>
      </c>
      <c r="C200" s="674" t="str">
        <f t="shared" ca="1" si="9"/>
        <v/>
      </c>
      <c r="D200" s="675" t="str">
        <f t="shared" ca="1" si="8"/>
        <v/>
      </c>
      <c r="E200" s="676" t="str">
        <f ca="1">IF(B200&gt;HReal,"",IFERROR(VLOOKUP(B200,Flts!$G$14:$I$349,3,FALSE),E199))</f>
        <v/>
      </c>
      <c r="F200" s="679"/>
      <c r="G200" s="680"/>
      <c r="H200" s="680"/>
      <c r="I200" s="680"/>
      <c r="J200" s="705"/>
      <c r="K200" s="679"/>
      <c r="L200" s="680"/>
      <c r="M200" s="680"/>
      <c r="N200" s="680"/>
      <c r="O200" s="705"/>
      <c r="P200" s="679"/>
      <c r="Q200" s="680"/>
      <c r="R200" s="680"/>
      <c r="S200" s="680"/>
      <c r="T200" s="705"/>
      <c r="U200" s="679"/>
      <c r="V200" s="680"/>
      <c r="W200" s="680"/>
      <c r="X200" s="680"/>
      <c r="Y200" s="705"/>
      <c r="Z200" s="679"/>
      <c r="AA200" s="680"/>
      <c r="AB200" s="680"/>
      <c r="AC200" s="680"/>
      <c r="AD200" s="705"/>
      <c r="AE200" s="679"/>
      <c r="AF200" s="680"/>
      <c r="AG200" s="680"/>
      <c r="AH200" s="680"/>
      <c r="AI200" s="705"/>
    </row>
    <row r="201" spans="2:35" ht="50.1" customHeight="1" x14ac:dyDescent="0.3">
      <c r="B201" s="673" t="str">
        <f ca="1">IF(HReal&gt;=MAX(B$6:$B200)+1,B200+1,"")</f>
        <v/>
      </c>
      <c r="C201" s="674" t="str">
        <f t="shared" ca="1" si="9"/>
        <v/>
      </c>
      <c r="D201" s="675" t="str">
        <f t="shared" ca="1" si="8"/>
        <v/>
      </c>
      <c r="E201" s="676" t="str">
        <f ca="1">IF(B201&gt;HReal,"",IFERROR(VLOOKUP(B201,Flts!$G$14:$I$349,3,FALSE),E200))</f>
        <v/>
      </c>
      <c r="F201" s="679"/>
      <c r="G201" s="680"/>
      <c r="H201" s="680"/>
      <c r="I201" s="680"/>
      <c r="J201" s="705"/>
      <c r="K201" s="679"/>
      <c r="L201" s="680"/>
      <c r="M201" s="680"/>
      <c r="N201" s="680"/>
      <c r="O201" s="705"/>
      <c r="P201" s="679"/>
      <c r="Q201" s="680"/>
      <c r="R201" s="680"/>
      <c r="S201" s="680"/>
      <c r="T201" s="705"/>
      <c r="U201" s="679"/>
      <c r="V201" s="680"/>
      <c r="W201" s="680"/>
      <c r="X201" s="680"/>
      <c r="Y201" s="705"/>
      <c r="Z201" s="679"/>
      <c r="AA201" s="680"/>
      <c r="AB201" s="680"/>
      <c r="AC201" s="680"/>
      <c r="AD201" s="705"/>
      <c r="AE201" s="679"/>
      <c r="AF201" s="680"/>
      <c r="AG201" s="680"/>
      <c r="AH201" s="680"/>
      <c r="AI201" s="705"/>
    </row>
    <row r="202" spans="2:35" ht="50.1" customHeight="1" x14ac:dyDescent="0.3">
      <c r="B202" s="673" t="str">
        <f ca="1">IF(HReal&gt;=MAX(B$6:$B201)+1,B201+1,"")</f>
        <v/>
      </c>
      <c r="C202" s="674" t="str">
        <f t="shared" ca="1" si="9"/>
        <v/>
      </c>
      <c r="D202" s="675" t="str">
        <f t="shared" ca="1" si="8"/>
        <v/>
      </c>
      <c r="E202" s="676" t="str">
        <f ca="1">IF(B202&gt;HReal,"",IFERROR(VLOOKUP(B202,Flts!$G$14:$I$349,3,FALSE),E201))</f>
        <v/>
      </c>
      <c r="F202" s="679"/>
      <c r="G202" s="680"/>
      <c r="H202" s="680"/>
      <c r="I202" s="680"/>
      <c r="J202" s="705"/>
      <c r="K202" s="679"/>
      <c r="L202" s="680"/>
      <c r="M202" s="680"/>
      <c r="N202" s="680"/>
      <c r="O202" s="705"/>
      <c r="P202" s="679"/>
      <c r="Q202" s="680"/>
      <c r="R202" s="680"/>
      <c r="S202" s="680"/>
      <c r="T202" s="705"/>
      <c r="U202" s="679"/>
      <c r="V202" s="680"/>
      <c r="W202" s="680"/>
      <c r="X202" s="680"/>
      <c r="Y202" s="705"/>
      <c r="Z202" s="679"/>
      <c r="AA202" s="680"/>
      <c r="AB202" s="680"/>
      <c r="AC202" s="680"/>
      <c r="AD202" s="705"/>
      <c r="AE202" s="679"/>
      <c r="AF202" s="680"/>
      <c r="AG202" s="680"/>
      <c r="AH202" s="680"/>
      <c r="AI202" s="705"/>
    </row>
    <row r="203" spans="2:35" ht="50.1" customHeight="1" x14ac:dyDescent="0.3">
      <c r="B203" s="673" t="str">
        <f ca="1">IF(HReal&gt;=MAX(B$6:$B202)+1,B202+1,"")</f>
        <v/>
      </c>
      <c r="C203" s="674" t="str">
        <f t="shared" ca="1" si="9"/>
        <v/>
      </c>
      <c r="D203" s="675" t="str">
        <f t="shared" ca="1" si="8"/>
        <v/>
      </c>
      <c r="E203" s="676" t="str">
        <f ca="1">IF(B203&gt;HReal,"",IFERROR(VLOOKUP(B203,Flts!$G$14:$I$349,3,FALSE),E202))</f>
        <v/>
      </c>
      <c r="F203" s="679"/>
      <c r="G203" s="680"/>
      <c r="H203" s="680"/>
      <c r="I203" s="680"/>
      <c r="J203" s="705"/>
      <c r="K203" s="679"/>
      <c r="L203" s="680"/>
      <c r="M203" s="680"/>
      <c r="N203" s="680"/>
      <c r="O203" s="705"/>
      <c r="P203" s="679"/>
      <c r="Q203" s="680"/>
      <c r="R203" s="680"/>
      <c r="S203" s="680"/>
      <c r="T203" s="705"/>
      <c r="U203" s="679"/>
      <c r="V203" s="680"/>
      <c r="W203" s="680"/>
      <c r="X203" s="680"/>
      <c r="Y203" s="705"/>
      <c r="Z203" s="679"/>
      <c r="AA203" s="680"/>
      <c r="AB203" s="680"/>
      <c r="AC203" s="680"/>
      <c r="AD203" s="705"/>
      <c r="AE203" s="679"/>
      <c r="AF203" s="680"/>
      <c r="AG203" s="680"/>
      <c r="AH203" s="680"/>
      <c r="AI203" s="705"/>
    </row>
    <row r="204" spans="2:35" ht="50.1" customHeight="1" x14ac:dyDescent="0.3">
      <c r="B204" s="673" t="str">
        <f ca="1">IF(HReal&gt;=MAX(B$6:$B203)+1,B203+1,"")</f>
        <v/>
      </c>
      <c r="C204" s="674" t="str">
        <f t="shared" ca="1" si="9"/>
        <v/>
      </c>
      <c r="D204" s="675" t="str">
        <f t="shared" ca="1" si="8"/>
        <v/>
      </c>
      <c r="E204" s="676" t="str">
        <f ca="1">IF(B204&gt;HReal,"",IFERROR(VLOOKUP(B204,Flts!$G$14:$I$349,3,FALSE),E203))</f>
        <v/>
      </c>
      <c r="F204" s="679"/>
      <c r="G204" s="680"/>
      <c r="H204" s="680"/>
      <c r="I204" s="680"/>
      <c r="J204" s="705"/>
      <c r="K204" s="679"/>
      <c r="L204" s="680"/>
      <c r="M204" s="680"/>
      <c r="N204" s="680"/>
      <c r="O204" s="705"/>
      <c r="P204" s="679"/>
      <c r="Q204" s="680"/>
      <c r="R204" s="680"/>
      <c r="S204" s="680"/>
      <c r="T204" s="705"/>
      <c r="U204" s="679"/>
      <c r="V204" s="680"/>
      <c r="W204" s="680"/>
      <c r="X204" s="680"/>
      <c r="Y204" s="705"/>
      <c r="Z204" s="679"/>
      <c r="AA204" s="680"/>
      <c r="AB204" s="680"/>
      <c r="AC204" s="680"/>
      <c r="AD204" s="705"/>
      <c r="AE204" s="679"/>
      <c r="AF204" s="680"/>
      <c r="AG204" s="680"/>
      <c r="AH204" s="680"/>
      <c r="AI204" s="705"/>
    </row>
    <row r="205" spans="2:35" ht="50.1" customHeight="1" x14ac:dyDescent="0.3">
      <c r="B205" s="673" t="str">
        <f ca="1">IF(HReal&gt;=MAX(B$6:$B204)+1,B204+1,"")</f>
        <v/>
      </c>
      <c r="C205" s="674" t="str">
        <f t="shared" ca="1" si="9"/>
        <v/>
      </c>
      <c r="D205" s="675" t="str">
        <f t="shared" ca="1" si="8"/>
        <v/>
      </c>
      <c r="E205" s="676" t="str">
        <f ca="1">IF(B205&gt;HReal,"",IFERROR(VLOOKUP(B205,Flts!$G$14:$I$349,3,FALSE),E204))</f>
        <v/>
      </c>
      <c r="F205" s="679"/>
      <c r="G205" s="680"/>
      <c r="H205" s="680"/>
      <c r="I205" s="680"/>
      <c r="J205" s="705"/>
      <c r="K205" s="679"/>
      <c r="L205" s="680"/>
      <c r="M205" s="680"/>
      <c r="N205" s="680"/>
      <c r="O205" s="705"/>
      <c r="P205" s="679"/>
      <c r="Q205" s="680"/>
      <c r="R205" s="680"/>
      <c r="S205" s="680"/>
      <c r="T205" s="705"/>
      <c r="U205" s="679"/>
      <c r="V205" s="680"/>
      <c r="W205" s="680"/>
      <c r="X205" s="680"/>
      <c r="Y205" s="705"/>
      <c r="Z205" s="679"/>
      <c r="AA205" s="680"/>
      <c r="AB205" s="680"/>
      <c r="AC205" s="680"/>
      <c r="AD205" s="705"/>
      <c r="AE205" s="679"/>
      <c r="AF205" s="680"/>
      <c r="AG205" s="680"/>
      <c r="AH205" s="680"/>
      <c r="AI205" s="705"/>
    </row>
    <row r="206" spans="2:35" ht="50.1" customHeight="1" x14ac:dyDescent="0.3">
      <c r="B206" s="673" t="str">
        <f ca="1">IF(HReal&gt;=MAX(B$6:$B205)+1,B205+1,"")</f>
        <v/>
      </c>
      <c r="C206" s="674" t="str">
        <f t="shared" ca="1" si="9"/>
        <v/>
      </c>
      <c r="D206" s="675" t="str">
        <f t="shared" ca="1" si="8"/>
        <v/>
      </c>
      <c r="E206" s="676" t="str">
        <f ca="1">IF(B206&gt;HReal,"",IFERROR(VLOOKUP(B206,Flts!$G$14:$I$349,3,FALSE),E205))</f>
        <v/>
      </c>
      <c r="F206" s="679"/>
      <c r="G206" s="680"/>
      <c r="H206" s="680"/>
      <c r="I206" s="680"/>
      <c r="J206" s="705"/>
      <c r="K206" s="679"/>
      <c r="L206" s="680"/>
      <c r="M206" s="680"/>
      <c r="N206" s="680"/>
      <c r="O206" s="705"/>
      <c r="P206" s="679"/>
      <c r="Q206" s="680"/>
      <c r="R206" s="680"/>
      <c r="S206" s="680"/>
      <c r="T206" s="705"/>
      <c r="U206" s="679"/>
      <c r="V206" s="680"/>
      <c r="W206" s="680"/>
      <c r="X206" s="680"/>
      <c r="Y206" s="705"/>
      <c r="Z206" s="679"/>
      <c r="AA206" s="680"/>
      <c r="AB206" s="680"/>
      <c r="AC206" s="680"/>
      <c r="AD206" s="705"/>
      <c r="AE206" s="679"/>
      <c r="AF206" s="680"/>
      <c r="AG206" s="680"/>
      <c r="AH206" s="680"/>
      <c r="AI206" s="705"/>
    </row>
    <row r="207" spans="2:35" ht="50.1" customHeight="1" x14ac:dyDescent="0.3">
      <c r="B207" s="673" t="str">
        <f ca="1">IF(HReal&gt;=MAX(B$6:$B206)+1,B206+1,"")</f>
        <v/>
      </c>
      <c r="C207" s="674" t="str">
        <f t="shared" ca="1" si="9"/>
        <v/>
      </c>
      <c r="D207" s="675" t="str">
        <f t="shared" ca="1" si="8"/>
        <v/>
      </c>
      <c r="E207" s="676" t="str">
        <f ca="1">IF(B207&gt;HReal,"",IFERROR(VLOOKUP(B207,Flts!$G$14:$I$349,3,FALSE),E206))</f>
        <v/>
      </c>
      <c r="F207" s="679"/>
      <c r="G207" s="680"/>
      <c r="H207" s="680"/>
      <c r="I207" s="680"/>
      <c r="J207" s="705"/>
      <c r="K207" s="679"/>
      <c r="L207" s="680"/>
      <c r="M207" s="680"/>
      <c r="N207" s="680"/>
      <c r="O207" s="705"/>
      <c r="P207" s="679"/>
      <c r="Q207" s="680"/>
      <c r="R207" s="680"/>
      <c r="S207" s="680"/>
      <c r="T207" s="705"/>
      <c r="U207" s="679"/>
      <c r="V207" s="680"/>
      <c r="W207" s="680"/>
      <c r="X207" s="680"/>
      <c r="Y207" s="705"/>
      <c r="Z207" s="679"/>
      <c r="AA207" s="680"/>
      <c r="AB207" s="680"/>
      <c r="AC207" s="680"/>
      <c r="AD207" s="705"/>
      <c r="AE207" s="679"/>
      <c r="AF207" s="680"/>
      <c r="AG207" s="680"/>
      <c r="AH207" s="680"/>
      <c r="AI207" s="705"/>
    </row>
    <row r="208" spans="2:35" ht="50.1" customHeight="1" x14ac:dyDescent="0.3">
      <c r="B208" s="673" t="str">
        <f ca="1">IF(HReal&gt;=MAX(B$6:$B207)+1,B207+1,"")</f>
        <v/>
      </c>
      <c r="C208" s="674" t="str">
        <f t="shared" ca="1" si="9"/>
        <v/>
      </c>
      <c r="D208" s="675" t="str">
        <f t="shared" ca="1" si="8"/>
        <v/>
      </c>
      <c r="E208" s="676" t="str">
        <f ca="1">IF(B208&gt;HReal,"",IFERROR(VLOOKUP(B208,Flts!$G$14:$I$349,3,FALSE),E207))</f>
        <v/>
      </c>
      <c r="F208" s="679"/>
      <c r="G208" s="680"/>
      <c r="H208" s="680"/>
      <c r="I208" s="680"/>
      <c r="J208" s="705"/>
      <c r="K208" s="679"/>
      <c r="L208" s="680"/>
      <c r="M208" s="680"/>
      <c r="N208" s="680"/>
      <c r="O208" s="705"/>
      <c r="P208" s="679"/>
      <c r="Q208" s="680"/>
      <c r="R208" s="680"/>
      <c r="S208" s="680"/>
      <c r="T208" s="705"/>
      <c r="U208" s="679"/>
      <c r="V208" s="680"/>
      <c r="W208" s="680"/>
      <c r="X208" s="680"/>
      <c r="Y208" s="705"/>
      <c r="Z208" s="679"/>
      <c r="AA208" s="680"/>
      <c r="AB208" s="680"/>
      <c r="AC208" s="680"/>
      <c r="AD208" s="705"/>
      <c r="AE208" s="679"/>
      <c r="AF208" s="680"/>
      <c r="AG208" s="680"/>
      <c r="AH208" s="680"/>
      <c r="AI208" s="705"/>
    </row>
    <row r="209" spans="2:35" ht="50.1" customHeight="1" x14ac:dyDescent="0.3">
      <c r="B209" s="673" t="str">
        <f ca="1">IF(HReal&gt;=MAX(B$6:$B208)+1,B208+1,"")</f>
        <v/>
      </c>
      <c r="C209" s="674" t="str">
        <f t="shared" ca="1" si="9"/>
        <v/>
      </c>
      <c r="D209" s="675" t="str">
        <f t="shared" ca="1" si="8"/>
        <v/>
      </c>
      <c r="E209" s="676" t="str">
        <f ca="1">IF(B209&gt;HReal,"",IFERROR(VLOOKUP(B209,Flts!$G$14:$I$349,3,FALSE),E208))</f>
        <v/>
      </c>
      <c r="F209" s="679"/>
      <c r="G209" s="680"/>
      <c r="H209" s="680"/>
      <c r="I209" s="680"/>
      <c r="J209" s="705"/>
      <c r="K209" s="679"/>
      <c r="L209" s="680"/>
      <c r="M209" s="680"/>
      <c r="N209" s="680"/>
      <c r="O209" s="705"/>
      <c r="P209" s="679"/>
      <c r="Q209" s="680"/>
      <c r="R209" s="680"/>
      <c r="S209" s="680"/>
      <c r="T209" s="705"/>
      <c r="U209" s="679"/>
      <c r="V209" s="680"/>
      <c r="W209" s="680"/>
      <c r="X209" s="680"/>
      <c r="Y209" s="705"/>
      <c r="Z209" s="679"/>
      <c r="AA209" s="680"/>
      <c r="AB209" s="680"/>
      <c r="AC209" s="680"/>
      <c r="AD209" s="705"/>
      <c r="AE209" s="679"/>
      <c r="AF209" s="680"/>
      <c r="AG209" s="680"/>
      <c r="AH209" s="680"/>
      <c r="AI209" s="705"/>
    </row>
    <row r="210" spans="2:35" ht="50.1" customHeight="1" x14ac:dyDescent="0.3">
      <c r="B210" s="673" t="str">
        <f ca="1">IF(HReal&gt;=MAX(B$6:$B209)+1,B209+1,"")</f>
        <v/>
      </c>
      <c r="C210" s="674" t="str">
        <f t="shared" ca="1" si="9"/>
        <v/>
      </c>
      <c r="D210" s="675" t="str">
        <f t="shared" ca="1" si="8"/>
        <v/>
      </c>
      <c r="E210" s="676" t="str">
        <f ca="1">IF(B210&gt;HReal,"",IFERROR(VLOOKUP(B210,Flts!$G$14:$I$349,3,FALSE),E209))</f>
        <v/>
      </c>
      <c r="F210" s="679"/>
      <c r="G210" s="680"/>
      <c r="H210" s="680"/>
      <c r="I210" s="680"/>
      <c r="J210" s="705"/>
      <c r="K210" s="679"/>
      <c r="L210" s="680"/>
      <c r="M210" s="680"/>
      <c r="N210" s="680"/>
      <c r="O210" s="705"/>
      <c r="P210" s="679"/>
      <c r="Q210" s="680"/>
      <c r="R210" s="680"/>
      <c r="S210" s="680"/>
      <c r="T210" s="705"/>
      <c r="U210" s="679"/>
      <c r="V210" s="680"/>
      <c r="W210" s="680"/>
      <c r="X210" s="680"/>
      <c r="Y210" s="705"/>
      <c r="Z210" s="679"/>
      <c r="AA210" s="680"/>
      <c r="AB210" s="680"/>
      <c r="AC210" s="680"/>
      <c r="AD210" s="705"/>
      <c r="AE210" s="679"/>
      <c r="AF210" s="680"/>
      <c r="AG210" s="680"/>
      <c r="AH210" s="680"/>
      <c r="AI210" s="705"/>
    </row>
    <row r="211" spans="2:35" ht="50.1" customHeight="1" x14ac:dyDescent="0.3">
      <c r="B211" s="673" t="str">
        <f ca="1">IF(HReal&gt;=MAX(B$6:$B210)+1,B210+1,"")</f>
        <v/>
      </c>
      <c r="C211" s="674" t="str">
        <f t="shared" ca="1" si="9"/>
        <v/>
      </c>
      <c r="D211" s="675" t="str">
        <f t="shared" ca="1" si="8"/>
        <v/>
      </c>
      <c r="E211" s="676" t="str">
        <f ca="1">IF(B211&gt;HReal,"",IFERROR(VLOOKUP(B211,Flts!$G$14:$I$349,3,FALSE),E210))</f>
        <v/>
      </c>
      <c r="F211" s="679"/>
      <c r="G211" s="680"/>
      <c r="H211" s="680"/>
      <c r="I211" s="680"/>
      <c r="J211" s="705"/>
      <c r="K211" s="679"/>
      <c r="L211" s="680"/>
      <c r="M211" s="680"/>
      <c r="N211" s="680"/>
      <c r="O211" s="705"/>
      <c r="P211" s="679"/>
      <c r="Q211" s="680"/>
      <c r="R211" s="680"/>
      <c r="S211" s="680"/>
      <c r="T211" s="705"/>
      <c r="U211" s="679"/>
      <c r="V211" s="680"/>
      <c r="W211" s="680"/>
      <c r="X211" s="680"/>
      <c r="Y211" s="705"/>
      <c r="Z211" s="679"/>
      <c r="AA211" s="680"/>
      <c r="AB211" s="680"/>
      <c r="AC211" s="680"/>
      <c r="AD211" s="705"/>
      <c r="AE211" s="679"/>
      <c r="AF211" s="680"/>
      <c r="AG211" s="680"/>
      <c r="AH211" s="680"/>
      <c r="AI211" s="705"/>
    </row>
    <row r="212" spans="2:35" ht="50.1" customHeight="1" x14ac:dyDescent="0.3">
      <c r="B212" s="673" t="str">
        <f ca="1">IF(HReal&gt;=MAX(B$6:$B211)+1,B211+1,"")</f>
        <v/>
      </c>
      <c r="C212" s="674" t="str">
        <f t="shared" ca="1" si="9"/>
        <v/>
      </c>
      <c r="D212" s="675" t="str">
        <f t="shared" ca="1" si="8"/>
        <v/>
      </c>
      <c r="E212" s="676" t="str">
        <f ca="1">IF(B212&gt;HReal,"",IFERROR(VLOOKUP(B212,Flts!$G$14:$I$349,3,FALSE),E211))</f>
        <v/>
      </c>
      <c r="F212" s="679"/>
      <c r="G212" s="680"/>
      <c r="H212" s="680"/>
      <c r="I212" s="680"/>
      <c r="J212" s="705"/>
      <c r="K212" s="679"/>
      <c r="L212" s="680"/>
      <c r="M212" s="680"/>
      <c r="N212" s="680"/>
      <c r="O212" s="705"/>
      <c r="P212" s="679"/>
      <c r="Q212" s="680"/>
      <c r="R212" s="680"/>
      <c r="S212" s="680"/>
      <c r="T212" s="705"/>
      <c r="U212" s="679"/>
      <c r="V212" s="680"/>
      <c r="W212" s="680"/>
      <c r="X212" s="680"/>
      <c r="Y212" s="705"/>
      <c r="Z212" s="679"/>
      <c r="AA212" s="680"/>
      <c r="AB212" s="680"/>
      <c r="AC212" s="680"/>
      <c r="AD212" s="705"/>
      <c r="AE212" s="679"/>
      <c r="AF212" s="680"/>
      <c r="AG212" s="680"/>
      <c r="AH212" s="680"/>
      <c r="AI212" s="705"/>
    </row>
    <row r="213" spans="2:35" ht="50.1" customHeight="1" x14ac:dyDescent="0.3">
      <c r="B213" s="673" t="str">
        <f ca="1">IF(HReal&gt;=MAX(B$6:$B212)+1,B212+1,"")</f>
        <v/>
      </c>
      <c r="C213" s="674" t="str">
        <f t="shared" ca="1" si="9"/>
        <v/>
      </c>
      <c r="D213" s="675" t="str">
        <f t="shared" ca="1" si="8"/>
        <v/>
      </c>
      <c r="E213" s="676" t="str">
        <f ca="1">IF(B213&gt;HReal,"",IFERROR(VLOOKUP(B213,Flts!$G$14:$I$349,3,FALSE),E212))</f>
        <v/>
      </c>
      <c r="F213" s="679"/>
      <c r="G213" s="680"/>
      <c r="H213" s="680"/>
      <c r="I213" s="680"/>
      <c r="J213" s="705"/>
      <c r="K213" s="679"/>
      <c r="L213" s="680"/>
      <c r="M213" s="680"/>
      <c r="N213" s="680"/>
      <c r="O213" s="705"/>
      <c r="P213" s="679"/>
      <c r="Q213" s="680"/>
      <c r="R213" s="680"/>
      <c r="S213" s="680"/>
      <c r="T213" s="705"/>
      <c r="U213" s="679"/>
      <c r="V213" s="680"/>
      <c r="W213" s="680"/>
      <c r="X213" s="680"/>
      <c r="Y213" s="705"/>
      <c r="Z213" s="679"/>
      <c r="AA213" s="680"/>
      <c r="AB213" s="680"/>
      <c r="AC213" s="680"/>
      <c r="AD213" s="705"/>
      <c r="AE213" s="679"/>
      <c r="AF213" s="680"/>
      <c r="AG213" s="680"/>
      <c r="AH213" s="680"/>
      <c r="AI213" s="705"/>
    </row>
    <row r="214" spans="2:35" ht="50.1" customHeight="1" x14ac:dyDescent="0.3">
      <c r="B214" s="673" t="str">
        <f ca="1">IF(HReal&gt;=MAX(B$6:$B213)+1,B213+1,"")</f>
        <v/>
      </c>
      <c r="C214" s="674" t="str">
        <f t="shared" ca="1" si="9"/>
        <v/>
      </c>
      <c r="D214" s="675" t="str">
        <f t="shared" ca="1" si="8"/>
        <v/>
      </c>
      <c r="E214" s="676" t="str">
        <f ca="1">IF(B214&gt;HReal,"",IFERROR(VLOOKUP(B214,Flts!$G$14:$I$349,3,FALSE),E213))</f>
        <v/>
      </c>
      <c r="F214" s="679"/>
      <c r="G214" s="680"/>
      <c r="H214" s="680"/>
      <c r="I214" s="680"/>
      <c r="J214" s="705"/>
      <c r="K214" s="679"/>
      <c r="L214" s="680"/>
      <c r="M214" s="680"/>
      <c r="N214" s="680"/>
      <c r="O214" s="705"/>
      <c r="P214" s="679"/>
      <c r="Q214" s="680"/>
      <c r="R214" s="680"/>
      <c r="S214" s="680"/>
      <c r="T214" s="705"/>
      <c r="U214" s="679"/>
      <c r="V214" s="680"/>
      <c r="W214" s="680"/>
      <c r="X214" s="680"/>
      <c r="Y214" s="705"/>
      <c r="Z214" s="679"/>
      <c r="AA214" s="680"/>
      <c r="AB214" s="680"/>
      <c r="AC214" s="680"/>
      <c r="AD214" s="705"/>
      <c r="AE214" s="679"/>
      <c r="AF214" s="680"/>
      <c r="AG214" s="680"/>
      <c r="AH214" s="680"/>
      <c r="AI214" s="705"/>
    </row>
    <row r="215" spans="2:35" ht="50.1" customHeight="1" x14ac:dyDescent="0.3">
      <c r="B215" s="673" t="str">
        <f ca="1">IF(HReal&gt;=MAX(B$6:$B214)+1,B214+1,"")</f>
        <v/>
      </c>
      <c r="C215" s="674" t="str">
        <f t="shared" ca="1" si="9"/>
        <v/>
      </c>
      <c r="D215" s="675" t="str">
        <f t="shared" ca="1" si="8"/>
        <v/>
      </c>
      <c r="E215" s="676" t="str">
        <f ca="1">IF(B215&gt;HReal,"",IFERROR(VLOOKUP(B215,Flts!$G$14:$I$349,3,FALSE),E214))</f>
        <v/>
      </c>
      <c r="F215" s="679"/>
      <c r="G215" s="680"/>
      <c r="H215" s="680"/>
      <c r="I215" s="680"/>
      <c r="J215" s="705"/>
      <c r="K215" s="679"/>
      <c r="L215" s="680"/>
      <c r="M215" s="680"/>
      <c r="N215" s="680"/>
      <c r="O215" s="705"/>
      <c r="P215" s="679"/>
      <c r="Q215" s="680"/>
      <c r="R215" s="680"/>
      <c r="S215" s="680"/>
      <c r="T215" s="705"/>
      <c r="U215" s="679"/>
      <c r="V215" s="680"/>
      <c r="W215" s="680"/>
      <c r="X215" s="680"/>
      <c r="Y215" s="705"/>
      <c r="Z215" s="679"/>
      <c r="AA215" s="680"/>
      <c r="AB215" s="680"/>
      <c r="AC215" s="680"/>
      <c r="AD215" s="705"/>
      <c r="AE215" s="679"/>
      <c r="AF215" s="680"/>
      <c r="AG215" s="680"/>
      <c r="AH215" s="680"/>
      <c r="AI215" s="705"/>
    </row>
    <row r="216" spans="2:35" ht="50.1" customHeight="1" x14ac:dyDescent="0.3">
      <c r="B216" s="673" t="str">
        <f ca="1">IF(HReal&gt;=MAX(B$6:$B215)+1,B215+1,"")</f>
        <v/>
      </c>
      <c r="C216" s="674" t="str">
        <f t="shared" ca="1" si="9"/>
        <v/>
      </c>
      <c r="D216" s="675" t="str">
        <f t="shared" ca="1" si="8"/>
        <v/>
      </c>
      <c r="E216" s="676" t="str">
        <f ca="1">IF(B216&gt;HReal,"",IFERROR(VLOOKUP(B216,Flts!$G$14:$I$349,3,FALSE),E215))</f>
        <v/>
      </c>
      <c r="F216" s="679"/>
      <c r="G216" s="680"/>
      <c r="H216" s="680"/>
      <c r="I216" s="680"/>
      <c r="J216" s="705"/>
      <c r="K216" s="679"/>
      <c r="L216" s="680"/>
      <c r="M216" s="680"/>
      <c r="N216" s="680"/>
      <c r="O216" s="705"/>
      <c r="P216" s="679"/>
      <c r="Q216" s="680"/>
      <c r="R216" s="680"/>
      <c r="S216" s="680"/>
      <c r="T216" s="705"/>
      <c r="U216" s="679"/>
      <c r="V216" s="680"/>
      <c r="W216" s="680"/>
      <c r="X216" s="680"/>
      <c r="Y216" s="705"/>
      <c r="Z216" s="679"/>
      <c r="AA216" s="680"/>
      <c r="AB216" s="680"/>
      <c r="AC216" s="680"/>
      <c r="AD216" s="705"/>
      <c r="AE216" s="679"/>
      <c r="AF216" s="680"/>
      <c r="AG216" s="680"/>
      <c r="AH216" s="680"/>
      <c r="AI216" s="705"/>
    </row>
    <row r="217" spans="2:35" ht="50.1" customHeight="1" x14ac:dyDescent="0.3">
      <c r="B217" s="673" t="str">
        <f ca="1">IF(HReal&gt;=MAX(B$6:$B216)+1,B216+1,"")</f>
        <v/>
      </c>
      <c r="C217" s="674" t="str">
        <f t="shared" ca="1" si="9"/>
        <v/>
      </c>
      <c r="D217" s="675" t="str">
        <f t="shared" ca="1" si="8"/>
        <v/>
      </c>
      <c r="E217" s="676" t="str">
        <f ca="1">IF(B217&gt;HReal,"",IFERROR(VLOOKUP(B217,Flts!$G$14:$I$349,3,FALSE),E216))</f>
        <v/>
      </c>
      <c r="F217" s="679"/>
      <c r="G217" s="680"/>
      <c r="H217" s="680"/>
      <c r="I217" s="680"/>
      <c r="J217" s="705"/>
      <c r="K217" s="679"/>
      <c r="L217" s="680"/>
      <c r="M217" s="680"/>
      <c r="N217" s="680"/>
      <c r="O217" s="705"/>
      <c r="P217" s="679"/>
      <c r="Q217" s="680"/>
      <c r="R217" s="680"/>
      <c r="S217" s="680"/>
      <c r="T217" s="705"/>
      <c r="U217" s="679"/>
      <c r="V217" s="680"/>
      <c r="W217" s="680"/>
      <c r="X217" s="680"/>
      <c r="Y217" s="705"/>
      <c r="Z217" s="679"/>
      <c r="AA217" s="680"/>
      <c r="AB217" s="680"/>
      <c r="AC217" s="680"/>
      <c r="AD217" s="705"/>
      <c r="AE217" s="679"/>
      <c r="AF217" s="680"/>
      <c r="AG217" s="680"/>
      <c r="AH217" s="680"/>
      <c r="AI217" s="705"/>
    </row>
    <row r="218" spans="2:35" ht="50.1" customHeight="1" x14ac:dyDescent="0.3">
      <c r="B218" s="673" t="str">
        <f ca="1">IF(HReal&gt;=MAX(B$6:$B217)+1,B217+1,"")</f>
        <v/>
      </c>
      <c r="C218" s="674" t="str">
        <f t="shared" ca="1" si="9"/>
        <v/>
      </c>
      <c r="D218" s="675" t="str">
        <f t="shared" ca="1" si="8"/>
        <v/>
      </c>
      <c r="E218" s="676" t="str">
        <f ca="1">IF(B218&gt;HReal,"",IFERROR(VLOOKUP(B218,Flts!$G$14:$I$349,3,FALSE),E217))</f>
        <v/>
      </c>
      <c r="F218" s="679"/>
      <c r="G218" s="680"/>
      <c r="H218" s="680"/>
      <c r="I218" s="680"/>
      <c r="J218" s="705"/>
      <c r="K218" s="679"/>
      <c r="L218" s="680"/>
      <c r="M218" s="680"/>
      <c r="N218" s="680"/>
      <c r="O218" s="705"/>
      <c r="P218" s="679"/>
      <c r="Q218" s="680"/>
      <c r="R218" s="680"/>
      <c r="S218" s="680"/>
      <c r="T218" s="705"/>
      <c r="U218" s="679"/>
      <c r="V218" s="680"/>
      <c r="W218" s="680"/>
      <c r="X218" s="680"/>
      <c r="Y218" s="705"/>
      <c r="Z218" s="679"/>
      <c r="AA218" s="680"/>
      <c r="AB218" s="680"/>
      <c r="AC218" s="680"/>
      <c r="AD218" s="705"/>
      <c r="AE218" s="679"/>
      <c r="AF218" s="680"/>
      <c r="AG218" s="680"/>
      <c r="AH218" s="680"/>
      <c r="AI218" s="705"/>
    </row>
    <row r="219" spans="2:35" ht="50.1" customHeight="1" x14ac:dyDescent="0.3">
      <c r="B219" s="673" t="str">
        <f ca="1">IF(HReal&gt;=MAX(B$6:$B218)+1,B218+1,"")</f>
        <v/>
      </c>
      <c r="C219" s="674" t="str">
        <f t="shared" ca="1" si="9"/>
        <v/>
      </c>
      <c r="D219" s="675" t="str">
        <f t="shared" ca="1" si="8"/>
        <v/>
      </c>
      <c r="E219" s="676" t="str">
        <f ca="1">IF(B219&gt;HReal,"",IFERROR(VLOOKUP(B219,Flts!$G$14:$I$349,3,FALSE),E218))</f>
        <v/>
      </c>
      <c r="F219" s="679"/>
      <c r="G219" s="680"/>
      <c r="H219" s="680"/>
      <c r="I219" s="680"/>
      <c r="J219" s="705"/>
      <c r="K219" s="679"/>
      <c r="L219" s="680"/>
      <c r="M219" s="680"/>
      <c r="N219" s="680"/>
      <c r="O219" s="705"/>
      <c r="P219" s="679"/>
      <c r="Q219" s="680"/>
      <c r="R219" s="680"/>
      <c r="S219" s="680"/>
      <c r="T219" s="705"/>
      <c r="U219" s="679"/>
      <c r="V219" s="680"/>
      <c r="W219" s="680"/>
      <c r="X219" s="680"/>
      <c r="Y219" s="705"/>
      <c r="Z219" s="679"/>
      <c r="AA219" s="680"/>
      <c r="AB219" s="680"/>
      <c r="AC219" s="680"/>
      <c r="AD219" s="705"/>
      <c r="AE219" s="679"/>
      <c r="AF219" s="680"/>
      <c r="AG219" s="680"/>
      <c r="AH219" s="680"/>
      <c r="AI219" s="705"/>
    </row>
    <row r="220" spans="2:35" ht="50.1" customHeight="1" x14ac:dyDescent="0.3">
      <c r="B220" s="673" t="str">
        <f ca="1">IF(HReal&gt;=MAX(B$6:$B219)+1,B219+1,"")</f>
        <v/>
      </c>
      <c r="C220" s="674" t="str">
        <f t="shared" ca="1" si="9"/>
        <v/>
      </c>
      <c r="D220" s="675" t="str">
        <f t="shared" ca="1" si="8"/>
        <v/>
      </c>
      <c r="E220" s="676" t="str">
        <f ca="1">IF(B220&gt;HReal,"",IFERROR(VLOOKUP(B220,Flts!$G$14:$I$349,3,FALSE),E219))</f>
        <v/>
      </c>
      <c r="F220" s="679"/>
      <c r="G220" s="680"/>
      <c r="H220" s="680"/>
      <c r="I220" s="680"/>
      <c r="J220" s="705"/>
      <c r="K220" s="679"/>
      <c r="L220" s="680"/>
      <c r="M220" s="680"/>
      <c r="N220" s="680"/>
      <c r="O220" s="705"/>
      <c r="P220" s="679"/>
      <c r="Q220" s="680"/>
      <c r="R220" s="680"/>
      <c r="S220" s="680"/>
      <c r="T220" s="705"/>
      <c r="U220" s="679"/>
      <c r="V220" s="680"/>
      <c r="W220" s="680"/>
      <c r="X220" s="680"/>
      <c r="Y220" s="705"/>
      <c r="Z220" s="679"/>
      <c r="AA220" s="680"/>
      <c r="AB220" s="680"/>
      <c r="AC220" s="680"/>
      <c r="AD220" s="705"/>
      <c r="AE220" s="679"/>
      <c r="AF220" s="680"/>
      <c r="AG220" s="680"/>
      <c r="AH220" s="680"/>
      <c r="AI220" s="705"/>
    </row>
    <row r="221" spans="2:35" ht="50.1" customHeight="1" x14ac:dyDescent="0.3">
      <c r="B221" s="673" t="str">
        <f ca="1">IF(HReal&gt;=MAX(B$6:$B220)+1,B220+1,"")</f>
        <v/>
      </c>
      <c r="C221" s="674" t="str">
        <f t="shared" ca="1" si="9"/>
        <v/>
      </c>
      <c r="D221" s="675" t="str">
        <f t="shared" ca="1" si="8"/>
        <v/>
      </c>
      <c r="E221" s="676" t="str">
        <f ca="1">IF(B221&gt;HReal,"",IFERROR(VLOOKUP(B221,Flts!$G$14:$I$349,3,FALSE),E220))</f>
        <v/>
      </c>
      <c r="F221" s="679"/>
      <c r="G221" s="680"/>
      <c r="H221" s="680"/>
      <c r="I221" s="680"/>
      <c r="J221" s="705"/>
      <c r="K221" s="679"/>
      <c r="L221" s="680"/>
      <c r="M221" s="680"/>
      <c r="N221" s="680"/>
      <c r="O221" s="705"/>
      <c r="P221" s="679"/>
      <c r="Q221" s="680"/>
      <c r="R221" s="680"/>
      <c r="S221" s="680"/>
      <c r="T221" s="705"/>
      <c r="U221" s="679"/>
      <c r="V221" s="680"/>
      <c r="W221" s="680"/>
      <c r="X221" s="680"/>
      <c r="Y221" s="705"/>
      <c r="Z221" s="679"/>
      <c r="AA221" s="680"/>
      <c r="AB221" s="680"/>
      <c r="AC221" s="680"/>
      <c r="AD221" s="705"/>
      <c r="AE221" s="679"/>
      <c r="AF221" s="680"/>
      <c r="AG221" s="680"/>
      <c r="AH221" s="680"/>
      <c r="AI221" s="705"/>
    </row>
    <row r="222" spans="2:35" ht="50.1" customHeight="1" x14ac:dyDescent="0.3">
      <c r="B222" s="673" t="str">
        <f ca="1">IF(HReal&gt;=MAX(B$6:$B221)+1,B221+1,"")</f>
        <v/>
      </c>
      <c r="C222" s="674" t="str">
        <f t="shared" ca="1" si="9"/>
        <v/>
      </c>
      <c r="D222" s="675" t="str">
        <f t="shared" ca="1" si="8"/>
        <v/>
      </c>
      <c r="E222" s="676" t="str">
        <f ca="1">IF(B222&gt;HReal,"",IFERROR(VLOOKUP(B222,Flts!$G$14:$I$349,3,FALSE),E221))</f>
        <v/>
      </c>
      <c r="F222" s="679"/>
      <c r="G222" s="680"/>
      <c r="H222" s="680"/>
      <c r="I222" s="680"/>
      <c r="J222" s="705"/>
      <c r="K222" s="679"/>
      <c r="L222" s="680"/>
      <c r="M222" s="680"/>
      <c r="N222" s="680"/>
      <c r="O222" s="705"/>
      <c r="P222" s="679"/>
      <c r="Q222" s="680"/>
      <c r="R222" s="680"/>
      <c r="S222" s="680"/>
      <c r="T222" s="705"/>
      <c r="U222" s="679"/>
      <c r="V222" s="680"/>
      <c r="W222" s="680"/>
      <c r="X222" s="680"/>
      <c r="Y222" s="705"/>
      <c r="Z222" s="679"/>
      <c r="AA222" s="680"/>
      <c r="AB222" s="680"/>
      <c r="AC222" s="680"/>
      <c r="AD222" s="705"/>
      <c r="AE222" s="679"/>
      <c r="AF222" s="680"/>
      <c r="AG222" s="680"/>
      <c r="AH222" s="680"/>
      <c r="AI222" s="705"/>
    </row>
    <row r="223" spans="2:35" ht="50.1" customHeight="1" x14ac:dyDescent="0.3">
      <c r="B223" s="673" t="str">
        <f ca="1">IF(HReal&gt;=MAX(B$6:$B222)+1,B222+1,"")</f>
        <v/>
      </c>
      <c r="C223" s="674" t="str">
        <f t="shared" ca="1" si="9"/>
        <v/>
      </c>
      <c r="D223" s="675" t="str">
        <f t="shared" ca="1" si="8"/>
        <v/>
      </c>
      <c r="E223" s="676" t="str">
        <f ca="1">IF(B223&gt;HReal,"",IFERROR(VLOOKUP(B223,Flts!$G$14:$I$349,3,FALSE),E222))</f>
        <v/>
      </c>
      <c r="F223" s="679"/>
      <c r="G223" s="680"/>
      <c r="H223" s="680"/>
      <c r="I223" s="680"/>
      <c r="J223" s="705"/>
      <c r="K223" s="679"/>
      <c r="L223" s="680"/>
      <c r="M223" s="680"/>
      <c r="N223" s="680"/>
      <c r="O223" s="705"/>
      <c r="P223" s="679"/>
      <c r="Q223" s="680"/>
      <c r="R223" s="680"/>
      <c r="S223" s="680"/>
      <c r="T223" s="705"/>
      <c r="U223" s="679"/>
      <c r="V223" s="680"/>
      <c r="W223" s="680"/>
      <c r="X223" s="680"/>
      <c r="Y223" s="705"/>
      <c r="Z223" s="679"/>
      <c r="AA223" s="680"/>
      <c r="AB223" s="680"/>
      <c r="AC223" s="680"/>
      <c r="AD223" s="705"/>
      <c r="AE223" s="679"/>
      <c r="AF223" s="680"/>
      <c r="AG223" s="680"/>
      <c r="AH223" s="680"/>
      <c r="AI223" s="705"/>
    </row>
    <row r="224" spans="2:35" ht="50.1" customHeight="1" x14ac:dyDescent="0.3">
      <c r="B224" s="673" t="str">
        <f ca="1">IF(HReal&gt;=MAX(B$6:$B223)+1,B223+1,"")</f>
        <v/>
      </c>
      <c r="C224" s="674" t="str">
        <f t="shared" ca="1" si="9"/>
        <v/>
      </c>
      <c r="D224" s="675" t="str">
        <f t="shared" ca="1" si="8"/>
        <v/>
      </c>
      <c r="E224" s="676" t="str">
        <f ca="1">IF(B224&gt;HReal,"",IFERROR(VLOOKUP(B224,Flts!$G$14:$I$349,3,FALSE),E223))</f>
        <v/>
      </c>
      <c r="F224" s="679"/>
      <c r="G224" s="680"/>
      <c r="H224" s="680"/>
      <c r="I224" s="680"/>
      <c r="J224" s="705"/>
      <c r="K224" s="679"/>
      <c r="L224" s="680"/>
      <c r="M224" s="680"/>
      <c r="N224" s="680"/>
      <c r="O224" s="705"/>
      <c r="P224" s="679"/>
      <c r="Q224" s="680"/>
      <c r="R224" s="680"/>
      <c r="S224" s="680"/>
      <c r="T224" s="705"/>
      <c r="U224" s="679"/>
      <c r="V224" s="680"/>
      <c r="W224" s="680"/>
      <c r="X224" s="680"/>
      <c r="Y224" s="705"/>
      <c r="Z224" s="679"/>
      <c r="AA224" s="680"/>
      <c r="AB224" s="680"/>
      <c r="AC224" s="680"/>
      <c r="AD224" s="705"/>
      <c r="AE224" s="679"/>
      <c r="AF224" s="680"/>
      <c r="AG224" s="680"/>
      <c r="AH224" s="680"/>
      <c r="AI224" s="705"/>
    </row>
    <row r="225" spans="2:35" ht="50.1" customHeight="1" x14ac:dyDescent="0.3">
      <c r="B225" s="673" t="str">
        <f ca="1">IF(HReal&gt;=MAX(B$6:$B224)+1,B224+1,"")</f>
        <v/>
      </c>
      <c r="C225" s="674" t="str">
        <f t="shared" ca="1" si="9"/>
        <v/>
      </c>
      <c r="D225" s="675" t="str">
        <f t="shared" ca="1" si="8"/>
        <v/>
      </c>
      <c r="E225" s="676" t="str">
        <f ca="1">IF(B225&gt;HReal,"",IFERROR(VLOOKUP(B225,Flts!$G$14:$I$349,3,FALSE),E224))</f>
        <v/>
      </c>
      <c r="F225" s="679"/>
      <c r="G225" s="680"/>
      <c r="H225" s="680"/>
      <c r="I225" s="680"/>
      <c r="J225" s="705"/>
      <c r="K225" s="679"/>
      <c r="L225" s="680"/>
      <c r="M225" s="680"/>
      <c r="N225" s="680"/>
      <c r="O225" s="705"/>
      <c r="P225" s="679"/>
      <c r="Q225" s="680"/>
      <c r="R225" s="680"/>
      <c r="S225" s="680"/>
      <c r="T225" s="705"/>
      <c r="U225" s="679"/>
      <c r="V225" s="680"/>
      <c r="W225" s="680"/>
      <c r="X225" s="680"/>
      <c r="Y225" s="705"/>
      <c r="Z225" s="679"/>
      <c r="AA225" s="680"/>
      <c r="AB225" s="680"/>
      <c r="AC225" s="680"/>
      <c r="AD225" s="705"/>
      <c r="AE225" s="679"/>
      <c r="AF225" s="680"/>
      <c r="AG225" s="680"/>
      <c r="AH225" s="680"/>
      <c r="AI225" s="705"/>
    </row>
    <row r="226" spans="2:35" ht="50.1" customHeight="1" x14ac:dyDescent="0.3">
      <c r="B226" s="673" t="str">
        <f ca="1">IF(HReal&gt;=MAX(B$6:$B225)+1,B225+1,"")</f>
        <v/>
      </c>
      <c r="C226" s="674" t="str">
        <f t="shared" ca="1" si="9"/>
        <v/>
      </c>
      <c r="D226" s="675" t="str">
        <f t="shared" ca="1" si="8"/>
        <v/>
      </c>
      <c r="E226" s="676" t="str">
        <f ca="1">IF(B226&gt;HReal,"",IFERROR(VLOOKUP(B226,Flts!$G$14:$I$349,3,FALSE),E225))</f>
        <v/>
      </c>
      <c r="F226" s="679"/>
      <c r="G226" s="680"/>
      <c r="H226" s="680"/>
      <c r="I226" s="680"/>
      <c r="J226" s="705"/>
      <c r="K226" s="679"/>
      <c r="L226" s="680"/>
      <c r="M226" s="680"/>
      <c r="N226" s="680"/>
      <c r="O226" s="705"/>
      <c r="P226" s="679"/>
      <c r="Q226" s="680"/>
      <c r="R226" s="680"/>
      <c r="S226" s="680"/>
      <c r="T226" s="705"/>
      <c r="U226" s="679"/>
      <c r="V226" s="680"/>
      <c r="W226" s="680"/>
      <c r="X226" s="680"/>
      <c r="Y226" s="705"/>
      <c r="Z226" s="679"/>
      <c r="AA226" s="680"/>
      <c r="AB226" s="680"/>
      <c r="AC226" s="680"/>
      <c r="AD226" s="705"/>
      <c r="AE226" s="679"/>
      <c r="AF226" s="680"/>
      <c r="AG226" s="680"/>
      <c r="AH226" s="680"/>
      <c r="AI226" s="705"/>
    </row>
    <row r="227" spans="2:35" ht="50.1" customHeight="1" x14ac:dyDescent="0.3">
      <c r="B227" s="673" t="str">
        <f ca="1">IF(HReal&gt;=MAX(B$6:$B226)+1,B226+1,"")</f>
        <v/>
      </c>
      <c r="C227" s="674" t="str">
        <f t="shared" ref="C227:C230" ca="1" si="10">IF(AND(B227&lt;HReal,E226&lt;&gt;E227),IFERROR(MID(Vdias,(WEEKDAY(E227,2)-1)*3+1,3),C226),"")</f>
        <v/>
      </c>
      <c r="D227" s="675" t="str">
        <f t="shared" ref="D227:D230" ca="1" si="11">E227</f>
        <v/>
      </c>
      <c r="E227" s="676" t="str">
        <f ca="1">IF(B227&gt;HReal,"",IFERROR(VLOOKUP(B227,Flts!$G$14:$I$349,3,FALSE),E226))</f>
        <v/>
      </c>
      <c r="F227" s="679"/>
      <c r="G227" s="680"/>
      <c r="H227" s="680"/>
      <c r="I227" s="680"/>
      <c r="J227" s="705"/>
      <c r="K227" s="679"/>
      <c r="L227" s="680"/>
      <c r="M227" s="680"/>
      <c r="N227" s="680"/>
      <c r="O227" s="705"/>
      <c r="P227" s="679"/>
      <c r="Q227" s="680"/>
      <c r="R227" s="680"/>
      <c r="S227" s="680"/>
      <c r="T227" s="705"/>
      <c r="U227" s="679"/>
      <c r="V227" s="680"/>
      <c r="W227" s="680"/>
      <c r="X227" s="680"/>
      <c r="Y227" s="705"/>
      <c r="Z227" s="679"/>
      <c r="AA227" s="680"/>
      <c r="AB227" s="680"/>
      <c r="AC227" s="680"/>
      <c r="AD227" s="705"/>
      <c r="AE227" s="679"/>
      <c r="AF227" s="680"/>
      <c r="AG227" s="680"/>
      <c r="AH227" s="680"/>
      <c r="AI227" s="705"/>
    </row>
    <row r="228" spans="2:35" ht="50.1" customHeight="1" x14ac:dyDescent="0.3">
      <c r="B228" s="673" t="str">
        <f ca="1">IF(HReal&gt;=MAX(B$6:$B227)+1,B227+1,"")</f>
        <v/>
      </c>
      <c r="C228" s="674" t="str">
        <f t="shared" ca="1" si="10"/>
        <v/>
      </c>
      <c r="D228" s="675" t="str">
        <f t="shared" ca="1" si="11"/>
        <v/>
      </c>
      <c r="E228" s="676" t="str">
        <f ca="1">IF(B228&gt;HReal,"",IFERROR(VLOOKUP(B228,Flts!$G$14:$I$349,3,FALSE),E227))</f>
        <v/>
      </c>
      <c r="F228" s="679"/>
      <c r="G228" s="680"/>
      <c r="H228" s="680"/>
      <c r="I228" s="680"/>
      <c r="J228" s="705"/>
      <c r="K228" s="679"/>
      <c r="L228" s="680"/>
      <c r="M228" s="680"/>
      <c r="N228" s="680"/>
      <c r="O228" s="705"/>
      <c r="P228" s="679"/>
      <c r="Q228" s="680"/>
      <c r="R228" s="680"/>
      <c r="S228" s="680"/>
      <c r="T228" s="705"/>
      <c r="U228" s="679"/>
      <c r="V228" s="680"/>
      <c r="W228" s="680"/>
      <c r="X228" s="680"/>
      <c r="Y228" s="705"/>
      <c r="Z228" s="679"/>
      <c r="AA228" s="680"/>
      <c r="AB228" s="680"/>
      <c r="AC228" s="680"/>
      <c r="AD228" s="705"/>
      <c r="AE228" s="679"/>
      <c r="AF228" s="680"/>
      <c r="AG228" s="680"/>
      <c r="AH228" s="680"/>
      <c r="AI228" s="705"/>
    </row>
    <row r="229" spans="2:35" ht="50.1" customHeight="1" x14ac:dyDescent="0.3">
      <c r="B229" s="673" t="str">
        <f ca="1">IF(HReal&gt;=MAX(B$6:$B228)+1,B228+1,"")</f>
        <v/>
      </c>
      <c r="C229" s="674" t="str">
        <f t="shared" ca="1" si="10"/>
        <v/>
      </c>
      <c r="D229" s="675" t="str">
        <f t="shared" ca="1" si="11"/>
        <v/>
      </c>
      <c r="E229" s="676" t="str">
        <f ca="1">IF(B229&gt;HReal,"",IFERROR(VLOOKUP(B229,Flts!$G$14:$I$349,3,FALSE),E228))</f>
        <v/>
      </c>
      <c r="F229" s="679"/>
      <c r="G229" s="680"/>
      <c r="H229" s="680"/>
      <c r="I229" s="680"/>
      <c r="J229" s="705"/>
      <c r="K229" s="679"/>
      <c r="L229" s="680"/>
      <c r="M229" s="680"/>
      <c r="N229" s="680"/>
      <c r="O229" s="705"/>
      <c r="P229" s="679"/>
      <c r="Q229" s="680"/>
      <c r="R229" s="680"/>
      <c r="S229" s="680"/>
      <c r="T229" s="705"/>
      <c r="U229" s="679"/>
      <c r="V229" s="680"/>
      <c r="W229" s="680"/>
      <c r="X229" s="680"/>
      <c r="Y229" s="705"/>
      <c r="Z229" s="679"/>
      <c r="AA229" s="680"/>
      <c r="AB229" s="680"/>
      <c r="AC229" s="680"/>
      <c r="AD229" s="705"/>
      <c r="AE229" s="679"/>
      <c r="AF229" s="680"/>
      <c r="AG229" s="680"/>
      <c r="AH229" s="680"/>
      <c r="AI229" s="705"/>
    </row>
    <row r="230" spans="2:35" ht="50.1" customHeight="1" x14ac:dyDescent="0.3">
      <c r="B230" s="673" t="str">
        <f ca="1">IF(HReal&gt;=MAX(B$6:$B229)+1,B229+1,"")</f>
        <v/>
      </c>
      <c r="C230" s="674" t="str">
        <f t="shared" ca="1" si="10"/>
        <v/>
      </c>
      <c r="D230" s="675" t="str">
        <f t="shared" ca="1" si="11"/>
        <v/>
      </c>
      <c r="E230" s="676" t="str">
        <f ca="1">IF(B230&gt;HReal,"",IFERROR(VLOOKUP(B230,Flts!$G$14:$I$349,3,FALSE),E229))</f>
        <v/>
      </c>
      <c r="F230" s="744"/>
      <c r="G230" s="687"/>
      <c r="H230" s="687"/>
      <c r="I230" s="687"/>
      <c r="J230" s="745"/>
      <c r="K230" s="744"/>
      <c r="L230" s="687"/>
      <c r="M230" s="687"/>
      <c r="N230" s="687"/>
      <c r="O230" s="745"/>
      <c r="P230" s="744"/>
      <c r="Q230" s="687"/>
      <c r="R230" s="687"/>
      <c r="S230" s="687"/>
      <c r="T230" s="745"/>
      <c r="U230" s="744"/>
      <c r="V230" s="687"/>
      <c r="W230" s="687"/>
      <c r="X230" s="687"/>
      <c r="Y230" s="745"/>
      <c r="Z230" s="744"/>
      <c r="AA230" s="687"/>
      <c r="AB230" s="687"/>
      <c r="AC230" s="687"/>
      <c r="AD230" s="745"/>
      <c r="AE230" s="744"/>
      <c r="AF230" s="687"/>
      <c r="AG230" s="687"/>
      <c r="AH230" s="687"/>
      <c r="AI230" s="745"/>
    </row>
    <row r="231" spans="2:35" ht="25.05" customHeight="1" x14ac:dyDescent="0.3">
      <c r="B231" s="673" t="str">
        <f ca="1">IF(HReal&gt;=MAX(B$6:$B230)+1,B230+1,"")</f>
        <v/>
      </c>
      <c r="C231" s="674" t="str">
        <f t="shared" ref="C231:C294" ca="1" si="12">IF(AND(B231&lt;HReal,E230&lt;&gt;E231),IFERROR(MID(Vdias,(WEEKDAY(E231,2)-1)*3+1,3),C230),"")</f>
        <v/>
      </c>
      <c r="D231" s="675" t="str">
        <f t="shared" ref="D231:D294" ca="1" si="13">E231</f>
        <v/>
      </c>
      <c r="E231" s="676" t="str">
        <f ca="1">IF(B231&gt;HReal,"",IFERROR(VLOOKUP(B231,Flts!$G$14:$I$349,3,FALSE),E230))</f>
        <v/>
      </c>
      <c r="F231" s="744"/>
      <c r="G231" s="687"/>
      <c r="H231" s="687"/>
      <c r="I231" s="687"/>
      <c r="J231" s="745"/>
      <c r="K231" s="744"/>
      <c r="L231" s="687"/>
      <c r="M231" s="687"/>
      <c r="N231" s="687"/>
      <c r="O231" s="745"/>
      <c r="P231" s="744"/>
      <c r="Q231" s="687"/>
      <c r="R231" s="687"/>
      <c r="S231" s="687"/>
      <c r="T231" s="745"/>
      <c r="U231" s="744"/>
      <c r="V231" s="687"/>
      <c r="W231" s="687"/>
      <c r="X231" s="687"/>
      <c r="Y231" s="745"/>
      <c r="Z231" s="744"/>
      <c r="AA231" s="687"/>
      <c r="AB231" s="687"/>
      <c r="AC231" s="687"/>
      <c r="AD231" s="745"/>
      <c r="AE231" s="744"/>
      <c r="AF231" s="687"/>
      <c r="AG231" s="687"/>
      <c r="AH231" s="687"/>
      <c r="AI231" s="745"/>
    </row>
    <row r="232" spans="2:35" ht="25.05" customHeight="1" x14ac:dyDescent="0.3">
      <c r="B232" s="673" t="str">
        <f ca="1">IF(HReal&gt;=MAX(B$6:$B231)+1,B231+1,"")</f>
        <v/>
      </c>
      <c r="C232" s="674" t="str">
        <f t="shared" ca="1" si="12"/>
        <v/>
      </c>
      <c r="D232" s="675" t="str">
        <f t="shared" ca="1" si="13"/>
        <v/>
      </c>
      <c r="E232" s="676" t="str">
        <f ca="1">IF(B232&gt;HReal,"",IFERROR(VLOOKUP(B232,Flts!$G$14:$I$349,3,FALSE),E231))</f>
        <v/>
      </c>
      <c r="F232" s="744"/>
      <c r="G232" s="687"/>
      <c r="H232" s="687"/>
      <c r="I232" s="687"/>
      <c r="J232" s="745"/>
      <c r="K232" s="744"/>
      <c r="L232" s="687"/>
      <c r="M232" s="687"/>
      <c r="N232" s="687"/>
      <c r="O232" s="745"/>
      <c r="P232" s="744"/>
      <c r="Q232" s="687"/>
      <c r="R232" s="687"/>
      <c r="S232" s="687"/>
      <c r="T232" s="745"/>
      <c r="U232" s="744"/>
      <c r="V232" s="687"/>
      <c r="W232" s="687"/>
      <c r="X232" s="687"/>
      <c r="Y232" s="745"/>
      <c r="Z232" s="744"/>
      <c r="AA232" s="687"/>
      <c r="AB232" s="687"/>
      <c r="AC232" s="687"/>
      <c r="AD232" s="745"/>
      <c r="AE232" s="744"/>
      <c r="AF232" s="687"/>
      <c r="AG232" s="687"/>
      <c r="AH232" s="687"/>
      <c r="AI232" s="745"/>
    </row>
    <row r="233" spans="2:35" ht="25.05" customHeight="1" x14ac:dyDescent="0.3">
      <c r="B233" s="673" t="str">
        <f ca="1">IF(HReal&gt;=MAX(B$6:$B232)+1,B232+1,"")</f>
        <v/>
      </c>
      <c r="C233" s="674" t="str">
        <f t="shared" ca="1" si="12"/>
        <v/>
      </c>
      <c r="D233" s="675" t="str">
        <f t="shared" ca="1" si="13"/>
        <v/>
      </c>
      <c r="E233" s="676" t="str">
        <f ca="1">IF(B233&gt;HReal,"",IFERROR(VLOOKUP(B233,Flts!$G$14:$I$349,3,FALSE),E232))</f>
        <v/>
      </c>
      <c r="F233" s="744"/>
      <c r="G233" s="687"/>
      <c r="H233" s="687"/>
      <c r="I233" s="687"/>
      <c r="J233" s="745"/>
      <c r="K233" s="744"/>
      <c r="L233" s="687"/>
      <c r="M233" s="687"/>
      <c r="N233" s="687"/>
      <c r="O233" s="745"/>
      <c r="P233" s="744"/>
      <c r="Q233" s="687"/>
      <c r="R233" s="687"/>
      <c r="S233" s="687"/>
      <c r="T233" s="745"/>
      <c r="U233" s="744"/>
      <c r="V233" s="687"/>
      <c r="W233" s="687"/>
      <c r="X233" s="687"/>
      <c r="Y233" s="745"/>
      <c r="Z233" s="744"/>
      <c r="AA233" s="687"/>
      <c r="AB233" s="687"/>
      <c r="AC233" s="687"/>
      <c r="AD233" s="745"/>
      <c r="AE233" s="744"/>
      <c r="AF233" s="687"/>
      <c r="AG233" s="687"/>
      <c r="AH233" s="687"/>
      <c r="AI233" s="745"/>
    </row>
    <row r="234" spans="2:35" ht="25.05" customHeight="1" x14ac:dyDescent="0.3">
      <c r="B234" s="673" t="str">
        <f ca="1">IF(HReal&gt;=MAX(B$6:$B233)+1,B233+1,"")</f>
        <v/>
      </c>
      <c r="C234" s="674" t="str">
        <f t="shared" ca="1" si="12"/>
        <v/>
      </c>
      <c r="D234" s="675" t="str">
        <f t="shared" ca="1" si="13"/>
        <v/>
      </c>
      <c r="E234" s="676" t="str">
        <f ca="1">IF(B234&gt;HReal,"",IFERROR(VLOOKUP(B234,Flts!$G$14:$I$349,3,FALSE),E233))</f>
        <v/>
      </c>
      <c r="F234" s="744"/>
      <c r="G234" s="687"/>
      <c r="H234" s="687"/>
      <c r="I234" s="687"/>
      <c r="J234" s="745"/>
      <c r="K234" s="744"/>
      <c r="L234" s="687"/>
      <c r="M234" s="687"/>
      <c r="N234" s="687"/>
      <c r="O234" s="745"/>
      <c r="P234" s="744"/>
      <c r="Q234" s="687"/>
      <c r="R234" s="687"/>
      <c r="S234" s="687"/>
      <c r="T234" s="745"/>
      <c r="U234" s="744"/>
      <c r="V234" s="687"/>
      <c r="W234" s="687"/>
      <c r="X234" s="687"/>
      <c r="Y234" s="745"/>
      <c r="Z234" s="744"/>
      <c r="AA234" s="687"/>
      <c r="AB234" s="687"/>
      <c r="AC234" s="687"/>
      <c r="AD234" s="745"/>
      <c r="AE234" s="744"/>
      <c r="AF234" s="687"/>
      <c r="AG234" s="687"/>
      <c r="AH234" s="687"/>
      <c r="AI234" s="745"/>
    </row>
    <row r="235" spans="2:35" ht="25.05" customHeight="1" x14ac:dyDescent="0.3">
      <c r="B235" s="673" t="str">
        <f ca="1">IF(HReal&gt;=MAX(B$6:$B234)+1,B234+1,"")</f>
        <v/>
      </c>
      <c r="C235" s="674" t="str">
        <f t="shared" ca="1" si="12"/>
        <v/>
      </c>
      <c r="D235" s="675" t="str">
        <f t="shared" ca="1" si="13"/>
        <v/>
      </c>
      <c r="E235" s="676" t="str">
        <f ca="1">IF(B235&gt;HReal,"",IFERROR(VLOOKUP(B235,Flts!$G$14:$I$349,3,FALSE),E234))</f>
        <v/>
      </c>
      <c r="F235" s="744"/>
      <c r="G235" s="687"/>
      <c r="H235" s="687"/>
      <c r="I235" s="687"/>
      <c r="J235" s="745"/>
      <c r="K235" s="744"/>
      <c r="L235" s="687"/>
      <c r="M235" s="687"/>
      <c r="N235" s="687"/>
      <c r="O235" s="745"/>
      <c r="P235" s="744"/>
      <c r="Q235" s="687"/>
      <c r="R235" s="687"/>
      <c r="S235" s="687"/>
      <c r="T235" s="745"/>
      <c r="U235" s="744"/>
      <c r="V235" s="687"/>
      <c r="W235" s="687"/>
      <c r="X235" s="687"/>
      <c r="Y235" s="745"/>
      <c r="Z235" s="744"/>
      <c r="AA235" s="687"/>
      <c r="AB235" s="687"/>
      <c r="AC235" s="687"/>
      <c r="AD235" s="745"/>
      <c r="AE235" s="744"/>
      <c r="AF235" s="687"/>
      <c r="AG235" s="687"/>
      <c r="AH235" s="687"/>
      <c r="AI235" s="745"/>
    </row>
    <row r="236" spans="2:35" ht="25.05" customHeight="1" x14ac:dyDescent="0.3">
      <c r="B236" s="673" t="str">
        <f ca="1">IF(HReal&gt;=MAX(B$6:$B235)+1,B235+1,"")</f>
        <v/>
      </c>
      <c r="C236" s="674" t="str">
        <f t="shared" ca="1" si="12"/>
        <v/>
      </c>
      <c r="D236" s="675" t="str">
        <f t="shared" ca="1" si="13"/>
        <v/>
      </c>
      <c r="E236" s="676" t="str">
        <f ca="1">IF(B236&gt;HReal,"",IFERROR(VLOOKUP(B236,Flts!$G$14:$I$349,3,FALSE),E235))</f>
        <v/>
      </c>
      <c r="F236" s="744"/>
      <c r="G236" s="687"/>
      <c r="H236" s="687"/>
      <c r="I236" s="687"/>
      <c r="J236" s="745"/>
      <c r="K236" s="744"/>
      <c r="L236" s="687"/>
      <c r="M236" s="687"/>
      <c r="N236" s="687"/>
      <c r="O236" s="745"/>
      <c r="P236" s="744"/>
      <c r="Q236" s="687"/>
      <c r="R236" s="687"/>
      <c r="S236" s="687"/>
      <c r="T236" s="745"/>
      <c r="U236" s="744"/>
      <c r="V236" s="687"/>
      <c r="W236" s="687"/>
      <c r="X236" s="687"/>
      <c r="Y236" s="745"/>
      <c r="Z236" s="744"/>
      <c r="AA236" s="687"/>
      <c r="AB236" s="687"/>
      <c r="AC236" s="687"/>
      <c r="AD236" s="745"/>
      <c r="AE236" s="744"/>
      <c r="AF236" s="687"/>
      <c r="AG236" s="687"/>
      <c r="AH236" s="687"/>
      <c r="AI236" s="745"/>
    </row>
    <row r="237" spans="2:35" ht="25.05" customHeight="1" x14ac:dyDescent="0.3">
      <c r="B237" s="673" t="str">
        <f ca="1">IF(HReal&gt;=MAX(B$6:$B236)+1,B236+1,"")</f>
        <v/>
      </c>
      <c r="C237" s="674" t="str">
        <f t="shared" ca="1" si="12"/>
        <v/>
      </c>
      <c r="D237" s="675" t="str">
        <f t="shared" ca="1" si="13"/>
        <v/>
      </c>
      <c r="E237" s="676" t="str">
        <f ca="1">IF(B237&gt;HReal,"",IFERROR(VLOOKUP(B237,Flts!$G$14:$I$349,3,FALSE),E236))</f>
        <v/>
      </c>
      <c r="F237" s="744"/>
      <c r="G237" s="687"/>
      <c r="H237" s="687"/>
      <c r="I237" s="687"/>
      <c r="J237" s="745"/>
      <c r="K237" s="744"/>
      <c r="L237" s="687"/>
      <c r="M237" s="687"/>
      <c r="N237" s="687"/>
      <c r="O237" s="745"/>
      <c r="P237" s="744"/>
      <c r="Q237" s="687"/>
      <c r="R237" s="687"/>
      <c r="S237" s="687"/>
      <c r="T237" s="745"/>
      <c r="U237" s="744"/>
      <c r="V237" s="687"/>
      <c r="W237" s="687"/>
      <c r="X237" s="687"/>
      <c r="Y237" s="745"/>
      <c r="Z237" s="744"/>
      <c r="AA237" s="687"/>
      <c r="AB237" s="687"/>
      <c r="AC237" s="687"/>
      <c r="AD237" s="745"/>
      <c r="AE237" s="744"/>
      <c r="AF237" s="687"/>
      <c r="AG237" s="687"/>
      <c r="AH237" s="687"/>
      <c r="AI237" s="745"/>
    </row>
    <row r="238" spans="2:35" ht="25.05" customHeight="1" x14ac:dyDescent="0.3">
      <c r="B238" s="673" t="str">
        <f ca="1">IF(HReal&gt;=MAX(B$6:$B237)+1,B237+1,"")</f>
        <v/>
      </c>
      <c r="C238" s="674" t="str">
        <f t="shared" ca="1" si="12"/>
        <v/>
      </c>
      <c r="D238" s="675" t="str">
        <f t="shared" ca="1" si="13"/>
        <v/>
      </c>
      <c r="E238" s="676" t="str">
        <f ca="1">IF(B238&gt;HReal,"",IFERROR(VLOOKUP(B238,Flts!$G$14:$I$349,3,FALSE),E237))</f>
        <v/>
      </c>
      <c r="F238" s="744"/>
      <c r="G238" s="687"/>
      <c r="H238" s="687"/>
      <c r="I238" s="687"/>
      <c r="J238" s="745"/>
      <c r="K238" s="744"/>
      <c r="L238" s="687"/>
      <c r="M238" s="687"/>
      <c r="N238" s="687"/>
      <c r="O238" s="745"/>
      <c r="P238" s="744"/>
      <c r="Q238" s="687"/>
      <c r="R238" s="687"/>
      <c r="S238" s="687"/>
      <c r="T238" s="745"/>
      <c r="U238" s="744"/>
      <c r="V238" s="687"/>
      <c r="W238" s="687"/>
      <c r="X238" s="687"/>
      <c r="Y238" s="745"/>
      <c r="Z238" s="744"/>
      <c r="AA238" s="687"/>
      <c r="AB238" s="687"/>
      <c r="AC238" s="687"/>
      <c r="AD238" s="745"/>
      <c r="AE238" s="744"/>
      <c r="AF238" s="687"/>
      <c r="AG238" s="687"/>
      <c r="AH238" s="687"/>
      <c r="AI238" s="745"/>
    </row>
    <row r="239" spans="2:35" ht="25.05" customHeight="1" x14ac:dyDescent="0.3">
      <c r="B239" s="673" t="str">
        <f ca="1">IF(HReal&gt;=MAX(B$6:$B238)+1,B238+1,"")</f>
        <v/>
      </c>
      <c r="C239" s="674" t="str">
        <f t="shared" ca="1" si="12"/>
        <v/>
      </c>
      <c r="D239" s="675" t="str">
        <f t="shared" ca="1" si="13"/>
        <v/>
      </c>
      <c r="E239" s="676" t="str">
        <f ca="1">IF(B239&gt;HReal,"",IFERROR(VLOOKUP(B239,Flts!$G$14:$I$349,3,FALSE),E238))</f>
        <v/>
      </c>
      <c r="F239" s="744"/>
      <c r="G239" s="687"/>
      <c r="H239" s="687"/>
      <c r="I239" s="687"/>
      <c r="J239" s="745"/>
      <c r="K239" s="744"/>
      <c r="L239" s="687"/>
      <c r="M239" s="687"/>
      <c r="N239" s="687"/>
      <c r="O239" s="745"/>
      <c r="P239" s="744"/>
      <c r="Q239" s="687"/>
      <c r="R239" s="687"/>
      <c r="S239" s="687"/>
      <c r="T239" s="745"/>
      <c r="U239" s="744"/>
      <c r="V239" s="687"/>
      <c r="W239" s="687"/>
      <c r="X239" s="687"/>
      <c r="Y239" s="745"/>
      <c r="Z239" s="744"/>
      <c r="AA239" s="687"/>
      <c r="AB239" s="687"/>
      <c r="AC239" s="687"/>
      <c r="AD239" s="745"/>
      <c r="AE239" s="744"/>
      <c r="AF239" s="687"/>
      <c r="AG239" s="687"/>
      <c r="AH239" s="687"/>
      <c r="AI239" s="745"/>
    </row>
    <row r="240" spans="2:35" ht="25.05" customHeight="1" x14ac:dyDescent="0.3">
      <c r="B240" s="673" t="str">
        <f ca="1">IF(HReal&gt;=MAX(B$6:$B239)+1,B239+1,"")</f>
        <v/>
      </c>
      <c r="C240" s="674" t="str">
        <f t="shared" ca="1" si="12"/>
        <v/>
      </c>
      <c r="D240" s="675" t="str">
        <f t="shared" ca="1" si="13"/>
        <v/>
      </c>
      <c r="E240" s="676" t="str">
        <f ca="1">IF(B240&gt;HReal,"",IFERROR(VLOOKUP(B240,Flts!$G$14:$I$349,3,FALSE),E239))</f>
        <v/>
      </c>
      <c r="F240" s="744"/>
      <c r="G240" s="687"/>
      <c r="H240" s="687"/>
      <c r="I240" s="687"/>
      <c r="J240" s="745"/>
      <c r="K240" s="744"/>
      <c r="L240" s="687"/>
      <c r="M240" s="687"/>
      <c r="N240" s="687"/>
      <c r="O240" s="745"/>
      <c r="P240" s="744"/>
      <c r="Q240" s="687"/>
      <c r="R240" s="687"/>
      <c r="S240" s="687"/>
      <c r="T240" s="745"/>
      <c r="U240" s="744"/>
      <c r="V240" s="687"/>
      <c r="W240" s="687"/>
      <c r="X240" s="687"/>
      <c r="Y240" s="745"/>
      <c r="Z240" s="744"/>
      <c r="AA240" s="687"/>
      <c r="AB240" s="687"/>
      <c r="AC240" s="687"/>
      <c r="AD240" s="745"/>
      <c r="AE240" s="744"/>
      <c r="AF240" s="687"/>
      <c r="AG240" s="687"/>
      <c r="AH240" s="687"/>
      <c r="AI240" s="745"/>
    </row>
    <row r="241" spans="2:35" ht="25.05" customHeight="1" x14ac:dyDescent="0.3">
      <c r="B241" s="673" t="str">
        <f ca="1">IF(HReal&gt;=MAX(B$6:$B240)+1,B240+1,"")</f>
        <v/>
      </c>
      <c r="C241" s="674" t="str">
        <f t="shared" ca="1" si="12"/>
        <v/>
      </c>
      <c r="D241" s="675" t="str">
        <f t="shared" ca="1" si="13"/>
        <v/>
      </c>
      <c r="E241" s="676" t="str">
        <f ca="1">IF(B241&gt;HReal,"",IFERROR(VLOOKUP(B241,Flts!$G$14:$I$349,3,FALSE),E240))</f>
        <v/>
      </c>
      <c r="F241" s="744"/>
      <c r="G241" s="687"/>
      <c r="H241" s="687"/>
      <c r="I241" s="687"/>
      <c r="J241" s="745"/>
      <c r="K241" s="744"/>
      <c r="L241" s="687"/>
      <c r="M241" s="687"/>
      <c r="N241" s="687"/>
      <c r="O241" s="745"/>
      <c r="P241" s="744"/>
      <c r="Q241" s="687"/>
      <c r="R241" s="687"/>
      <c r="S241" s="687"/>
      <c r="T241" s="745"/>
      <c r="U241" s="744"/>
      <c r="V241" s="687"/>
      <c r="W241" s="687"/>
      <c r="X241" s="687"/>
      <c r="Y241" s="745"/>
      <c r="Z241" s="744"/>
      <c r="AA241" s="687"/>
      <c r="AB241" s="687"/>
      <c r="AC241" s="687"/>
      <c r="AD241" s="745"/>
      <c r="AE241" s="744"/>
      <c r="AF241" s="687"/>
      <c r="AG241" s="687"/>
      <c r="AH241" s="687"/>
      <c r="AI241" s="745"/>
    </row>
    <row r="242" spans="2:35" ht="25.05" customHeight="1" x14ac:dyDescent="0.3">
      <c r="B242" s="673" t="str">
        <f ca="1">IF(HReal&gt;=MAX(B$6:$B241)+1,B241+1,"")</f>
        <v/>
      </c>
      <c r="C242" s="674" t="str">
        <f t="shared" ca="1" si="12"/>
        <v/>
      </c>
      <c r="D242" s="675" t="str">
        <f t="shared" ca="1" si="13"/>
        <v/>
      </c>
      <c r="E242" s="676" t="str">
        <f ca="1">IF(B242&gt;HReal,"",IFERROR(VLOOKUP(B242,Flts!$G$14:$I$349,3,FALSE),E241))</f>
        <v/>
      </c>
      <c r="F242" s="744"/>
      <c r="G242" s="687"/>
      <c r="H242" s="687"/>
      <c r="I242" s="687"/>
      <c r="J242" s="745"/>
      <c r="K242" s="744"/>
      <c r="L242" s="687"/>
      <c r="M242" s="687"/>
      <c r="N242" s="687"/>
      <c r="O242" s="745"/>
      <c r="P242" s="744"/>
      <c r="Q242" s="687"/>
      <c r="R242" s="687"/>
      <c r="S242" s="687"/>
      <c r="T242" s="745"/>
      <c r="U242" s="744"/>
      <c r="V242" s="687"/>
      <c r="W242" s="687"/>
      <c r="X242" s="687"/>
      <c r="Y242" s="745"/>
      <c r="Z242" s="744"/>
      <c r="AA242" s="687"/>
      <c r="AB242" s="687"/>
      <c r="AC242" s="687"/>
      <c r="AD242" s="745"/>
      <c r="AE242" s="744"/>
      <c r="AF242" s="687"/>
      <c r="AG242" s="687"/>
      <c r="AH242" s="687"/>
      <c r="AI242" s="745"/>
    </row>
    <row r="243" spans="2:35" ht="25.05" customHeight="1" x14ac:dyDescent="0.3">
      <c r="B243" s="673" t="str">
        <f ca="1">IF(HReal&gt;=MAX(B$6:$B242)+1,B242+1,"")</f>
        <v/>
      </c>
      <c r="C243" s="674" t="str">
        <f t="shared" ca="1" si="12"/>
        <v/>
      </c>
      <c r="D243" s="675" t="str">
        <f t="shared" ca="1" si="13"/>
        <v/>
      </c>
      <c r="E243" s="676" t="str">
        <f ca="1">IF(B243&gt;HReal,"",IFERROR(VLOOKUP(B243,Flts!$G$14:$I$349,3,FALSE),E242))</f>
        <v/>
      </c>
      <c r="F243" s="744"/>
      <c r="G243" s="687"/>
      <c r="H243" s="687"/>
      <c r="I243" s="687"/>
      <c r="J243" s="745"/>
      <c r="K243" s="744"/>
      <c r="L243" s="687"/>
      <c r="M243" s="687"/>
      <c r="N243" s="687"/>
      <c r="O243" s="745"/>
      <c r="P243" s="744"/>
      <c r="Q243" s="687"/>
      <c r="R243" s="687"/>
      <c r="S243" s="687"/>
      <c r="T243" s="745"/>
      <c r="U243" s="744"/>
      <c r="V243" s="687"/>
      <c r="W243" s="687"/>
      <c r="X243" s="687"/>
      <c r="Y243" s="745"/>
      <c r="Z243" s="744"/>
      <c r="AA243" s="687"/>
      <c r="AB243" s="687"/>
      <c r="AC243" s="687"/>
      <c r="AD243" s="745"/>
      <c r="AE243" s="744"/>
      <c r="AF243" s="687"/>
      <c r="AG243" s="687"/>
      <c r="AH243" s="687"/>
      <c r="AI243" s="745"/>
    </row>
    <row r="244" spans="2:35" ht="25.05" customHeight="1" x14ac:dyDescent="0.3">
      <c r="B244" s="673" t="str">
        <f ca="1">IF(HReal&gt;=MAX(B$6:$B243)+1,B243+1,"")</f>
        <v/>
      </c>
      <c r="C244" s="674" t="str">
        <f t="shared" ca="1" si="12"/>
        <v/>
      </c>
      <c r="D244" s="675" t="str">
        <f t="shared" ca="1" si="13"/>
        <v/>
      </c>
      <c r="E244" s="676" t="str">
        <f ca="1">IF(B244&gt;HReal,"",IFERROR(VLOOKUP(B244,Flts!$G$14:$I$349,3,FALSE),E243))</f>
        <v/>
      </c>
      <c r="F244" s="744"/>
      <c r="G244" s="687"/>
      <c r="H244" s="687"/>
      <c r="I244" s="687"/>
      <c r="J244" s="745"/>
      <c r="K244" s="744"/>
      <c r="L244" s="687"/>
      <c r="M244" s="687"/>
      <c r="N244" s="687"/>
      <c r="O244" s="745"/>
      <c r="P244" s="744"/>
      <c r="Q244" s="687"/>
      <c r="R244" s="687"/>
      <c r="S244" s="687"/>
      <c r="T244" s="745"/>
      <c r="U244" s="744"/>
      <c r="V244" s="687"/>
      <c r="W244" s="687"/>
      <c r="X244" s="687"/>
      <c r="Y244" s="745"/>
      <c r="Z244" s="744"/>
      <c r="AA244" s="687"/>
      <c r="AB244" s="687"/>
      <c r="AC244" s="687"/>
      <c r="AD244" s="745"/>
      <c r="AE244" s="744"/>
      <c r="AF244" s="687"/>
      <c r="AG244" s="687"/>
      <c r="AH244" s="687"/>
      <c r="AI244" s="745"/>
    </row>
    <row r="245" spans="2:35" ht="25.05" customHeight="1" x14ac:dyDescent="0.3">
      <c r="B245" s="673" t="str">
        <f ca="1">IF(HReal&gt;=MAX(B$6:$B244)+1,B244+1,"")</f>
        <v/>
      </c>
      <c r="C245" s="674" t="str">
        <f t="shared" ca="1" si="12"/>
        <v/>
      </c>
      <c r="D245" s="675" t="str">
        <f t="shared" ca="1" si="13"/>
        <v/>
      </c>
      <c r="E245" s="676" t="str">
        <f ca="1">IF(B245&gt;HReal,"",IFERROR(VLOOKUP(B245,Flts!$G$14:$I$349,3,FALSE),E244))</f>
        <v/>
      </c>
      <c r="F245" s="744"/>
      <c r="G245" s="687"/>
      <c r="H245" s="687"/>
      <c r="I245" s="687"/>
      <c r="J245" s="745"/>
      <c r="K245" s="744"/>
      <c r="L245" s="687"/>
      <c r="M245" s="687"/>
      <c r="N245" s="687"/>
      <c r="O245" s="745"/>
      <c r="P245" s="744"/>
      <c r="Q245" s="687"/>
      <c r="R245" s="687"/>
      <c r="S245" s="687"/>
      <c r="T245" s="745"/>
      <c r="U245" s="744"/>
      <c r="V245" s="687"/>
      <c r="W245" s="687"/>
      <c r="X245" s="687"/>
      <c r="Y245" s="745"/>
      <c r="Z245" s="744"/>
      <c r="AA245" s="687"/>
      <c r="AB245" s="687"/>
      <c r="AC245" s="687"/>
      <c r="AD245" s="745"/>
      <c r="AE245" s="744"/>
      <c r="AF245" s="687"/>
      <c r="AG245" s="687"/>
      <c r="AH245" s="687"/>
      <c r="AI245" s="745"/>
    </row>
    <row r="246" spans="2:35" ht="25.05" customHeight="1" x14ac:dyDescent="0.3">
      <c r="B246" s="673" t="str">
        <f ca="1">IF(HReal&gt;=MAX(B$6:$B245)+1,B245+1,"")</f>
        <v/>
      </c>
      <c r="C246" s="674" t="str">
        <f t="shared" ca="1" si="12"/>
        <v/>
      </c>
      <c r="D246" s="675" t="str">
        <f t="shared" ca="1" si="13"/>
        <v/>
      </c>
      <c r="E246" s="676" t="str">
        <f ca="1">IF(B246&gt;HReal,"",IFERROR(VLOOKUP(B246,Flts!$G$14:$I$349,3,FALSE),E245))</f>
        <v/>
      </c>
      <c r="F246" s="744"/>
      <c r="G246" s="687"/>
      <c r="H246" s="687"/>
      <c r="I246" s="687"/>
      <c r="J246" s="745"/>
      <c r="K246" s="744"/>
      <c r="L246" s="687"/>
      <c r="M246" s="687"/>
      <c r="N246" s="687"/>
      <c r="O246" s="745"/>
      <c r="P246" s="744"/>
      <c r="Q246" s="687"/>
      <c r="R246" s="687"/>
      <c r="S246" s="687"/>
      <c r="T246" s="745"/>
      <c r="U246" s="744"/>
      <c r="V246" s="687"/>
      <c r="W246" s="687"/>
      <c r="X246" s="687"/>
      <c r="Y246" s="745"/>
      <c r="Z246" s="744"/>
      <c r="AA246" s="687"/>
      <c r="AB246" s="687"/>
      <c r="AC246" s="687"/>
      <c r="AD246" s="745"/>
      <c r="AE246" s="744"/>
      <c r="AF246" s="687"/>
      <c r="AG246" s="687"/>
      <c r="AH246" s="687"/>
      <c r="AI246" s="745"/>
    </row>
    <row r="247" spans="2:35" ht="25.05" customHeight="1" x14ac:dyDescent="0.3">
      <c r="B247" s="673" t="str">
        <f ca="1">IF(HReal&gt;=MAX(B$6:$B246)+1,B246+1,"")</f>
        <v/>
      </c>
      <c r="C247" s="674" t="str">
        <f t="shared" ca="1" si="12"/>
        <v/>
      </c>
      <c r="D247" s="675" t="str">
        <f t="shared" ca="1" si="13"/>
        <v/>
      </c>
      <c r="E247" s="676" t="str">
        <f ca="1">IF(B247&gt;HReal,"",IFERROR(VLOOKUP(B247,Flts!$G$14:$I$349,3,FALSE),E246))</f>
        <v/>
      </c>
      <c r="F247" s="744"/>
      <c r="G247" s="687"/>
      <c r="H247" s="687"/>
      <c r="I247" s="687"/>
      <c r="J247" s="745"/>
      <c r="K247" s="744"/>
      <c r="L247" s="687"/>
      <c r="M247" s="687"/>
      <c r="N247" s="687"/>
      <c r="O247" s="745"/>
      <c r="P247" s="744"/>
      <c r="Q247" s="687"/>
      <c r="R247" s="687"/>
      <c r="S247" s="687"/>
      <c r="T247" s="745"/>
      <c r="U247" s="744"/>
      <c r="V247" s="687"/>
      <c r="W247" s="687"/>
      <c r="X247" s="687"/>
      <c r="Y247" s="745"/>
      <c r="Z247" s="744"/>
      <c r="AA247" s="687"/>
      <c r="AB247" s="687"/>
      <c r="AC247" s="687"/>
      <c r="AD247" s="745"/>
      <c r="AE247" s="744"/>
      <c r="AF247" s="687"/>
      <c r="AG247" s="687"/>
      <c r="AH247" s="687"/>
      <c r="AI247" s="745"/>
    </row>
    <row r="248" spans="2:35" ht="25.05" customHeight="1" x14ac:dyDescent="0.3">
      <c r="B248" s="673" t="str">
        <f ca="1">IF(HReal&gt;=MAX(B$6:$B247)+1,B247+1,"")</f>
        <v/>
      </c>
      <c r="C248" s="674" t="str">
        <f t="shared" ca="1" si="12"/>
        <v/>
      </c>
      <c r="D248" s="675" t="str">
        <f t="shared" ca="1" si="13"/>
        <v/>
      </c>
      <c r="E248" s="676" t="str">
        <f ca="1">IF(B248&gt;HReal,"",IFERROR(VLOOKUP(B248,Flts!$G$14:$I$349,3,FALSE),E247))</f>
        <v/>
      </c>
      <c r="F248" s="744"/>
      <c r="G248" s="687"/>
      <c r="H248" s="687"/>
      <c r="I248" s="687"/>
      <c r="J248" s="745"/>
      <c r="K248" s="744"/>
      <c r="L248" s="687"/>
      <c r="M248" s="687"/>
      <c r="N248" s="687"/>
      <c r="O248" s="745"/>
      <c r="P248" s="744"/>
      <c r="Q248" s="687"/>
      <c r="R248" s="687"/>
      <c r="S248" s="687"/>
      <c r="T248" s="745"/>
      <c r="U248" s="744"/>
      <c r="V248" s="687"/>
      <c r="W248" s="687"/>
      <c r="X248" s="687"/>
      <c r="Y248" s="745"/>
      <c r="Z248" s="744"/>
      <c r="AA248" s="687"/>
      <c r="AB248" s="687"/>
      <c r="AC248" s="687"/>
      <c r="AD248" s="745"/>
      <c r="AE248" s="744"/>
      <c r="AF248" s="687"/>
      <c r="AG248" s="687"/>
      <c r="AH248" s="687"/>
      <c r="AI248" s="745"/>
    </row>
    <row r="249" spans="2:35" ht="25.05" customHeight="1" x14ac:dyDescent="0.3">
      <c r="B249" s="673" t="str">
        <f ca="1">IF(HReal&gt;=MAX(B$6:$B248)+1,B248+1,"")</f>
        <v/>
      </c>
      <c r="C249" s="674" t="str">
        <f t="shared" ca="1" si="12"/>
        <v/>
      </c>
      <c r="D249" s="675" t="str">
        <f t="shared" ca="1" si="13"/>
        <v/>
      </c>
      <c r="E249" s="676" t="str">
        <f ca="1">IF(B249&gt;HReal,"",IFERROR(VLOOKUP(B249,Flts!$G$14:$I$349,3,FALSE),E248))</f>
        <v/>
      </c>
      <c r="F249" s="744"/>
      <c r="G249" s="687"/>
      <c r="H249" s="687"/>
      <c r="I249" s="687"/>
      <c r="J249" s="745"/>
      <c r="K249" s="744"/>
      <c r="L249" s="687"/>
      <c r="M249" s="687"/>
      <c r="N249" s="687"/>
      <c r="O249" s="745"/>
      <c r="P249" s="744"/>
      <c r="Q249" s="687"/>
      <c r="R249" s="687"/>
      <c r="S249" s="687"/>
      <c r="T249" s="745"/>
      <c r="U249" s="744"/>
      <c r="V249" s="687"/>
      <c r="W249" s="687"/>
      <c r="X249" s="687"/>
      <c r="Y249" s="745"/>
      <c r="Z249" s="744"/>
      <c r="AA249" s="687"/>
      <c r="AB249" s="687"/>
      <c r="AC249" s="687"/>
      <c r="AD249" s="745"/>
      <c r="AE249" s="744"/>
      <c r="AF249" s="687"/>
      <c r="AG249" s="687"/>
      <c r="AH249" s="687"/>
      <c r="AI249" s="745"/>
    </row>
    <row r="250" spans="2:35" ht="25.05" customHeight="1" x14ac:dyDescent="0.3">
      <c r="B250" s="673" t="str">
        <f ca="1">IF(HReal&gt;=MAX(B$6:$B249)+1,B249+1,"")</f>
        <v/>
      </c>
      <c r="C250" s="674" t="str">
        <f t="shared" ca="1" si="12"/>
        <v/>
      </c>
      <c r="D250" s="675" t="str">
        <f t="shared" ca="1" si="13"/>
        <v/>
      </c>
      <c r="E250" s="676" t="str">
        <f ca="1">IF(B250&gt;HReal,"",IFERROR(VLOOKUP(B250,Flts!$G$14:$I$349,3,FALSE),E249))</f>
        <v/>
      </c>
      <c r="F250" s="744"/>
      <c r="G250" s="687"/>
      <c r="H250" s="687"/>
      <c r="I250" s="687"/>
      <c r="J250" s="745"/>
      <c r="K250" s="744"/>
      <c r="L250" s="687"/>
      <c r="M250" s="687"/>
      <c r="N250" s="687"/>
      <c r="O250" s="745"/>
      <c r="P250" s="744"/>
      <c r="Q250" s="687"/>
      <c r="R250" s="687"/>
      <c r="S250" s="687"/>
      <c r="T250" s="745"/>
      <c r="U250" s="744"/>
      <c r="V250" s="687"/>
      <c r="W250" s="687"/>
      <c r="X250" s="687"/>
      <c r="Y250" s="745"/>
      <c r="Z250" s="744"/>
      <c r="AA250" s="687"/>
      <c r="AB250" s="687"/>
      <c r="AC250" s="687"/>
      <c r="AD250" s="745"/>
      <c r="AE250" s="744"/>
      <c r="AF250" s="687"/>
      <c r="AG250" s="687"/>
      <c r="AH250" s="687"/>
      <c r="AI250" s="745"/>
    </row>
    <row r="251" spans="2:35" ht="25.05" customHeight="1" x14ac:dyDescent="0.3">
      <c r="B251" s="673" t="str">
        <f ca="1">IF(HReal&gt;=MAX(B$6:$B250)+1,B250+1,"")</f>
        <v/>
      </c>
      <c r="C251" s="674" t="str">
        <f t="shared" ca="1" si="12"/>
        <v/>
      </c>
      <c r="D251" s="675" t="str">
        <f t="shared" ca="1" si="13"/>
        <v/>
      </c>
      <c r="E251" s="676" t="str">
        <f ca="1">IF(B251&gt;HReal,"",IFERROR(VLOOKUP(B251,Flts!$G$14:$I$349,3,FALSE),E250))</f>
        <v/>
      </c>
      <c r="F251" s="744"/>
      <c r="G251" s="687"/>
      <c r="H251" s="687"/>
      <c r="I251" s="687"/>
      <c r="J251" s="745"/>
      <c r="K251" s="744"/>
      <c r="L251" s="687"/>
      <c r="M251" s="687"/>
      <c r="N251" s="687"/>
      <c r="O251" s="745"/>
      <c r="P251" s="744"/>
      <c r="Q251" s="687"/>
      <c r="R251" s="687"/>
      <c r="S251" s="687"/>
      <c r="T251" s="745"/>
      <c r="U251" s="744"/>
      <c r="V251" s="687"/>
      <c r="W251" s="687"/>
      <c r="X251" s="687"/>
      <c r="Y251" s="745"/>
      <c r="Z251" s="744"/>
      <c r="AA251" s="687"/>
      <c r="AB251" s="687"/>
      <c r="AC251" s="687"/>
      <c r="AD251" s="745"/>
      <c r="AE251" s="744"/>
      <c r="AF251" s="687"/>
      <c r="AG251" s="687"/>
      <c r="AH251" s="687"/>
      <c r="AI251" s="745"/>
    </row>
    <row r="252" spans="2:35" ht="25.05" customHeight="1" x14ac:dyDescent="0.3">
      <c r="B252" s="673" t="str">
        <f ca="1">IF(HReal&gt;=MAX(B$6:$B251)+1,B251+1,"")</f>
        <v/>
      </c>
      <c r="C252" s="674" t="str">
        <f t="shared" ca="1" si="12"/>
        <v/>
      </c>
      <c r="D252" s="675" t="str">
        <f t="shared" ca="1" si="13"/>
        <v/>
      </c>
      <c r="E252" s="676" t="str">
        <f ca="1">IF(B252&gt;HReal,"",IFERROR(VLOOKUP(B252,Flts!$G$14:$I$349,3,FALSE),E251))</f>
        <v/>
      </c>
      <c r="F252" s="744"/>
      <c r="G252" s="687"/>
      <c r="H252" s="687"/>
      <c r="I252" s="687"/>
      <c r="J252" s="745"/>
      <c r="K252" s="744"/>
      <c r="L252" s="687"/>
      <c r="M252" s="687"/>
      <c r="N252" s="687"/>
      <c r="O252" s="745"/>
      <c r="P252" s="744"/>
      <c r="Q252" s="687"/>
      <c r="R252" s="687"/>
      <c r="S252" s="687"/>
      <c r="T252" s="745"/>
      <c r="U252" s="744"/>
      <c r="V252" s="687"/>
      <c r="W252" s="687"/>
      <c r="X252" s="687"/>
      <c r="Y252" s="745"/>
      <c r="Z252" s="744"/>
      <c r="AA252" s="687"/>
      <c r="AB252" s="687"/>
      <c r="AC252" s="687"/>
      <c r="AD252" s="745"/>
      <c r="AE252" s="744"/>
      <c r="AF252" s="687"/>
      <c r="AG252" s="687"/>
      <c r="AH252" s="687"/>
      <c r="AI252" s="745"/>
    </row>
    <row r="253" spans="2:35" ht="25.05" customHeight="1" x14ac:dyDescent="0.3">
      <c r="B253" s="673" t="str">
        <f ca="1">IF(HReal&gt;=MAX(B$6:$B252)+1,B252+1,"")</f>
        <v/>
      </c>
      <c r="C253" s="674" t="str">
        <f t="shared" ca="1" si="12"/>
        <v/>
      </c>
      <c r="D253" s="675" t="str">
        <f t="shared" ca="1" si="13"/>
        <v/>
      </c>
      <c r="E253" s="676" t="str">
        <f ca="1">IF(B253&gt;HReal,"",IFERROR(VLOOKUP(B253,Flts!$G$14:$I$349,3,FALSE),E252))</f>
        <v/>
      </c>
      <c r="F253" s="744"/>
      <c r="G253" s="687"/>
      <c r="H253" s="687"/>
      <c r="I253" s="687"/>
      <c r="J253" s="745"/>
      <c r="K253" s="744"/>
      <c r="L253" s="687"/>
      <c r="M253" s="687"/>
      <c r="N253" s="687"/>
      <c r="O253" s="745"/>
      <c r="P253" s="744"/>
      <c r="Q253" s="687"/>
      <c r="R253" s="687"/>
      <c r="S253" s="687"/>
      <c r="T253" s="745"/>
      <c r="U253" s="744"/>
      <c r="V253" s="687"/>
      <c r="W253" s="687"/>
      <c r="X253" s="687"/>
      <c r="Y253" s="745"/>
      <c r="Z253" s="744"/>
      <c r="AA253" s="687"/>
      <c r="AB253" s="687"/>
      <c r="AC253" s="687"/>
      <c r="AD253" s="745"/>
      <c r="AE253" s="744"/>
      <c r="AF253" s="687"/>
      <c r="AG253" s="687"/>
      <c r="AH253" s="687"/>
      <c r="AI253" s="745"/>
    </row>
    <row r="254" spans="2:35" ht="25.05" customHeight="1" x14ac:dyDescent="0.3">
      <c r="B254" s="673" t="str">
        <f ca="1">IF(HReal&gt;=MAX(B$6:$B253)+1,B253+1,"")</f>
        <v/>
      </c>
      <c r="C254" s="674" t="str">
        <f t="shared" ca="1" si="12"/>
        <v/>
      </c>
      <c r="D254" s="675" t="str">
        <f t="shared" ca="1" si="13"/>
        <v/>
      </c>
      <c r="E254" s="676" t="str">
        <f ca="1">IF(B254&gt;HReal,"",IFERROR(VLOOKUP(B254,Flts!$G$14:$I$349,3,FALSE),E253))</f>
        <v/>
      </c>
      <c r="F254" s="744"/>
      <c r="G254" s="687"/>
      <c r="H254" s="687"/>
      <c r="I254" s="687"/>
      <c r="J254" s="745"/>
      <c r="K254" s="744"/>
      <c r="L254" s="687"/>
      <c r="M254" s="687"/>
      <c r="N254" s="687"/>
      <c r="O254" s="745"/>
      <c r="P254" s="744"/>
      <c r="Q254" s="687"/>
      <c r="R254" s="687"/>
      <c r="S254" s="687"/>
      <c r="T254" s="745"/>
      <c r="U254" s="744"/>
      <c r="V254" s="687"/>
      <c r="W254" s="687"/>
      <c r="X254" s="687"/>
      <c r="Y254" s="745"/>
      <c r="Z254" s="744"/>
      <c r="AA254" s="687"/>
      <c r="AB254" s="687"/>
      <c r="AC254" s="687"/>
      <c r="AD254" s="745"/>
      <c r="AE254" s="744"/>
      <c r="AF254" s="687"/>
      <c r="AG254" s="687"/>
      <c r="AH254" s="687"/>
      <c r="AI254" s="745"/>
    </row>
    <row r="255" spans="2:35" ht="25.05" customHeight="1" x14ac:dyDescent="0.3">
      <c r="B255" s="673" t="str">
        <f ca="1">IF(HReal&gt;=MAX(B$6:$B254)+1,B254+1,"")</f>
        <v/>
      </c>
      <c r="C255" s="674" t="str">
        <f t="shared" ca="1" si="12"/>
        <v/>
      </c>
      <c r="D255" s="675" t="str">
        <f t="shared" ca="1" si="13"/>
        <v/>
      </c>
      <c r="E255" s="676" t="str">
        <f ca="1">IF(B255&gt;HReal,"",IFERROR(VLOOKUP(B255,Flts!$G$14:$I$349,3,FALSE),E254))</f>
        <v/>
      </c>
      <c r="F255" s="744"/>
      <c r="G255" s="687"/>
      <c r="H255" s="687"/>
      <c r="I255" s="687"/>
      <c r="J255" s="745"/>
      <c r="K255" s="744"/>
      <c r="L255" s="687"/>
      <c r="M255" s="687"/>
      <c r="N255" s="687"/>
      <c r="O255" s="745"/>
      <c r="P255" s="744"/>
      <c r="Q255" s="687"/>
      <c r="R255" s="687"/>
      <c r="S255" s="687"/>
      <c r="T255" s="745"/>
      <c r="U255" s="744"/>
      <c r="V255" s="687"/>
      <c r="W255" s="687"/>
      <c r="X255" s="687"/>
      <c r="Y255" s="745"/>
      <c r="Z255" s="744"/>
      <c r="AA255" s="687"/>
      <c r="AB255" s="687"/>
      <c r="AC255" s="687"/>
      <c r="AD255" s="745"/>
      <c r="AE255" s="744"/>
      <c r="AF255" s="687"/>
      <c r="AG255" s="687"/>
      <c r="AH255" s="687"/>
      <c r="AI255" s="745"/>
    </row>
    <row r="256" spans="2:35" ht="25.05" customHeight="1" x14ac:dyDescent="0.3">
      <c r="B256" s="673" t="str">
        <f ca="1">IF(HReal&gt;=MAX(B$6:$B255)+1,B255+1,"")</f>
        <v/>
      </c>
      <c r="C256" s="674" t="str">
        <f t="shared" ca="1" si="12"/>
        <v/>
      </c>
      <c r="D256" s="675" t="str">
        <f t="shared" ca="1" si="13"/>
        <v/>
      </c>
      <c r="E256" s="676" t="str">
        <f ca="1">IF(B256&gt;HReal,"",IFERROR(VLOOKUP(B256,Flts!$G$14:$I$349,3,FALSE),E255))</f>
        <v/>
      </c>
      <c r="F256" s="744"/>
      <c r="G256" s="687"/>
      <c r="H256" s="687"/>
      <c r="I256" s="687"/>
      <c r="J256" s="745"/>
      <c r="K256" s="744"/>
      <c r="L256" s="687"/>
      <c r="M256" s="687"/>
      <c r="N256" s="687"/>
      <c r="O256" s="745"/>
      <c r="P256" s="744"/>
      <c r="Q256" s="687"/>
      <c r="R256" s="687"/>
      <c r="S256" s="687"/>
      <c r="T256" s="745"/>
      <c r="U256" s="744"/>
      <c r="V256" s="687"/>
      <c r="W256" s="687"/>
      <c r="X256" s="687"/>
      <c r="Y256" s="745"/>
      <c r="Z256" s="744"/>
      <c r="AA256" s="687"/>
      <c r="AB256" s="687"/>
      <c r="AC256" s="687"/>
      <c r="AD256" s="745"/>
      <c r="AE256" s="744"/>
      <c r="AF256" s="687"/>
      <c r="AG256" s="687"/>
      <c r="AH256" s="687"/>
      <c r="AI256" s="745"/>
    </row>
    <row r="257" spans="2:35" ht="25.05" customHeight="1" x14ac:dyDescent="0.3">
      <c r="B257" s="673" t="str">
        <f ca="1">IF(HReal&gt;=MAX(B$6:$B256)+1,B256+1,"")</f>
        <v/>
      </c>
      <c r="C257" s="674" t="str">
        <f t="shared" ca="1" si="12"/>
        <v/>
      </c>
      <c r="D257" s="675" t="str">
        <f t="shared" ca="1" si="13"/>
        <v/>
      </c>
      <c r="E257" s="676" t="str">
        <f ca="1">IF(B257&gt;HReal,"",IFERROR(VLOOKUP(B257,Flts!$G$14:$I$349,3,FALSE),E256))</f>
        <v/>
      </c>
      <c r="F257" s="744"/>
      <c r="G257" s="687"/>
      <c r="H257" s="687"/>
      <c r="I257" s="687"/>
      <c r="J257" s="745"/>
      <c r="K257" s="744"/>
      <c r="L257" s="687"/>
      <c r="M257" s="687"/>
      <c r="N257" s="687"/>
      <c r="O257" s="745"/>
      <c r="P257" s="744"/>
      <c r="Q257" s="687"/>
      <c r="R257" s="687"/>
      <c r="S257" s="687"/>
      <c r="T257" s="745"/>
      <c r="U257" s="744"/>
      <c r="V257" s="687"/>
      <c r="W257" s="687"/>
      <c r="X257" s="687"/>
      <c r="Y257" s="745"/>
      <c r="Z257" s="744"/>
      <c r="AA257" s="687"/>
      <c r="AB257" s="687"/>
      <c r="AC257" s="687"/>
      <c r="AD257" s="745"/>
      <c r="AE257" s="744"/>
      <c r="AF257" s="687"/>
      <c r="AG257" s="687"/>
      <c r="AH257" s="687"/>
      <c r="AI257" s="745"/>
    </row>
    <row r="258" spans="2:35" ht="25.05" customHeight="1" x14ac:dyDescent="0.3">
      <c r="B258" s="673" t="str">
        <f ca="1">IF(HReal&gt;=MAX(B$6:$B257)+1,B257+1,"")</f>
        <v/>
      </c>
      <c r="C258" s="674" t="str">
        <f t="shared" ca="1" si="12"/>
        <v/>
      </c>
      <c r="D258" s="675" t="str">
        <f t="shared" ca="1" si="13"/>
        <v/>
      </c>
      <c r="E258" s="676" t="str">
        <f ca="1">IF(B258&gt;HReal,"",IFERROR(VLOOKUP(B258,Flts!$G$14:$I$349,3,FALSE),E257))</f>
        <v/>
      </c>
      <c r="F258" s="744"/>
      <c r="G258" s="687"/>
      <c r="H258" s="687"/>
      <c r="I258" s="687"/>
      <c r="J258" s="745"/>
      <c r="K258" s="744"/>
      <c r="L258" s="687"/>
      <c r="M258" s="687"/>
      <c r="N258" s="687"/>
      <c r="O258" s="745"/>
      <c r="P258" s="744"/>
      <c r="Q258" s="687"/>
      <c r="R258" s="687"/>
      <c r="S258" s="687"/>
      <c r="T258" s="745"/>
      <c r="U258" s="744"/>
      <c r="V258" s="687"/>
      <c r="W258" s="687"/>
      <c r="X258" s="687"/>
      <c r="Y258" s="745"/>
      <c r="Z258" s="744"/>
      <c r="AA258" s="687"/>
      <c r="AB258" s="687"/>
      <c r="AC258" s="687"/>
      <c r="AD258" s="745"/>
      <c r="AE258" s="744"/>
      <c r="AF258" s="687"/>
      <c r="AG258" s="687"/>
      <c r="AH258" s="687"/>
      <c r="AI258" s="745"/>
    </row>
    <row r="259" spans="2:35" ht="25.05" customHeight="1" x14ac:dyDescent="0.3">
      <c r="B259" s="673" t="str">
        <f ca="1">IF(HReal&gt;=MAX(B$6:$B258)+1,B258+1,"")</f>
        <v/>
      </c>
      <c r="C259" s="674" t="str">
        <f t="shared" ca="1" si="12"/>
        <v/>
      </c>
      <c r="D259" s="675" t="str">
        <f t="shared" ca="1" si="13"/>
        <v/>
      </c>
      <c r="E259" s="676" t="str">
        <f ca="1">IF(B259&gt;HReal,"",IFERROR(VLOOKUP(B259,Flts!$G$14:$I$349,3,FALSE),E258))</f>
        <v/>
      </c>
      <c r="F259" s="744"/>
      <c r="G259" s="687"/>
      <c r="H259" s="687"/>
      <c r="I259" s="687"/>
      <c r="J259" s="745"/>
      <c r="K259" s="744"/>
      <c r="L259" s="687"/>
      <c r="M259" s="687"/>
      <c r="N259" s="687"/>
      <c r="O259" s="745"/>
      <c r="P259" s="744"/>
      <c r="Q259" s="687"/>
      <c r="R259" s="687"/>
      <c r="S259" s="687"/>
      <c r="T259" s="745"/>
      <c r="U259" s="744"/>
      <c r="V259" s="687"/>
      <c r="W259" s="687"/>
      <c r="X259" s="687"/>
      <c r="Y259" s="745"/>
      <c r="Z259" s="744"/>
      <c r="AA259" s="687"/>
      <c r="AB259" s="687"/>
      <c r="AC259" s="687"/>
      <c r="AD259" s="745"/>
      <c r="AE259" s="744"/>
      <c r="AF259" s="687"/>
      <c r="AG259" s="687"/>
      <c r="AH259" s="687"/>
      <c r="AI259" s="745"/>
    </row>
    <row r="260" spans="2:35" ht="25.05" customHeight="1" x14ac:dyDescent="0.3">
      <c r="B260" s="673" t="str">
        <f ca="1">IF(HReal&gt;=MAX(B$6:$B259)+1,B259+1,"")</f>
        <v/>
      </c>
      <c r="C260" s="674" t="str">
        <f t="shared" ca="1" si="12"/>
        <v/>
      </c>
      <c r="D260" s="675" t="str">
        <f t="shared" ca="1" si="13"/>
        <v/>
      </c>
      <c r="E260" s="676" t="str">
        <f ca="1">IF(B260&gt;HReal,"",IFERROR(VLOOKUP(B260,Flts!$G$14:$I$349,3,FALSE),E259))</f>
        <v/>
      </c>
      <c r="F260" s="744"/>
      <c r="G260" s="687"/>
      <c r="H260" s="687"/>
      <c r="I260" s="687"/>
      <c r="J260" s="745"/>
      <c r="K260" s="744"/>
      <c r="L260" s="687"/>
      <c r="M260" s="687"/>
      <c r="N260" s="687"/>
      <c r="O260" s="745"/>
      <c r="P260" s="744"/>
      <c r="Q260" s="687"/>
      <c r="R260" s="687"/>
      <c r="S260" s="687"/>
      <c r="T260" s="745"/>
      <c r="U260" s="744"/>
      <c r="V260" s="687"/>
      <c r="W260" s="687"/>
      <c r="X260" s="687"/>
      <c r="Y260" s="745"/>
      <c r="Z260" s="744"/>
      <c r="AA260" s="687"/>
      <c r="AB260" s="687"/>
      <c r="AC260" s="687"/>
      <c r="AD260" s="745"/>
      <c r="AE260" s="744"/>
      <c r="AF260" s="687"/>
      <c r="AG260" s="687"/>
      <c r="AH260" s="687"/>
      <c r="AI260" s="745"/>
    </row>
    <row r="261" spans="2:35" ht="25.05" customHeight="1" x14ac:dyDescent="0.3">
      <c r="B261" s="673" t="str">
        <f ca="1">IF(HReal&gt;=MAX(B$6:$B260)+1,B260+1,"")</f>
        <v/>
      </c>
      <c r="C261" s="674" t="str">
        <f t="shared" ca="1" si="12"/>
        <v/>
      </c>
      <c r="D261" s="675" t="str">
        <f t="shared" ca="1" si="13"/>
        <v/>
      </c>
      <c r="E261" s="676" t="str">
        <f ca="1">IF(B261&gt;HReal,"",IFERROR(VLOOKUP(B261,Flts!$G$14:$I$349,3,FALSE),E260))</f>
        <v/>
      </c>
      <c r="F261" s="744"/>
      <c r="G261" s="687"/>
      <c r="H261" s="687"/>
      <c r="I261" s="687"/>
      <c r="J261" s="745"/>
      <c r="K261" s="744"/>
      <c r="L261" s="687"/>
      <c r="M261" s="687"/>
      <c r="N261" s="687"/>
      <c r="O261" s="745"/>
      <c r="P261" s="744"/>
      <c r="Q261" s="687"/>
      <c r="R261" s="687"/>
      <c r="S261" s="687"/>
      <c r="T261" s="745"/>
      <c r="U261" s="744"/>
      <c r="V261" s="687"/>
      <c r="W261" s="687"/>
      <c r="X261" s="687"/>
      <c r="Y261" s="745"/>
      <c r="Z261" s="744"/>
      <c r="AA261" s="687"/>
      <c r="AB261" s="687"/>
      <c r="AC261" s="687"/>
      <c r="AD261" s="745"/>
      <c r="AE261" s="744"/>
      <c r="AF261" s="687"/>
      <c r="AG261" s="687"/>
      <c r="AH261" s="687"/>
      <c r="AI261" s="745"/>
    </row>
    <row r="262" spans="2:35" ht="25.05" customHeight="1" x14ac:dyDescent="0.3">
      <c r="B262" s="673" t="str">
        <f ca="1">IF(HReal&gt;=MAX(B$6:$B261)+1,B261+1,"")</f>
        <v/>
      </c>
      <c r="C262" s="674" t="str">
        <f t="shared" ca="1" si="12"/>
        <v/>
      </c>
      <c r="D262" s="675" t="str">
        <f t="shared" ca="1" si="13"/>
        <v/>
      </c>
      <c r="E262" s="676" t="str">
        <f ca="1">IF(B262&gt;HReal,"",IFERROR(VLOOKUP(B262,Flts!$G$14:$I$349,3,FALSE),E261))</f>
        <v/>
      </c>
      <c r="F262" s="744"/>
      <c r="G262" s="687"/>
      <c r="H262" s="687"/>
      <c r="I262" s="687"/>
      <c r="J262" s="745"/>
      <c r="K262" s="744"/>
      <c r="L262" s="687"/>
      <c r="M262" s="687"/>
      <c r="N262" s="687"/>
      <c r="O262" s="745"/>
      <c r="P262" s="744"/>
      <c r="Q262" s="687"/>
      <c r="R262" s="687"/>
      <c r="S262" s="687"/>
      <c r="T262" s="745"/>
      <c r="U262" s="744"/>
      <c r="V262" s="687"/>
      <c r="W262" s="687"/>
      <c r="X262" s="687"/>
      <c r="Y262" s="745"/>
      <c r="Z262" s="744"/>
      <c r="AA262" s="687"/>
      <c r="AB262" s="687"/>
      <c r="AC262" s="687"/>
      <c r="AD262" s="745"/>
      <c r="AE262" s="744"/>
      <c r="AF262" s="687"/>
      <c r="AG262" s="687"/>
      <c r="AH262" s="687"/>
      <c r="AI262" s="745"/>
    </row>
    <row r="263" spans="2:35" ht="25.05" customHeight="1" x14ac:dyDescent="0.3">
      <c r="B263" s="673" t="str">
        <f ca="1">IF(HReal&gt;=MAX(B$6:$B262)+1,B262+1,"")</f>
        <v/>
      </c>
      <c r="C263" s="674" t="str">
        <f t="shared" ca="1" si="12"/>
        <v/>
      </c>
      <c r="D263" s="675" t="str">
        <f t="shared" ca="1" si="13"/>
        <v/>
      </c>
      <c r="E263" s="676" t="str">
        <f ca="1">IF(B263&gt;HReal,"",IFERROR(VLOOKUP(B263,Flts!$G$14:$I$349,3,FALSE),E262))</f>
        <v/>
      </c>
      <c r="F263" s="744"/>
      <c r="G263" s="687"/>
      <c r="H263" s="687"/>
      <c r="I263" s="687"/>
      <c r="J263" s="745"/>
      <c r="K263" s="744"/>
      <c r="L263" s="687"/>
      <c r="M263" s="687"/>
      <c r="N263" s="687"/>
      <c r="O263" s="745"/>
      <c r="P263" s="744"/>
      <c r="Q263" s="687"/>
      <c r="R263" s="687"/>
      <c r="S263" s="687"/>
      <c r="T263" s="745"/>
      <c r="U263" s="744"/>
      <c r="V263" s="687"/>
      <c r="W263" s="687"/>
      <c r="X263" s="687"/>
      <c r="Y263" s="745"/>
      <c r="Z263" s="744"/>
      <c r="AA263" s="687"/>
      <c r="AB263" s="687"/>
      <c r="AC263" s="687"/>
      <c r="AD263" s="745"/>
      <c r="AE263" s="744"/>
      <c r="AF263" s="687"/>
      <c r="AG263" s="687"/>
      <c r="AH263" s="687"/>
      <c r="AI263" s="745"/>
    </row>
    <row r="264" spans="2:35" ht="25.05" customHeight="1" x14ac:dyDescent="0.3">
      <c r="B264" s="673" t="str">
        <f ca="1">IF(HReal&gt;=MAX(B$6:$B263)+1,B263+1,"")</f>
        <v/>
      </c>
      <c r="C264" s="674" t="str">
        <f t="shared" ca="1" si="12"/>
        <v/>
      </c>
      <c r="D264" s="675" t="str">
        <f t="shared" ca="1" si="13"/>
        <v/>
      </c>
      <c r="E264" s="676" t="str">
        <f ca="1">IF(B264&gt;HReal,"",IFERROR(VLOOKUP(B264,Flts!$G$14:$I$349,3,FALSE),E263))</f>
        <v/>
      </c>
      <c r="F264" s="744"/>
      <c r="G264" s="687"/>
      <c r="H264" s="687"/>
      <c r="I264" s="687"/>
      <c r="J264" s="745"/>
      <c r="K264" s="744"/>
      <c r="L264" s="687"/>
      <c r="M264" s="687"/>
      <c r="N264" s="687"/>
      <c r="O264" s="745"/>
      <c r="P264" s="744"/>
      <c r="Q264" s="687"/>
      <c r="R264" s="687"/>
      <c r="S264" s="687"/>
      <c r="T264" s="745"/>
      <c r="U264" s="744"/>
      <c r="V264" s="687"/>
      <c r="W264" s="687"/>
      <c r="X264" s="687"/>
      <c r="Y264" s="745"/>
      <c r="Z264" s="744"/>
      <c r="AA264" s="687"/>
      <c r="AB264" s="687"/>
      <c r="AC264" s="687"/>
      <c r="AD264" s="745"/>
      <c r="AE264" s="744"/>
      <c r="AF264" s="687"/>
      <c r="AG264" s="687"/>
      <c r="AH264" s="687"/>
      <c r="AI264" s="745"/>
    </row>
    <row r="265" spans="2:35" ht="25.05" customHeight="1" x14ac:dyDescent="0.3">
      <c r="B265" s="673" t="str">
        <f ca="1">IF(HReal&gt;=MAX(B$6:$B264)+1,B264+1,"")</f>
        <v/>
      </c>
      <c r="C265" s="674" t="str">
        <f t="shared" ca="1" si="12"/>
        <v/>
      </c>
      <c r="D265" s="675" t="str">
        <f t="shared" ca="1" si="13"/>
        <v/>
      </c>
      <c r="E265" s="676" t="str">
        <f ca="1">IF(B265&gt;HReal,"",IFERROR(VLOOKUP(B265,Flts!$G$14:$I$349,3,FALSE),E264))</f>
        <v/>
      </c>
      <c r="F265" s="744"/>
      <c r="G265" s="687"/>
      <c r="H265" s="687"/>
      <c r="I265" s="687"/>
      <c r="J265" s="745"/>
      <c r="K265" s="744"/>
      <c r="L265" s="687"/>
      <c r="M265" s="687"/>
      <c r="N265" s="687"/>
      <c r="O265" s="745"/>
      <c r="P265" s="744"/>
      <c r="Q265" s="687"/>
      <c r="R265" s="687"/>
      <c r="S265" s="687"/>
      <c r="T265" s="745"/>
      <c r="U265" s="744"/>
      <c r="V265" s="687"/>
      <c r="W265" s="687"/>
      <c r="X265" s="687"/>
      <c r="Y265" s="745"/>
      <c r="Z265" s="744"/>
      <c r="AA265" s="687"/>
      <c r="AB265" s="687"/>
      <c r="AC265" s="687"/>
      <c r="AD265" s="745"/>
      <c r="AE265" s="744"/>
      <c r="AF265" s="687"/>
      <c r="AG265" s="687"/>
      <c r="AH265" s="687"/>
      <c r="AI265" s="745"/>
    </row>
    <row r="266" spans="2:35" ht="25.05" customHeight="1" x14ac:dyDescent="0.3">
      <c r="B266" s="673" t="str">
        <f ca="1">IF(HReal&gt;=MAX(B$6:$B265)+1,B265+1,"")</f>
        <v/>
      </c>
      <c r="C266" s="674" t="str">
        <f t="shared" ca="1" si="12"/>
        <v/>
      </c>
      <c r="D266" s="675" t="str">
        <f t="shared" ca="1" si="13"/>
        <v/>
      </c>
      <c r="E266" s="676" t="str">
        <f ca="1">IF(B266&gt;HReal,"",IFERROR(VLOOKUP(B266,Flts!$G$14:$I$349,3,FALSE),E265))</f>
        <v/>
      </c>
      <c r="F266" s="744"/>
      <c r="G266" s="687"/>
      <c r="H266" s="687"/>
      <c r="I266" s="687"/>
      <c r="J266" s="745"/>
      <c r="K266" s="744"/>
      <c r="L266" s="687"/>
      <c r="M266" s="687"/>
      <c r="N266" s="687"/>
      <c r="O266" s="745"/>
      <c r="P266" s="744"/>
      <c r="Q266" s="687"/>
      <c r="R266" s="687"/>
      <c r="S266" s="687"/>
      <c r="T266" s="745"/>
      <c r="U266" s="744"/>
      <c r="V266" s="687"/>
      <c r="W266" s="687"/>
      <c r="X266" s="687"/>
      <c r="Y266" s="745"/>
      <c r="Z266" s="744"/>
      <c r="AA266" s="687"/>
      <c r="AB266" s="687"/>
      <c r="AC266" s="687"/>
      <c r="AD266" s="745"/>
      <c r="AE266" s="744"/>
      <c r="AF266" s="687"/>
      <c r="AG266" s="687"/>
      <c r="AH266" s="687"/>
      <c r="AI266" s="745"/>
    </row>
    <row r="267" spans="2:35" ht="25.05" customHeight="1" x14ac:dyDescent="0.3">
      <c r="B267" s="673" t="str">
        <f ca="1">IF(HReal&gt;=MAX(B$6:$B266)+1,B266+1,"")</f>
        <v/>
      </c>
      <c r="C267" s="674" t="str">
        <f t="shared" ca="1" si="12"/>
        <v/>
      </c>
      <c r="D267" s="675" t="str">
        <f t="shared" ca="1" si="13"/>
        <v/>
      </c>
      <c r="E267" s="676" t="str">
        <f ca="1">IF(B267&gt;HReal,"",IFERROR(VLOOKUP(B267,Flts!$G$14:$I$349,3,FALSE),E266))</f>
        <v/>
      </c>
      <c r="F267" s="744"/>
      <c r="G267" s="687"/>
      <c r="H267" s="687"/>
      <c r="I267" s="687"/>
      <c r="J267" s="745"/>
      <c r="K267" s="744"/>
      <c r="L267" s="687"/>
      <c r="M267" s="687"/>
      <c r="N267" s="687"/>
      <c r="O267" s="745"/>
      <c r="P267" s="744"/>
      <c r="Q267" s="687"/>
      <c r="R267" s="687"/>
      <c r="S267" s="687"/>
      <c r="T267" s="745"/>
      <c r="U267" s="744"/>
      <c r="V267" s="687"/>
      <c r="W267" s="687"/>
      <c r="X267" s="687"/>
      <c r="Y267" s="745"/>
      <c r="Z267" s="744"/>
      <c r="AA267" s="687"/>
      <c r="AB267" s="687"/>
      <c r="AC267" s="687"/>
      <c r="AD267" s="745"/>
      <c r="AE267" s="744"/>
      <c r="AF267" s="687"/>
      <c r="AG267" s="687"/>
      <c r="AH267" s="687"/>
      <c r="AI267" s="745"/>
    </row>
    <row r="268" spans="2:35" ht="25.05" customHeight="1" x14ac:dyDescent="0.3">
      <c r="B268" s="673" t="str">
        <f ca="1">IF(HReal&gt;=MAX(B$6:$B267)+1,B267+1,"")</f>
        <v/>
      </c>
      <c r="C268" s="674" t="str">
        <f t="shared" ca="1" si="12"/>
        <v/>
      </c>
      <c r="D268" s="675" t="str">
        <f t="shared" ca="1" si="13"/>
        <v/>
      </c>
      <c r="E268" s="676" t="str">
        <f ca="1">IF(B268&gt;HReal,"",IFERROR(VLOOKUP(B268,Flts!$G$14:$I$349,3,FALSE),E267))</f>
        <v/>
      </c>
      <c r="F268" s="744"/>
      <c r="G268" s="687"/>
      <c r="H268" s="687"/>
      <c r="I268" s="687"/>
      <c r="J268" s="745"/>
      <c r="K268" s="744"/>
      <c r="L268" s="687"/>
      <c r="M268" s="687"/>
      <c r="N268" s="687"/>
      <c r="O268" s="745"/>
      <c r="P268" s="744"/>
      <c r="Q268" s="687"/>
      <c r="R268" s="687"/>
      <c r="S268" s="687"/>
      <c r="T268" s="745"/>
      <c r="U268" s="744"/>
      <c r="V268" s="687"/>
      <c r="W268" s="687"/>
      <c r="X268" s="687"/>
      <c r="Y268" s="745"/>
      <c r="Z268" s="744"/>
      <c r="AA268" s="687"/>
      <c r="AB268" s="687"/>
      <c r="AC268" s="687"/>
      <c r="AD268" s="745"/>
      <c r="AE268" s="744"/>
      <c r="AF268" s="687"/>
      <c r="AG268" s="687"/>
      <c r="AH268" s="687"/>
      <c r="AI268" s="745"/>
    </row>
    <row r="269" spans="2:35" ht="25.05" customHeight="1" x14ac:dyDescent="0.3">
      <c r="B269" s="673" t="str">
        <f ca="1">IF(HReal&gt;=MAX(B$6:$B268)+1,B268+1,"")</f>
        <v/>
      </c>
      <c r="C269" s="674" t="str">
        <f t="shared" ca="1" si="12"/>
        <v/>
      </c>
      <c r="D269" s="675" t="str">
        <f t="shared" ca="1" si="13"/>
        <v/>
      </c>
      <c r="E269" s="676" t="str">
        <f ca="1">IF(B269&gt;HReal,"",IFERROR(VLOOKUP(B269,Flts!$G$14:$I$349,3,FALSE),E268))</f>
        <v/>
      </c>
      <c r="F269" s="744"/>
      <c r="G269" s="687"/>
      <c r="H269" s="687"/>
      <c r="I269" s="687"/>
      <c r="J269" s="745"/>
      <c r="K269" s="744"/>
      <c r="L269" s="687"/>
      <c r="M269" s="687"/>
      <c r="N269" s="687"/>
      <c r="O269" s="745"/>
      <c r="P269" s="744"/>
      <c r="Q269" s="687"/>
      <c r="R269" s="687"/>
      <c r="S269" s="687"/>
      <c r="T269" s="745"/>
      <c r="U269" s="744"/>
      <c r="V269" s="687"/>
      <c r="W269" s="687"/>
      <c r="X269" s="687"/>
      <c r="Y269" s="745"/>
      <c r="Z269" s="744"/>
      <c r="AA269" s="687"/>
      <c r="AB269" s="687"/>
      <c r="AC269" s="687"/>
      <c r="AD269" s="745"/>
      <c r="AE269" s="744"/>
      <c r="AF269" s="687"/>
      <c r="AG269" s="687"/>
      <c r="AH269" s="687"/>
      <c r="AI269" s="745"/>
    </row>
    <row r="270" spans="2:35" ht="25.05" customHeight="1" x14ac:dyDescent="0.3">
      <c r="B270" s="673" t="str">
        <f ca="1">IF(HReal&gt;=MAX(B$6:$B269)+1,B269+1,"")</f>
        <v/>
      </c>
      <c r="C270" s="674" t="str">
        <f t="shared" ca="1" si="12"/>
        <v/>
      </c>
      <c r="D270" s="675" t="str">
        <f t="shared" ca="1" si="13"/>
        <v/>
      </c>
      <c r="E270" s="676" t="str">
        <f ca="1">IF(B270&gt;HReal,"",IFERROR(VLOOKUP(B270,Flts!$G$14:$I$349,3,FALSE),E269))</f>
        <v/>
      </c>
      <c r="F270" s="744"/>
      <c r="G270" s="687"/>
      <c r="H270" s="687"/>
      <c r="I270" s="687"/>
      <c r="J270" s="745"/>
      <c r="K270" s="744"/>
      <c r="L270" s="687"/>
      <c r="M270" s="687"/>
      <c r="N270" s="687"/>
      <c r="O270" s="745"/>
      <c r="P270" s="744"/>
      <c r="Q270" s="687"/>
      <c r="R270" s="687"/>
      <c r="S270" s="687"/>
      <c r="T270" s="745"/>
      <c r="U270" s="744"/>
      <c r="V270" s="687"/>
      <c r="W270" s="687"/>
      <c r="X270" s="687"/>
      <c r="Y270" s="745"/>
      <c r="Z270" s="744"/>
      <c r="AA270" s="687"/>
      <c r="AB270" s="687"/>
      <c r="AC270" s="687"/>
      <c r="AD270" s="745"/>
      <c r="AE270" s="744"/>
      <c r="AF270" s="687"/>
      <c r="AG270" s="687"/>
      <c r="AH270" s="687"/>
      <c r="AI270" s="745"/>
    </row>
    <row r="271" spans="2:35" ht="25.05" customHeight="1" x14ac:dyDescent="0.3">
      <c r="B271" s="673" t="str">
        <f ca="1">IF(HReal&gt;=MAX(B$6:$B270)+1,B270+1,"")</f>
        <v/>
      </c>
      <c r="C271" s="674" t="str">
        <f t="shared" ca="1" si="12"/>
        <v/>
      </c>
      <c r="D271" s="675" t="str">
        <f t="shared" ca="1" si="13"/>
        <v/>
      </c>
      <c r="E271" s="676" t="str">
        <f ca="1">IF(B271&gt;HReal,"",IFERROR(VLOOKUP(B271,Flts!$G$14:$I$349,3,FALSE),E270))</f>
        <v/>
      </c>
      <c r="F271" s="744"/>
      <c r="G271" s="687"/>
      <c r="H271" s="687"/>
      <c r="I271" s="687"/>
      <c r="J271" s="745"/>
      <c r="K271" s="744"/>
      <c r="L271" s="687"/>
      <c r="M271" s="687"/>
      <c r="N271" s="687"/>
      <c r="O271" s="745"/>
      <c r="P271" s="744"/>
      <c r="Q271" s="687"/>
      <c r="R271" s="687"/>
      <c r="S271" s="687"/>
      <c r="T271" s="745"/>
      <c r="U271" s="744"/>
      <c r="V271" s="687"/>
      <c r="W271" s="687"/>
      <c r="X271" s="687"/>
      <c r="Y271" s="745"/>
      <c r="Z271" s="744"/>
      <c r="AA271" s="687"/>
      <c r="AB271" s="687"/>
      <c r="AC271" s="687"/>
      <c r="AD271" s="745"/>
      <c r="AE271" s="744"/>
      <c r="AF271" s="687"/>
      <c r="AG271" s="687"/>
      <c r="AH271" s="687"/>
      <c r="AI271" s="745"/>
    </row>
    <row r="272" spans="2:35" ht="25.05" customHeight="1" x14ac:dyDescent="0.3">
      <c r="B272" s="673" t="str">
        <f ca="1">IF(HReal&gt;=MAX(B$6:$B271)+1,B271+1,"")</f>
        <v/>
      </c>
      <c r="C272" s="674" t="str">
        <f t="shared" ca="1" si="12"/>
        <v/>
      </c>
      <c r="D272" s="675" t="str">
        <f t="shared" ca="1" si="13"/>
        <v/>
      </c>
      <c r="E272" s="676" t="str">
        <f ca="1">IF(B272&gt;HReal,"",IFERROR(VLOOKUP(B272,Flts!$G$14:$I$349,3,FALSE),E271))</f>
        <v/>
      </c>
      <c r="F272" s="744"/>
      <c r="G272" s="687"/>
      <c r="H272" s="687"/>
      <c r="I272" s="687"/>
      <c r="J272" s="745"/>
      <c r="K272" s="744"/>
      <c r="L272" s="687"/>
      <c r="M272" s="687"/>
      <c r="N272" s="687"/>
      <c r="O272" s="745"/>
      <c r="P272" s="744"/>
      <c r="Q272" s="687"/>
      <c r="R272" s="687"/>
      <c r="S272" s="687"/>
      <c r="T272" s="745"/>
      <c r="U272" s="744"/>
      <c r="V272" s="687"/>
      <c r="W272" s="687"/>
      <c r="X272" s="687"/>
      <c r="Y272" s="745"/>
      <c r="Z272" s="744"/>
      <c r="AA272" s="687"/>
      <c r="AB272" s="687"/>
      <c r="AC272" s="687"/>
      <c r="AD272" s="745"/>
      <c r="AE272" s="744"/>
      <c r="AF272" s="687"/>
      <c r="AG272" s="687"/>
      <c r="AH272" s="687"/>
      <c r="AI272" s="745"/>
    </row>
    <row r="273" spans="2:35" ht="25.05" customHeight="1" x14ac:dyDescent="0.3">
      <c r="B273" s="673" t="str">
        <f ca="1">IF(HReal&gt;=MAX(B$6:$B272)+1,B272+1,"")</f>
        <v/>
      </c>
      <c r="C273" s="674" t="str">
        <f t="shared" ca="1" si="12"/>
        <v/>
      </c>
      <c r="D273" s="675" t="str">
        <f t="shared" ca="1" si="13"/>
        <v/>
      </c>
      <c r="E273" s="676" t="str">
        <f ca="1">IF(B273&gt;HReal,"",IFERROR(VLOOKUP(B273,Flts!$G$14:$I$349,3,FALSE),E272))</f>
        <v/>
      </c>
      <c r="F273" s="744"/>
      <c r="G273" s="687"/>
      <c r="H273" s="687"/>
      <c r="I273" s="687"/>
      <c r="J273" s="745"/>
      <c r="K273" s="744"/>
      <c r="L273" s="687"/>
      <c r="M273" s="687"/>
      <c r="N273" s="687"/>
      <c r="O273" s="745"/>
      <c r="P273" s="744"/>
      <c r="Q273" s="687"/>
      <c r="R273" s="687"/>
      <c r="S273" s="687"/>
      <c r="T273" s="745"/>
      <c r="U273" s="744"/>
      <c r="V273" s="687"/>
      <c r="W273" s="687"/>
      <c r="X273" s="687"/>
      <c r="Y273" s="745"/>
      <c r="Z273" s="744"/>
      <c r="AA273" s="687"/>
      <c r="AB273" s="687"/>
      <c r="AC273" s="687"/>
      <c r="AD273" s="745"/>
      <c r="AE273" s="744"/>
      <c r="AF273" s="687"/>
      <c r="AG273" s="687"/>
      <c r="AH273" s="687"/>
      <c r="AI273" s="745"/>
    </row>
    <row r="274" spans="2:35" ht="25.05" customHeight="1" x14ac:dyDescent="0.3">
      <c r="B274" s="673" t="str">
        <f ca="1">IF(HReal&gt;=MAX(B$6:$B273)+1,B273+1,"")</f>
        <v/>
      </c>
      <c r="C274" s="674" t="str">
        <f t="shared" ca="1" si="12"/>
        <v/>
      </c>
      <c r="D274" s="675" t="str">
        <f t="shared" ca="1" si="13"/>
        <v/>
      </c>
      <c r="E274" s="676" t="str">
        <f ca="1">IF(B274&gt;HReal,"",IFERROR(VLOOKUP(B274,Flts!$G$14:$I$349,3,FALSE),E273))</f>
        <v/>
      </c>
      <c r="F274" s="744"/>
      <c r="G274" s="687"/>
      <c r="H274" s="687"/>
      <c r="I274" s="687"/>
      <c r="J274" s="745"/>
      <c r="K274" s="744"/>
      <c r="L274" s="687"/>
      <c r="M274" s="687"/>
      <c r="N274" s="687"/>
      <c r="O274" s="745"/>
      <c r="P274" s="744"/>
      <c r="Q274" s="687"/>
      <c r="R274" s="687"/>
      <c r="S274" s="687"/>
      <c r="T274" s="745"/>
      <c r="U274" s="744"/>
      <c r="V274" s="687"/>
      <c r="W274" s="687"/>
      <c r="X274" s="687"/>
      <c r="Y274" s="745"/>
      <c r="Z274" s="744"/>
      <c r="AA274" s="687"/>
      <c r="AB274" s="687"/>
      <c r="AC274" s="687"/>
      <c r="AD274" s="745"/>
      <c r="AE274" s="744"/>
      <c r="AF274" s="687"/>
      <c r="AG274" s="687"/>
      <c r="AH274" s="687"/>
      <c r="AI274" s="745"/>
    </row>
    <row r="275" spans="2:35" ht="25.05" customHeight="1" x14ac:dyDescent="0.3">
      <c r="B275" s="673" t="str">
        <f ca="1">IF(HReal&gt;=MAX(B$6:$B274)+1,B274+1,"")</f>
        <v/>
      </c>
      <c r="C275" s="674" t="str">
        <f t="shared" ca="1" si="12"/>
        <v/>
      </c>
      <c r="D275" s="675" t="str">
        <f t="shared" ca="1" si="13"/>
        <v/>
      </c>
      <c r="E275" s="676" t="str">
        <f ca="1">IF(B275&gt;HReal,"",IFERROR(VLOOKUP(B275,Flts!$G$14:$I$349,3,FALSE),E274))</f>
        <v/>
      </c>
      <c r="F275" s="744"/>
      <c r="G275" s="687"/>
      <c r="H275" s="687"/>
      <c r="I275" s="687"/>
      <c r="J275" s="745"/>
      <c r="K275" s="744"/>
      <c r="L275" s="687"/>
      <c r="M275" s="687"/>
      <c r="N275" s="687"/>
      <c r="O275" s="745"/>
      <c r="P275" s="744"/>
      <c r="Q275" s="687"/>
      <c r="R275" s="687"/>
      <c r="S275" s="687"/>
      <c r="T275" s="745"/>
      <c r="U275" s="744"/>
      <c r="V275" s="687"/>
      <c r="W275" s="687"/>
      <c r="X275" s="687"/>
      <c r="Y275" s="745"/>
      <c r="Z275" s="744"/>
      <c r="AA275" s="687"/>
      <c r="AB275" s="687"/>
      <c r="AC275" s="687"/>
      <c r="AD275" s="745"/>
      <c r="AE275" s="744"/>
      <c r="AF275" s="687"/>
      <c r="AG275" s="687"/>
      <c r="AH275" s="687"/>
      <c r="AI275" s="745"/>
    </row>
    <row r="276" spans="2:35" ht="25.05" customHeight="1" x14ac:dyDescent="0.3">
      <c r="B276" s="673" t="str">
        <f ca="1">IF(HReal&gt;=MAX(B$6:$B275)+1,B275+1,"")</f>
        <v/>
      </c>
      <c r="C276" s="674" t="str">
        <f t="shared" ca="1" si="12"/>
        <v/>
      </c>
      <c r="D276" s="675" t="str">
        <f t="shared" ca="1" si="13"/>
        <v/>
      </c>
      <c r="E276" s="676" t="str">
        <f ca="1">IF(B276&gt;HReal,"",IFERROR(VLOOKUP(B276,Flts!$G$14:$I$349,3,FALSE),E275))</f>
        <v/>
      </c>
      <c r="F276" s="744"/>
      <c r="G276" s="687"/>
      <c r="H276" s="687"/>
      <c r="I276" s="687"/>
      <c r="J276" s="745"/>
      <c r="K276" s="744"/>
      <c r="L276" s="687"/>
      <c r="M276" s="687"/>
      <c r="N276" s="687"/>
      <c r="O276" s="745"/>
      <c r="P276" s="744"/>
      <c r="Q276" s="687"/>
      <c r="R276" s="687"/>
      <c r="S276" s="687"/>
      <c r="T276" s="745"/>
      <c r="U276" s="744"/>
      <c r="V276" s="687"/>
      <c r="W276" s="687"/>
      <c r="X276" s="687"/>
      <c r="Y276" s="745"/>
      <c r="Z276" s="744"/>
      <c r="AA276" s="687"/>
      <c r="AB276" s="687"/>
      <c r="AC276" s="687"/>
      <c r="AD276" s="745"/>
      <c r="AE276" s="744"/>
      <c r="AF276" s="687"/>
      <c r="AG276" s="687"/>
      <c r="AH276" s="687"/>
      <c r="AI276" s="745"/>
    </row>
    <row r="277" spans="2:35" ht="25.05" customHeight="1" x14ac:dyDescent="0.3">
      <c r="B277" s="673" t="str">
        <f ca="1">IF(HReal&gt;=MAX(B$6:$B276)+1,B276+1,"")</f>
        <v/>
      </c>
      <c r="C277" s="674" t="str">
        <f t="shared" ca="1" si="12"/>
        <v/>
      </c>
      <c r="D277" s="675" t="str">
        <f t="shared" ca="1" si="13"/>
        <v/>
      </c>
      <c r="E277" s="676" t="str">
        <f ca="1">IF(B277&gt;HReal,"",IFERROR(VLOOKUP(B277,Flts!$G$14:$I$349,3,FALSE),E276))</f>
        <v/>
      </c>
      <c r="F277" s="744"/>
      <c r="G277" s="687"/>
      <c r="H277" s="687"/>
      <c r="I277" s="687"/>
      <c r="J277" s="745"/>
      <c r="K277" s="744"/>
      <c r="L277" s="687"/>
      <c r="M277" s="687"/>
      <c r="N277" s="687"/>
      <c r="O277" s="745"/>
      <c r="P277" s="744"/>
      <c r="Q277" s="687"/>
      <c r="R277" s="687"/>
      <c r="S277" s="687"/>
      <c r="T277" s="745"/>
      <c r="U277" s="744"/>
      <c r="V277" s="687"/>
      <c r="W277" s="687"/>
      <c r="X277" s="687"/>
      <c r="Y277" s="745"/>
      <c r="Z277" s="744"/>
      <c r="AA277" s="687"/>
      <c r="AB277" s="687"/>
      <c r="AC277" s="687"/>
      <c r="AD277" s="745"/>
      <c r="AE277" s="744"/>
      <c r="AF277" s="687"/>
      <c r="AG277" s="687"/>
      <c r="AH277" s="687"/>
      <c r="AI277" s="745"/>
    </row>
    <row r="278" spans="2:35" ht="25.05" customHeight="1" x14ac:dyDescent="0.3">
      <c r="B278" s="673" t="str">
        <f ca="1">IF(HReal&gt;=MAX(B$6:$B277)+1,B277+1,"")</f>
        <v/>
      </c>
      <c r="C278" s="674" t="str">
        <f t="shared" ca="1" si="12"/>
        <v/>
      </c>
      <c r="D278" s="675" t="str">
        <f t="shared" ca="1" si="13"/>
        <v/>
      </c>
      <c r="E278" s="676" t="str">
        <f ca="1">IF(B278&gt;HReal,"",IFERROR(VLOOKUP(B278,Flts!$G$14:$I$349,3,FALSE),E277))</f>
        <v/>
      </c>
      <c r="F278" s="744"/>
      <c r="G278" s="687"/>
      <c r="H278" s="687"/>
      <c r="I278" s="687"/>
      <c r="J278" s="745"/>
      <c r="K278" s="744"/>
      <c r="L278" s="687"/>
      <c r="M278" s="687"/>
      <c r="N278" s="687"/>
      <c r="O278" s="745"/>
      <c r="P278" s="744"/>
      <c r="Q278" s="687"/>
      <c r="R278" s="687"/>
      <c r="S278" s="687"/>
      <c r="T278" s="745"/>
      <c r="U278" s="744"/>
      <c r="V278" s="687"/>
      <c r="W278" s="687"/>
      <c r="X278" s="687"/>
      <c r="Y278" s="745"/>
      <c r="Z278" s="744"/>
      <c r="AA278" s="687"/>
      <c r="AB278" s="687"/>
      <c r="AC278" s="687"/>
      <c r="AD278" s="745"/>
      <c r="AE278" s="744"/>
      <c r="AF278" s="687"/>
      <c r="AG278" s="687"/>
      <c r="AH278" s="687"/>
      <c r="AI278" s="745"/>
    </row>
    <row r="279" spans="2:35" ht="25.05" customHeight="1" x14ac:dyDescent="0.3">
      <c r="B279" s="673" t="str">
        <f ca="1">IF(HReal&gt;=MAX(B$6:$B278)+1,B278+1,"")</f>
        <v/>
      </c>
      <c r="C279" s="674" t="str">
        <f t="shared" ca="1" si="12"/>
        <v/>
      </c>
      <c r="D279" s="675" t="str">
        <f t="shared" ca="1" si="13"/>
        <v/>
      </c>
      <c r="E279" s="676" t="str">
        <f ca="1">IF(B279&gt;HReal,"",IFERROR(VLOOKUP(B279,Flts!$G$14:$I$349,3,FALSE),E278))</f>
        <v/>
      </c>
      <c r="F279" s="744"/>
      <c r="G279" s="687"/>
      <c r="H279" s="687"/>
      <c r="I279" s="687"/>
      <c r="J279" s="745"/>
      <c r="K279" s="744"/>
      <c r="L279" s="687"/>
      <c r="M279" s="687"/>
      <c r="N279" s="687"/>
      <c r="O279" s="745"/>
      <c r="P279" s="744"/>
      <c r="Q279" s="687"/>
      <c r="R279" s="687"/>
      <c r="S279" s="687"/>
      <c r="T279" s="745"/>
      <c r="U279" s="744"/>
      <c r="V279" s="687"/>
      <c r="W279" s="687"/>
      <c r="X279" s="687"/>
      <c r="Y279" s="745"/>
      <c r="Z279" s="744"/>
      <c r="AA279" s="687"/>
      <c r="AB279" s="687"/>
      <c r="AC279" s="687"/>
      <c r="AD279" s="745"/>
      <c r="AE279" s="744"/>
      <c r="AF279" s="687"/>
      <c r="AG279" s="687"/>
      <c r="AH279" s="687"/>
      <c r="AI279" s="745"/>
    </row>
    <row r="280" spans="2:35" ht="25.05" customHeight="1" x14ac:dyDescent="0.3">
      <c r="B280" s="673" t="str">
        <f ca="1">IF(HReal&gt;=MAX(B$6:$B279)+1,B279+1,"")</f>
        <v/>
      </c>
      <c r="C280" s="674" t="str">
        <f t="shared" ca="1" si="12"/>
        <v/>
      </c>
      <c r="D280" s="675" t="str">
        <f t="shared" ca="1" si="13"/>
        <v/>
      </c>
      <c r="E280" s="676" t="str">
        <f ca="1">IF(B280&gt;HReal,"",IFERROR(VLOOKUP(B280,Flts!$G$14:$I$349,3,FALSE),E279))</f>
        <v/>
      </c>
      <c r="F280" s="744"/>
      <c r="G280" s="687"/>
      <c r="H280" s="687"/>
      <c r="I280" s="687"/>
      <c r="J280" s="745"/>
      <c r="K280" s="744"/>
      <c r="L280" s="687"/>
      <c r="M280" s="687"/>
      <c r="N280" s="687"/>
      <c r="O280" s="745"/>
      <c r="P280" s="744"/>
      <c r="Q280" s="687"/>
      <c r="R280" s="687"/>
      <c r="S280" s="687"/>
      <c r="T280" s="745"/>
      <c r="U280" s="744"/>
      <c r="V280" s="687"/>
      <c r="W280" s="687"/>
      <c r="X280" s="687"/>
      <c r="Y280" s="745"/>
      <c r="Z280" s="744"/>
      <c r="AA280" s="687"/>
      <c r="AB280" s="687"/>
      <c r="AC280" s="687"/>
      <c r="AD280" s="745"/>
      <c r="AE280" s="744"/>
      <c r="AF280" s="687"/>
      <c r="AG280" s="687"/>
      <c r="AH280" s="687"/>
      <c r="AI280" s="745"/>
    </row>
    <row r="281" spans="2:35" ht="25.05" customHeight="1" x14ac:dyDescent="0.3">
      <c r="B281" s="673" t="str">
        <f ca="1">IF(HReal&gt;=MAX(B$6:$B280)+1,B280+1,"")</f>
        <v/>
      </c>
      <c r="C281" s="674" t="str">
        <f t="shared" ca="1" si="12"/>
        <v/>
      </c>
      <c r="D281" s="675" t="str">
        <f t="shared" ca="1" si="13"/>
        <v/>
      </c>
      <c r="E281" s="676" t="str">
        <f ca="1">IF(B281&gt;HReal,"",IFERROR(VLOOKUP(B281,Flts!$G$14:$I$349,3,FALSE),E280))</f>
        <v/>
      </c>
      <c r="F281" s="744"/>
      <c r="G281" s="687"/>
      <c r="H281" s="687"/>
      <c r="I281" s="687"/>
      <c r="J281" s="745"/>
      <c r="K281" s="744"/>
      <c r="L281" s="687"/>
      <c r="M281" s="687"/>
      <c r="N281" s="687"/>
      <c r="O281" s="745"/>
      <c r="P281" s="744"/>
      <c r="Q281" s="687"/>
      <c r="R281" s="687"/>
      <c r="S281" s="687"/>
      <c r="T281" s="745"/>
      <c r="U281" s="744"/>
      <c r="V281" s="687"/>
      <c r="W281" s="687"/>
      <c r="X281" s="687"/>
      <c r="Y281" s="745"/>
      <c r="Z281" s="744"/>
      <c r="AA281" s="687"/>
      <c r="AB281" s="687"/>
      <c r="AC281" s="687"/>
      <c r="AD281" s="745"/>
      <c r="AE281" s="744"/>
      <c r="AF281" s="687"/>
      <c r="AG281" s="687"/>
      <c r="AH281" s="687"/>
      <c r="AI281" s="745"/>
    </row>
    <row r="282" spans="2:35" ht="25.05" customHeight="1" x14ac:dyDescent="0.3">
      <c r="B282" s="673" t="str">
        <f ca="1">IF(HReal&gt;=MAX(B$6:$B281)+1,B281+1,"")</f>
        <v/>
      </c>
      <c r="C282" s="674" t="str">
        <f t="shared" ca="1" si="12"/>
        <v/>
      </c>
      <c r="D282" s="675" t="str">
        <f t="shared" ca="1" si="13"/>
        <v/>
      </c>
      <c r="E282" s="676" t="str">
        <f ca="1">IF(B282&gt;HReal,"",IFERROR(VLOOKUP(B282,Flts!$G$14:$I$349,3,FALSE),E281))</f>
        <v/>
      </c>
      <c r="F282" s="744"/>
      <c r="G282" s="687"/>
      <c r="H282" s="687"/>
      <c r="I282" s="687"/>
      <c r="J282" s="745"/>
      <c r="K282" s="744"/>
      <c r="L282" s="687"/>
      <c r="M282" s="687"/>
      <c r="N282" s="687"/>
      <c r="O282" s="745"/>
      <c r="P282" s="744"/>
      <c r="Q282" s="687"/>
      <c r="R282" s="687"/>
      <c r="S282" s="687"/>
      <c r="T282" s="745"/>
      <c r="U282" s="744"/>
      <c r="V282" s="687"/>
      <c r="W282" s="687"/>
      <c r="X282" s="687"/>
      <c r="Y282" s="745"/>
      <c r="Z282" s="744"/>
      <c r="AA282" s="687"/>
      <c r="AB282" s="687"/>
      <c r="AC282" s="687"/>
      <c r="AD282" s="745"/>
      <c r="AE282" s="744"/>
      <c r="AF282" s="687"/>
      <c r="AG282" s="687"/>
      <c r="AH282" s="687"/>
      <c r="AI282" s="745"/>
    </row>
    <row r="283" spans="2:35" ht="25.05" customHeight="1" x14ac:dyDescent="0.3">
      <c r="B283" s="673" t="str">
        <f ca="1">IF(HReal&gt;=MAX(B$6:$B282)+1,B282+1,"")</f>
        <v/>
      </c>
      <c r="C283" s="674" t="str">
        <f t="shared" ca="1" si="12"/>
        <v/>
      </c>
      <c r="D283" s="675" t="str">
        <f t="shared" ca="1" si="13"/>
        <v/>
      </c>
      <c r="E283" s="676" t="str">
        <f ca="1">IF(B283&gt;HReal,"",IFERROR(VLOOKUP(B283,Flts!$G$14:$I$349,3,FALSE),E282))</f>
        <v/>
      </c>
      <c r="F283" s="744"/>
      <c r="G283" s="687"/>
      <c r="H283" s="687"/>
      <c r="I283" s="687"/>
      <c r="J283" s="745"/>
      <c r="K283" s="744"/>
      <c r="L283" s="687"/>
      <c r="M283" s="687"/>
      <c r="N283" s="687"/>
      <c r="O283" s="745"/>
      <c r="P283" s="744"/>
      <c r="Q283" s="687"/>
      <c r="R283" s="687"/>
      <c r="S283" s="687"/>
      <c r="T283" s="745"/>
      <c r="U283" s="744"/>
      <c r="V283" s="687"/>
      <c r="W283" s="687"/>
      <c r="X283" s="687"/>
      <c r="Y283" s="745"/>
      <c r="Z283" s="744"/>
      <c r="AA283" s="687"/>
      <c r="AB283" s="687"/>
      <c r="AC283" s="687"/>
      <c r="AD283" s="745"/>
      <c r="AE283" s="744"/>
      <c r="AF283" s="687"/>
      <c r="AG283" s="687"/>
      <c r="AH283" s="687"/>
      <c r="AI283" s="745"/>
    </row>
    <row r="284" spans="2:35" ht="25.05" customHeight="1" x14ac:dyDescent="0.3">
      <c r="B284" s="673" t="str">
        <f ca="1">IF(HReal&gt;=MAX(B$6:$B283)+1,B283+1,"")</f>
        <v/>
      </c>
      <c r="C284" s="674" t="str">
        <f t="shared" ca="1" si="12"/>
        <v/>
      </c>
      <c r="D284" s="675" t="str">
        <f t="shared" ca="1" si="13"/>
        <v/>
      </c>
      <c r="E284" s="676" t="str">
        <f ca="1">IF(B284&gt;HReal,"",IFERROR(VLOOKUP(B284,Flts!$G$14:$I$349,3,FALSE),E283))</f>
        <v/>
      </c>
      <c r="F284" s="744"/>
      <c r="G284" s="687"/>
      <c r="H284" s="687"/>
      <c r="I284" s="687"/>
      <c r="J284" s="745"/>
      <c r="K284" s="744"/>
      <c r="L284" s="687"/>
      <c r="M284" s="687"/>
      <c r="N284" s="687"/>
      <c r="O284" s="745"/>
      <c r="P284" s="744"/>
      <c r="Q284" s="687"/>
      <c r="R284" s="687"/>
      <c r="S284" s="687"/>
      <c r="T284" s="745"/>
      <c r="U284" s="744"/>
      <c r="V284" s="687"/>
      <c r="W284" s="687"/>
      <c r="X284" s="687"/>
      <c r="Y284" s="745"/>
      <c r="Z284" s="744"/>
      <c r="AA284" s="687"/>
      <c r="AB284" s="687"/>
      <c r="AC284" s="687"/>
      <c r="AD284" s="745"/>
      <c r="AE284" s="744"/>
      <c r="AF284" s="687"/>
      <c r="AG284" s="687"/>
      <c r="AH284" s="687"/>
      <c r="AI284" s="745"/>
    </row>
    <row r="285" spans="2:35" ht="25.05" customHeight="1" x14ac:dyDescent="0.3">
      <c r="B285" s="673" t="str">
        <f ca="1">IF(HReal&gt;=MAX(B$6:$B284)+1,B284+1,"")</f>
        <v/>
      </c>
      <c r="C285" s="674" t="str">
        <f t="shared" ca="1" si="12"/>
        <v/>
      </c>
      <c r="D285" s="675" t="str">
        <f t="shared" ca="1" si="13"/>
        <v/>
      </c>
      <c r="E285" s="676" t="str">
        <f ca="1">IF(B285&gt;HReal,"",IFERROR(VLOOKUP(B285,Flts!$G$14:$I$349,3,FALSE),E284))</f>
        <v/>
      </c>
      <c r="F285" s="744"/>
      <c r="G285" s="687"/>
      <c r="H285" s="687"/>
      <c r="I285" s="687"/>
      <c r="J285" s="745"/>
      <c r="K285" s="744"/>
      <c r="L285" s="687"/>
      <c r="M285" s="687"/>
      <c r="N285" s="687"/>
      <c r="O285" s="745"/>
      <c r="P285" s="744"/>
      <c r="Q285" s="687"/>
      <c r="R285" s="687"/>
      <c r="S285" s="687"/>
      <c r="T285" s="745"/>
      <c r="U285" s="744"/>
      <c r="V285" s="687"/>
      <c r="W285" s="687"/>
      <c r="X285" s="687"/>
      <c r="Y285" s="745"/>
      <c r="Z285" s="744"/>
      <c r="AA285" s="687"/>
      <c r="AB285" s="687"/>
      <c r="AC285" s="687"/>
      <c r="AD285" s="745"/>
      <c r="AE285" s="744"/>
      <c r="AF285" s="687"/>
      <c r="AG285" s="687"/>
      <c r="AH285" s="687"/>
      <c r="AI285" s="745"/>
    </row>
    <row r="286" spans="2:35" ht="25.05" customHeight="1" x14ac:dyDescent="0.3">
      <c r="B286" s="673" t="str">
        <f ca="1">IF(HReal&gt;=MAX(B$6:$B285)+1,B285+1,"")</f>
        <v/>
      </c>
      <c r="C286" s="674" t="str">
        <f t="shared" ca="1" si="12"/>
        <v/>
      </c>
      <c r="D286" s="675" t="str">
        <f t="shared" ca="1" si="13"/>
        <v/>
      </c>
      <c r="E286" s="676" t="str">
        <f ca="1">IF(B286&gt;HReal,"",IFERROR(VLOOKUP(B286,Flts!$G$14:$I$349,3,FALSE),E285))</f>
        <v/>
      </c>
      <c r="F286" s="744"/>
      <c r="G286" s="687"/>
      <c r="H286" s="687"/>
      <c r="I286" s="687"/>
      <c r="J286" s="745"/>
      <c r="K286" s="744"/>
      <c r="L286" s="687"/>
      <c r="M286" s="687"/>
      <c r="N286" s="687"/>
      <c r="O286" s="745"/>
      <c r="P286" s="744"/>
      <c r="Q286" s="687"/>
      <c r="R286" s="687"/>
      <c r="S286" s="687"/>
      <c r="T286" s="745"/>
      <c r="U286" s="744"/>
      <c r="V286" s="687"/>
      <c r="W286" s="687"/>
      <c r="X286" s="687"/>
      <c r="Y286" s="745"/>
      <c r="Z286" s="744"/>
      <c r="AA286" s="687"/>
      <c r="AB286" s="687"/>
      <c r="AC286" s="687"/>
      <c r="AD286" s="745"/>
      <c r="AE286" s="744"/>
      <c r="AF286" s="687"/>
      <c r="AG286" s="687"/>
      <c r="AH286" s="687"/>
      <c r="AI286" s="745"/>
    </row>
    <row r="287" spans="2:35" ht="25.05" customHeight="1" x14ac:dyDescent="0.3">
      <c r="B287" s="673" t="str">
        <f ca="1">IF(HReal&gt;=MAX(B$6:$B286)+1,B286+1,"")</f>
        <v/>
      </c>
      <c r="C287" s="674" t="str">
        <f t="shared" ca="1" si="12"/>
        <v/>
      </c>
      <c r="D287" s="675" t="str">
        <f t="shared" ca="1" si="13"/>
        <v/>
      </c>
      <c r="E287" s="676" t="str">
        <f ca="1">IF(B287&gt;HReal,"",IFERROR(VLOOKUP(B287,Flts!$G$14:$I$349,3,FALSE),E286))</f>
        <v/>
      </c>
      <c r="F287" s="744"/>
      <c r="G287" s="687"/>
      <c r="H287" s="687"/>
      <c r="I287" s="687"/>
      <c r="J287" s="745"/>
      <c r="K287" s="744"/>
      <c r="L287" s="687"/>
      <c r="M287" s="687"/>
      <c r="N287" s="687"/>
      <c r="O287" s="745"/>
      <c r="P287" s="744"/>
      <c r="Q287" s="687"/>
      <c r="R287" s="687"/>
      <c r="S287" s="687"/>
      <c r="T287" s="745"/>
      <c r="U287" s="744"/>
      <c r="V287" s="687"/>
      <c r="W287" s="687"/>
      <c r="X287" s="687"/>
      <c r="Y287" s="745"/>
      <c r="Z287" s="744"/>
      <c r="AA287" s="687"/>
      <c r="AB287" s="687"/>
      <c r="AC287" s="687"/>
      <c r="AD287" s="745"/>
      <c r="AE287" s="744"/>
      <c r="AF287" s="687"/>
      <c r="AG287" s="687"/>
      <c r="AH287" s="687"/>
      <c r="AI287" s="745"/>
    </row>
    <row r="288" spans="2:35" ht="25.05" customHeight="1" x14ac:dyDescent="0.3">
      <c r="B288" s="673" t="str">
        <f ca="1">IF(HReal&gt;=MAX(B$6:$B287)+1,B287+1,"")</f>
        <v/>
      </c>
      <c r="C288" s="674" t="str">
        <f t="shared" ca="1" si="12"/>
        <v/>
      </c>
      <c r="D288" s="675" t="str">
        <f t="shared" ca="1" si="13"/>
        <v/>
      </c>
      <c r="E288" s="676" t="str">
        <f ca="1">IF(B288&gt;HReal,"",IFERROR(VLOOKUP(B288,Flts!$G$14:$I$349,3,FALSE),E287))</f>
        <v/>
      </c>
      <c r="F288" s="744"/>
      <c r="G288" s="687"/>
      <c r="H288" s="687"/>
      <c r="I288" s="687"/>
      <c r="J288" s="745"/>
      <c r="K288" s="744"/>
      <c r="L288" s="687"/>
      <c r="M288" s="687"/>
      <c r="N288" s="687"/>
      <c r="O288" s="745"/>
      <c r="P288" s="744"/>
      <c r="Q288" s="687"/>
      <c r="R288" s="687"/>
      <c r="S288" s="687"/>
      <c r="T288" s="745"/>
      <c r="U288" s="744"/>
      <c r="V288" s="687"/>
      <c r="W288" s="687"/>
      <c r="X288" s="687"/>
      <c r="Y288" s="745"/>
      <c r="Z288" s="744"/>
      <c r="AA288" s="687"/>
      <c r="AB288" s="687"/>
      <c r="AC288" s="687"/>
      <c r="AD288" s="745"/>
      <c r="AE288" s="744"/>
      <c r="AF288" s="687"/>
      <c r="AG288" s="687"/>
      <c r="AH288" s="687"/>
      <c r="AI288" s="745"/>
    </row>
    <row r="289" spans="2:35" ht="25.05" customHeight="1" x14ac:dyDescent="0.3">
      <c r="B289" s="673" t="str">
        <f ca="1">IF(HReal&gt;=MAX(B$6:$B288)+1,B288+1,"")</f>
        <v/>
      </c>
      <c r="C289" s="674" t="str">
        <f t="shared" ca="1" si="12"/>
        <v/>
      </c>
      <c r="D289" s="675" t="str">
        <f t="shared" ca="1" si="13"/>
        <v/>
      </c>
      <c r="E289" s="676" t="str">
        <f ca="1">IF(B289&gt;HReal,"",IFERROR(VLOOKUP(B289,Flts!$G$14:$I$349,3,FALSE),E288))</f>
        <v/>
      </c>
      <c r="F289" s="744"/>
      <c r="G289" s="687"/>
      <c r="H289" s="687"/>
      <c r="I289" s="687"/>
      <c r="J289" s="745"/>
      <c r="K289" s="744"/>
      <c r="L289" s="687"/>
      <c r="M289" s="687"/>
      <c r="N289" s="687"/>
      <c r="O289" s="745"/>
      <c r="P289" s="744"/>
      <c r="Q289" s="687"/>
      <c r="R289" s="687"/>
      <c r="S289" s="687"/>
      <c r="T289" s="745"/>
      <c r="U289" s="744"/>
      <c r="V289" s="687"/>
      <c r="W289" s="687"/>
      <c r="X289" s="687"/>
      <c r="Y289" s="745"/>
      <c r="Z289" s="744"/>
      <c r="AA289" s="687"/>
      <c r="AB289" s="687"/>
      <c r="AC289" s="687"/>
      <c r="AD289" s="745"/>
      <c r="AE289" s="744"/>
      <c r="AF289" s="687"/>
      <c r="AG289" s="687"/>
      <c r="AH289" s="687"/>
      <c r="AI289" s="745"/>
    </row>
    <row r="290" spans="2:35" ht="25.05" customHeight="1" x14ac:dyDescent="0.3">
      <c r="B290" s="673" t="str">
        <f ca="1">IF(HReal&gt;=MAX(B$6:$B289)+1,B289+1,"")</f>
        <v/>
      </c>
      <c r="C290" s="674" t="str">
        <f t="shared" ca="1" si="12"/>
        <v/>
      </c>
      <c r="D290" s="675" t="str">
        <f t="shared" ca="1" si="13"/>
        <v/>
      </c>
      <c r="E290" s="676" t="str">
        <f ca="1">IF(B290&gt;HReal,"",IFERROR(VLOOKUP(B290,Flts!$G$14:$I$349,3,FALSE),E289))</f>
        <v/>
      </c>
      <c r="F290" s="744"/>
      <c r="G290" s="687"/>
      <c r="H290" s="687"/>
      <c r="I290" s="687"/>
      <c r="J290" s="745"/>
      <c r="K290" s="744"/>
      <c r="L290" s="687"/>
      <c r="M290" s="687"/>
      <c r="N290" s="687"/>
      <c r="O290" s="745"/>
      <c r="P290" s="744"/>
      <c r="Q290" s="687"/>
      <c r="R290" s="687"/>
      <c r="S290" s="687"/>
      <c r="T290" s="745"/>
      <c r="U290" s="744"/>
      <c r="V290" s="687"/>
      <c r="W290" s="687"/>
      <c r="X290" s="687"/>
      <c r="Y290" s="745"/>
      <c r="Z290" s="744"/>
      <c r="AA290" s="687"/>
      <c r="AB290" s="687"/>
      <c r="AC290" s="687"/>
      <c r="AD290" s="745"/>
      <c r="AE290" s="744"/>
      <c r="AF290" s="687"/>
      <c r="AG290" s="687"/>
      <c r="AH290" s="687"/>
      <c r="AI290" s="745"/>
    </row>
    <row r="291" spans="2:35" ht="25.05" customHeight="1" x14ac:dyDescent="0.3">
      <c r="B291" s="673" t="str">
        <f ca="1">IF(HReal&gt;=MAX(B$6:$B290)+1,B290+1,"")</f>
        <v/>
      </c>
      <c r="C291" s="674" t="str">
        <f t="shared" ca="1" si="12"/>
        <v/>
      </c>
      <c r="D291" s="675" t="str">
        <f t="shared" ca="1" si="13"/>
        <v/>
      </c>
      <c r="E291" s="676" t="str">
        <f ca="1">IF(B291&gt;HReal,"",IFERROR(VLOOKUP(B291,Flts!$G$14:$I$349,3,FALSE),E290))</f>
        <v/>
      </c>
      <c r="F291" s="744"/>
      <c r="G291" s="687"/>
      <c r="H291" s="687"/>
      <c r="I291" s="687"/>
      <c r="J291" s="745"/>
      <c r="K291" s="744"/>
      <c r="L291" s="687"/>
      <c r="M291" s="687"/>
      <c r="N291" s="687"/>
      <c r="O291" s="745"/>
      <c r="P291" s="744"/>
      <c r="Q291" s="687"/>
      <c r="R291" s="687"/>
      <c r="S291" s="687"/>
      <c r="T291" s="745"/>
      <c r="U291" s="744"/>
      <c r="V291" s="687"/>
      <c r="W291" s="687"/>
      <c r="X291" s="687"/>
      <c r="Y291" s="745"/>
      <c r="Z291" s="744"/>
      <c r="AA291" s="687"/>
      <c r="AB291" s="687"/>
      <c r="AC291" s="687"/>
      <c r="AD291" s="745"/>
      <c r="AE291" s="744"/>
      <c r="AF291" s="687"/>
      <c r="AG291" s="687"/>
      <c r="AH291" s="687"/>
      <c r="AI291" s="745"/>
    </row>
    <row r="292" spans="2:35" ht="25.05" customHeight="1" x14ac:dyDescent="0.3">
      <c r="B292" s="673" t="str">
        <f ca="1">IF(HReal&gt;=MAX(B$6:$B291)+1,B291+1,"")</f>
        <v/>
      </c>
      <c r="C292" s="674" t="str">
        <f t="shared" ca="1" si="12"/>
        <v/>
      </c>
      <c r="D292" s="675" t="str">
        <f t="shared" ca="1" si="13"/>
        <v/>
      </c>
      <c r="E292" s="676" t="str">
        <f ca="1">IF(B292&gt;HReal,"",IFERROR(VLOOKUP(B292,Flts!$G$14:$I$349,3,FALSE),E291))</f>
        <v/>
      </c>
      <c r="F292" s="744"/>
      <c r="G292" s="687"/>
      <c r="H292" s="687"/>
      <c r="I292" s="687"/>
      <c r="J292" s="745"/>
      <c r="K292" s="744"/>
      <c r="L292" s="687"/>
      <c r="M292" s="687"/>
      <c r="N292" s="687"/>
      <c r="O292" s="745"/>
      <c r="P292" s="744"/>
      <c r="Q292" s="687"/>
      <c r="R292" s="687"/>
      <c r="S292" s="687"/>
      <c r="T292" s="745"/>
      <c r="U292" s="744"/>
      <c r="V292" s="687"/>
      <c r="W292" s="687"/>
      <c r="X292" s="687"/>
      <c r="Y292" s="745"/>
      <c r="Z292" s="744"/>
      <c r="AA292" s="687"/>
      <c r="AB292" s="687"/>
      <c r="AC292" s="687"/>
      <c r="AD292" s="745"/>
      <c r="AE292" s="744"/>
      <c r="AF292" s="687"/>
      <c r="AG292" s="687"/>
      <c r="AH292" s="687"/>
      <c r="AI292" s="745"/>
    </row>
    <row r="293" spans="2:35" ht="25.05" customHeight="1" x14ac:dyDescent="0.3">
      <c r="B293" s="673" t="str">
        <f ca="1">IF(HReal&gt;=MAX(B$6:$B292)+1,B292+1,"")</f>
        <v/>
      </c>
      <c r="C293" s="674" t="str">
        <f t="shared" ca="1" si="12"/>
        <v/>
      </c>
      <c r="D293" s="675" t="str">
        <f t="shared" ca="1" si="13"/>
        <v/>
      </c>
      <c r="E293" s="676" t="str">
        <f ca="1">IF(B293&gt;HReal,"",IFERROR(VLOOKUP(B293,Flts!$G$14:$I$349,3,FALSE),E292))</f>
        <v/>
      </c>
      <c r="F293" s="744"/>
      <c r="G293" s="687"/>
      <c r="H293" s="687"/>
      <c r="I293" s="687"/>
      <c r="J293" s="745"/>
      <c r="K293" s="744"/>
      <c r="L293" s="687"/>
      <c r="M293" s="687"/>
      <c r="N293" s="687"/>
      <c r="O293" s="745"/>
      <c r="P293" s="744"/>
      <c r="Q293" s="687"/>
      <c r="R293" s="687"/>
      <c r="S293" s="687"/>
      <c r="T293" s="745"/>
      <c r="U293" s="744"/>
      <c r="V293" s="687"/>
      <c r="W293" s="687"/>
      <c r="X293" s="687"/>
      <c r="Y293" s="745"/>
      <c r="Z293" s="744"/>
      <c r="AA293" s="687"/>
      <c r="AB293" s="687"/>
      <c r="AC293" s="687"/>
      <c r="AD293" s="745"/>
      <c r="AE293" s="744"/>
      <c r="AF293" s="687"/>
      <c r="AG293" s="687"/>
      <c r="AH293" s="687"/>
      <c r="AI293" s="745"/>
    </row>
    <row r="294" spans="2:35" ht="25.05" customHeight="1" x14ac:dyDescent="0.3">
      <c r="B294" s="673" t="str">
        <f ca="1">IF(HReal&gt;=MAX(B$6:$B293)+1,B293+1,"")</f>
        <v/>
      </c>
      <c r="C294" s="674" t="str">
        <f t="shared" ca="1" si="12"/>
        <v/>
      </c>
      <c r="D294" s="675" t="str">
        <f t="shared" ca="1" si="13"/>
        <v/>
      </c>
      <c r="E294" s="676" t="str">
        <f ca="1">IF(B294&gt;HReal,"",IFERROR(VLOOKUP(B294,Flts!$G$14:$I$349,3,FALSE),E293))</f>
        <v/>
      </c>
      <c r="F294" s="744"/>
      <c r="G294" s="687"/>
      <c r="H294" s="687"/>
      <c r="I294" s="687"/>
      <c r="J294" s="745"/>
      <c r="K294" s="744"/>
      <c r="L294" s="687"/>
      <c r="M294" s="687"/>
      <c r="N294" s="687"/>
      <c r="O294" s="745"/>
      <c r="P294" s="744"/>
      <c r="Q294" s="687"/>
      <c r="R294" s="687"/>
      <c r="S294" s="687"/>
      <c r="T294" s="745"/>
      <c r="U294" s="744"/>
      <c r="V294" s="687"/>
      <c r="W294" s="687"/>
      <c r="X294" s="687"/>
      <c r="Y294" s="745"/>
      <c r="Z294" s="744"/>
      <c r="AA294" s="687"/>
      <c r="AB294" s="687"/>
      <c r="AC294" s="687"/>
      <c r="AD294" s="745"/>
      <c r="AE294" s="744"/>
      <c r="AF294" s="687"/>
      <c r="AG294" s="687"/>
      <c r="AH294" s="687"/>
      <c r="AI294" s="745"/>
    </row>
    <row r="295" spans="2:35" ht="25.05" customHeight="1" x14ac:dyDescent="0.3">
      <c r="B295" s="673" t="str">
        <f ca="1">IF(HReal&gt;=MAX(B$6:$B294)+1,B294+1,"")</f>
        <v/>
      </c>
      <c r="C295" s="674" t="str">
        <f t="shared" ref="C295:C358" ca="1" si="14">IF(AND(B295&lt;HReal,E294&lt;&gt;E295),IFERROR(MID(Vdias,(WEEKDAY(E295,2)-1)*3+1,3),C294),"")</f>
        <v/>
      </c>
      <c r="D295" s="675" t="str">
        <f t="shared" ref="D295:D358" ca="1" si="15">E295</f>
        <v/>
      </c>
      <c r="E295" s="676" t="str">
        <f ca="1">IF(B295&gt;HReal,"",IFERROR(VLOOKUP(B295,Flts!$G$14:$I$349,3,FALSE),E294))</f>
        <v/>
      </c>
      <c r="F295" s="744"/>
      <c r="G295" s="687"/>
      <c r="H295" s="687"/>
      <c r="I295" s="687"/>
      <c r="J295" s="745"/>
      <c r="K295" s="744"/>
      <c r="L295" s="687"/>
      <c r="M295" s="687"/>
      <c r="N295" s="687"/>
      <c r="O295" s="745"/>
      <c r="P295" s="744"/>
      <c r="Q295" s="687"/>
      <c r="R295" s="687"/>
      <c r="S295" s="687"/>
      <c r="T295" s="745"/>
      <c r="U295" s="744"/>
      <c r="V295" s="687"/>
      <c r="W295" s="687"/>
      <c r="X295" s="687"/>
      <c r="Y295" s="745"/>
      <c r="Z295" s="744"/>
      <c r="AA295" s="687"/>
      <c r="AB295" s="687"/>
      <c r="AC295" s="687"/>
      <c r="AD295" s="745"/>
      <c r="AE295" s="744"/>
      <c r="AF295" s="687"/>
      <c r="AG295" s="687"/>
      <c r="AH295" s="687"/>
      <c r="AI295" s="745"/>
    </row>
    <row r="296" spans="2:35" ht="25.05" customHeight="1" x14ac:dyDescent="0.3">
      <c r="B296" s="673" t="str">
        <f ca="1">IF(HReal&gt;=MAX(B$6:$B295)+1,B295+1,"")</f>
        <v/>
      </c>
      <c r="C296" s="674" t="str">
        <f t="shared" ca="1" si="14"/>
        <v/>
      </c>
      <c r="D296" s="675" t="str">
        <f t="shared" ca="1" si="15"/>
        <v/>
      </c>
      <c r="E296" s="676" t="str">
        <f ca="1">IF(B296&gt;HReal,"",IFERROR(VLOOKUP(B296,Flts!$G$14:$I$349,3,FALSE),E295))</f>
        <v/>
      </c>
      <c r="F296" s="744"/>
      <c r="G296" s="687"/>
      <c r="H296" s="687"/>
      <c r="I296" s="687"/>
      <c r="J296" s="745"/>
      <c r="K296" s="744"/>
      <c r="L296" s="687"/>
      <c r="M296" s="687"/>
      <c r="N296" s="687"/>
      <c r="O296" s="745"/>
      <c r="P296" s="744"/>
      <c r="Q296" s="687"/>
      <c r="R296" s="687"/>
      <c r="S296" s="687"/>
      <c r="T296" s="745"/>
      <c r="U296" s="744"/>
      <c r="V296" s="687"/>
      <c r="W296" s="687"/>
      <c r="X296" s="687"/>
      <c r="Y296" s="745"/>
      <c r="Z296" s="744"/>
      <c r="AA296" s="687"/>
      <c r="AB296" s="687"/>
      <c r="AC296" s="687"/>
      <c r="AD296" s="745"/>
      <c r="AE296" s="744"/>
      <c r="AF296" s="687"/>
      <c r="AG296" s="687"/>
      <c r="AH296" s="687"/>
      <c r="AI296" s="745"/>
    </row>
    <row r="297" spans="2:35" ht="25.05" customHeight="1" x14ac:dyDescent="0.3">
      <c r="B297" s="673" t="str">
        <f ca="1">IF(HReal&gt;=MAX(B$6:$B296)+1,B296+1,"")</f>
        <v/>
      </c>
      <c r="C297" s="674" t="str">
        <f t="shared" ca="1" si="14"/>
        <v/>
      </c>
      <c r="D297" s="675" t="str">
        <f t="shared" ca="1" si="15"/>
        <v/>
      </c>
      <c r="E297" s="676" t="str">
        <f ca="1">IF(B297&gt;HReal,"",IFERROR(VLOOKUP(B297,Flts!$G$14:$I$349,3,FALSE),E296))</f>
        <v/>
      </c>
      <c r="F297" s="744"/>
      <c r="G297" s="687"/>
      <c r="H297" s="687"/>
      <c r="I297" s="687"/>
      <c r="J297" s="745"/>
      <c r="K297" s="744"/>
      <c r="L297" s="687"/>
      <c r="M297" s="687"/>
      <c r="N297" s="687"/>
      <c r="O297" s="745"/>
      <c r="P297" s="744"/>
      <c r="Q297" s="687"/>
      <c r="R297" s="687"/>
      <c r="S297" s="687"/>
      <c r="T297" s="745"/>
      <c r="U297" s="744"/>
      <c r="V297" s="687"/>
      <c r="W297" s="687"/>
      <c r="X297" s="687"/>
      <c r="Y297" s="745"/>
      <c r="Z297" s="744"/>
      <c r="AA297" s="687"/>
      <c r="AB297" s="687"/>
      <c r="AC297" s="687"/>
      <c r="AD297" s="745"/>
      <c r="AE297" s="744"/>
      <c r="AF297" s="687"/>
      <c r="AG297" s="687"/>
      <c r="AH297" s="687"/>
      <c r="AI297" s="745"/>
    </row>
    <row r="298" spans="2:35" ht="25.05" customHeight="1" x14ac:dyDescent="0.3">
      <c r="B298" s="673" t="str">
        <f ca="1">IF(HReal&gt;=MAX(B$6:$B297)+1,B297+1,"")</f>
        <v/>
      </c>
      <c r="C298" s="674" t="str">
        <f t="shared" ca="1" si="14"/>
        <v/>
      </c>
      <c r="D298" s="675" t="str">
        <f t="shared" ca="1" si="15"/>
        <v/>
      </c>
      <c r="E298" s="676" t="str">
        <f ca="1">IF(B298&gt;HReal,"",IFERROR(VLOOKUP(B298,Flts!$G$14:$I$349,3,FALSE),E297))</f>
        <v/>
      </c>
      <c r="F298" s="744"/>
      <c r="G298" s="687"/>
      <c r="H298" s="687"/>
      <c r="I298" s="687"/>
      <c r="J298" s="745"/>
      <c r="K298" s="744"/>
      <c r="L298" s="687"/>
      <c r="M298" s="687"/>
      <c r="N298" s="687"/>
      <c r="O298" s="745"/>
      <c r="P298" s="744"/>
      <c r="Q298" s="687"/>
      <c r="R298" s="687"/>
      <c r="S298" s="687"/>
      <c r="T298" s="745"/>
      <c r="U298" s="744"/>
      <c r="V298" s="687"/>
      <c r="W298" s="687"/>
      <c r="X298" s="687"/>
      <c r="Y298" s="745"/>
      <c r="Z298" s="744"/>
      <c r="AA298" s="687"/>
      <c r="AB298" s="687"/>
      <c r="AC298" s="687"/>
      <c r="AD298" s="745"/>
      <c r="AE298" s="744"/>
      <c r="AF298" s="687"/>
      <c r="AG298" s="687"/>
      <c r="AH298" s="687"/>
      <c r="AI298" s="745"/>
    </row>
    <row r="299" spans="2:35" ht="25.05" customHeight="1" x14ac:dyDescent="0.3">
      <c r="B299" s="673" t="str">
        <f ca="1">IF(HReal&gt;=MAX(B$6:$B298)+1,B298+1,"")</f>
        <v/>
      </c>
      <c r="C299" s="674" t="str">
        <f t="shared" ca="1" si="14"/>
        <v/>
      </c>
      <c r="D299" s="675" t="str">
        <f t="shared" ca="1" si="15"/>
        <v/>
      </c>
      <c r="E299" s="676" t="str">
        <f ca="1">IF(B299&gt;HReal,"",IFERROR(VLOOKUP(B299,Flts!$G$14:$I$349,3,FALSE),E298))</f>
        <v/>
      </c>
      <c r="F299" s="744"/>
      <c r="G299" s="687"/>
      <c r="H299" s="687"/>
      <c r="I299" s="687"/>
      <c r="J299" s="745"/>
      <c r="K299" s="744"/>
      <c r="L299" s="687"/>
      <c r="M299" s="687"/>
      <c r="N299" s="687"/>
      <c r="O299" s="745"/>
      <c r="P299" s="744"/>
      <c r="Q299" s="687"/>
      <c r="R299" s="687"/>
      <c r="S299" s="687"/>
      <c r="T299" s="745"/>
      <c r="U299" s="744"/>
      <c r="V299" s="687"/>
      <c r="W299" s="687"/>
      <c r="X299" s="687"/>
      <c r="Y299" s="745"/>
      <c r="Z299" s="744"/>
      <c r="AA299" s="687"/>
      <c r="AB299" s="687"/>
      <c r="AC299" s="687"/>
      <c r="AD299" s="745"/>
      <c r="AE299" s="744"/>
      <c r="AF299" s="687"/>
      <c r="AG299" s="687"/>
      <c r="AH299" s="687"/>
      <c r="AI299" s="745"/>
    </row>
    <row r="300" spans="2:35" ht="25.05" customHeight="1" x14ac:dyDescent="0.3">
      <c r="B300" s="673" t="str">
        <f ca="1">IF(HReal&gt;=MAX(B$6:$B299)+1,B299+1,"")</f>
        <v/>
      </c>
      <c r="C300" s="674" t="str">
        <f t="shared" ca="1" si="14"/>
        <v/>
      </c>
      <c r="D300" s="675" t="str">
        <f t="shared" ca="1" si="15"/>
        <v/>
      </c>
      <c r="E300" s="676" t="str">
        <f ca="1">IF(B300&gt;HReal,"",IFERROR(VLOOKUP(B300,Flts!$G$14:$I$349,3,FALSE),E299))</f>
        <v/>
      </c>
      <c r="F300" s="744"/>
      <c r="G300" s="687"/>
      <c r="H300" s="687"/>
      <c r="I300" s="687"/>
      <c r="J300" s="745"/>
      <c r="K300" s="744"/>
      <c r="L300" s="687"/>
      <c r="M300" s="687"/>
      <c r="N300" s="687"/>
      <c r="O300" s="745"/>
      <c r="P300" s="744"/>
      <c r="Q300" s="687"/>
      <c r="R300" s="687"/>
      <c r="S300" s="687"/>
      <c r="T300" s="745"/>
      <c r="U300" s="744"/>
      <c r="V300" s="687"/>
      <c r="W300" s="687"/>
      <c r="X300" s="687"/>
      <c r="Y300" s="745"/>
      <c r="Z300" s="744"/>
      <c r="AA300" s="687"/>
      <c r="AB300" s="687"/>
      <c r="AC300" s="687"/>
      <c r="AD300" s="745"/>
      <c r="AE300" s="744"/>
      <c r="AF300" s="687"/>
      <c r="AG300" s="687"/>
      <c r="AH300" s="687"/>
      <c r="AI300" s="745"/>
    </row>
    <row r="301" spans="2:35" ht="25.05" customHeight="1" x14ac:dyDescent="0.3">
      <c r="B301" s="673" t="str">
        <f ca="1">IF(HReal&gt;=MAX(B$6:$B300)+1,B300+1,"")</f>
        <v/>
      </c>
      <c r="C301" s="674" t="str">
        <f t="shared" ca="1" si="14"/>
        <v/>
      </c>
      <c r="D301" s="675" t="str">
        <f t="shared" ca="1" si="15"/>
        <v/>
      </c>
      <c r="E301" s="676" t="str">
        <f ca="1">IF(B301&gt;HReal,"",IFERROR(VLOOKUP(B301,Flts!$G$14:$I$349,3,FALSE),E300))</f>
        <v/>
      </c>
      <c r="F301" s="744"/>
      <c r="G301" s="687"/>
      <c r="H301" s="687"/>
      <c r="I301" s="687"/>
      <c r="J301" s="745"/>
      <c r="K301" s="744"/>
      <c r="L301" s="687"/>
      <c r="M301" s="687"/>
      <c r="N301" s="687"/>
      <c r="O301" s="745"/>
      <c r="P301" s="744"/>
      <c r="Q301" s="687"/>
      <c r="R301" s="687"/>
      <c r="S301" s="687"/>
      <c r="T301" s="745"/>
      <c r="U301" s="744"/>
      <c r="V301" s="687"/>
      <c r="W301" s="687"/>
      <c r="X301" s="687"/>
      <c r="Y301" s="745"/>
      <c r="Z301" s="744"/>
      <c r="AA301" s="687"/>
      <c r="AB301" s="687"/>
      <c r="AC301" s="687"/>
      <c r="AD301" s="745"/>
      <c r="AE301" s="744"/>
      <c r="AF301" s="687"/>
      <c r="AG301" s="687"/>
      <c r="AH301" s="687"/>
      <c r="AI301" s="745"/>
    </row>
    <row r="302" spans="2:35" ht="25.05" customHeight="1" x14ac:dyDescent="0.3">
      <c r="B302" s="673" t="str">
        <f ca="1">IF(HReal&gt;=MAX(B$6:$B301)+1,B301+1,"")</f>
        <v/>
      </c>
      <c r="C302" s="674" t="str">
        <f t="shared" ca="1" si="14"/>
        <v/>
      </c>
      <c r="D302" s="675" t="str">
        <f t="shared" ca="1" si="15"/>
        <v/>
      </c>
      <c r="E302" s="676" t="str">
        <f ca="1">IF(B302&gt;HReal,"",IFERROR(VLOOKUP(B302,Flts!$G$14:$I$349,3,FALSE),E301))</f>
        <v/>
      </c>
      <c r="F302" s="744"/>
      <c r="G302" s="687"/>
      <c r="H302" s="687"/>
      <c r="I302" s="687"/>
      <c r="J302" s="745"/>
      <c r="K302" s="744"/>
      <c r="L302" s="687"/>
      <c r="M302" s="687"/>
      <c r="N302" s="687"/>
      <c r="O302" s="745"/>
      <c r="P302" s="744"/>
      <c r="Q302" s="687"/>
      <c r="R302" s="687"/>
      <c r="S302" s="687"/>
      <c r="T302" s="745"/>
      <c r="U302" s="744"/>
      <c r="V302" s="687"/>
      <c r="W302" s="687"/>
      <c r="X302" s="687"/>
      <c r="Y302" s="745"/>
      <c r="Z302" s="744"/>
      <c r="AA302" s="687"/>
      <c r="AB302" s="687"/>
      <c r="AC302" s="687"/>
      <c r="AD302" s="745"/>
      <c r="AE302" s="744"/>
      <c r="AF302" s="687"/>
      <c r="AG302" s="687"/>
      <c r="AH302" s="687"/>
      <c r="AI302" s="745"/>
    </row>
    <row r="303" spans="2:35" ht="25.05" customHeight="1" x14ac:dyDescent="0.3">
      <c r="B303" s="673" t="str">
        <f ca="1">IF(HReal&gt;=MAX(B$6:$B302)+1,B302+1,"")</f>
        <v/>
      </c>
      <c r="C303" s="674" t="str">
        <f t="shared" ca="1" si="14"/>
        <v/>
      </c>
      <c r="D303" s="675" t="str">
        <f t="shared" ca="1" si="15"/>
        <v/>
      </c>
      <c r="E303" s="676" t="str">
        <f ca="1">IF(B303&gt;HReal,"",IFERROR(VLOOKUP(B303,Flts!$G$14:$I$349,3,FALSE),E302))</f>
        <v/>
      </c>
      <c r="F303" s="744"/>
      <c r="G303" s="687"/>
      <c r="H303" s="687"/>
      <c r="I303" s="687"/>
      <c r="J303" s="745"/>
      <c r="K303" s="744"/>
      <c r="L303" s="687"/>
      <c r="M303" s="687"/>
      <c r="N303" s="687"/>
      <c r="O303" s="745"/>
      <c r="P303" s="744"/>
      <c r="Q303" s="687"/>
      <c r="R303" s="687"/>
      <c r="S303" s="687"/>
      <c r="T303" s="745"/>
      <c r="U303" s="744"/>
      <c r="V303" s="687"/>
      <c r="W303" s="687"/>
      <c r="X303" s="687"/>
      <c r="Y303" s="745"/>
      <c r="Z303" s="744"/>
      <c r="AA303" s="687"/>
      <c r="AB303" s="687"/>
      <c r="AC303" s="687"/>
      <c r="AD303" s="745"/>
      <c r="AE303" s="744"/>
      <c r="AF303" s="687"/>
      <c r="AG303" s="687"/>
      <c r="AH303" s="687"/>
      <c r="AI303" s="745"/>
    </row>
    <row r="304" spans="2:35" ht="25.05" customHeight="1" x14ac:dyDescent="0.3">
      <c r="B304" s="673" t="str">
        <f ca="1">IF(HReal&gt;=MAX(B$6:$B303)+1,B303+1,"")</f>
        <v/>
      </c>
      <c r="C304" s="674" t="str">
        <f t="shared" ca="1" si="14"/>
        <v/>
      </c>
      <c r="D304" s="675" t="str">
        <f t="shared" ca="1" si="15"/>
        <v/>
      </c>
      <c r="E304" s="676" t="str">
        <f ca="1">IF(B304&gt;HReal,"",IFERROR(VLOOKUP(B304,Flts!$G$14:$I$349,3,FALSE),E303))</f>
        <v/>
      </c>
      <c r="F304" s="744"/>
      <c r="G304" s="687"/>
      <c r="H304" s="687"/>
      <c r="I304" s="687"/>
      <c r="J304" s="745"/>
      <c r="K304" s="744"/>
      <c r="L304" s="687"/>
      <c r="M304" s="687"/>
      <c r="N304" s="687"/>
      <c r="O304" s="745"/>
      <c r="P304" s="744"/>
      <c r="Q304" s="687"/>
      <c r="R304" s="687"/>
      <c r="S304" s="687"/>
      <c r="T304" s="745"/>
      <c r="U304" s="744"/>
      <c r="V304" s="687"/>
      <c r="W304" s="687"/>
      <c r="X304" s="687"/>
      <c r="Y304" s="745"/>
      <c r="Z304" s="744"/>
      <c r="AA304" s="687"/>
      <c r="AB304" s="687"/>
      <c r="AC304" s="687"/>
      <c r="AD304" s="745"/>
      <c r="AE304" s="744"/>
      <c r="AF304" s="687"/>
      <c r="AG304" s="687"/>
      <c r="AH304" s="687"/>
      <c r="AI304" s="745"/>
    </row>
    <row r="305" spans="2:35" ht="25.05" customHeight="1" x14ac:dyDescent="0.3">
      <c r="B305" s="673" t="str">
        <f ca="1">IF(HReal&gt;=MAX(B$6:$B304)+1,B304+1,"")</f>
        <v/>
      </c>
      <c r="C305" s="674" t="str">
        <f t="shared" ca="1" si="14"/>
        <v/>
      </c>
      <c r="D305" s="675" t="str">
        <f t="shared" ca="1" si="15"/>
        <v/>
      </c>
      <c r="E305" s="676" t="str">
        <f ca="1">IF(B305&gt;HReal,"",IFERROR(VLOOKUP(B305,Flts!$G$14:$I$349,3,FALSE),E304))</f>
        <v/>
      </c>
      <c r="F305" s="744"/>
      <c r="G305" s="687"/>
      <c r="H305" s="687"/>
      <c r="I305" s="687"/>
      <c r="J305" s="745"/>
      <c r="K305" s="744"/>
      <c r="L305" s="687"/>
      <c r="M305" s="687"/>
      <c r="N305" s="687"/>
      <c r="O305" s="745"/>
      <c r="P305" s="744"/>
      <c r="Q305" s="687"/>
      <c r="R305" s="687"/>
      <c r="S305" s="687"/>
      <c r="T305" s="745"/>
      <c r="U305" s="744"/>
      <c r="V305" s="687"/>
      <c r="W305" s="687"/>
      <c r="X305" s="687"/>
      <c r="Y305" s="745"/>
      <c r="Z305" s="744"/>
      <c r="AA305" s="687"/>
      <c r="AB305" s="687"/>
      <c r="AC305" s="687"/>
      <c r="AD305" s="745"/>
      <c r="AE305" s="744"/>
      <c r="AF305" s="687"/>
      <c r="AG305" s="687"/>
      <c r="AH305" s="687"/>
      <c r="AI305" s="745"/>
    </row>
    <row r="306" spans="2:35" ht="25.05" customHeight="1" x14ac:dyDescent="0.3">
      <c r="B306" s="673" t="str">
        <f ca="1">IF(HReal&gt;=MAX(B$6:$B305)+1,B305+1,"")</f>
        <v/>
      </c>
      <c r="C306" s="674" t="str">
        <f t="shared" ca="1" si="14"/>
        <v/>
      </c>
      <c r="D306" s="675" t="str">
        <f t="shared" ca="1" si="15"/>
        <v/>
      </c>
      <c r="E306" s="676" t="str">
        <f ca="1">IF(B306&gt;HReal,"",IFERROR(VLOOKUP(B306,Flts!$G$14:$I$349,3,FALSE),E305))</f>
        <v/>
      </c>
      <c r="F306" s="744"/>
      <c r="G306" s="687"/>
      <c r="H306" s="687"/>
      <c r="I306" s="687"/>
      <c r="J306" s="745"/>
      <c r="K306" s="744"/>
      <c r="L306" s="687"/>
      <c r="M306" s="687"/>
      <c r="N306" s="687"/>
      <c r="O306" s="745"/>
      <c r="P306" s="744"/>
      <c r="Q306" s="687"/>
      <c r="R306" s="687"/>
      <c r="S306" s="687"/>
      <c r="T306" s="745"/>
      <c r="U306" s="744"/>
      <c r="V306" s="687"/>
      <c r="W306" s="687"/>
      <c r="X306" s="687"/>
      <c r="Y306" s="745"/>
      <c r="Z306" s="744"/>
      <c r="AA306" s="687"/>
      <c r="AB306" s="687"/>
      <c r="AC306" s="687"/>
      <c r="AD306" s="745"/>
      <c r="AE306" s="744"/>
      <c r="AF306" s="687"/>
      <c r="AG306" s="687"/>
      <c r="AH306" s="687"/>
      <c r="AI306" s="745"/>
    </row>
    <row r="307" spans="2:35" ht="25.05" customHeight="1" x14ac:dyDescent="0.3">
      <c r="B307" s="673" t="str">
        <f ca="1">IF(HReal&gt;=MAX(B$6:$B306)+1,B306+1,"")</f>
        <v/>
      </c>
      <c r="C307" s="674" t="str">
        <f t="shared" ca="1" si="14"/>
        <v/>
      </c>
      <c r="D307" s="675" t="str">
        <f t="shared" ca="1" si="15"/>
        <v/>
      </c>
      <c r="E307" s="676" t="str">
        <f ca="1">IF(B307&gt;HReal,"",IFERROR(VLOOKUP(B307,Flts!$G$14:$I$349,3,FALSE),E306))</f>
        <v/>
      </c>
      <c r="F307" s="744"/>
      <c r="G307" s="687"/>
      <c r="H307" s="687"/>
      <c r="I307" s="687"/>
      <c r="J307" s="745"/>
      <c r="K307" s="744"/>
      <c r="L307" s="687"/>
      <c r="M307" s="687"/>
      <c r="N307" s="687"/>
      <c r="O307" s="745"/>
      <c r="P307" s="744"/>
      <c r="Q307" s="687"/>
      <c r="R307" s="687"/>
      <c r="S307" s="687"/>
      <c r="T307" s="745"/>
      <c r="U307" s="744"/>
      <c r="V307" s="687"/>
      <c r="W307" s="687"/>
      <c r="X307" s="687"/>
      <c r="Y307" s="745"/>
      <c r="Z307" s="744"/>
      <c r="AA307" s="687"/>
      <c r="AB307" s="687"/>
      <c r="AC307" s="687"/>
      <c r="AD307" s="745"/>
      <c r="AE307" s="744"/>
      <c r="AF307" s="687"/>
      <c r="AG307" s="687"/>
      <c r="AH307" s="687"/>
      <c r="AI307" s="745"/>
    </row>
    <row r="308" spans="2:35" ht="25.05" customHeight="1" x14ac:dyDescent="0.3">
      <c r="B308" s="673" t="str">
        <f ca="1">IF(HReal&gt;=MAX(B$6:$B307)+1,B307+1,"")</f>
        <v/>
      </c>
      <c r="C308" s="674" t="str">
        <f t="shared" ca="1" si="14"/>
        <v/>
      </c>
      <c r="D308" s="675" t="str">
        <f t="shared" ca="1" si="15"/>
        <v/>
      </c>
      <c r="E308" s="676" t="str">
        <f ca="1">IF(B308&gt;HReal,"",IFERROR(VLOOKUP(B308,Flts!$G$14:$I$349,3,FALSE),E307))</f>
        <v/>
      </c>
      <c r="F308" s="744"/>
      <c r="G308" s="687"/>
      <c r="H308" s="687"/>
      <c r="I308" s="687"/>
      <c r="J308" s="745"/>
      <c r="K308" s="744"/>
      <c r="L308" s="687"/>
      <c r="M308" s="687"/>
      <c r="N308" s="687"/>
      <c r="O308" s="745"/>
      <c r="P308" s="744"/>
      <c r="Q308" s="687"/>
      <c r="R308" s="687"/>
      <c r="S308" s="687"/>
      <c r="T308" s="745"/>
      <c r="U308" s="744"/>
      <c r="V308" s="687"/>
      <c r="W308" s="687"/>
      <c r="X308" s="687"/>
      <c r="Y308" s="745"/>
      <c r="Z308" s="744"/>
      <c r="AA308" s="687"/>
      <c r="AB308" s="687"/>
      <c r="AC308" s="687"/>
      <c r="AD308" s="745"/>
      <c r="AE308" s="744"/>
      <c r="AF308" s="687"/>
      <c r="AG308" s="687"/>
      <c r="AH308" s="687"/>
      <c r="AI308" s="745"/>
    </row>
    <row r="309" spans="2:35" ht="25.05" customHeight="1" x14ac:dyDescent="0.3">
      <c r="B309" s="673" t="str">
        <f ca="1">IF(HReal&gt;=MAX(B$6:$B308)+1,B308+1,"")</f>
        <v/>
      </c>
      <c r="C309" s="674" t="str">
        <f t="shared" ca="1" si="14"/>
        <v/>
      </c>
      <c r="D309" s="675" t="str">
        <f t="shared" ca="1" si="15"/>
        <v/>
      </c>
      <c r="E309" s="676" t="str">
        <f ca="1">IF(B309&gt;HReal,"",IFERROR(VLOOKUP(B309,Flts!$G$14:$I$349,3,FALSE),E308))</f>
        <v/>
      </c>
      <c r="F309" s="744"/>
      <c r="G309" s="687"/>
      <c r="H309" s="687"/>
      <c r="I309" s="687"/>
      <c r="J309" s="745"/>
      <c r="K309" s="744"/>
      <c r="L309" s="687"/>
      <c r="M309" s="687"/>
      <c r="N309" s="687"/>
      <c r="O309" s="745"/>
      <c r="P309" s="744"/>
      <c r="Q309" s="687"/>
      <c r="R309" s="687"/>
      <c r="S309" s="687"/>
      <c r="T309" s="745"/>
      <c r="U309" s="744"/>
      <c r="V309" s="687"/>
      <c r="W309" s="687"/>
      <c r="X309" s="687"/>
      <c r="Y309" s="745"/>
      <c r="Z309" s="744"/>
      <c r="AA309" s="687"/>
      <c r="AB309" s="687"/>
      <c r="AC309" s="687"/>
      <c r="AD309" s="745"/>
      <c r="AE309" s="744"/>
      <c r="AF309" s="687"/>
      <c r="AG309" s="687"/>
      <c r="AH309" s="687"/>
      <c r="AI309" s="745"/>
    </row>
    <row r="310" spans="2:35" ht="25.05" customHeight="1" x14ac:dyDescent="0.3">
      <c r="B310" s="673" t="str">
        <f ca="1">IF(HReal&gt;=MAX(B$6:$B309)+1,B309+1,"")</f>
        <v/>
      </c>
      <c r="C310" s="674" t="str">
        <f t="shared" ca="1" si="14"/>
        <v/>
      </c>
      <c r="D310" s="675" t="str">
        <f t="shared" ca="1" si="15"/>
        <v/>
      </c>
      <c r="E310" s="676" t="str">
        <f ca="1">IF(B310&gt;HReal,"",IFERROR(VLOOKUP(B310,Flts!$G$14:$I$349,3,FALSE),E309))</f>
        <v/>
      </c>
      <c r="F310" s="744"/>
      <c r="G310" s="687"/>
      <c r="H310" s="687"/>
      <c r="I310" s="687"/>
      <c r="J310" s="745"/>
      <c r="K310" s="744"/>
      <c r="L310" s="687"/>
      <c r="M310" s="687"/>
      <c r="N310" s="687"/>
      <c r="O310" s="745"/>
      <c r="P310" s="744"/>
      <c r="Q310" s="687"/>
      <c r="R310" s="687"/>
      <c r="S310" s="687"/>
      <c r="T310" s="745"/>
      <c r="U310" s="744"/>
      <c r="V310" s="687"/>
      <c r="W310" s="687"/>
      <c r="X310" s="687"/>
      <c r="Y310" s="745"/>
      <c r="Z310" s="744"/>
      <c r="AA310" s="687"/>
      <c r="AB310" s="687"/>
      <c r="AC310" s="687"/>
      <c r="AD310" s="745"/>
      <c r="AE310" s="744"/>
      <c r="AF310" s="687"/>
      <c r="AG310" s="687"/>
      <c r="AH310" s="687"/>
      <c r="AI310" s="745"/>
    </row>
    <row r="311" spans="2:35" ht="25.05" customHeight="1" x14ac:dyDescent="0.3">
      <c r="B311" s="673" t="str">
        <f ca="1">IF(HReal&gt;=MAX(B$6:$B310)+1,B310+1,"")</f>
        <v/>
      </c>
      <c r="C311" s="674" t="str">
        <f t="shared" ca="1" si="14"/>
        <v/>
      </c>
      <c r="D311" s="675" t="str">
        <f t="shared" ca="1" si="15"/>
        <v/>
      </c>
      <c r="E311" s="676" t="str">
        <f ca="1">IF(B311&gt;HReal,"",IFERROR(VLOOKUP(B311,Flts!$G$14:$I$349,3,FALSE),E310))</f>
        <v/>
      </c>
      <c r="F311" s="744"/>
      <c r="G311" s="687"/>
      <c r="H311" s="687"/>
      <c r="I311" s="687"/>
      <c r="J311" s="745"/>
      <c r="K311" s="744"/>
      <c r="L311" s="687"/>
      <c r="M311" s="687"/>
      <c r="N311" s="687"/>
      <c r="O311" s="745"/>
      <c r="P311" s="744"/>
      <c r="Q311" s="687"/>
      <c r="R311" s="687"/>
      <c r="S311" s="687"/>
      <c r="T311" s="745"/>
      <c r="U311" s="744"/>
      <c r="V311" s="687"/>
      <c r="W311" s="687"/>
      <c r="X311" s="687"/>
      <c r="Y311" s="745"/>
      <c r="Z311" s="744"/>
      <c r="AA311" s="687"/>
      <c r="AB311" s="687"/>
      <c r="AC311" s="687"/>
      <c r="AD311" s="745"/>
      <c r="AE311" s="744"/>
      <c r="AF311" s="687"/>
      <c r="AG311" s="687"/>
      <c r="AH311" s="687"/>
      <c r="AI311" s="745"/>
    </row>
    <row r="312" spans="2:35" ht="25.05" customHeight="1" x14ac:dyDescent="0.3">
      <c r="B312" s="673" t="str">
        <f ca="1">IF(HReal&gt;=MAX(B$6:$B311)+1,B311+1,"")</f>
        <v/>
      </c>
      <c r="C312" s="674" t="str">
        <f t="shared" ca="1" si="14"/>
        <v/>
      </c>
      <c r="D312" s="675" t="str">
        <f t="shared" ca="1" si="15"/>
        <v/>
      </c>
      <c r="E312" s="676" t="str">
        <f ca="1">IF(B312&gt;HReal,"",IFERROR(VLOOKUP(B312,Flts!$G$14:$I$349,3,FALSE),E311))</f>
        <v/>
      </c>
      <c r="F312" s="744"/>
      <c r="G312" s="687"/>
      <c r="H312" s="687"/>
      <c r="I312" s="687"/>
      <c r="J312" s="745"/>
      <c r="K312" s="744"/>
      <c r="L312" s="687"/>
      <c r="M312" s="687"/>
      <c r="N312" s="687"/>
      <c r="O312" s="745"/>
      <c r="P312" s="744"/>
      <c r="Q312" s="687"/>
      <c r="R312" s="687"/>
      <c r="S312" s="687"/>
      <c r="T312" s="745"/>
      <c r="U312" s="744"/>
      <c r="V312" s="687"/>
      <c r="W312" s="687"/>
      <c r="X312" s="687"/>
      <c r="Y312" s="745"/>
      <c r="Z312" s="744"/>
      <c r="AA312" s="687"/>
      <c r="AB312" s="687"/>
      <c r="AC312" s="687"/>
      <c r="AD312" s="745"/>
      <c r="AE312" s="744"/>
      <c r="AF312" s="687"/>
      <c r="AG312" s="687"/>
      <c r="AH312" s="687"/>
      <c r="AI312" s="745"/>
    </row>
    <row r="313" spans="2:35" ht="25.05" customHeight="1" x14ac:dyDescent="0.3">
      <c r="B313" s="673" t="str">
        <f ca="1">IF(HReal&gt;=MAX(B$6:$B312)+1,B312+1,"")</f>
        <v/>
      </c>
      <c r="C313" s="674" t="str">
        <f t="shared" ca="1" si="14"/>
        <v/>
      </c>
      <c r="D313" s="675" t="str">
        <f t="shared" ca="1" si="15"/>
        <v/>
      </c>
      <c r="E313" s="676" t="str">
        <f ca="1">IF(B313&gt;HReal,"",IFERROR(VLOOKUP(B313,Flts!$G$14:$I$349,3,FALSE),E312))</f>
        <v/>
      </c>
      <c r="F313" s="744"/>
      <c r="G313" s="687"/>
      <c r="H313" s="687"/>
      <c r="I313" s="687"/>
      <c r="J313" s="745"/>
      <c r="K313" s="744"/>
      <c r="L313" s="687"/>
      <c r="M313" s="687"/>
      <c r="N313" s="687"/>
      <c r="O313" s="745"/>
      <c r="P313" s="744"/>
      <c r="Q313" s="687"/>
      <c r="R313" s="687"/>
      <c r="S313" s="687"/>
      <c r="T313" s="745"/>
      <c r="U313" s="744"/>
      <c r="V313" s="687"/>
      <c r="W313" s="687"/>
      <c r="X313" s="687"/>
      <c r="Y313" s="745"/>
      <c r="Z313" s="744"/>
      <c r="AA313" s="687"/>
      <c r="AB313" s="687"/>
      <c r="AC313" s="687"/>
      <c r="AD313" s="745"/>
      <c r="AE313" s="744"/>
      <c r="AF313" s="687"/>
      <c r="AG313" s="687"/>
      <c r="AH313" s="687"/>
      <c r="AI313" s="745"/>
    </row>
    <row r="314" spans="2:35" ht="25.05" customHeight="1" x14ac:dyDescent="0.3">
      <c r="B314" s="673" t="str">
        <f ca="1">IF(HReal&gt;=MAX(B$6:$B313)+1,B313+1,"")</f>
        <v/>
      </c>
      <c r="C314" s="674" t="str">
        <f t="shared" ca="1" si="14"/>
        <v/>
      </c>
      <c r="D314" s="675" t="str">
        <f t="shared" ca="1" si="15"/>
        <v/>
      </c>
      <c r="E314" s="676" t="str">
        <f ca="1">IF(B314&gt;HReal,"",IFERROR(VLOOKUP(B314,Flts!$G$14:$I$349,3,FALSE),E313))</f>
        <v/>
      </c>
      <c r="F314" s="744"/>
      <c r="G314" s="687"/>
      <c r="H314" s="687"/>
      <c r="I314" s="687"/>
      <c r="J314" s="745"/>
      <c r="K314" s="744"/>
      <c r="L314" s="687"/>
      <c r="M314" s="687"/>
      <c r="N314" s="687"/>
      <c r="O314" s="745"/>
      <c r="P314" s="744"/>
      <c r="Q314" s="687"/>
      <c r="R314" s="687"/>
      <c r="S314" s="687"/>
      <c r="T314" s="745"/>
      <c r="U314" s="744"/>
      <c r="V314" s="687"/>
      <c r="W314" s="687"/>
      <c r="X314" s="687"/>
      <c r="Y314" s="745"/>
      <c r="Z314" s="744"/>
      <c r="AA314" s="687"/>
      <c r="AB314" s="687"/>
      <c r="AC314" s="687"/>
      <c r="AD314" s="745"/>
      <c r="AE314" s="744"/>
      <c r="AF314" s="687"/>
      <c r="AG314" s="687"/>
      <c r="AH314" s="687"/>
      <c r="AI314" s="745"/>
    </row>
    <row r="315" spans="2:35" ht="25.05" customHeight="1" x14ac:dyDescent="0.3">
      <c r="B315" s="673" t="str">
        <f ca="1">IF(HReal&gt;=MAX(B$6:$B314)+1,B314+1,"")</f>
        <v/>
      </c>
      <c r="C315" s="674" t="str">
        <f t="shared" ca="1" si="14"/>
        <v/>
      </c>
      <c r="D315" s="675" t="str">
        <f t="shared" ca="1" si="15"/>
        <v/>
      </c>
      <c r="E315" s="676" t="str">
        <f ca="1">IF(B315&gt;HReal,"",IFERROR(VLOOKUP(B315,Flts!$G$14:$I$349,3,FALSE),E314))</f>
        <v/>
      </c>
      <c r="F315" s="744"/>
      <c r="G315" s="687"/>
      <c r="H315" s="687"/>
      <c r="I315" s="687"/>
      <c r="J315" s="745"/>
      <c r="K315" s="744"/>
      <c r="L315" s="687"/>
      <c r="M315" s="687"/>
      <c r="N315" s="687"/>
      <c r="O315" s="745"/>
      <c r="P315" s="744"/>
      <c r="Q315" s="687"/>
      <c r="R315" s="687"/>
      <c r="S315" s="687"/>
      <c r="T315" s="745"/>
      <c r="U315" s="744"/>
      <c r="V315" s="687"/>
      <c r="W315" s="687"/>
      <c r="X315" s="687"/>
      <c r="Y315" s="745"/>
      <c r="Z315" s="744"/>
      <c r="AA315" s="687"/>
      <c r="AB315" s="687"/>
      <c r="AC315" s="687"/>
      <c r="AD315" s="745"/>
      <c r="AE315" s="744"/>
      <c r="AF315" s="687"/>
      <c r="AG315" s="687"/>
      <c r="AH315" s="687"/>
      <c r="AI315" s="745"/>
    </row>
    <row r="316" spans="2:35" ht="25.05" customHeight="1" x14ac:dyDescent="0.3">
      <c r="B316" s="673" t="str">
        <f ca="1">IF(HReal&gt;=MAX(B$6:$B315)+1,B315+1,"")</f>
        <v/>
      </c>
      <c r="C316" s="674" t="str">
        <f t="shared" ca="1" si="14"/>
        <v/>
      </c>
      <c r="D316" s="675" t="str">
        <f t="shared" ca="1" si="15"/>
        <v/>
      </c>
      <c r="E316" s="676" t="str">
        <f ca="1">IF(B316&gt;HReal,"",IFERROR(VLOOKUP(B316,Flts!$G$14:$I$349,3,FALSE),E315))</f>
        <v/>
      </c>
      <c r="F316" s="744"/>
      <c r="G316" s="687"/>
      <c r="H316" s="687"/>
      <c r="I316" s="687"/>
      <c r="J316" s="745"/>
      <c r="K316" s="744"/>
      <c r="L316" s="687"/>
      <c r="M316" s="687"/>
      <c r="N316" s="687"/>
      <c r="O316" s="745"/>
      <c r="P316" s="744"/>
      <c r="Q316" s="687"/>
      <c r="R316" s="687"/>
      <c r="S316" s="687"/>
      <c r="T316" s="745"/>
      <c r="U316" s="744"/>
      <c r="V316" s="687"/>
      <c r="W316" s="687"/>
      <c r="X316" s="687"/>
      <c r="Y316" s="745"/>
      <c r="Z316" s="744"/>
      <c r="AA316" s="687"/>
      <c r="AB316" s="687"/>
      <c r="AC316" s="687"/>
      <c r="AD316" s="745"/>
      <c r="AE316" s="744"/>
      <c r="AF316" s="687"/>
      <c r="AG316" s="687"/>
      <c r="AH316" s="687"/>
      <c r="AI316" s="745"/>
    </row>
    <row r="317" spans="2:35" ht="25.05" customHeight="1" x14ac:dyDescent="0.3">
      <c r="B317" s="673" t="str">
        <f ca="1">IF(HReal&gt;=MAX(B$6:$B316)+1,B316+1,"")</f>
        <v/>
      </c>
      <c r="C317" s="674" t="str">
        <f t="shared" ca="1" si="14"/>
        <v/>
      </c>
      <c r="D317" s="675" t="str">
        <f t="shared" ca="1" si="15"/>
        <v/>
      </c>
      <c r="E317" s="676" t="str">
        <f ca="1">IF(B317&gt;HReal,"",IFERROR(VLOOKUP(B317,Flts!$G$14:$I$349,3,FALSE),E316))</f>
        <v/>
      </c>
      <c r="F317" s="744"/>
      <c r="G317" s="687"/>
      <c r="H317" s="687"/>
      <c r="I317" s="687"/>
      <c r="J317" s="745"/>
      <c r="K317" s="744"/>
      <c r="L317" s="687"/>
      <c r="M317" s="687"/>
      <c r="N317" s="687"/>
      <c r="O317" s="745"/>
      <c r="P317" s="744"/>
      <c r="Q317" s="687"/>
      <c r="R317" s="687"/>
      <c r="S317" s="687"/>
      <c r="T317" s="745"/>
      <c r="U317" s="744"/>
      <c r="V317" s="687"/>
      <c r="W317" s="687"/>
      <c r="X317" s="687"/>
      <c r="Y317" s="745"/>
      <c r="Z317" s="744"/>
      <c r="AA317" s="687"/>
      <c r="AB317" s="687"/>
      <c r="AC317" s="687"/>
      <c r="AD317" s="745"/>
      <c r="AE317" s="744"/>
      <c r="AF317" s="687"/>
      <c r="AG317" s="687"/>
      <c r="AH317" s="687"/>
      <c r="AI317" s="745"/>
    </row>
    <row r="318" spans="2:35" ht="25.05" customHeight="1" x14ac:dyDescent="0.3">
      <c r="B318" s="673" t="str">
        <f ca="1">IF(HReal&gt;=MAX(B$6:$B317)+1,B317+1,"")</f>
        <v/>
      </c>
      <c r="C318" s="674" t="str">
        <f t="shared" ca="1" si="14"/>
        <v/>
      </c>
      <c r="D318" s="675" t="str">
        <f t="shared" ca="1" si="15"/>
        <v/>
      </c>
      <c r="E318" s="676" t="str">
        <f ca="1">IF(B318&gt;HReal,"",IFERROR(VLOOKUP(B318,Flts!$G$14:$I$349,3,FALSE),E317))</f>
        <v/>
      </c>
      <c r="F318" s="744"/>
      <c r="G318" s="687"/>
      <c r="H318" s="687"/>
      <c r="I318" s="687"/>
      <c r="J318" s="745"/>
      <c r="K318" s="744"/>
      <c r="L318" s="687"/>
      <c r="M318" s="687"/>
      <c r="N318" s="687"/>
      <c r="O318" s="745"/>
      <c r="P318" s="744"/>
      <c r="Q318" s="687"/>
      <c r="R318" s="687"/>
      <c r="S318" s="687"/>
      <c r="T318" s="745"/>
      <c r="U318" s="744"/>
      <c r="V318" s="687"/>
      <c r="W318" s="687"/>
      <c r="X318" s="687"/>
      <c r="Y318" s="745"/>
      <c r="Z318" s="744"/>
      <c r="AA318" s="687"/>
      <c r="AB318" s="687"/>
      <c r="AC318" s="687"/>
      <c r="AD318" s="745"/>
      <c r="AE318" s="744"/>
      <c r="AF318" s="687"/>
      <c r="AG318" s="687"/>
      <c r="AH318" s="687"/>
      <c r="AI318" s="745"/>
    </row>
    <row r="319" spans="2:35" ht="25.05" customHeight="1" x14ac:dyDescent="0.3">
      <c r="B319" s="673" t="str">
        <f ca="1">IF(HReal&gt;=MAX(B$6:$B318)+1,B318+1,"")</f>
        <v/>
      </c>
      <c r="C319" s="674" t="str">
        <f t="shared" ca="1" si="14"/>
        <v/>
      </c>
      <c r="D319" s="675" t="str">
        <f t="shared" ca="1" si="15"/>
        <v/>
      </c>
      <c r="E319" s="676" t="str">
        <f ca="1">IF(B319&gt;HReal,"",IFERROR(VLOOKUP(B319,Flts!$G$14:$I$349,3,FALSE),E318))</f>
        <v/>
      </c>
      <c r="F319" s="744"/>
      <c r="G319" s="687"/>
      <c r="H319" s="687"/>
      <c r="I319" s="687"/>
      <c r="J319" s="745"/>
      <c r="K319" s="744"/>
      <c r="L319" s="687"/>
      <c r="M319" s="687"/>
      <c r="N319" s="687"/>
      <c r="O319" s="745"/>
      <c r="P319" s="744"/>
      <c r="Q319" s="687"/>
      <c r="R319" s="687"/>
      <c r="S319" s="687"/>
      <c r="T319" s="745"/>
      <c r="U319" s="744"/>
      <c r="V319" s="687"/>
      <c r="W319" s="687"/>
      <c r="X319" s="687"/>
      <c r="Y319" s="745"/>
      <c r="Z319" s="744"/>
      <c r="AA319" s="687"/>
      <c r="AB319" s="687"/>
      <c r="AC319" s="687"/>
      <c r="AD319" s="745"/>
      <c r="AE319" s="744"/>
      <c r="AF319" s="687"/>
      <c r="AG319" s="687"/>
      <c r="AH319" s="687"/>
      <c r="AI319" s="745"/>
    </row>
    <row r="320" spans="2:35" ht="25.05" customHeight="1" x14ac:dyDescent="0.3">
      <c r="B320" s="673" t="str">
        <f ca="1">IF(HReal&gt;=MAX(B$6:$B319)+1,B319+1,"")</f>
        <v/>
      </c>
      <c r="C320" s="674" t="str">
        <f t="shared" ca="1" si="14"/>
        <v/>
      </c>
      <c r="D320" s="675" t="str">
        <f t="shared" ca="1" si="15"/>
        <v/>
      </c>
      <c r="E320" s="676" t="str">
        <f ca="1">IF(B320&gt;HReal,"",IFERROR(VLOOKUP(B320,Flts!$G$14:$I$349,3,FALSE),E319))</f>
        <v/>
      </c>
      <c r="F320" s="744"/>
      <c r="G320" s="687"/>
      <c r="H320" s="687"/>
      <c r="I320" s="687"/>
      <c r="J320" s="745"/>
      <c r="K320" s="744"/>
      <c r="L320" s="687"/>
      <c r="M320" s="687"/>
      <c r="N320" s="687"/>
      <c r="O320" s="745"/>
      <c r="P320" s="744"/>
      <c r="Q320" s="687"/>
      <c r="R320" s="687"/>
      <c r="S320" s="687"/>
      <c r="T320" s="745"/>
      <c r="U320" s="744"/>
      <c r="V320" s="687"/>
      <c r="W320" s="687"/>
      <c r="X320" s="687"/>
      <c r="Y320" s="745"/>
      <c r="Z320" s="744"/>
      <c r="AA320" s="687"/>
      <c r="AB320" s="687"/>
      <c r="AC320" s="687"/>
      <c r="AD320" s="745"/>
      <c r="AE320" s="744"/>
      <c r="AF320" s="687"/>
      <c r="AG320" s="687"/>
      <c r="AH320" s="687"/>
      <c r="AI320" s="745"/>
    </row>
    <row r="321" spans="2:35" ht="25.05" customHeight="1" x14ac:dyDescent="0.3">
      <c r="B321" s="673" t="str">
        <f ca="1">IF(HReal&gt;=MAX(B$6:$B320)+1,B320+1,"")</f>
        <v/>
      </c>
      <c r="C321" s="674" t="str">
        <f t="shared" ca="1" si="14"/>
        <v/>
      </c>
      <c r="D321" s="675" t="str">
        <f t="shared" ca="1" si="15"/>
        <v/>
      </c>
      <c r="E321" s="676" t="str">
        <f ca="1">IF(B321&gt;HReal,"",IFERROR(VLOOKUP(B321,Flts!$G$14:$I$349,3,FALSE),E320))</f>
        <v/>
      </c>
      <c r="F321" s="744"/>
      <c r="G321" s="687"/>
      <c r="H321" s="687"/>
      <c r="I321" s="687"/>
      <c r="J321" s="745"/>
      <c r="K321" s="744"/>
      <c r="L321" s="687"/>
      <c r="M321" s="687"/>
      <c r="N321" s="687"/>
      <c r="O321" s="745"/>
      <c r="P321" s="744"/>
      <c r="Q321" s="687"/>
      <c r="R321" s="687"/>
      <c r="S321" s="687"/>
      <c r="T321" s="745"/>
      <c r="U321" s="744"/>
      <c r="V321" s="687"/>
      <c r="W321" s="687"/>
      <c r="X321" s="687"/>
      <c r="Y321" s="745"/>
      <c r="Z321" s="744"/>
      <c r="AA321" s="687"/>
      <c r="AB321" s="687"/>
      <c r="AC321" s="687"/>
      <c r="AD321" s="745"/>
      <c r="AE321" s="744"/>
      <c r="AF321" s="687"/>
      <c r="AG321" s="687"/>
      <c r="AH321" s="687"/>
      <c r="AI321" s="745"/>
    </row>
    <row r="322" spans="2:35" ht="25.05" customHeight="1" x14ac:dyDescent="0.3">
      <c r="B322" s="673" t="str">
        <f ca="1">IF(HReal&gt;=MAX(B$6:$B321)+1,B321+1,"")</f>
        <v/>
      </c>
      <c r="C322" s="674" t="str">
        <f t="shared" ca="1" si="14"/>
        <v/>
      </c>
      <c r="D322" s="675" t="str">
        <f t="shared" ca="1" si="15"/>
        <v/>
      </c>
      <c r="E322" s="676" t="str">
        <f ca="1">IF(B322&gt;HReal,"",IFERROR(VLOOKUP(B322,Flts!$G$14:$I$349,3,FALSE),E321))</f>
        <v/>
      </c>
      <c r="F322" s="744"/>
      <c r="G322" s="687"/>
      <c r="H322" s="687"/>
      <c r="I322" s="687"/>
      <c r="J322" s="745"/>
      <c r="K322" s="744"/>
      <c r="L322" s="687"/>
      <c r="M322" s="687"/>
      <c r="N322" s="687"/>
      <c r="O322" s="745"/>
      <c r="P322" s="744"/>
      <c r="Q322" s="687"/>
      <c r="R322" s="687"/>
      <c r="S322" s="687"/>
      <c r="T322" s="745"/>
      <c r="U322" s="744"/>
      <c r="V322" s="687"/>
      <c r="W322" s="687"/>
      <c r="X322" s="687"/>
      <c r="Y322" s="745"/>
      <c r="Z322" s="744"/>
      <c r="AA322" s="687"/>
      <c r="AB322" s="687"/>
      <c r="AC322" s="687"/>
      <c r="AD322" s="745"/>
      <c r="AE322" s="744"/>
      <c r="AF322" s="687"/>
      <c r="AG322" s="687"/>
      <c r="AH322" s="687"/>
      <c r="AI322" s="745"/>
    </row>
    <row r="323" spans="2:35" ht="25.05" customHeight="1" x14ac:dyDescent="0.3">
      <c r="B323" s="673" t="str">
        <f ca="1">IF(HReal&gt;=MAX(B$6:$B322)+1,B322+1,"")</f>
        <v/>
      </c>
      <c r="C323" s="674" t="str">
        <f t="shared" ca="1" si="14"/>
        <v/>
      </c>
      <c r="D323" s="675" t="str">
        <f t="shared" ca="1" si="15"/>
        <v/>
      </c>
      <c r="E323" s="676" t="str">
        <f ca="1">IF(B323&gt;HReal,"",IFERROR(VLOOKUP(B323,Flts!$G$14:$I$349,3,FALSE),E322))</f>
        <v/>
      </c>
      <c r="F323" s="744"/>
      <c r="G323" s="687"/>
      <c r="H323" s="687"/>
      <c r="I323" s="687"/>
      <c r="J323" s="745"/>
      <c r="K323" s="744"/>
      <c r="L323" s="687"/>
      <c r="M323" s="687"/>
      <c r="N323" s="687"/>
      <c r="O323" s="745"/>
      <c r="P323" s="744"/>
      <c r="Q323" s="687"/>
      <c r="R323" s="687"/>
      <c r="S323" s="687"/>
      <c r="T323" s="745"/>
      <c r="U323" s="744"/>
      <c r="V323" s="687"/>
      <c r="W323" s="687"/>
      <c r="X323" s="687"/>
      <c r="Y323" s="745"/>
      <c r="Z323" s="744"/>
      <c r="AA323" s="687"/>
      <c r="AB323" s="687"/>
      <c r="AC323" s="687"/>
      <c r="AD323" s="745"/>
      <c r="AE323" s="744"/>
      <c r="AF323" s="687"/>
      <c r="AG323" s="687"/>
      <c r="AH323" s="687"/>
      <c r="AI323" s="745"/>
    </row>
    <row r="324" spans="2:35" ht="25.05" customHeight="1" x14ac:dyDescent="0.3">
      <c r="B324" s="673" t="str">
        <f ca="1">IF(HReal&gt;=MAX(B$6:$B323)+1,B323+1,"")</f>
        <v/>
      </c>
      <c r="C324" s="674" t="str">
        <f t="shared" ca="1" si="14"/>
        <v/>
      </c>
      <c r="D324" s="675" t="str">
        <f t="shared" ca="1" si="15"/>
        <v/>
      </c>
      <c r="E324" s="676" t="str">
        <f ca="1">IF(B324&gt;HReal,"",IFERROR(VLOOKUP(B324,Flts!$G$14:$I$349,3,FALSE),E323))</f>
        <v/>
      </c>
      <c r="F324" s="744"/>
      <c r="G324" s="687"/>
      <c r="H324" s="687"/>
      <c r="I324" s="687"/>
      <c r="J324" s="745"/>
      <c r="K324" s="744"/>
      <c r="L324" s="687"/>
      <c r="M324" s="687"/>
      <c r="N324" s="687"/>
      <c r="O324" s="745"/>
      <c r="P324" s="744"/>
      <c r="Q324" s="687"/>
      <c r="R324" s="687"/>
      <c r="S324" s="687"/>
      <c r="T324" s="745"/>
      <c r="U324" s="744"/>
      <c r="V324" s="687"/>
      <c r="W324" s="687"/>
      <c r="X324" s="687"/>
      <c r="Y324" s="745"/>
      <c r="Z324" s="744"/>
      <c r="AA324" s="687"/>
      <c r="AB324" s="687"/>
      <c r="AC324" s="687"/>
      <c r="AD324" s="745"/>
      <c r="AE324" s="744"/>
      <c r="AF324" s="687"/>
      <c r="AG324" s="687"/>
      <c r="AH324" s="687"/>
      <c r="AI324" s="745"/>
    </row>
    <row r="325" spans="2:35" ht="25.05" customHeight="1" x14ac:dyDescent="0.3">
      <c r="B325" s="673" t="str">
        <f ca="1">IF(HReal&gt;=MAX(B$6:$B324)+1,B324+1,"")</f>
        <v/>
      </c>
      <c r="C325" s="674" t="str">
        <f t="shared" ca="1" si="14"/>
        <v/>
      </c>
      <c r="D325" s="675" t="str">
        <f t="shared" ca="1" si="15"/>
        <v/>
      </c>
      <c r="E325" s="676" t="str">
        <f ca="1">IF(B325&gt;HReal,"",IFERROR(VLOOKUP(B325,Flts!$G$14:$I$349,3,FALSE),E324))</f>
        <v/>
      </c>
      <c r="F325" s="744"/>
      <c r="G325" s="687"/>
      <c r="H325" s="687"/>
      <c r="I325" s="687"/>
      <c r="J325" s="745"/>
      <c r="K325" s="744"/>
      <c r="L325" s="687"/>
      <c r="M325" s="687"/>
      <c r="N325" s="687"/>
      <c r="O325" s="745"/>
      <c r="P325" s="744"/>
      <c r="Q325" s="687"/>
      <c r="R325" s="687"/>
      <c r="S325" s="687"/>
      <c r="T325" s="745"/>
      <c r="U325" s="744"/>
      <c r="V325" s="687"/>
      <c r="W325" s="687"/>
      <c r="X325" s="687"/>
      <c r="Y325" s="745"/>
      <c r="Z325" s="744"/>
      <c r="AA325" s="687"/>
      <c r="AB325" s="687"/>
      <c r="AC325" s="687"/>
      <c r="AD325" s="745"/>
      <c r="AE325" s="744"/>
      <c r="AF325" s="687"/>
      <c r="AG325" s="687"/>
      <c r="AH325" s="687"/>
      <c r="AI325" s="745"/>
    </row>
    <row r="326" spans="2:35" ht="25.05" customHeight="1" x14ac:dyDescent="0.3">
      <c r="B326" s="673" t="str">
        <f ca="1">IF(HReal&gt;=MAX(B$6:$B325)+1,B325+1,"")</f>
        <v/>
      </c>
      <c r="C326" s="674" t="str">
        <f t="shared" ca="1" si="14"/>
        <v/>
      </c>
      <c r="D326" s="675" t="str">
        <f t="shared" ca="1" si="15"/>
        <v/>
      </c>
      <c r="E326" s="676" t="str">
        <f ca="1">IF(B326&gt;HReal,"",IFERROR(VLOOKUP(B326,Flts!$G$14:$I$349,3,FALSE),E325))</f>
        <v/>
      </c>
      <c r="F326" s="744"/>
      <c r="G326" s="687"/>
      <c r="H326" s="687"/>
      <c r="I326" s="687"/>
      <c r="J326" s="745"/>
      <c r="K326" s="744"/>
      <c r="L326" s="687"/>
      <c r="M326" s="687"/>
      <c r="N326" s="687"/>
      <c r="O326" s="745"/>
      <c r="P326" s="744"/>
      <c r="Q326" s="687"/>
      <c r="R326" s="687"/>
      <c r="S326" s="687"/>
      <c r="T326" s="745"/>
      <c r="U326" s="744"/>
      <c r="V326" s="687"/>
      <c r="W326" s="687"/>
      <c r="X326" s="687"/>
      <c r="Y326" s="745"/>
      <c r="Z326" s="744"/>
      <c r="AA326" s="687"/>
      <c r="AB326" s="687"/>
      <c r="AC326" s="687"/>
      <c r="AD326" s="745"/>
      <c r="AE326" s="744"/>
      <c r="AF326" s="687"/>
      <c r="AG326" s="687"/>
      <c r="AH326" s="687"/>
      <c r="AI326" s="745"/>
    </row>
    <row r="327" spans="2:35" ht="25.05" customHeight="1" x14ac:dyDescent="0.3">
      <c r="B327" s="673" t="str">
        <f ca="1">IF(HReal&gt;=MAX(B$6:$B326)+1,B326+1,"")</f>
        <v/>
      </c>
      <c r="C327" s="674" t="str">
        <f t="shared" ca="1" si="14"/>
        <v/>
      </c>
      <c r="D327" s="675" t="str">
        <f t="shared" ca="1" si="15"/>
        <v/>
      </c>
      <c r="E327" s="676" t="str">
        <f ca="1">IF(B327&gt;HReal,"",IFERROR(VLOOKUP(B327,Flts!$G$14:$I$349,3,FALSE),E326))</f>
        <v/>
      </c>
      <c r="F327" s="744"/>
      <c r="G327" s="687"/>
      <c r="H327" s="687"/>
      <c r="I327" s="687"/>
      <c r="J327" s="745"/>
      <c r="K327" s="744"/>
      <c r="L327" s="687"/>
      <c r="M327" s="687"/>
      <c r="N327" s="687"/>
      <c r="O327" s="745"/>
      <c r="P327" s="744"/>
      <c r="Q327" s="687"/>
      <c r="R327" s="687"/>
      <c r="S327" s="687"/>
      <c r="T327" s="745"/>
      <c r="U327" s="744"/>
      <c r="V327" s="687"/>
      <c r="W327" s="687"/>
      <c r="X327" s="687"/>
      <c r="Y327" s="745"/>
      <c r="Z327" s="744"/>
      <c r="AA327" s="687"/>
      <c r="AB327" s="687"/>
      <c r="AC327" s="687"/>
      <c r="AD327" s="745"/>
      <c r="AE327" s="744"/>
      <c r="AF327" s="687"/>
      <c r="AG327" s="687"/>
      <c r="AH327" s="687"/>
      <c r="AI327" s="745"/>
    </row>
    <row r="328" spans="2:35" ht="25.05" customHeight="1" x14ac:dyDescent="0.3">
      <c r="B328" s="673" t="str">
        <f ca="1">IF(HReal&gt;=MAX(B$6:$B327)+1,B327+1,"")</f>
        <v/>
      </c>
      <c r="C328" s="674" t="str">
        <f t="shared" ca="1" si="14"/>
        <v/>
      </c>
      <c r="D328" s="675" t="str">
        <f t="shared" ca="1" si="15"/>
        <v/>
      </c>
      <c r="E328" s="676" t="str">
        <f ca="1">IF(B328&gt;HReal,"",IFERROR(VLOOKUP(B328,Flts!$G$14:$I$349,3,FALSE),E327))</f>
        <v/>
      </c>
      <c r="F328" s="744"/>
      <c r="G328" s="687"/>
      <c r="H328" s="687"/>
      <c r="I328" s="687"/>
      <c r="J328" s="745"/>
      <c r="K328" s="744"/>
      <c r="L328" s="687"/>
      <c r="M328" s="687"/>
      <c r="N328" s="687"/>
      <c r="O328" s="745"/>
      <c r="P328" s="744"/>
      <c r="Q328" s="687"/>
      <c r="R328" s="687"/>
      <c r="S328" s="687"/>
      <c r="T328" s="745"/>
      <c r="U328" s="744"/>
      <c r="V328" s="687"/>
      <c r="W328" s="687"/>
      <c r="X328" s="687"/>
      <c r="Y328" s="745"/>
      <c r="Z328" s="744"/>
      <c r="AA328" s="687"/>
      <c r="AB328" s="687"/>
      <c r="AC328" s="687"/>
      <c r="AD328" s="745"/>
      <c r="AE328" s="744"/>
      <c r="AF328" s="687"/>
      <c r="AG328" s="687"/>
      <c r="AH328" s="687"/>
      <c r="AI328" s="745"/>
    </row>
    <row r="329" spans="2:35" ht="25.05" customHeight="1" x14ac:dyDescent="0.3">
      <c r="B329" s="673" t="str">
        <f ca="1">IF(HReal&gt;=MAX(B$6:$B328)+1,B328+1,"")</f>
        <v/>
      </c>
      <c r="C329" s="674" t="str">
        <f t="shared" ca="1" si="14"/>
        <v/>
      </c>
      <c r="D329" s="675" t="str">
        <f t="shared" ca="1" si="15"/>
        <v/>
      </c>
      <c r="E329" s="676" t="str">
        <f ca="1">IF(B329&gt;HReal,"",IFERROR(VLOOKUP(B329,Flts!$G$14:$I$349,3,FALSE),E328))</f>
        <v/>
      </c>
      <c r="F329" s="744"/>
      <c r="G329" s="687"/>
      <c r="H329" s="687"/>
      <c r="I329" s="687"/>
      <c r="J329" s="745"/>
      <c r="K329" s="744"/>
      <c r="L329" s="687"/>
      <c r="M329" s="687"/>
      <c r="N329" s="687"/>
      <c r="O329" s="745"/>
      <c r="P329" s="744"/>
      <c r="Q329" s="687"/>
      <c r="R329" s="687"/>
      <c r="S329" s="687"/>
      <c r="T329" s="745"/>
      <c r="U329" s="744"/>
      <c r="V329" s="687"/>
      <c r="W329" s="687"/>
      <c r="X329" s="687"/>
      <c r="Y329" s="745"/>
      <c r="Z329" s="744"/>
      <c r="AA329" s="687"/>
      <c r="AB329" s="687"/>
      <c r="AC329" s="687"/>
      <c r="AD329" s="745"/>
      <c r="AE329" s="744"/>
      <c r="AF329" s="687"/>
      <c r="AG329" s="687"/>
      <c r="AH329" s="687"/>
      <c r="AI329" s="745"/>
    </row>
    <row r="330" spans="2:35" ht="25.05" customHeight="1" x14ac:dyDescent="0.3">
      <c r="B330" s="673" t="str">
        <f ca="1">IF(HReal&gt;=MAX(B$6:$B329)+1,B329+1,"")</f>
        <v/>
      </c>
      <c r="C330" s="674" t="str">
        <f t="shared" ca="1" si="14"/>
        <v/>
      </c>
      <c r="D330" s="675" t="str">
        <f t="shared" ca="1" si="15"/>
        <v/>
      </c>
      <c r="E330" s="676" t="str">
        <f ca="1">IF(B330&gt;HReal,"",IFERROR(VLOOKUP(B330,Flts!$G$14:$I$349,3,FALSE),E329))</f>
        <v/>
      </c>
      <c r="F330" s="744"/>
      <c r="G330" s="687"/>
      <c r="H330" s="687"/>
      <c r="I330" s="687"/>
      <c r="J330" s="745"/>
      <c r="K330" s="744"/>
      <c r="L330" s="687"/>
      <c r="M330" s="687"/>
      <c r="N330" s="687"/>
      <c r="O330" s="745"/>
      <c r="P330" s="744"/>
      <c r="Q330" s="687"/>
      <c r="R330" s="687"/>
      <c r="S330" s="687"/>
      <c r="T330" s="745"/>
      <c r="U330" s="744"/>
      <c r="V330" s="687"/>
      <c r="W330" s="687"/>
      <c r="X330" s="687"/>
      <c r="Y330" s="745"/>
      <c r="Z330" s="744"/>
      <c r="AA330" s="687"/>
      <c r="AB330" s="687"/>
      <c r="AC330" s="687"/>
      <c r="AD330" s="745"/>
      <c r="AE330" s="744"/>
      <c r="AF330" s="687"/>
      <c r="AG330" s="687"/>
      <c r="AH330" s="687"/>
      <c r="AI330" s="745"/>
    </row>
    <row r="331" spans="2:35" ht="25.05" customHeight="1" x14ac:dyDescent="0.3">
      <c r="B331" s="673" t="str">
        <f ca="1">IF(HReal&gt;=MAX(B$6:$B330)+1,B330+1,"")</f>
        <v/>
      </c>
      <c r="C331" s="674" t="str">
        <f t="shared" ca="1" si="14"/>
        <v/>
      </c>
      <c r="D331" s="675" t="str">
        <f t="shared" ca="1" si="15"/>
        <v/>
      </c>
      <c r="E331" s="676" t="str">
        <f ca="1">IF(B331&gt;HReal,"",IFERROR(VLOOKUP(B331,Flts!$G$14:$I$349,3,FALSE),E330))</f>
        <v/>
      </c>
      <c r="F331" s="744"/>
      <c r="G331" s="687"/>
      <c r="H331" s="687"/>
      <c r="I331" s="687"/>
      <c r="J331" s="745"/>
      <c r="K331" s="744"/>
      <c r="L331" s="687"/>
      <c r="M331" s="687"/>
      <c r="N331" s="687"/>
      <c r="O331" s="745"/>
      <c r="P331" s="744"/>
      <c r="Q331" s="687"/>
      <c r="R331" s="687"/>
      <c r="S331" s="687"/>
      <c r="T331" s="745"/>
      <c r="U331" s="744"/>
      <c r="V331" s="687"/>
      <c r="W331" s="687"/>
      <c r="X331" s="687"/>
      <c r="Y331" s="745"/>
      <c r="Z331" s="744"/>
      <c r="AA331" s="687"/>
      <c r="AB331" s="687"/>
      <c r="AC331" s="687"/>
      <c r="AD331" s="745"/>
      <c r="AE331" s="744"/>
      <c r="AF331" s="687"/>
      <c r="AG331" s="687"/>
      <c r="AH331" s="687"/>
      <c r="AI331" s="745"/>
    </row>
    <row r="332" spans="2:35" ht="25.05" customHeight="1" x14ac:dyDescent="0.3">
      <c r="B332" s="673" t="str">
        <f ca="1">IF(HReal&gt;=MAX(B$6:$B331)+1,B331+1,"")</f>
        <v/>
      </c>
      <c r="C332" s="674" t="str">
        <f t="shared" ca="1" si="14"/>
        <v/>
      </c>
      <c r="D332" s="675" t="str">
        <f t="shared" ca="1" si="15"/>
        <v/>
      </c>
      <c r="E332" s="676" t="str">
        <f ca="1">IF(B332&gt;HReal,"",IFERROR(VLOOKUP(B332,Flts!$G$14:$I$349,3,FALSE),E331))</f>
        <v/>
      </c>
      <c r="F332" s="744"/>
      <c r="G332" s="687"/>
      <c r="H332" s="687"/>
      <c r="I332" s="687"/>
      <c r="J332" s="745"/>
      <c r="K332" s="744"/>
      <c r="L332" s="687"/>
      <c r="M332" s="687"/>
      <c r="N332" s="687"/>
      <c r="O332" s="745"/>
      <c r="P332" s="744"/>
      <c r="Q332" s="687"/>
      <c r="R332" s="687"/>
      <c r="S332" s="687"/>
      <c r="T332" s="745"/>
      <c r="U332" s="744"/>
      <c r="V332" s="687"/>
      <c r="W332" s="687"/>
      <c r="X332" s="687"/>
      <c r="Y332" s="745"/>
      <c r="Z332" s="744"/>
      <c r="AA332" s="687"/>
      <c r="AB332" s="687"/>
      <c r="AC332" s="687"/>
      <c r="AD332" s="745"/>
      <c r="AE332" s="744"/>
      <c r="AF332" s="687"/>
      <c r="AG332" s="687"/>
      <c r="AH332" s="687"/>
      <c r="AI332" s="745"/>
    </row>
    <row r="333" spans="2:35" ht="25.05" customHeight="1" x14ac:dyDescent="0.3">
      <c r="B333" s="673" t="str">
        <f ca="1">IF(HReal&gt;=MAX(B$6:$B332)+1,B332+1,"")</f>
        <v/>
      </c>
      <c r="C333" s="674" t="str">
        <f t="shared" ca="1" si="14"/>
        <v/>
      </c>
      <c r="D333" s="675" t="str">
        <f t="shared" ca="1" si="15"/>
        <v/>
      </c>
      <c r="E333" s="676" t="str">
        <f ca="1">IF(B333&gt;HReal,"",IFERROR(VLOOKUP(B333,Flts!$G$14:$I$349,3,FALSE),E332))</f>
        <v/>
      </c>
      <c r="F333" s="744"/>
      <c r="G333" s="687"/>
      <c r="H333" s="687"/>
      <c r="I333" s="687"/>
      <c r="J333" s="745"/>
      <c r="K333" s="744"/>
      <c r="L333" s="687"/>
      <c r="M333" s="687"/>
      <c r="N333" s="687"/>
      <c r="O333" s="745"/>
      <c r="P333" s="744"/>
      <c r="Q333" s="687"/>
      <c r="R333" s="687"/>
      <c r="S333" s="687"/>
      <c r="T333" s="745"/>
      <c r="U333" s="744"/>
      <c r="V333" s="687"/>
      <c r="W333" s="687"/>
      <c r="X333" s="687"/>
      <c r="Y333" s="745"/>
      <c r="Z333" s="744"/>
      <c r="AA333" s="687"/>
      <c r="AB333" s="687"/>
      <c r="AC333" s="687"/>
      <c r="AD333" s="745"/>
      <c r="AE333" s="744"/>
      <c r="AF333" s="687"/>
      <c r="AG333" s="687"/>
      <c r="AH333" s="687"/>
      <c r="AI333" s="745"/>
    </row>
    <row r="334" spans="2:35" ht="25.05" customHeight="1" x14ac:dyDescent="0.3">
      <c r="B334" s="673" t="str">
        <f ca="1">IF(HReal&gt;=MAX(B$6:$B333)+1,B333+1,"")</f>
        <v/>
      </c>
      <c r="C334" s="674" t="str">
        <f t="shared" ca="1" si="14"/>
        <v/>
      </c>
      <c r="D334" s="675" t="str">
        <f t="shared" ca="1" si="15"/>
        <v/>
      </c>
      <c r="E334" s="676" t="str">
        <f ca="1">IF(B334&gt;HReal,"",IFERROR(VLOOKUP(B334,Flts!$G$14:$I$349,3,FALSE),E333))</f>
        <v/>
      </c>
      <c r="F334" s="744"/>
      <c r="G334" s="687"/>
      <c r="H334" s="687"/>
      <c r="I334" s="687"/>
      <c r="J334" s="745"/>
      <c r="K334" s="744"/>
      <c r="L334" s="687"/>
      <c r="M334" s="687"/>
      <c r="N334" s="687"/>
      <c r="O334" s="745"/>
      <c r="P334" s="744"/>
      <c r="Q334" s="687"/>
      <c r="R334" s="687"/>
      <c r="S334" s="687"/>
      <c r="T334" s="745"/>
      <c r="U334" s="744"/>
      <c r="V334" s="687"/>
      <c r="W334" s="687"/>
      <c r="X334" s="687"/>
      <c r="Y334" s="745"/>
      <c r="Z334" s="744"/>
      <c r="AA334" s="687"/>
      <c r="AB334" s="687"/>
      <c r="AC334" s="687"/>
      <c r="AD334" s="745"/>
      <c r="AE334" s="744"/>
      <c r="AF334" s="687"/>
      <c r="AG334" s="687"/>
      <c r="AH334" s="687"/>
      <c r="AI334" s="745"/>
    </row>
    <row r="335" spans="2:35" ht="25.05" customHeight="1" x14ac:dyDescent="0.3">
      <c r="B335" s="673" t="str">
        <f ca="1">IF(HReal&gt;=MAX(B$6:$B334)+1,B334+1,"")</f>
        <v/>
      </c>
      <c r="C335" s="674" t="str">
        <f t="shared" ca="1" si="14"/>
        <v/>
      </c>
      <c r="D335" s="675" t="str">
        <f t="shared" ca="1" si="15"/>
        <v/>
      </c>
      <c r="E335" s="676" t="str">
        <f ca="1">IF(B335&gt;HReal,"",IFERROR(VLOOKUP(B335,Flts!$G$14:$I$349,3,FALSE),E334))</f>
        <v/>
      </c>
      <c r="F335" s="744"/>
      <c r="G335" s="687"/>
      <c r="H335" s="687"/>
      <c r="I335" s="687"/>
      <c r="J335" s="745"/>
      <c r="K335" s="744"/>
      <c r="L335" s="687"/>
      <c r="M335" s="687"/>
      <c r="N335" s="687"/>
      <c r="O335" s="745"/>
      <c r="P335" s="744"/>
      <c r="Q335" s="687"/>
      <c r="R335" s="687"/>
      <c r="S335" s="687"/>
      <c r="T335" s="745"/>
      <c r="U335" s="744"/>
      <c r="V335" s="687"/>
      <c r="W335" s="687"/>
      <c r="X335" s="687"/>
      <c r="Y335" s="745"/>
      <c r="Z335" s="744"/>
      <c r="AA335" s="687"/>
      <c r="AB335" s="687"/>
      <c r="AC335" s="687"/>
      <c r="AD335" s="745"/>
      <c r="AE335" s="744"/>
      <c r="AF335" s="687"/>
      <c r="AG335" s="687"/>
      <c r="AH335" s="687"/>
      <c r="AI335" s="745"/>
    </row>
    <row r="336" spans="2:35" ht="25.05" customHeight="1" x14ac:dyDescent="0.3">
      <c r="B336" s="673" t="str">
        <f ca="1">IF(HReal&gt;=MAX(B$6:$B335)+1,B335+1,"")</f>
        <v/>
      </c>
      <c r="C336" s="674" t="str">
        <f t="shared" ca="1" si="14"/>
        <v/>
      </c>
      <c r="D336" s="675" t="str">
        <f t="shared" ca="1" si="15"/>
        <v/>
      </c>
      <c r="E336" s="676" t="str">
        <f ca="1">IF(B336&gt;HReal,"",IFERROR(VLOOKUP(B336,Flts!$G$14:$I$349,3,FALSE),E335))</f>
        <v/>
      </c>
      <c r="F336" s="744"/>
      <c r="G336" s="687"/>
      <c r="H336" s="687"/>
      <c r="I336" s="687"/>
      <c r="J336" s="745"/>
      <c r="K336" s="744"/>
      <c r="L336" s="687"/>
      <c r="M336" s="687"/>
      <c r="N336" s="687"/>
      <c r="O336" s="745"/>
      <c r="P336" s="744"/>
      <c r="Q336" s="687"/>
      <c r="R336" s="687"/>
      <c r="S336" s="687"/>
      <c r="T336" s="745"/>
      <c r="U336" s="744"/>
      <c r="V336" s="687"/>
      <c r="W336" s="687"/>
      <c r="X336" s="687"/>
      <c r="Y336" s="745"/>
      <c r="Z336" s="744"/>
      <c r="AA336" s="687"/>
      <c r="AB336" s="687"/>
      <c r="AC336" s="687"/>
      <c r="AD336" s="745"/>
      <c r="AE336" s="744"/>
      <c r="AF336" s="687"/>
      <c r="AG336" s="687"/>
      <c r="AH336" s="687"/>
      <c r="AI336" s="745"/>
    </row>
    <row r="337" spans="2:35" ht="25.05" customHeight="1" x14ac:dyDescent="0.3">
      <c r="B337" s="673" t="str">
        <f ca="1">IF(HReal&gt;=MAX(B$6:$B336)+1,B336+1,"")</f>
        <v/>
      </c>
      <c r="C337" s="674" t="str">
        <f t="shared" ca="1" si="14"/>
        <v/>
      </c>
      <c r="D337" s="675" t="str">
        <f t="shared" ca="1" si="15"/>
        <v/>
      </c>
      <c r="E337" s="676" t="str">
        <f ca="1">IF(B337&gt;HReal,"",IFERROR(VLOOKUP(B337,Flts!$G$14:$I$349,3,FALSE),E336))</f>
        <v/>
      </c>
      <c r="F337" s="744"/>
      <c r="G337" s="687"/>
      <c r="H337" s="687"/>
      <c r="I337" s="687"/>
      <c r="J337" s="745"/>
      <c r="K337" s="744"/>
      <c r="L337" s="687"/>
      <c r="M337" s="687"/>
      <c r="N337" s="687"/>
      <c r="O337" s="745"/>
      <c r="P337" s="744"/>
      <c r="Q337" s="687"/>
      <c r="R337" s="687"/>
      <c r="S337" s="687"/>
      <c r="T337" s="745"/>
      <c r="U337" s="744"/>
      <c r="V337" s="687"/>
      <c r="W337" s="687"/>
      <c r="X337" s="687"/>
      <c r="Y337" s="745"/>
      <c r="Z337" s="744"/>
      <c r="AA337" s="687"/>
      <c r="AB337" s="687"/>
      <c r="AC337" s="687"/>
      <c r="AD337" s="745"/>
      <c r="AE337" s="744"/>
      <c r="AF337" s="687"/>
      <c r="AG337" s="687"/>
      <c r="AH337" s="687"/>
      <c r="AI337" s="745"/>
    </row>
    <row r="338" spans="2:35" ht="25.05" customHeight="1" x14ac:dyDescent="0.3">
      <c r="B338" s="673" t="str">
        <f ca="1">IF(HReal&gt;=MAX(B$6:$B337)+1,B337+1,"")</f>
        <v/>
      </c>
      <c r="C338" s="674" t="str">
        <f t="shared" ca="1" si="14"/>
        <v/>
      </c>
      <c r="D338" s="675" t="str">
        <f t="shared" ca="1" si="15"/>
        <v/>
      </c>
      <c r="E338" s="676" t="str">
        <f ca="1">IF(B338&gt;HReal,"",IFERROR(VLOOKUP(B338,Flts!$G$14:$I$349,3,FALSE),E337))</f>
        <v/>
      </c>
      <c r="F338" s="744"/>
      <c r="G338" s="687"/>
      <c r="H338" s="687"/>
      <c r="I338" s="687"/>
      <c r="J338" s="745"/>
      <c r="K338" s="744"/>
      <c r="L338" s="687"/>
      <c r="M338" s="687"/>
      <c r="N338" s="687"/>
      <c r="O338" s="745"/>
      <c r="P338" s="744"/>
      <c r="Q338" s="687"/>
      <c r="R338" s="687"/>
      <c r="S338" s="687"/>
      <c r="T338" s="745"/>
      <c r="U338" s="744"/>
      <c r="V338" s="687"/>
      <c r="W338" s="687"/>
      <c r="X338" s="687"/>
      <c r="Y338" s="745"/>
      <c r="Z338" s="744"/>
      <c r="AA338" s="687"/>
      <c r="AB338" s="687"/>
      <c r="AC338" s="687"/>
      <c r="AD338" s="745"/>
      <c r="AE338" s="744"/>
      <c r="AF338" s="687"/>
      <c r="AG338" s="687"/>
      <c r="AH338" s="687"/>
      <c r="AI338" s="745"/>
    </row>
    <row r="339" spans="2:35" ht="25.05" customHeight="1" x14ac:dyDescent="0.3">
      <c r="B339" s="673" t="str">
        <f ca="1">IF(HReal&gt;=MAX(B$6:$B338)+1,B338+1,"")</f>
        <v/>
      </c>
      <c r="C339" s="674" t="str">
        <f t="shared" ca="1" si="14"/>
        <v/>
      </c>
      <c r="D339" s="675" t="str">
        <f t="shared" ca="1" si="15"/>
        <v/>
      </c>
      <c r="E339" s="676" t="str">
        <f ca="1">IF(B339&gt;HReal,"",IFERROR(VLOOKUP(B339,Flts!$G$14:$I$349,3,FALSE),E338))</f>
        <v/>
      </c>
      <c r="F339" s="744"/>
      <c r="G339" s="687"/>
      <c r="H339" s="687"/>
      <c r="I339" s="687"/>
      <c r="J339" s="745"/>
      <c r="K339" s="744"/>
      <c r="L339" s="687"/>
      <c r="M339" s="687"/>
      <c r="N339" s="687"/>
      <c r="O339" s="745"/>
      <c r="P339" s="744"/>
      <c r="Q339" s="687"/>
      <c r="R339" s="687"/>
      <c r="S339" s="687"/>
      <c r="T339" s="745"/>
      <c r="U339" s="744"/>
      <c r="V339" s="687"/>
      <c r="W339" s="687"/>
      <c r="X339" s="687"/>
      <c r="Y339" s="745"/>
      <c r="Z339" s="744"/>
      <c r="AA339" s="687"/>
      <c r="AB339" s="687"/>
      <c r="AC339" s="687"/>
      <c r="AD339" s="745"/>
      <c r="AE339" s="744"/>
      <c r="AF339" s="687"/>
      <c r="AG339" s="687"/>
      <c r="AH339" s="687"/>
      <c r="AI339" s="745"/>
    </row>
    <row r="340" spans="2:35" ht="25.05" customHeight="1" x14ac:dyDescent="0.3">
      <c r="B340" s="673" t="str">
        <f ca="1">IF(HReal&gt;=MAX(B$6:$B339)+1,B339+1,"")</f>
        <v/>
      </c>
      <c r="C340" s="674" t="str">
        <f t="shared" ca="1" si="14"/>
        <v/>
      </c>
      <c r="D340" s="675" t="str">
        <f t="shared" ca="1" si="15"/>
        <v/>
      </c>
      <c r="E340" s="676" t="str">
        <f ca="1">IF(B340&gt;HReal,"",IFERROR(VLOOKUP(B340,Flts!$G$14:$I$349,3,FALSE),E339))</f>
        <v/>
      </c>
      <c r="F340" s="744"/>
      <c r="G340" s="687"/>
      <c r="H340" s="687"/>
      <c r="I340" s="687"/>
      <c r="J340" s="745"/>
      <c r="K340" s="744"/>
      <c r="L340" s="687"/>
      <c r="M340" s="687"/>
      <c r="N340" s="687"/>
      <c r="O340" s="745"/>
      <c r="P340" s="744"/>
      <c r="Q340" s="687"/>
      <c r="R340" s="687"/>
      <c r="S340" s="687"/>
      <c r="T340" s="745"/>
      <c r="U340" s="744"/>
      <c r="V340" s="687"/>
      <c r="W340" s="687"/>
      <c r="X340" s="687"/>
      <c r="Y340" s="745"/>
      <c r="Z340" s="744"/>
      <c r="AA340" s="687"/>
      <c r="AB340" s="687"/>
      <c r="AC340" s="687"/>
      <c r="AD340" s="745"/>
      <c r="AE340" s="744"/>
      <c r="AF340" s="687"/>
      <c r="AG340" s="687"/>
      <c r="AH340" s="687"/>
      <c r="AI340" s="745"/>
    </row>
    <row r="341" spans="2:35" ht="25.05" customHeight="1" x14ac:dyDescent="0.3">
      <c r="B341" s="673" t="str">
        <f ca="1">IF(HReal&gt;=MAX(B$6:$B340)+1,B340+1,"")</f>
        <v/>
      </c>
      <c r="C341" s="674" t="str">
        <f t="shared" ca="1" si="14"/>
        <v/>
      </c>
      <c r="D341" s="675" t="str">
        <f t="shared" ca="1" si="15"/>
        <v/>
      </c>
      <c r="E341" s="676" t="str">
        <f ca="1">IF(B341&gt;HReal,"",IFERROR(VLOOKUP(B341,Flts!$G$14:$I$349,3,FALSE),E340))</f>
        <v/>
      </c>
      <c r="F341" s="744"/>
      <c r="G341" s="687"/>
      <c r="H341" s="687"/>
      <c r="I341" s="687"/>
      <c r="J341" s="745"/>
      <c r="K341" s="744"/>
      <c r="L341" s="687"/>
      <c r="M341" s="687"/>
      <c r="N341" s="687"/>
      <c r="O341" s="745"/>
      <c r="P341" s="744"/>
      <c r="Q341" s="687"/>
      <c r="R341" s="687"/>
      <c r="S341" s="687"/>
      <c r="T341" s="745"/>
      <c r="U341" s="744"/>
      <c r="V341" s="687"/>
      <c r="W341" s="687"/>
      <c r="X341" s="687"/>
      <c r="Y341" s="745"/>
      <c r="Z341" s="744"/>
      <c r="AA341" s="687"/>
      <c r="AB341" s="687"/>
      <c r="AC341" s="687"/>
      <c r="AD341" s="745"/>
      <c r="AE341" s="744"/>
      <c r="AF341" s="687"/>
      <c r="AG341" s="687"/>
      <c r="AH341" s="687"/>
      <c r="AI341" s="745"/>
    </row>
    <row r="342" spans="2:35" ht="25.05" customHeight="1" x14ac:dyDescent="0.3">
      <c r="B342" s="673" t="str">
        <f ca="1">IF(HReal&gt;=MAX(B$6:$B341)+1,B341+1,"")</f>
        <v/>
      </c>
      <c r="C342" s="674" t="str">
        <f t="shared" ca="1" si="14"/>
        <v/>
      </c>
      <c r="D342" s="675" t="str">
        <f t="shared" ca="1" si="15"/>
        <v/>
      </c>
      <c r="E342" s="676" t="str">
        <f ca="1">IF(B342&gt;HReal,"",IFERROR(VLOOKUP(B342,Flts!$G$14:$I$349,3,FALSE),E341))</f>
        <v/>
      </c>
      <c r="F342" s="744"/>
      <c r="G342" s="687"/>
      <c r="H342" s="687"/>
      <c r="I342" s="687"/>
      <c r="J342" s="745"/>
      <c r="K342" s="744"/>
      <c r="L342" s="687"/>
      <c r="M342" s="687"/>
      <c r="N342" s="687"/>
      <c r="O342" s="745"/>
      <c r="P342" s="744"/>
      <c r="Q342" s="687"/>
      <c r="R342" s="687"/>
      <c r="S342" s="687"/>
      <c r="T342" s="745"/>
      <c r="U342" s="744"/>
      <c r="V342" s="687"/>
      <c r="W342" s="687"/>
      <c r="X342" s="687"/>
      <c r="Y342" s="745"/>
      <c r="Z342" s="744"/>
      <c r="AA342" s="687"/>
      <c r="AB342" s="687"/>
      <c r="AC342" s="687"/>
      <c r="AD342" s="745"/>
      <c r="AE342" s="744"/>
      <c r="AF342" s="687"/>
      <c r="AG342" s="687"/>
      <c r="AH342" s="687"/>
      <c r="AI342" s="745"/>
    </row>
    <row r="343" spans="2:35" ht="25.05" customHeight="1" x14ac:dyDescent="0.3">
      <c r="B343" s="673" t="str">
        <f ca="1">IF(HReal&gt;=MAX(B$6:$B342)+1,B342+1,"")</f>
        <v/>
      </c>
      <c r="C343" s="674" t="str">
        <f t="shared" ca="1" si="14"/>
        <v/>
      </c>
      <c r="D343" s="675" t="str">
        <f t="shared" ca="1" si="15"/>
        <v/>
      </c>
      <c r="E343" s="676" t="str">
        <f ca="1">IF(B343&gt;HReal,"",IFERROR(VLOOKUP(B343,Flts!$G$14:$I$349,3,FALSE),E342))</f>
        <v/>
      </c>
      <c r="F343" s="744"/>
      <c r="G343" s="687"/>
      <c r="H343" s="687"/>
      <c r="I343" s="687"/>
      <c r="J343" s="745"/>
      <c r="K343" s="744"/>
      <c r="L343" s="687"/>
      <c r="M343" s="687"/>
      <c r="N343" s="687"/>
      <c r="O343" s="745"/>
      <c r="P343" s="744"/>
      <c r="Q343" s="687"/>
      <c r="R343" s="687"/>
      <c r="S343" s="687"/>
      <c r="T343" s="745"/>
      <c r="U343" s="744"/>
      <c r="V343" s="687"/>
      <c r="W343" s="687"/>
      <c r="X343" s="687"/>
      <c r="Y343" s="745"/>
      <c r="Z343" s="744"/>
      <c r="AA343" s="687"/>
      <c r="AB343" s="687"/>
      <c r="AC343" s="687"/>
      <c r="AD343" s="745"/>
      <c r="AE343" s="744"/>
      <c r="AF343" s="687"/>
      <c r="AG343" s="687"/>
      <c r="AH343" s="687"/>
      <c r="AI343" s="745"/>
    </row>
    <row r="344" spans="2:35" ht="25.05" customHeight="1" x14ac:dyDescent="0.3">
      <c r="B344" s="673" t="str">
        <f ca="1">IF(HReal&gt;=MAX(B$6:$B343)+1,B343+1,"")</f>
        <v/>
      </c>
      <c r="C344" s="674" t="str">
        <f t="shared" ca="1" si="14"/>
        <v/>
      </c>
      <c r="D344" s="675" t="str">
        <f t="shared" ca="1" si="15"/>
        <v/>
      </c>
      <c r="E344" s="676" t="str">
        <f ca="1">IF(B344&gt;HReal,"",IFERROR(VLOOKUP(B344,Flts!$G$14:$I$349,3,FALSE),E343))</f>
        <v/>
      </c>
      <c r="F344" s="744"/>
      <c r="G344" s="687"/>
      <c r="H344" s="687"/>
      <c r="I344" s="687"/>
      <c r="J344" s="745"/>
      <c r="K344" s="744"/>
      <c r="L344" s="687"/>
      <c r="M344" s="687"/>
      <c r="N344" s="687"/>
      <c r="O344" s="745"/>
      <c r="P344" s="744"/>
      <c r="Q344" s="687"/>
      <c r="R344" s="687"/>
      <c r="S344" s="687"/>
      <c r="T344" s="745"/>
      <c r="U344" s="744"/>
      <c r="V344" s="687"/>
      <c r="W344" s="687"/>
      <c r="X344" s="687"/>
      <c r="Y344" s="745"/>
      <c r="Z344" s="744"/>
      <c r="AA344" s="687"/>
      <c r="AB344" s="687"/>
      <c r="AC344" s="687"/>
      <c r="AD344" s="745"/>
      <c r="AE344" s="744"/>
      <c r="AF344" s="687"/>
      <c r="AG344" s="687"/>
      <c r="AH344" s="687"/>
      <c r="AI344" s="745"/>
    </row>
    <row r="345" spans="2:35" ht="25.05" customHeight="1" x14ac:dyDescent="0.3">
      <c r="B345" s="673" t="str">
        <f ca="1">IF(HReal&gt;=MAX(B$6:$B344)+1,B344+1,"")</f>
        <v/>
      </c>
      <c r="C345" s="674" t="str">
        <f t="shared" ca="1" si="14"/>
        <v/>
      </c>
      <c r="D345" s="675" t="str">
        <f t="shared" ca="1" si="15"/>
        <v/>
      </c>
      <c r="E345" s="676" t="str">
        <f ca="1">IF(B345&gt;HReal,"",IFERROR(VLOOKUP(B345,Flts!$G$14:$I$349,3,FALSE),E344))</f>
        <v/>
      </c>
      <c r="F345" s="744"/>
      <c r="G345" s="687"/>
      <c r="H345" s="687"/>
      <c r="I345" s="687"/>
      <c r="J345" s="745"/>
      <c r="K345" s="744"/>
      <c r="L345" s="687"/>
      <c r="M345" s="687"/>
      <c r="N345" s="687"/>
      <c r="O345" s="745"/>
      <c r="P345" s="744"/>
      <c r="Q345" s="687"/>
      <c r="R345" s="687"/>
      <c r="S345" s="687"/>
      <c r="T345" s="745"/>
      <c r="U345" s="744"/>
      <c r="V345" s="687"/>
      <c r="W345" s="687"/>
      <c r="X345" s="687"/>
      <c r="Y345" s="745"/>
      <c r="Z345" s="744"/>
      <c r="AA345" s="687"/>
      <c r="AB345" s="687"/>
      <c r="AC345" s="687"/>
      <c r="AD345" s="745"/>
      <c r="AE345" s="744"/>
      <c r="AF345" s="687"/>
      <c r="AG345" s="687"/>
      <c r="AH345" s="687"/>
      <c r="AI345" s="745"/>
    </row>
    <row r="346" spans="2:35" ht="25.05" customHeight="1" x14ac:dyDescent="0.3">
      <c r="B346" s="673" t="str">
        <f ca="1">IF(HReal&gt;=MAX(B$6:$B345)+1,B345+1,"")</f>
        <v/>
      </c>
      <c r="C346" s="674" t="str">
        <f t="shared" ca="1" si="14"/>
        <v/>
      </c>
      <c r="D346" s="675" t="str">
        <f t="shared" ca="1" si="15"/>
        <v/>
      </c>
      <c r="E346" s="676" t="str">
        <f ca="1">IF(B346&gt;HReal,"",IFERROR(VLOOKUP(B346,Flts!$G$14:$I$349,3,FALSE),E345))</f>
        <v/>
      </c>
      <c r="F346" s="744"/>
      <c r="G346" s="687"/>
      <c r="H346" s="687"/>
      <c r="I346" s="687"/>
      <c r="J346" s="745"/>
      <c r="K346" s="744"/>
      <c r="L346" s="687"/>
      <c r="M346" s="687"/>
      <c r="N346" s="687"/>
      <c r="O346" s="745"/>
      <c r="P346" s="744"/>
      <c r="Q346" s="687"/>
      <c r="R346" s="687"/>
      <c r="S346" s="687"/>
      <c r="T346" s="745"/>
      <c r="U346" s="744"/>
      <c r="V346" s="687"/>
      <c r="W346" s="687"/>
      <c r="X346" s="687"/>
      <c r="Y346" s="745"/>
      <c r="Z346" s="744"/>
      <c r="AA346" s="687"/>
      <c r="AB346" s="687"/>
      <c r="AC346" s="687"/>
      <c r="AD346" s="745"/>
      <c r="AE346" s="744"/>
      <c r="AF346" s="687"/>
      <c r="AG346" s="687"/>
      <c r="AH346" s="687"/>
      <c r="AI346" s="745"/>
    </row>
    <row r="347" spans="2:35" ht="25.05" customHeight="1" x14ac:dyDescent="0.3">
      <c r="B347" s="673" t="str">
        <f ca="1">IF(HReal&gt;=MAX(B$6:$B346)+1,B346+1,"")</f>
        <v/>
      </c>
      <c r="C347" s="674" t="str">
        <f t="shared" ca="1" si="14"/>
        <v/>
      </c>
      <c r="D347" s="675" t="str">
        <f t="shared" ca="1" si="15"/>
        <v/>
      </c>
      <c r="E347" s="676" t="str">
        <f ca="1">IF(B347&gt;HReal,"",IFERROR(VLOOKUP(B347,Flts!$G$14:$I$349,3,FALSE),E346))</f>
        <v/>
      </c>
      <c r="F347" s="744"/>
      <c r="G347" s="687"/>
      <c r="H347" s="687"/>
      <c r="I347" s="687"/>
      <c r="J347" s="745"/>
      <c r="K347" s="744"/>
      <c r="L347" s="687"/>
      <c r="M347" s="687"/>
      <c r="N347" s="687"/>
      <c r="O347" s="745"/>
      <c r="P347" s="744"/>
      <c r="Q347" s="687"/>
      <c r="R347" s="687"/>
      <c r="S347" s="687"/>
      <c r="T347" s="745"/>
      <c r="U347" s="744"/>
      <c r="V347" s="687"/>
      <c r="W347" s="687"/>
      <c r="X347" s="687"/>
      <c r="Y347" s="745"/>
      <c r="Z347" s="744"/>
      <c r="AA347" s="687"/>
      <c r="AB347" s="687"/>
      <c r="AC347" s="687"/>
      <c r="AD347" s="745"/>
      <c r="AE347" s="744"/>
      <c r="AF347" s="687"/>
      <c r="AG347" s="687"/>
      <c r="AH347" s="687"/>
      <c r="AI347" s="745"/>
    </row>
    <row r="348" spans="2:35" ht="25.05" customHeight="1" x14ac:dyDescent="0.3">
      <c r="B348" s="673" t="str">
        <f ca="1">IF(HReal&gt;=MAX(B$6:$B347)+1,B347+1,"")</f>
        <v/>
      </c>
      <c r="C348" s="674" t="str">
        <f t="shared" ca="1" si="14"/>
        <v/>
      </c>
      <c r="D348" s="675" t="str">
        <f t="shared" ca="1" si="15"/>
        <v/>
      </c>
      <c r="E348" s="676" t="str">
        <f ca="1">IF(B348&gt;HReal,"",IFERROR(VLOOKUP(B348,Flts!$G$14:$I$349,3,FALSE),E347))</f>
        <v/>
      </c>
      <c r="F348" s="744"/>
      <c r="G348" s="687"/>
      <c r="H348" s="687"/>
      <c r="I348" s="687"/>
      <c r="J348" s="745"/>
      <c r="K348" s="744"/>
      <c r="L348" s="687"/>
      <c r="M348" s="687"/>
      <c r="N348" s="687"/>
      <c r="O348" s="745"/>
      <c r="P348" s="744"/>
      <c r="Q348" s="687"/>
      <c r="R348" s="687"/>
      <c r="S348" s="687"/>
      <c r="T348" s="745"/>
      <c r="U348" s="744"/>
      <c r="V348" s="687"/>
      <c r="W348" s="687"/>
      <c r="X348" s="687"/>
      <c r="Y348" s="745"/>
      <c r="Z348" s="744"/>
      <c r="AA348" s="687"/>
      <c r="AB348" s="687"/>
      <c r="AC348" s="687"/>
      <c r="AD348" s="745"/>
      <c r="AE348" s="744"/>
      <c r="AF348" s="687"/>
      <c r="AG348" s="687"/>
      <c r="AH348" s="687"/>
      <c r="AI348" s="745"/>
    </row>
    <row r="349" spans="2:35" ht="25.05" customHeight="1" x14ac:dyDescent="0.3">
      <c r="B349" s="673" t="str">
        <f ca="1">IF(HReal&gt;=MAX(B$6:$B348)+1,B348+1,"")</f>
        <v/>
      </c>
      <c r="C349" s="674" t="str">
        <f t="shared" ca="1" si="14"/>
        <v/>
      </c>
      <c r="D349" s="675" t="str">
        <f t="shared" ca="1" si="15"/>
        <v/>
      </c>
      <c r="E349" s="676" t="str">
        <f ca="1">IF(B349&gt;HReal,"",IFERROR(VLOOKUP(B349,Flts!$G$14:$I$349,3,FALSE),E348))</f>
        <v/>
      </c>
      <c r="F349" s="744"/>
      <c r="G349" s="687"/>
      <c r="H349" s="687"/>
      <c r="I349" s="687"/>
      <c r="J349" s="745"/>
      <c r="K349" s="744"/>
      <c r="L349" s="687"/>
      <c r="M349" s="687"/>
      <c r="N349" s="687"/>
      <c r="O349" s="745"/>
      <c r="P349" s="744"/>
      <c r="Q349" s="687"/>
      <c r="R349" s="687"/>
      <c r="S349" s="687"/>
      <c r="T349" s="745"/>
      <c r="U349" s="744"/>
      <c r="V349" s="687"/>
      <c r="W349" s="687"/>
      <c r="X349" s="687"/>
      <c r="Y349" s="745"/>
      <c r="Z349" s="744"/>
      <c r="AA349" s="687"/>
      <c r="AB349" s="687"/>
      <c r="AC349" s="687"/>
      <c r="AD349" s="745"/>
      <c r="AE349" s="744"/>
      <c r="AF349" s="687"/>
      <c r="AG349" s="687"/>
      <c r="AH349" s="687"/>
      <c r="AI349" s="745"/>
    </row>
    <row r="350" spans="2:35" ht="25.05" customHeight="1" x14ac:dyDescent="0.3">
      <c r="B350" s="673" t="str">
        <f ca="1">IF(HReal&gt;=MAX(B$6:$B349)+1,B349+1,"")</f>
        <v/>
      </c>
      <c r="C350" s="674" t="str">
        <f t="shared" ca="1" si="14"/>
        <v/>
      </c>
      <c r="D350" s="675" t="str">
        <f t="shared" ca="1" si="15"/>
        <v/>
      </c>
      <c r="E350" s="676" t="str">
        <f ca="1">IF(B350&gt;HReal,"",IFERROR(VLOOKUP(B350,Flts!$G$14:$I$349,3,FALSE),E349))</f>
        <v/>
      </c>
      <c r="F350" s="744"/>
      <c r="G350" s="687"/>
      <c r="H350" s="687"/>
      <c r="I350" s="687"/>
      <c r="J350" s="745"/>
      <c r="K350" s="744"/>
      <c r="L350" s="687"/>
      <c r="M350" s="687"/>
      <c r="N350" s="687"/>
      <c r="O350" s="745"/>
      <c r="P350" s="744"/>
      <c r="Q350" s="687"/>
      <c r="R350" s="687"/>
      <c r="S350" s="687"/>
      <c r="T350" s="745"/>
      <c r="U350" s="744"/>
      <c r="V350" s="687"/>
      <c r="W350" s="687"/>
      <c r="X350" s="687"/>
      <c r="Y350" s="745"/>
      <c r="Z350" s="744"/>
      <c r="AA350" s="687"/>
      <c r="AB350" s="687"/>
      <c r="AC350" s="687"/>
      <c r="AD350" s="745"/>
      <c r="AE350" s="744"/>
      <c r="AF350" s="687"/>
      <c r="AG350" s="687"/>
      <c r="AH350" s="687"/>
      <c r="AI350" s="745"/>
    </row>
    <row r="351" spans="2:35" ht="25.05" customHeight="1" x14ac:dyDescent="0.3">
      <c r="B351" s="673" t="str">
        <f ca="1">IF(HReal&gt;=MAX(B$6:$B350)+1,B350+1,"")</f>
        <v/>
      </c>
      <c r="C351" s="674" t="str">
        <f t="shared" ca="1" si="14"/>
        <v/>
      </c>
      <c r="D351" s="675" t="str">
        <f t="shared" ca="1" si="15"/>
        <v/>
      </c>
      <c r="E351" s="676" t="str">
        <f ca="1">IF(B351&gt;HReal,"",IFERROR(VLOOKUP(B351,Flts!$G$14:$I$349,3,FALSE),E350))</f>
        <v/>
      </c>
      <c r="F351" s="744"/>
      <c r="G351" s="687"/>
      <c r="H351" s="687"/>
      <c r="I351" s="687"/>
      <c r="J351" s="745"/>
      <c r="K351" s="744"/>
      <c r="L351" s="687"/>
      <c r="M351" s="687"/>
      <c r="N351" s="687"/>
      <c r="O351" s="745"/>
      <c r="P351" s="744"/>
      <c r="Q351" s="687"/>
      <c r="R351" s="687"/>
      <c r="S351" s="687"/>
      <c r="T351" s="745"/>
      <c r="U351" s="744"/>
      <c r="V351" s="687"/>
      <c r="W351" s="687"/>
      <c r="X351" s="687"/>
      <c r="Y351" s="745"/>
      <c r="Z351" s="744"/>
      <c r="AA351" s="687"/>
      <c r="AB351" s="687"/>
      <c r="AC351" s="687"/>
      <c r="AD351" s="745"/>
      <c r="AE351" s="744"/>
      <c r="AF351" s="687"/>
      <c r="AG351" s="687"/>
      <c r="AH351" s="687"/>
      <c r="AI351" s="745"/>
    </row>
    <row r="352" spans="2:35" ht="25.05" customHeight="1" x14ac:dyDescent="0.3">
      <c r="B352" s="673" t="str">
        <f ca="1">IF(HReal&gt;=MAX(B$6:$B351)+1,B351+1,"")</f>
        <v/>
      </c>
      <c r="C352" s="674" t="str">
        <f t="shared" ca="1" si="14"/>
        <v/>
      </c>
      <c r="D352" s="675" t="str">
        <f t="shared" ca="1" si="15"/>
        <v/>
      </c>
      <c r="E352" s="676" t="str">
        <f ca="1">IF(B352&gt;HReal,"",IFERROR(VLOOKUP(B352,Flts!$G$14:$I$349,3,FALSE),E351))</f>
        <v/>
      </c>
      <c r="F352" s="744"/>
      <c r="G352" s="687"/>
      <c r="H352" s="687"/>
      <c r="I352" s="687"/>
      <c r="J352" s="745"/>
      <c r="K352" s="744"/>
      <c r="L352" s="687"/>
      <c r="M352" s="687"/>
      <c r="N352" s="687"/>
      <c r="O352" s="745"/>
      <c r="P352" s="744"/>
      <c r="Q352" s="687"/>
      <c r="R352" s="687"/>
      <c r="S352" s="687"/>
      <c r="T352" s="745"/>
      <c r="U352" s="744"/>
      <c r="V352" s="687"/>
      <c r="W352" s="687"/>
      <c r="X352" s="687"/>
      <c r="Y352" s="745"/>
      <c r="Z352" s="744"/>
      <c r="AA352" s="687"/>
      <c r="AB352" s="687"/>
      <c r="AC352" s="687"/>
      <c r="AD352" s="745"/>
      <c r="AE352" s="744"/>
      <c r="AF352" s="687"/>
      <c r="AG352" s="687"/>
      <c r="AH352" s="687"/>
      <c r="AI352" s="745"/>
    </row>
    <row r="353" spans="2:35" ht="25.05" customHeight="1" x14ac:dyDescent="0.3">
      <c r="B353" s="673" t="str">
        <f ca="1">IF(HReal&gt;=MAX(B$6:$B352)+1,B352+1,"")</f>
        <v/>
      </c>
      <c r="C353" s="674" t="str">
        <f t="shared" ca="1" si="14"/>
        <v/>
      </c>
      <c r="D353" s="675" t="str">
        <f t="shared" ca="1" si="15"/>
        <v/>
      </c>
      <c r="E353" s="676" t="str">
        <f ca="1">IF(B353&gt;HReal,"",IFERROR(VLOOKUP(B353,Flts!$G$14:$I$349,3,FALSE),E352))</f>
        <v/>
      </c>
      <c r="F353" s="744"/>
      <c r="G353" s="687"/>
      <c r="H353" s="687"/>
      <c r="I353" s="687"/>
      <c r="J353" s="745"/>
      <c r="K353" s="744"/>
      <c r="L353" s="687"/>
      <c r="M353" s="687"/>
      <c r="N353" s="687"/>
      <c r="O353" s="745"/>
      <c r="P353" s="744"/>
      <c r="Q353" s="687"/>
      <c r="R353" s="687"/>
      <c r="S353" s="687"/>
      <c r="T353" s="745"/>
      <c r="U353" s="744"/>
      <c r="V353" s="687"/>
      <c r="W353" s="687"/>
      <c r="X353" s="687"/>
      <c r="Y353" s="745"/>
      <c r="Z353" s="744"/>
      <c r="AA353" s="687"/>
      <c r="AB353" s="687"/>
      <c r="AC353" s="687"/>
      <c r="AD353" s="745"/>
      <c r="AE353" s="744"/>
      <c r="AF353" s="687"/>
      <c r="AG353" s="687"/>
      <c r="AH353" s="687"/>
      <c r="AI353" s="745"/>
    </row>
    <row r="354" spans="2:35" ht="25.05" customHeight="1" x14ac:dyDescent="0.3">
      <c r="B354" s="673" t="str">
        <f ca="1">IF(HReal&gt;=MAX(B$6:$B353)+1,B353+1,"")</f>
        <v/>
      </c>
      <c r="C354" s="674" t="str">
        <f t="shared" ca="1" si="14"/>
        <v/>
      </c>
      <c r="D354" s="675" t="str">
        <f t="shared" ca="1" si="15"/>
        <v/>
      </c>
      <c r="E354" s="676" t="str">
        <f ca="1">IF(B354&gt;HReal,"",IFERROR(VLOOKUP(B354,Flts!$G$14:$I$349,3,FALSE),E353))</f>
        <v/>
      </c>
      <c r="F354" s="744"/>
      <c r="G354" s="687"/>
      <c r="H354" s="687"/>
      <c r="I354" s="687"/>
      <c r="J354" s="745"/>
      <c r="K354" s="744"/>
      <c r="L354" s="687"/>
      <c r="M354" s="687"/>
      <c r="N354" s="687"/>
      <c r="O354" s="745"/>
      <c r="P354" s="744"/>
      <c r="Q354" s="687"/>
      <c r="R354" s="687"/>
      <c r="S354" s="687"/>
      <c r="T354" s="745"/>
      <c r="U354" s="744"/>
      <c r="V354" s="687"/>
      <c r="W354" s="687"/>
      <c r="X354" s="687"/>
      <c r="Y354" s="745"/>
      <c r="Z354" s="744"/>
      <c r="AA354" s="687"/>
      <c r="AB354" s="687"/>
      <c r="AC354" s="687"/>
      <c r="AD354" s="745"/>
      <c r="AE354" s="744"/>
      <c r="AF354" s="687"/>
      <c r="AG354" s="687"/>
      <c r="AH354" s="687"/>
      <c r="AI354" s="745"/>
    </row>
    <row r="355" spans="2:35" ht="25.05" customHeight="1" x14ac:dyDescent="0.3">
      <c r="B355" s="673" t="str">
        <f ca="1">IF(HReal&gt;=MAX(B$6:$B354)+1,B354+1,"")</f>
        <v/>
      </c>
      <c r="C355" s="674" t="str">
        <f t="shared" ca="1" si="14"/>
        <v/>
      </c>
      <c r="D355" s="675" t="str">
        <f t="shared" ca="1" si="15"/>
        <v/>
      </c>
      <c r="E355" s="676" t="str">
        <f ca="1">IF(B355&gt;HReal,"",IFERROR(VLOOKUP(B355,Flts!$G$14:$I$349,3,FALSE),E354))</f>
        <v/>
      </c>
      <c r="F355" s="744"/>
      <c r="G355" s="687"/>
      <c r="H355" s="687"/>
      <c r="I355" s="687"/>
      <c r="J355" s="745"/>
      <c r="K355" s="744"/>
      <c r="L355" s="687"/>
      <c r="M355" s="687"/>
      <c r="N355" s="687"/>
      <c r="O355" s="745"/>
      <c r="P355" s="744"/>
      <c r="Q355" s="687"/>
      <c r="R355" s="687"/>
      <c r="S355" s="687"/>
      <c r="T355" s="745"/>
      <c r="U355" s="744"/>
      <c r="V355" s="687"/>
      <c r="W355" s="687"/>
      <c r="X355" s="687"/>
      <c r="Y355" s="745"/>
      <c r="Z355" s="744"/>
      <c r="AA355" s="687"/>
      <c r="AB355" s="687"/>
      <c r="AC355" s="687"/>
      <c r="AD355" s="745"/>
      <c r="AE355" s="744"/>
      <c r="AF355" s="687"/>
      <c r="AG355" s="687"/>
      <c r="AH355" s="687"/>
      <c r="AI355" s="745"/>
    </row>
    <row r="356" spans="2:35" ht="25.05" customHeight="1" x14ac:dyDescent="0.3">
      <c r="B356" s="673" t="str">
        <f ca="1">IF(HReal&gt;=MAX(B$6:$B355)+1,B355+1,"")</f>
        <v/>
      </c>
      <c r="C356" s="674" t="str">
        <f t="shared" ca="1" si="14"/>
        <v/>
      </c>
      <c r="D356" s="675" t="str">
        <f t="shared" ca="1" si="15"/>
        <v/>
      </c>
      <c r="E356" s="676" t="str">
        <f ca="1">IF(B356&gt;HReal,"",IFERROR(VLOOKUP(B356,Flts!$G$14:$I$349,3,FALSE),E355))</f>
        <v/>
      </c>
      <c r="F356" s="744"/>
      <c r="G356" s="687"/>
      <c r="H356" s="687"/>
      <c r="I356" s="687"/>
      <c r="J356" s="745"/>
      <c r="K356" s="744"/>
      <c r="L356" s="687"/>
      <c r="M356" s="687"/>
      <c r="N356" s="687"/>
      <c r="O356" s="745"/>
      <c r="P356" s="744"/>
      <c r="Q356" s="687"/>
      <c r="R356" s="687"/>
      <c r="S356" s="687"/>
      <c r="T356" s="745"/>
      <c r="U356" s="744"/>
      <c r="V356" s="687"/>
      <c r="W356" s="687"/>
      <c r="X356" s="687"/>
      <c r="Y356" s="745"/>
      <c r="Z356" s="744"/>
      <c r="AA356" s="687"/>
      <c r="AB356" s="687"/>
      <c r="AC356" s="687"/>
      <c r="AD356" s="745"/>
      <c r="AE356" s="744"/>
      <c r="AF356" s="687"/>
      <c r="AG356" s="687"/>
      <c r="AH356" s="687"/>
      <c r="AI356" s="745"/>
    </row>
    <row r="357" spans="2:35" ht="25.05" customHeight="1" x14ac:dyDescent="0.3">
      <c r="B357" s="673" t="str">
        <f ca="1">IF(HReal&gt;=MAX(B$6:$B356)+1,B356+1,"")</f>
        <v/>
      </c>
      <c r="C357" s="674" t="str">
        <f t="shared" ca="1" si="14"/>
        <v/>
      </c>
      <c r="D357" s="675" t="str">
        <f t="shared" ca="1" si="15"/>
        <v/>
      </c>
      <c r="E357" s="676" t="str">
        <f ca="1">IF(B357&gt;HReal,"",IFERROR(VLOOKUP(B357,Flts!$G$14:$I$349,3,FALSE),E356))</f>
        <v/>
      </c>
      <c r="F357" s="744"/>
      <c r="G357" s="687"/>
      <c r="H357" s="687"/>
      <c r="I357" s="687"/>
      <c r="J357" s="745"/>
      <c r="K357" s="744"/>
      <c r="L357" s="687"/>
      <c r="M357" s="687"/>
      <c r="N357" s="687"/>
      <c r="O357" s="745"/>
      <c r="P357" s="744"/>
      <c r="Q357" s="687"/>
      <c r="R357" s="687"/>
      <c r="S357" s="687"/>
      <c r="T357" s="745"/>
      <c r="U357" s="744"/>
      <c r="V357" s="687"/>
      <c r="W357" s="687"/>
      <c r="X357" s="687"/>
      <c r="Y357" s="745"/>
      <c r="Z357" s="744"/>
      <c r="AA357" s="687"/>
      <c r="AB357" s="687"/>
      <c r="AC357" s="687"/>
      <c r="AD357" s="745"/>
      <c r="AE357" s="744"/>
      <c r="AF357" s="687"/>
      <c r="AG357" s="687"/>
      <c r="AH357" s="687"/>
      <c r="AI357" s="745"/>
    </row>
    <row r="358" spans="2:35" ht="25.05" customHeight="1" x14ac:dyDescent="0.3">
      <c r="B358" s="673" t="str">
        <f ca="1">IF(HReal&gt;=MAX(B$6:$B357)+1,B357+1,"")</f>
        <v/>
      </c>
      <c r="C358" s="674" t="str">
        <f t="shared" ca="1" si="14"/>
        <v/>
      </c>
      <c r="D358" s="675" t="str">
        <f t="shared" ca="1" si="15"/>
        <v/>
      </c>
      <c r="E358" s="676" t="str">
        <f ca="1">IF(B358&gt;HReal,"",IFERROR(VLOOKUP(B358,Flts!$G$14:$I$349,3,FALSE),E357))</f>
        <v/>
      </c>
      <c r="F358" s="744"/>
      <c r="G358" s="687"/>
      <c r="H358" s="687"/>
      <c r="I358" s="687"/>
      <c r="J358" s="745"/>
      <c r="K358" s="744"/>
      <c r="L358" s="687"/>
      <c r="M358" s="687"/>
      <c r="N358" s="687"/>
      <c r="O358" s="745"/>
      <c r="P358" s="744"/>
      <c r="Q358" s="687"/>
      <c r="R358" s="687"/>
      <c r="S358" s="687"/>
      <c r="T358" s="745"/>
      <c r="U358" s="744"/>
      <c r="V358" s="687"/>
      <c r="W358" s="687"/>
      <c r="X358" s="687"/>
      <c r="Y358" s="745"/>
      <c r="Z358" s="744"/>
      <c r="AA358" s="687"/>
      <c r="AB358" s="687"/>
      <c r="AC358" s="687"/>
      <c r="AD358" s="745"/>
      <c r="AE358" s="744"/>
      <c r="AF358" s="687"/>
      <c r="AG358" s="687"/>
      <c r="AH358" s="687"/>
      <c r="AI358" s="745"/>
    </row>
    <row r="359" spans="2:35" ht="25.05" customHeight="1" x14ac:dyDescent="0.3">
      <c r="B359" s="673" t="str">
        <f ca="1">IF(HReal&gt;=MAX(B$6:$B358)+1,B358+1,"")</f>
        <v/>
      </c>
      <c r="C359" s="674" t="str">
        <f t="shared" ref="C359:C364" ca="1" si="16">IF(AND(B359&lt;HReal,E358&lt;&gt;E359),IFERROR(MID(Vdias,(WEEKDAY(E359,2)-1)*3+1,3),C358),"")</f>
        <v/>
      </c>
      <c r="D359" s="675" t="str">
        <f t="shared" ref="D359:D364" ca="1" si="17">E359</f>
        <v/>
      </c>
      <c r="E359" s="676" t="str">
        <f ca="1">IF(B359&gt;HReal,"",IFERROR(VLOOKUP(B359,Flts!$G$14:$I$349,3,FALSE),E358))</f>
        <v/>
      </c>
      <c r="F359" s="744"/>
      <c r="G359" s="687"/>
      <c r="H359" s="687"/>
      <c r="I359" s="687"/>
      <c r="J359" s="745"/>
      <c r="K359" s="744"/>
      <c r="L359" s="687"/>
      <c r="M359" s="687"/>
      <c r="N359" s="687"/>
      <c r="O359" s="745"/>
      <c r="P359" s="744"/>
      <c r="Q359" s="687"/>
      <c r="R359" s="687"/>
      <c r="S359" s="687"/>
      <c r="T359" s="745"/>
      <c r="U359" s="744"/>
      <c r="V359" s="687"/>
      <c r="W359" s="687"/>
      <c r="X359" s="687"/>
      <c r="Y359" s="745"/>
      <c r="Z359" s="744"/>
      <c r="AA359" s="687"/>
      <c r="AB359" s="687"/>
      <c r="AC359" s="687"/>
      <c r="AD359" s="745"/>
      <c r="AE359" s="744"/>
      <c r="AF359" s="687"/>
      <c r="AG359" s="687"/>
      <c r="AH359" s="687"/>
      <c r="AI359" s="745"/>
    </row>
    <row r="360" spans="2:35" ht="25.05" customHeight="1" x14ac:dyDescent="0.3">
      <c r="B360" s="673" t="str">
        <f ca="1">IF(HReal&gt;=MAX(B$6:$B359)+1,B359+1,"")</f>
        <v/>
      </c>
      <c r="C360" s="674" t="str">
        <f t="shared" ca="1" si="16"/>
        <v/>
      </c>
      <c r="D360" s="675" t="str">
        <f t="shared" ca="1" si="17"/>
        <v/>
      </c>
      <c r="E360" s="676" t="str">
        <f ca="1">IF(B360&gt;HReal,"",IFERROR(VLOOKUP(B360,Flts!$G$14:$I$349,3,FALSE),E359))</f>
        <v/>
      </c>
      <c r="F360" s="744"/>
      <c r="G360" s="687"/>
      <c r="H360" s="687"/>
      <c r="I360" s="687"/>
      <c r="J360" s="745"/>
      <c r="K360" s="744"/>
      <c r="L360" s="687"/>
      <c r="M360" s="687"/>
      <c r="N360" s="687"/>
      <c r="O360" s="745"/>
      <c r="P360" s="744"/>
      <c r="Q360" s="687"/>
      <c r="R360" s="687"/>
      <c r="S360" s="687"/>
      <c r="T360" s="745"/>
      <c r="U360" s="744"/>
      <c r="V360" s="687"/>
      <c r="W360" s="687"/>
      <c r="X360" s="687"/>
      <c r="Y360" s="745"/>
      <c r="Z360" s="744"/>
      <c r="AA360" s="687"/>
      <c r="AB360" s="687"/>
      <c r="AC360" s="687"/>
      <c r="AD360" s="745"/>
      <c r="AE360" s="744"/>
      <c r="AF360" s="687"/>
      <c r="AG360" s="687"/>
      <c r="AH360" s="687"/>
      <c r="AI360" s="745"/>
    </row>
    <row r="361" spans="2:35" ht="25.05" customHeight="1" x14ac:dyDescent="0.3">
      <c r="B361" s="673" t="str">
        <f ca="1">IF(HReal&gt;=MAX(B$6:$B360)+1,B360+1,"")</f>
        <v/>
      </c>
      <c r="C361" s="674" t="str">
        <f t="shared" ca="1" si="16"/>
        <v/>
      </c>
      <c r="D361" s="675" t="str">
        <f t="shared" ca="1" si="17"/>
        <v/>
      </c>
      <c r="E361" s="676" t="str">
        <f ca="1">IF(B361&gt;HReal,"",IFERROR(VLOOKUP(B361,Flts!$G$14:$I$349,3,FALSE),E360))</f>
        <v/>
      </c>
      <c r="F361" s="744"/>
      <c r="G361" s="687"/>
      <c r="H361" s="687"/>
      <c r="I361" s="687"/>
      <c r="J361" s="745"/>
      <c r="K361" s="744"/>
      <c r="L361" s="687"/>
      <c r="M361" s="687"/>
      <c r="N361" s="687"/>
      <c r="O361" s="745"/>
      <c r="P361" s="744"/>
      <c r="Q361" s="687"/>
      <c r="R361" s="687"/>
      <c r="S361" s="687"/>
      <c r="T361" s="745"/>
      <c r="U361" s="744"/>
      <c r="V361" s="687"/>
      <c r="W361" s="687"/>
      <c r="X361" s="687"/>
      <c r="Y361" s="745"/>
      <c r="Z361" s="744"/>
      <c r="AA361" s="687"/>
      <c r="AB361" s="687"/>
      <c r="AC361" s="687"/>
      <c r="AD361" s="745"/>
      <c r="AE361" s="744"/>
      <c r="AF361" s="687"/>
      <c r="AG361" s="687"/>
      <c r="AH361" s="687"/>
      <c r="AI361" s="745"/>
    </row>
    <row r="362" spans="2:35" ht="25.05" customHeight="1" x14ac:dyDescent="0.3">
      <c r="B362" s="673" t="str">
        <f ca="1">IF(HReal&gt;=MAX(B$6:$B361)+1,B361+1,"")</f>
        <v/>
      </c>
      <c r="C362" s="674" t="str">
        <f t="shared" ca="1" si="16"/>
        <v/>
      </c>
      <c r="D362" s="675" t="str">
        <f t="shared" ca="1" si="17"/>
        <v/>
      </c>
      <c r="E362" s="676" t="str">
        <f ca="1">IF(B362&gt;HReal,"",IFERROR(VLOOKUP(B362,Flts!$G$14:$I$349,3,FALSE),E361))</f>
        <v/>
      </c>
      <c r="F362" s="744"/>
      <c r="G362" s="687"/>
      <c r="H362" s="687"/>
      <c r="I362" s="687"/>
      <c r="J362" s="745"/>
      <c r="K362" s="744"/>
      <c r="L362" s="687"/>
      <c r="M362" s="687"/>
      <c r="N362" s="687"/>
      <c r="O362" s="745"/>
      <c r="P362" s="744"/>
      <c r="Q362" s="687"/>
      <c r="R362" s="687"/>
      <c r="S362" s="687"/>
      <c r="T362" s="745"/>
      <c r="U362" s="744"/>
      <c r="V362" s="687"/>
      <c r="W362" s="687"/>
      <c r="X362" s="687"/>
      <c r="Y362" s="745"/>
      <c r="Z362" s="744"/>
      <c r="AA362" s="687"/>
      <c r="AB362" s="687"/>
      <c r="AC362" s="687"/>
      <c r="AD362" s="745"/>
      <c r="AE362" s="744"/>
      <c r="AF362" s="687"/>
      <c r="AG362" s="687"/>
      <c r="AH362" s="687"/>
      <c r="AI362" s="745"/>
    </row>
    <row r="363" spans="2:35" ht="25.05" customHeight="1" x14ac:dyDescent="0.3">
      <c r="B363" s="673" t="str">
        <f ca="1">IF(HReal&gt;=MAX(B$6:$B362)+1,B362+1,"")</f>
        <v/>
      </c>
      <c r="C363" s="674" t="str">
        <f t="shared" ca="1" si="16"/>
        <v/>
      </c>
      <c r="D363" s="675" t="str">
        <f t="shared" ca="1" si="17"/>
        <v/>
      </c>
      <c r="E363" s="676" t="str">
        <f ca="1">IF(B363&gt;HReal,"",IFERROR(VLOOKUP(B363,Flts!$G$14:$I$349,3,FALSE),E362))</f>
        <v/>
      </c>
      <c r="F363" s="744"/>
      <c r="G363" s="687"/>
      <c r="H363" s="687"/>
      <c r="I363" s="687"/>
      <c r="J363" s="745"/>
      <c r="K363" s="744"/>
      <c r="L363" s="687"/>
      <c r="M363" s="687"/>
      <c r="N363" s="687"/>
      <c r="O363" s="745"/>
      <c r="P363" s="744"/>
      <c r="Q363" s="687"/>
      <c r="R363" s="687"/>
      <c r="S363" s="687"/>
      <c r="T363" s="745"/>
      <c r="U363" s="744"/>
      <c r="V363" s="687"/>
      <c r="W363" s="687"/>
      <c r="X363" s="687"/>
      <c r="Y363" s="745"/>
      <c r="Z363" s="744"/>
      <c r="AA363" s="687"/>
      <c r="AB363" s="687"/>
      <c r="AC363" s="687"/>
      <c r="AD363" s="745"/>
      <c r="AE363" s="744"/>
      <c r="AF363" s="687"/>
      <c r="AG363" s="687"/>
      <c r="AH363" s="687"/>
      <c r="AI363" s="745"/>
    </row>
    <row r="364" spans="2:35" ht="25.05" customHeight="1" x14ac:dyDescent="0.3">
      <c r="B364" s="673" t="str">
        <f ca="1">IF(HReal&gt;=MAX(B$6:$B363)+1,B363+1,"")</f>
        <v/>
      </c>
      <c r="C364" s="674" t="str">
        <f t="shared" ca="1" si="16"/>
        <v/>
      </c>
      <c r="D364" s="675" t="str">
        <f t="shared" ca="1" si="17"/>
        <v/>
      </c>
      <c r="E364" s="676" t="str">
        <f ca="1">IF(B364&gt;HReal,"",IFERROR(VLOOKUP(B364,Flts!$G$14:$I$349,3,FALSE),E363))</f>
        <v/>
      </c>
      <c r="F364" s="744"/>
      <c r="G364" s="687"/>
      <c r="H364" s="687"/>
      <c r="I364" s="687"/>
      <c r="J364" s="745"/>
      <c r="K364" s="744"/>
      <c r="L364" s="687"/>
      <c r="M364" s="687"/>
      <c r="N364" s="687"/>
      <c r="O364" s="745"/>
      <c r="P364" s="744"/>
      <c r="Q364" s="687"/>
      <c r="R364" s="687"/>
      <c r="S364" s="687"/>
      <c r="T364" s="745"/>
      <c r="U364" s="744"/>
      <c r="V364" s="687"/>
      <c r="W364" s="687"/>
      <c r="X364" s="687"/>
      <c r="Y364" s="745"/>
      <c r="Z364" s="744"/>
      <c r="AA364" s="687"/>
      <c r="AB364" s="687"/>
      <c r="AC364" s="687"/>
      <c r="AD364" s="745"/>
      <c r="AE364" s="744"/>
      <c r="AF364" s="687"/>
      <c r="AG364" s="687"/>
      <c r="AH364" s="687"/>
      <c r="AI364" s="745"/>
    </row>
    <row r="365" spans="2:35" ht="25.05" customHeight="1" x14ac:dyDescent="0.3">
      <c r="B365" s="399"/>
      <c r="C365" s="399"/>
      <c r="D365" s="399"/>
      <c r="E365" s="399"/>
    </row>
    <row r="366" spans="2:35" ht="25.05" customHeight="1" x14ac:dyDescent="0.3">
      <c r="B366" s="399"/>
      <c r="C366" s="399"/>
      <c r="D366" s="399"/>
      <c r="E366" s="399"/>
    </row>
    <row r="367" spans="2:35" ht="25.05" customHeight="1" x14ac:dyDescent="0.3">
      <c r="B367" s="399"/>
      <c r="C367" s="399"/>
      <c r="D367" s="399"/>
      <c r="E367" s="399"/>
    </row>
    <row r="368" spans="2:35" ht="25.05" customHeight="1" x14ac:dyDescent="0.3">
      <c r="B368" s="399"/>
      <c r="C368" s="399"/>
      <c r="D368" s="399"/>
      <c r="E368" s="399"/>
    </row>
    <row r="369" spans="2:5" ht="25.05" customHeight="1" x14ac:dyDescent="0.3">
      <c r="B369" s="399"/>
      <c r="C369" s="399"/>
      <c r="D369" s="399"/>
      <c r="E369" s="399"/>
    </row>
    <row r="370" spans="2:5" ht="25.05" customHeight="1" x14ac:dyDescent="0.3">
      <c r="B370" s="399"/>
      <c r="C370" s="399"/>
      <c r="D370" s="399"/>
      <c r="E370" s="399"/>
    </row>
    <row r="371" spans="2:5" ht="25.05" customHeight="1" x14ac:dyDescent="0.3">
      <c r="B371" s="399"/>
      <c r="C371" s="399"/>
      <c r="D371" s="399"/>
      <c r="E371" s="399"/>
    </row>
    <row r="372" spans="2:5" ht="25.05" customHeight="1" x14ac:dyDescent="0.3">
      <c r="B372" s="399"/>
      <c r="C372" s="399"/>
      <c r="D372" s="399"/>
      <c r="E372" s="399"/>
    </row>
    <row r="373" spans="2:5" ht="25.05" customHeight="1" x14ac:dyDescent="0.3">
      <c r="B373" s="399"/>
      <c r="C373" s="399"/>
      <c r="D373" s="399"/>
      <c r="E373" s="399"/>
    </row>
    <row r="374" spans="2:5" ht="25.05" customHeight="1" x14ac:dyDescent="0.3">
      <c r="B374" s="399"/>
      <c r="C374" s="399"/>
      <c r="D374" s="399"/>
      <c r="E374" s="399"/>
    </row>
    <row r="375" spans="2:5" ht="25.05" customHeight="1" x14ac:dyDescent="0.3">
      <c r="B375" s="399"/>
      <c r="C375" s="399"/>
      <c r="D375" s="399"/>
      <c r="E375" s="399"/>
    </row>
    <row r="376" spans="2:5" ht="25.05" customHeight="1" x14ac:dyDescent="0.3">
      <c r="B376" s="399"/>
      <c r="C376" s="399"/>
      <c r="D376" s="399"/>
      <c r="E376" s="399"/>
    </row>
    <row r="377" spans="2:5" ht="25.05" customHeight="1" x14ac:dyDescent="0.3">
      <c r="B377" s="399"/>
      <c r="C377" s="399"/>
      <c r="D377" s="399"/>
      <c r="E377" s="399"/>
    </row>
    <row r="378" spans="2:5" ht="25.05" customHeight="1" x14ac:dyDescent="0.3">
      <c r="B378" s="399"/>
      <c r="C378" s="399"/>
      <c r="D378" s="399"/>
      <c r="E378" s="399"/>
    </row>
    <row r="379" spans="2:5" ht="25.05" customHeight="1" x14ac:dyDescent="0.3">
      <c r="B379" s="399"/>
      <c r="C379" s="399"/>
      <c r="D379" s="399"/>
      <c r="E379" s="399"/>
    </row>
    <row r="380" spans="2:5" ht="25.05" customHeight="1" x14ac:dyDescent="0.3">
      <c r="B380" s="399"/>
      <c r="C380" s="399"/>
      <c r="D380" s="399"/>
      <c r="E380" s="399"/>
    </row>
    <row r="381" spans="2:5" ht="25.05" customHeight="1" x14ac:dyDescent="0.3">
      <c r="B381" s="399"/>
      <c r="C381" s="399"/>
      <c r="D381" s="399"/>
      <c r="E381" s="399"/>
    </row>
    <row r="382" spans="2:5" ht="25.05" customHeight="1" x14ac:dyDescent="0.3">
      <c r="B382" s="399"/>
      <c r="C382" s="399"/>
      <c r="D382" s="399"/>
      <c r="E382" s="399"/>
    </row>
    <row r="383" spans="2:5" ht="25.05" customHeight="1" x14ac:dyDescent="0.3">
      <c r="B383" s="399"/>
      <c r="C383" s="399"/>
      <c r="D383" s="399"/>
      <c r="E383" s="399"/>
    </row>
    <row r="384" spans="2:5" ht="25.05" customHeight="1" x14ac:dyDescent="0.3">
      <c r="B384" s="399"/>
      <c r="C384" s="399"/>
      <c r="D384" s="399"/>
      <c r="E384" s="399"/>
    </row>
    <row r="385" spans="2:5" ht="25.05" customHeight="1" x14ac:dyDescent="0.3">
      <c r="B385" s="399"/>
      <c r="C385" s="399"/>
      <c r="D385" s="399"/>
      <c r="E385" s="399"/>
    </row>
    <row r="386" spans="2:5" ht="25.05" customHeight="1" x14ac:dyDescent="0.3">
      <c r="B386" s="399"/>
      <c r="C386" s="399"/>
      <c r="D386" s="399"/>
      <c r="E386" s="399"/>
    </row>
    <row r="387" spans="2:5" ht="25.05" customHeight="1" x14ac:dyDescent="0.3">
      <c r="B387" s="399"/>
      <c r="C387" s="399"/>
      <c r="D387" s="399"/>
      <c r="E387" s="399"/>
    </row>
    <row r="388" spans="2:5" ht="25.05" customHeight="1" x14ac:dyDescent="0.3">
      <c r="B388" s="399"/>
      <c r="C388" s="399"/>
      <c r="D388" s="399"/>
      <c r="E388" s="399"/>
    </row>
    <row r="389" spans="2:5" ht="25.05" customHeight="1" x14ac:dyDescent="0.3">
      <c r="B389" s="399"/>
      <c r="C389" s="399"/>
      <c r="D389" s="399"/>
      <c r="E389" s="399"/>
    </row>
    <row r="390" spans="2:5" ht="25.05" customHeight="1" x14ac:dyDescent="0.3">
      <c r="B390" s="399"/>
      <c r="C390" s="399"/>
      <c r="D390" s="399"/>
      <c r="E390" s="399"/>
    </row>
    <row r="391" spans="2:5" ht="25.05" customHeight="1" x14ac:dyDescent="0.3">
      <c r="B391" s="399"/>
      <c r="C391" s="399"/>
      <c r="D391" s="399"/>
      <c r="E391" s="399"/>
    </row>
    <row r="392" spans="2:5" ht="25.05" customHeight="1" x14ac:dyDescent="0.3">
      <c r="B392" s="399"/>
      <c r="C392" s="399"/>
      <c r="D392" s="399"/>
      <c r="E392" s="399"/>
    </row>
    <row r="393" spans="2:5" ht="25.05" customHeight="1" x14ac:dyDescent="0.3">
      <c r="B393" s="399"/>
      <c r="C393" s="399"/>
      <c r="D393" s="399"/>
      <c r="E393" s="399"/>
    </row>
    <row r="394" spans="2:5" ht="25.05" customHeight="1" x14ac:dyDescent="0.3">
      <c r="B394" s="399"/>
      <c r="C394" s="399"/>
      <c r="D394" s="399"/>
      <c r="E394" s="399"/>
    </row>
    <row r="395" spans="2:5" ht="25.05" customHeight="1" x14ac:dyDescent="0.3">
      <c r="B395" s="399"/>
      <c r="C395" s="399"/>
      <c r="D395" s="399"/>
      <c r="E395" s="399"/>
    </row>
    <row r="396" spans="2:5" ht="25.05" customHeight="1" x14ac:dyDescent="0.3">
      <c r="B396" s="399"/>
      <c r="C396" s="399"/>
      <c r="D396" s="399"/>
      <c r="E396" s="399"/>
    </row>
    <row r="397" spans="2:5" ht="25.05" customHeight="1" x14ac:dyDescent="0.3">
      <c r="B397" s="399"/>
      <c r="C397" s="399"/>
      <c r="D397" s="399"/>
      <c r="E397" s="399"/>
    </row>
    <row r="398" spans="2:5" ht="25.05" customHeight="1" x14ac:dyDescent="0.3">
      <c r="B398" s="399"/>
      <c r="C398" s="399"/>
      <c r="D398" s="399"/>
      <c r="E398" s="399"/>
    </row>
    <row r="399" spans="2:5" ht="25.05" customHeight="1" x14ac:dyDescent="0.3">
      <c r="B399" s="399"/>
      <c r="C399" s="399"/>
      <c r="D399" s="399"/>
      <c r="E399" s="399"/>
    </row>
    <row r="400" spans="2:5" ht="25.05" customHeight="1" x14ac:dyDescent="0.3">
      <c r="B400" s="399"/>
      <c r="C400" s="399"/>
      <c r="D400" s="399"/>
      <c r="E400" s="399"/>
    </row>
    <row r="401" spans="2:5" ht="25.05" customHeight="1" x14ac:dyDescent="0.3">
      <c r="B401" s="399"/>
      <c r="C401" s="399"/>
      <c r="D401" s="399"/>
      <c r="E401" s="399"/>
    </row>
    <row r="402" spans="2:5" ht="25.05" customHeight="1" x14ac:dyDescent="0.3">
      <c r="B402" s="399"/>
      <c r="C402" s="399"/>
      <c r="D402" s="399"/>
      <c r="E402" s="399"/>
    </row>
    <row r="403" spans="2:5" ht="25.05" customHeight="1" x14ac:dyDescent="0.3">
      <c r="B403" s="399"/>
      <c r="C403" s="399"/>
      <c r="D403" s="399"/>
      <c r="E403" s="399"/>
    </row>
    <row r="404" spans="2:5" ht="25.05" customHeight="1" x14ac:dyDescent="0.3">
      <c r="B404" s="399"/>
      <c r="C404" s="399"/>
      <c r="D404" s="399"/>
      <c r="E404" s="399"/>
    </row>
    <row r="405" spans="2:5" ht="25.05" customHeight="1" x14ac:dyDescent="0.3">
      <c r="B405" s="399"/>
      <c r="C405" s="399"/>
      <c r="D405" s="399"/>
      <c r="E405" s="399"/>
    </row>
    <row r="406" spans="2:5" ht="25.05" customHeight="1" x14ac:dyDescent="0.3">
      <c r="B406" s="399"/>
      <c r="C406" s="399"/>
      <c r="D406" s="399"/>
      <c r="E406" s="399"/>
    </row>
    <row r="407" spans="2:5" ht="25.05" customHeight="1" x14ac:dyDescent="0.3">
      <c r="B407" s="399"/>
      <c r="C407" s="399"/>
      <c r="D407" s="399"/>
      <c r="E407" s="399"/>
    </row>
    <row r="408" spans="2:5" ht="25.05" customHeight="1" x14ac:dyDescent="0.3">
      <c r="B408" s="399"/>
      <c r="C408" s="399"/>
      <c r="D408" s="399"/>
      <c r="E408" s="399"/>
    </row>
    <row r="409" spans="2:5" ht="25.05" customHeight="1" x14ac:dyDescent="0.3">
      <c r="B409" s="399"/>
      <c r="C409" s="399"/>
      <c r="D409" s="399"/>
      <c r="E409" s="399"/>
    </row>
    <row r="410" spans="2:5" ht="25.05" customHeight="1" x14ac:dyDescent="0.3">
      <c r="B410" s="399"/>
      <c r="C410" s="399"/>
      <c r="D410" s="399"/>
      <c r="E410" s="399"/>
    </row>
    <row r="411" spans="2:5" ht="25.05" customHeight="1" x14ac:dyDescent="0.3">
      <c r="B411" s="399"/>
      <c r="C411" s="399"/>
      <c r="D411" s="399"/>
      <c r="E411" s="399"/>
    </row>
    <row r="412" spans="2:5" ht="25.05" customHeight="1" x14ac:dyDescent="0.3">
      <c r="B412" s="399"/>
      <c r="C412" s="399"/>
      <c r="D412" s="399"/>
      <c r="E412" s="399"/>
    </row>
    <row r="413" spans="2:5" ht="25.05" customHeight="1" x14ac:dyDescent="0.3">
      <c r="B413" s="399"/>
      <c r="C413" s="399"/>
      <c r="D413" s="399"/>
      <c r="E413" s="399"/>
    </row>
    <row r="414" spans="2:5" ht="25.05" customHeight="1" x14ac:dyDescent="0.3">
      <c r="B414" s="399"/>
      <c r="C414" s="399"/>
      <c r="D414" s="399"/>
      <c r="E414" s="399"/>
    </row>
    <row r="415" spans="2:5" ht="25.05" customHeight="1" x14ac:dyDescent="0.3">
      <c r="B415" s="399"/>
      <c r="C415" s="399"/>
      <c r="D415" s="399"/>
      <c r="E415" s="399"/>
    </row>
    <row r="416" spans="2:5" ht="25.05" customHeight="1" x14ac:dyDescent="0.3">
      <c r="B416" s="399"/>
      <c r="C416" s="399"/>
      <c r="D416" s="399"/>
      <c r="E416" s="399"/>
    </row>
    <row r="417" spans="2:5" ht="25.05" customHeight="1" x14ac:dyDescent="0.3">
      <c r="B417" s="399"/>
      <c r="C417" s="399"/>
      <c r="D417" s="399"/>
      <c r="E417" s="399"/>
    </row>
    <row r="418" spans="2:5" ht="25.05" customHeight="1" x14ac:dyDescent="0.3">
      <c r="B418" s="399"/>
      <c r="C418" s="399"/>
      <c r="D418" s="399"/>
      <c r="E418" s="399"/>
    </row>
    <row r="419" spans="2:5" ht="25.05" customHeight="1" x14ac:dyDescent="0.3">
      <c r="B419" s="399"/>
      <c r="C419" s="399"/>
      <c r="D419" s="399"/>
      <c r="E419" s="399"/>
    </row>
    <row r="420" spans="2:5" ht="25.05" customHeight="1" x14ac:dyDescent="0.3">
      <c r="B420" s="399"/>
      <c r="C420" s="399"/>
      <c r="D420" s="399"/>
      <c r="E420" s="399"/>
    </row>
    <row r="421" spans="2:5" ht="25.05" customHeight="1" x14ac:dyDescent="0.3">
      <c r="B421" s="399"/>
      <c r="C421" s="399"/>
      <c r="D421" s="399"/>
      <c r="E421" s="399"/>
    </row>
    <row r="422" spans="2:5" ht="25.05" customHeight="1" x14ac:dyDescent="0.3">
      <c r="B422" s="399"/>
      <c r="C422" s="399"/>
      <c r="D422" s="399"/>
      <c r="E422" s="399"/>
    </row>
    <row r="423" spans="2:5" ht="25.05" customHeight="1" x14ac:dyDescent="0.3">
      <c r="B423" s="399"/>
      <c r="C423" s="399"/>
      <c r="D423" s="399"/>
      <c r="E423" s="399"/>
    </row>
    <row r="424" spans="2:5" ht="25.05" customHeight="1" x14ac:dyDescent="0.3">
      <c r="B424" s="399"/>
      <c r="C424" s="399"/>
      <c r="D424" s="399"/>
      <c r="E424" s="399"/>
    </row>
    <row r="425" spans="2:5" ht="25.05" customHeight="1" x14ac:dyDescent="0.3">
      <c r="B425" s="399"/>
      <c r="C425" s="399"/>
      <c r="D425" s="399"/>
      <c r="E425" s="399"/>
    </row>
    <row r="426" spans="2:5" ht="25.05" customHeight="1" x14ac:dyDescent="0.3">
      <c r="B426" s="399"/>
      <c r="C426" s="399"/>
      <c r="D426" s="399"/>
      <c r="E426" s="399"/>
    </row>
    <row r="427" spans="2:5" ht="25.05" customHeight="1" x14ac:dyDescent="0.3">
      <c r="B427" s="399"/>
      <c r="C427" s="399"/>
      <c r="D427" s="399"/>
      <c r="E427" s="399"/>
    </row>
    <row r="428" spans="2:5" ht="25.05" customHeight="1" x14ac:dyDescent="0.3">
      <c r="B428" s="399"/>
      <c r="C428" s="399"/>
      <c r="D428" s="399"/>
      <c r="E428" s="399"/>
    </row>
    <row r="429" spans="2:5" ht="25.05" customHeight="1" x14ac:dyDescent="0.3">
      <c r="B429" s="399"/>
      <c r="C429" s="399"/>
      <c r="D429" s="399"/>
      <c r="E429" s="399"/>
    </row>
    <row r="430" spans="2:5" ht="25.05" customHeight="1" x14ac:dyDescent="0.3">
      <c r="B430" s="399"/>
      <c r="C430" s="399"/>
      <c r="D430" s="399"/>
      <c r="E430" s="399"/>
    </row>
    <row r="431" spans="2:5" ht="25.05" customHeight="1" x14ac:dyDescent="0.3">
      <c r="B431" s="399"/>
      <c r="C431" s="399"/>
      <c r="D431" s="399"/>
      <c r="E431" s="399"/>
    </row>
    <row r="432" spans="2:5" ht="25.05" customHeight="1" x14ac:dyDescent="0.3">
      <c r="B432" s="399"/>
      <c r="C432" s="399"/>
      <c r="D432" s="399"/>
      <c r="E432" s="399"/>
    </row>
    <row r="433" spans="2:5" ht="25.05" customHeight="1" x14ac:dyDescent="0.3">
      <c r="B433" s="399"/>
      <c r="C433" s="399"/>
      <c r="D433" s="399"/>
      <c r="E433" s="399"/>
    </row>
    <row r="434" spans="2:5" ht="25.05" customHeight="1" x14ac:dyDescent="0.3">
      <c r="B434" s="399"/>
      <c r="C434" s="399"/>
      <c r="D434" s="399"/>
      <c r="E434" s="399"/>
    </row>
    <row r="435" spans="2:5" ht="25.05" customHeight="1" x14ac:dyDescent="0.3">
      <c r="B435" s="399"/>
      <c r="C435" s="399"/>
      <c r="D435" s="399"/>
      <c r="E435" s="399"/>
    </row>
    <row r="436" spans="2:5" ht="25.05" customHeight="1" x14ac:dyDescent="0.3">
      <c r="B436" s="399"/>
      <c r="C436" s="399"/>
      <c r="D436" s="399"/>
      <c r="E436" s="399"/>
    </row>
    <row r="437" spans="2:5" ht="25.05" customHeight="1" x14ac:dyDescent="0.3">
      <c r="B437" s="399"/>
      <c r="C437" s="399"/>
      <c r="D437" s="399"/>
      <c r="E437" s="399"/>
    </row>
    <row r="438" spans="2:5" ht="25.05" customHeight="1" x14ac:dyDescent="0.3">
      <c r="B438" s="399"/>
      <c r="C438" s="399"/>
      <c r="D438" s="399"/>
      <c r="E438" s="399"/>
    </row>
    <row r="439" spans="2:5" ht="25.05" customHeight="1" x14ac:dyDescent="0.3">
      <c r="B439" s="399"/>
      <c r="C439" s="399"/>
      <c r="D439" s="399"/>
      <c r="E439" s="399"/>
    </row>
    <row r="440" spans="2:5" ht="25.05" customHeight="1" x14ac:dyDescent="0.3">
      <c r="B440" s="399"/>
      <c r="C440" s="399"/>
      <c r="D440" s="399"/>
      <c r="E440" s="399"/>
    </row>
    <row r="441" spans="2:5" ht="25.05" customHeight="1" x14ac:dyDescent="0.3">
      <c r="B441" s="399"/>
      <c r="C441" s="399"/>
      <c r="D441" s="399"/>
      <c r="E441" s="399"/>
    </row>
    <row r="442" spans="2:5" ht="25.05" customHeight="1" x14ac:dyDescent="0.3">
      <c r="B442" s="399"/>
      <c r="C442" s="399"/>
      <c r="D442" s="399"/>
      <c r="E442" s="399"/>
    </row>
    <row r="443" spans="2:5" ht="25.05" customHeight="1" x14ac:dyDescent="0.3">
      <c r="B443" s="399"/>
      <c r="C443" s="399"/>
      <c r="D443" s="399"/>
      <c r="E443" s="399"/>
    </row>
    <row r="444" spans="2:5" ht="25.05" customHeight="1" x14ac:dyDescent="0.3">
      <c r="B444" s="399"/>
      <c r="C444" s="399"/>
      <c r="D444" s="399"/>
      <c r="E444" s="399"/>
    </row>
    <row r="445" spans="2:5" ht="25.05" customHeight="1" x14ac:dyDescent="0.3">
      <c r="B445" s="399"/>
      <c r="C445" s="399"/>
      <c r="D445" s="399"/>
      <c r="E445" s="399"/>
    </row>
    <row r="446" spans="2:5" ht="25.05" customHeight="1" x14ac:dyDescent="0.3">
      <c r="B446" s="399"/>
      <c r="C446" s="399"/>
      <c r="D446" s="399"/>
      <c r="E446" s="399"/>
    </row>
    <row r="447" spans="2:5" ht="25.05" customHeight="1" x14ac:dyDescent="0.3">
      <c r="B447" s="399"/>
      <c r="C447" s="399"/>
      <c r="D447" s="399"/>
      <c r="E447" s="399"/>
    </row>
    <row r="448" spans="2:5" ht="25.05" customHeight="1" x14ac:dyDescent="0.3">
      <c r="B448" s="399"/>
      <c r="C448" s="399"/>
      <c r="D448" s="399"/>
      <c r="E448" s="399"/>
    </row>
    <row r="449" spans="2:5" ht="25.05" customHeight="1" x14ac:dyDescent="0.3">
      <c r="B449" s="399"/>
      <c r="C449" s="399"/>
      <c r="D449" s="399"/>
      <c r="E449" s="399"/>
    </row>
    <row r="450" spans="2:5" ht="25.05" customHeight="1" x14ac:dyDescent="0.3">
      <c r="B450" s="399"/>
      <c r="C450" s="399"/>
      <c r="D450" s="399"/>
      <c r="E450" s="399"/>
    </row>
    <row r="451" spans="2:5" ht="25.05" customHeight="1" x14ac:dyDescent="0.3">
      <c r="B451" s="399"/>
      <c r="C451" s="399"/>
      <c r="D451" s="399"/>
      <c r="E451" s="399"/>
    </row>
    <row r="452" spans="2:5" ht="25.05" customHeight="1" x14ac:dyDescent="0.3">
      <c r="B452" s="399"/>
      <c r="C452" s="399"/>
      <c r="D452" s="399"/>
      <c r="E452" s="399"/>
    </row>
    <row r="453" spans="2:5" ht="25.05" customHeight="1" x14ac:dyDescent="0.3">
      <c r="B453" s="399"/>
      <c r="C453" s="399"/>
      <c r="D453" s="399"/>
      <c r="E453" s="399"/>
    </row>
    <row r="454" spans="2:5" ht="25.05" customHeight="1" x14ac:dyDescent="0.3">
      <c r="B454" s="399"/>
      <c r="C454" s="399"/>
      <c r="D454" s="399"/>
      <c r="E454" s="399"/>
    </row>
    <row r="455" spans="2:5" ht="25.05" customHeight="1" x14ac:dyDescent="0.3">
      <c r="B455" s="399"/>
      <c r="C455" s="399"/>
      <c r="D455" s="399"/>
      <c r="E455" s="399"/>
    </row>
    <row r="456" spans="2:5" ht="25.05" customHeight="1" x14ac:dyDescent="0.3">
      <c r="B456" s="399"/>
      <c r="C456" s="399"/>
      <c r="D456" s="399"/>
      <c r="E456" s="399"/>
    </row>
    <row r="457" spans="2:5" ht="25.05" customHeight="1" x14ac:dyDescent="0.3">
      <c r="B457" s="399"/>
      <c r="C457" s="399"/>
      <c r="D457" s="399"/>
      <c r="E457" s="399"/>
    </row>
    <row r="458" spans="2:5" ht="25.05" customHeight="1" x14ac:dyDescent="0.3">
      <c r="B458" s="399"/>
      <c r="C458" s="399"/>
      <c r="D458" s="399"/>
      <c r="E458" s="399"/>
    </row>
    <row r="459" spans="2:5" ht="25.05" customHeight="1" x14ac:dyDescent="0.3">
      <c r="B459" s="399"/>
      <c r="C459" s="399"/>
      <c r="D459" s="399"/>
      <c r="E459" s="399"/>
    </row>
    <row r="460" spans="2:5" ht="25.05" customHeight="1" x14ac:dyDescent="0.3">
      <c r="B460" s="399"/>
      <c r="C460" s="399"/>
      <c r="D460" s="399"/>
      <c r="E460" s="399"/>
    </row>
    <row r="461" spans="2:5" ht="25.05" customHeight="1" x14ac:dyDescent="0.3">
      <c r="B461" s="399"/>
      <c r="C461" s="399"/>
      <c r="D461" s="399"/>
      <c r="E461" s="399"/>
    </row>
    <row r="462" spans="2:5" ht="25.05" customHeight="1" x14ac:dyDescent="0.3">
      <c r="B462" s="399"/>
      <c r="C462" s="399"/>
      <c r="D462" s="399"/>
      <c r="E462" s="399"/>
    </row>
    <row r="463" spans="2:5" ht="25.05" customHeight="1" x14ac:dyDescent="0.3">
      <c r="B463" s="399"/>
      <c r="C463" s="399"/>
      <c r="D463" s="399"/>
      <c r="E463" s="399"/>
    </row>
    <row r="464" spans="2:5" ht="25.05" customHeight="1" x14ac:dyDescent="0.3">
      <c r="B464" s="399"/>
      <c r="C464" s="399"/>
      <c r="D464" s="399"/>
      <c r="E464" s="399"/>
    </row>
    <row r="465" spans="2:5" ht="25.05" customHeight="1" x14ac:dyDescent="0.3">
      <c r="B465" s="399"/>
      <c r="C465" s="399"/>
      <c r="D465" s="399"/>
      <c r="E465" s="399"/>
    </row>
    <row r="466" spans="2:5" ht="25.05" customHeight="1" x14ac:dyDescent="0.3">
      <c r="B466" s="399"/>
      <c r="C466" s="399"/>
      <c r="D466" s="399"/>
      <c r="E466" s="399"/>
    </row>
    <row r="467" spans="2:5" ht="25.05" customHeight="1" x14ac:dyDescent="0.3">
      <c r="B467" s="399"/>
      <c r="C467" s="399"/>
      <c r="D467" s="399"/>
      <c r="E467" s="399"/>
    </row>
    <row r="468" spans="2:5" ht="25.05" customHeight="1" x14ac:dyDescent="0.3">
      <c r="B468" s="399"/>
      <c r="C468" s="399"/>
      <c r="D468" s="399"/>
      <c r="E468" s="399"/>
    </row>
    <row r="469" spans="2:5" ht="25.05" customHeight="1" x14ac:dyDescent="0.3">
      <c r="B469" s="399"/>
      <c r="C469" s="399"/>
      <c r="D469" s="399"/>
      <c r="E469" s="399"/>
    </row>
    <row r="470" spans="2:5" ht="25.05" customHeight="1" x14ac:dyDescent="0.3">
      <c r="B470" s="399"/>
      <c r="C470" s="399"/>
      <c r="D470" s="399"/>
      <c r="E470" s="399"/>
    </row>
    <row r="471" spans="2:5" ht="25.05" customHeight="1" x14ac:dyDescent="0.3">
      <c r="B471" s="399"/>
      <c r="C471" s="399"/>
      <c r="D471" s="399"/>
      <c r="E471" s="399"/>
    </row>
    <row r="472" spans="2:5" ht="25.05" customHeight="1" x14ac:dyDescent="0.3">
      <c r="B472" s="399"/>
      <c r="C472" s="399"/>
      <c r="D472" s="399"/>
      <c r="E472" s="399"/>
    </row>
    <row r="473" spans="2:5" ht="25.05" customHeight="1" x14ac:dyDescent="0.3">
      <c r="B473" s="399"/>
      <c r="C473" s="399"/>
      <c r="D473" s="399"/>
      <c r="E473" s="399"/>
    </row>
    <row r="474" spans="2:5" ht="25.05" customHeight="1" x14ac:dyDescent="0.3">
      <c r="B474" s="399"/>
      <c r="C474" s="399"/>
      <c r="D474" s="399"/>
      <c r="E474" s="399"/>
    </row>
    <row r="475" spans="2:5" ht="25.05" customHeight="1" x14ac:dyDescent="0.3">
      <c r="B475" s="399"/>
      <c r="C475" s="399"/>
      <c r="D475" s="399"/>
      <c r="E475" s="399"/>
    </row>
    <row r="476" spans="2:5" ht="25.05" customHeight="1" x14ac:dyDescent="0.3">
      <c r="B476" s="399"/>
      <c r="C476" s="399"/>
      <c r="D476" s="399"/>
      <c r="E476" s="399"/>
    </row>
    <row r="477" spans="2:5" ht="25.05" customHeight="1" x14ac:dyDescent="0.3">
      <c r="B477" s="399"/>
      <c r="C477" s="399"/>
      <c r="D477" s="399"/>
      <c r="E477" s="399"/>
    </row>
    <row r="478" spans="2:5" ht="25.05" customHeight="1" x14ac:dyDescent="0.3">
      <c r="B478" s="399"/>
      <c r="C478" s="399"/>
      <c r="D478" s="397"/>
      <c r="E478" s="683"/>
    </row>
    <row r="479" spans="2:5" ht="25.05" customHeight="1" x14ac:dyDescent="0.3">
      <c r="B479" s="397"/>
      <c r="C479" s="397"/>
      <c r="D479" s="397"/>
      <c r="E479" s="402"/>
    </row>
    <row r="480" spans="2:5" ht="25.05" customHeight="1" x14ac:dyDescent="0.3">
      <c r="B480" s="397"/>
      <c r="C480" s="397"/>
      <c r="D480" s="399"/>
      <c r="E480" s="397"/>
    </row>
    <row r="481" spans="2:5" ht="25.05" customHeight="1" x14ac:dyDescent="0.3">
      <c r="B481" s="399"/>
      <c r="C481" s="399"/>
      <c r="D481" s="397"/>
      <c r="E481" s="683"/>
    </row>
    <row r="482" spans="2:5" ht="25.05" customHeight="1" x14ac:dyDescent="0.3">
      <c r="B482" s="397"/>
      <c r="C482" s="397"/>
      <c r="D482" s="397"/>
      <c r="E482" s="402"/>
    </row>
    <row r="483" spans="2:5" ht="25.05" customHeight="1" x14ac:dyDescent="0.3">
      <c r="B483" s="397"/>
      <c r="C483" s="397"/>
      <c r="D483" s="399"/>
      <c r="E483" s="397"/>
    </row>
    <row r="484" spans="2:5" ht="25.05" customHeight="1" x14ac:dyDescent="0.3">
      <c r="B484" s="399"/>
      <c r="C484" s="399"/>
      <c r="D484" s="397"/>
      <c r="E484" s="683"/>
    </row>
    <row r="485" spans="2:5" ht="25.05" customHeight="1" x14ac:dyDescent="0.3">
      <c r="B485" s="397"/>
      <c r="C485" s="397"/>
      <c r="D485" s="397"/>
      <c r="E485" s="402"/>
    </row>
    <row r="486" spans="2:5" ht="25.05" customHeight="1" x14ac:dyDescent="0.3">
      <c r="B486" s="397"/>
      <c r="C486" s="397"/>
      <c r="D486" s="399"/>
      <c r="E486" s="397"/>
    </row>
    <row r="487" spans="2:5" ht="25.05" customHeight="1" x14ac:dyDescent="0.3">
      <c r="B487" s="399"/>
      <c r="C487" s="399"/>
      <c r="D487" s="397"/>
      <c r="E487" s="683"/>
    </row>
    <row r="488" spans="2:5" ht="25.05" customHeight="1" x14ac:dyDescent="0.3">
      <c r="B488" s="397"/>
      <c r="C488" s="397"/>
      <c r="D488" s="397"/>
      <c r="E488" s="402"/>
    </row>
    <row r="489" spans="2:5" ht="25.05" customHeight="1" x14ac:dyDescent="0.3">
      <c r="B489" s="397"/>
      <c r="C489" s="397"/>
      <c r="D489" s="399"/>
      <c r="E489" s="397"/>
    </row>
    <row r="490" spans="2:5" ht="25.05" customHeight="1" x14ac:dyDescent="0.3">
      <c r="B490" s="399"/>
      <c r="C490" s="399"/>
      <c r="D490" s="397"/>
      <c r="E490" s="683"/>
    </row>
    <row r="491" spans="2:5" ht="25.05" customHeight="1" x14ac:dyDescent="0.3">
      <c r="B491" s="397"/>
      <c r="C491" s="397"/>
      <c r="D491" s="397"/>
      <c r="E491" s="402"/>
    </row>
    <row r="492" spans="2:5" ht="25.05" customHeight="1" x14ac:dyDescent="0.3">
      <c r="B492" s="397"/>
      <c r="C492" s="397"/>
      <c r="D492" s="399"/>
      <c r="E492" s="397"/>
    </row>
    <row r="493" spans="2:5" ht="25.05" customHeight="1" x14ac:dyDescent="0.3">
      <c r="B493" s="399"/>
      <c r="C493" s="399"/>
      <c r="D493" s="397"/>
      <c r="E493" s="683"/>
    </row>
    <row r="494" spans="2:5" ht="25.05" customHeight="1" x14ac:dyDescent="0.3">
      <c r="B494" s="397"/>
      <c r="C494" s="397"/>
      <c r="D494" s="397"/>
      <c r="E494" s="402"/>
    </row>
    <row r="495" spans="2:5" ht="25.05" customHeight="1" x14ac:dyDescent="0.3">
      <c r="B495" s="397"/>
      <c r="C495" s="397"/>
      <c r="D495" s="399"/>
      <c r="E495" s="397"/>
    </row>
    <row r="496" spans="2:5" ht="25.05" customHeight="1" x14ac:dyDescent="0.3">
      <c r="B496" s="399"/>
      <c r="C496" s="399"/>
      <c r="D496" s="397"/>
      <c r="E496" s="683"/>
    </row>
    <row r="497" spans="2:5" ht="25.05" customHeight="1" x14ac:dyDescent="0.3">
      <c r="B497" s="397"/>
      <c r="C497" s="397"/>
      <c r="D497" s="397"/>
      <c r="E497" s="402"/>
    </row>
    <row r="498" spans="2:5" ht="25.05" customHeight="1" x14ac:dyDescent="0.3">
      <c r="B498" s="397"/>
      <c r="C498" s="397"/>
      <c r="D498" s="399"/>
      <c r="E498" s="397"/>
    </row>
    <row r="499" spans="2:5" ht="25.05" customHeight="1" x14ac:dyDescent="0.3">
      <c r="B499" s="399"/>
      <c r="C499" s="399"/>
      <c r="D499" s="397"/>
      <c r="E499" s="683"/>
    </row>
    <row r="500" spans="2:5" ht="25.05" customHeight="1" x14ac:dyDescent="0.3">
      <c r="B500" s="397"/>
      <c r="C500" s="397"/>
      <c r="D500" s="397"/>
      <c r="E500" s="402"/>
    </row>
    <row r="501" spans="2:5" ht="25.05" customHeight="1" x14ac:dyDescent="0.3">
      <c r="B501" s="397"/>
      <c r="C501" s="397"/>
      <c r="D501" s="399"/>
      <c r="E501" s="397"/>
    </row>
    <row r="502" spans="2:5" ht="25.05" customHeight="1" x14ac:dyDescent="0.3">
      <c r="B502" s="399"/>
      <c r="C502" s="399"/>
      <c r="D502" s="397"/>
      <c r="E502" s="683"/>
    </row>
    <row r="503" spans="2:5" ht="25.05" customHeight="1" x14ac:dyDescent="0.3">
      <c r="B503" s="397"/>
      <c r="C503" s="397"/>
      <c r="D503" s="397"/>
      <c r="E503" s="402"/>
    </row>
    <row r="504" spans="2:5" ht="25.05" customHeight="1" x14ac:dyDescent="0.3">
      <c r="B504" s="397"/>
      <c r="C504" s="397"/>
      <c r="D504" s="399"/>
      <c r="E504" s="397"/>
    </row>
    <row r="505" spans="2:5" x14ac:dyDescent="0.3">
      <c r="B505" s="399"/>
      <c r="C505" s="399"/>
      <c r="D505" s="397"/>
      <c r="E505" s="683"/>
    </row>
    <row r="506" spans="2:5" x14ac:dyDescent="0.3">
      <c r="B506" s="397"/>
      <c r="C506" s="397"/>
      <c r="D506" s="397"/>
      <c r="E506" s="402"/>
    </row>
    <row r="507" spans="2:5" x14ac:dyDescent="0.3">
      <c r="B507" s="397"/>
      <c r="C507" s="397"/>
      <c r="D507" s="399"/>
      <c r="E507" s="397"/>
    </row>
    <row r="508" spans="2:5" x14ac:dyDescent="0.3">
      <c r="B508" s="399"/>
      <c r="C508" s="399"/>
      <c r="D508" s="397"/>
      <c r="E508" s="683"/>
    </row>
    <row r="509" spans="2:5" x14ac:dyDescent="0.3">
      <c r="B509" s="397"/>
      <c r="C509" s="397"/>
      <c r="D509" s="397"/>
      <c r="E509" s="402"/>
    </row>
    <row r="510" spans="2:5" x14ac:dyDescent="0.3">
      <c r="B510" s="397"/>
      <c r="C510" s="397"/>
      <c r="D510" s="399"/>
      <c r="E510" s="397"/>
    </row>
    <row r="511" spans="2:5" x14ac:dyDescent="0.3">
      <c r="B511" s="399"/>
      <c r="C511" s="399"/>
      <c r="D511" s="397"/>
      <c r="E511" s="683"/>
    </row>
    <row r="512" spans="2:5" x14ac:dyDescent="0.3">
      <c r="B512" s="397"/>
      <c r="C512" s="397"/>
      <c r="D512" s="397"/>
      <c r="E512" s="402"/>
    </row>
    <row r="513" spans="2:5" x14ac:dyDescent="0.3">
      <c r="B513" s="397"/>
      <c r="C513" s="397"/>
      <c r="D513" s="399"/>
      <c r="E513" s="397"/>
    </row>
    <row r="514" spans="2:5" x14ac:dyDescent="0.3">
      <c r="B514" s="399"/>
      <c r="C514" s="399"/>
      <c r="D514" s="397"/>
      <c r="E514" s="683"/>
    </row>
    <row r="515" spans="2:5" x14ac:dyDescent="0.3">
      <c r="B515" s="397"/>
      <c r="C515" s="397"/>
      <c r="D515" s="397"/>
      <c r="E515" s="402"/>
    </row>
    <row r="516" spans="2:5" x14ac:dyDescent="0.3">
      <c r="B516" s="397"/>
      <c r="C516" s="397"/>
      <c r="D516" s="399"/>
      <c r="E516" s="397"/>
    </row>
    <row r="517" spans="2:5" x14ac:dyDescent="0.3">
      <c r="B517" s="399"/>
      <c r="C517" s="399"/>
      <c r="D517" s="397"/>
      <c r="E517" s="683"/>
    </row>
    <row r="518" spans="2:5" x14ac:dyDescent="0.3">
      <c r="B518" s="397"/>
      <c r="C518" s="397"/>
      <c r="D518" s="397"/>
      <c r="E518" s="402"/>
    </row>
    <row r="519" spans="2:5" x14ac:dyDescent="0.3">
      <c r="B519" s="397"/>
      <c r="C519" s="397"/>
      <c r="D519" s="399"/>
      <c r="E519" s="397"/>
    </row>
    <row r="520" spans="2:5" x14ac:dyDescent="0.3">
      <c r="B520" s="399"/>
      <c r="C520" s="399"/>
      <c r="D520" s="397"/>
      <c r="E520" s="683"/>
    </row>
    <row r="521" spans="2:5" x14ac:dyDescent="0.3">
      <c r="B521" s="397"/>
      <c r="C521" s="397"/>
      <c r="D521" s="397"/>
      <c r="E521" s="402"/>
    </row>
    <row r="522" spans="2:5" x14ac:dyDescent="0.3">
      <c r="B522" s="397"/>
      <c r="C522" s="397"/>
      <c r="D522" s="399"/>
      <c r="E522" s="397"/>
    </row>
    <row r="523" spans="2:5" x14ac:dyDescent="0.3">
      <c r="B523" s="399"/>
      <c r="C523" s="399"/>
      <c r="D523" s="397"/>
      <c r="E523" s="683"/>
    </row>
    <row r="524" spans="2:5" x14ac:dyDescent="0.3">
      <c r="B524" s="397"/>
      <c r="C524" s="397"/>
      <c r="D524" s="397"/>
      <c r="E524" s="402"/>
    </row>
    <row r="525" spans="2:5" x14ac:dyDescent="0.3">
      <c r="B525" s="397"/>
      <c r="C525" s="397"/>
      <c r="D525" s="399"/>
      <c r="E525" s="397"/>
    </row>
    <row r="526" spans="2:5" x14ac:dyDescent="0.3">
      <c r="B526" s="399"/>
      <c r="C526" s="399"/>
      <c r="D526" s="397"/>
      <c r="E526" s="683"/>
    </row>
    <row r="527" spans="2:5" x14ac:dyDescent="0.3">
      <c r="B527" s="397"/>
      <c r="C527" s="397"/>
      <c r="D527" s="397"/>
      <c r="E527" s="402"/>
    </row>
    <row r="528" spans="2:5" x14ac:dyDescent="0.3">
      <c r="B528" s="397"/>
      <c r="C528" s="397"/>
      <c r="D528" s="399"/>
      <c r="E528" s="397"/>
    </row>
    <row r="529" spans="2:5" x14ac:dyDescent="0.3">
      <c r="B529" s="399"/>
      <c r="C529" s="399"/>
      <c r="D529" s="397"/>
      <c r="E529" s="683"/>
    </row>
    <row r="530" spans="2:5" x14ac:dyDescent="0.3">
      <c r="B530" s="397"/>
      <c r="C530" s="397"/>
      <c r="D530" s="397"/>
      <c r="E530" s="402"/>
    </row>
    <row r="531" spans="2:5" x14ac:dyDescent="0.3">
      <c r="B531" s="397"/>
      <c r="C531" s="397"/>
      <c r="D531" s="399"/>
      <c r="E531" s="397"/>
    </row>
    <row r="532" spans="2:5" x14ac:dyDescent="0.3">
      <c r="B532" s="399"/>
      <c r="C532" s="399"/>
      <c r="D532" s="397"/>
      <c r="E532" s="683"/>
    </row>
    <row r="533" spans="2:5" x14ac:dyDescent="0.3">
      <c r="B533" s="397"/>
      <c r="C533" s="397"/>
      <c r="D533" s="397"/>
      <c r="E533" s="402"/>
    </row>
    <row r="534" spans="2:5" x14ac:dyDescent="0.3">
      <c r="B534" s="397"/>
      <c r="C534" s="397"/>
      <c r="D534" s="399"/>
      <c r="E534" s="397"/>
    </row>
    <row r="535" spans="2:5" x14ac:dyDescent="0.3">
      <c r="B535" s="399"/>
      <c r="C535" s="399"/>
      <c r="D535" s="397"/>
      <c r="E535" s="683"/>
    </row>
    <row r="536" spans="2:5" x14ac:dyDescent="0.3">
      <c r="B536" s="397"/>
      <c r="C536" s="397"/>
      <c r="D536" s="397"/>
      <c r="E536" s="402"/>
    </row>
    <row r="537" spans="2:5" x14ac:dyDescent="0.3">
      <c r="B537" s="397"/>
      <c r="C537" s="397"/>
      <c r="D537" s="399"/>
      <c r="E537" s="397"/>
    </row>
    <row r="538" spans="2:5" x14ac:dyDescent="0.3">
      <c r="B538" s="399"/>
      <c r="C538" s="399"/>
      <c r="D538" s="397"/>
      <c r="E538" s="683"/>
    </row>
    <row r="539" spans="2:5" x14ac:dyDescent="0.3">
      <c r="B539" s="397"/>
      <c r="C539" s="397"/>
      <c r="D539" s="397"/>
      <c r="E539" s="402"/>
    </row>
    <row r="540" spans="2:5" x14ac:dyDescent="0.3">
      <c r="B540" s="397"/>
      <c r="C540" s="397"/>
      <c r="D540" s="399"/>
      <c r="E540" s="397"/>
    </row>
    <row r="541" spans="2:5" x14ac:dyDescent="0.3">
      <c r="B541" s="399"/>
      <c r="C541" s="399"/>
      <c r="D541" s="397"/>
      <c r="E541" s="683"/>
    </row>
    <row r="542" spans="2:5" x14ac:dyDescent="0.3">
      <c r="B542" s="397"/>
      <c r="C542" s="397"/>
      <c r="D542" s="397"/>
      <c r="E542" s="402"/>
    </row>
    <row r="543" spans="2:5" x14ac:dyDescent="0.3">
      <c r="B543" s="397"/>
      <c r="C543" s="397"/>
      <c r="D543" s="399"/>
      <c r="E543" s="397"/>
    </row>
    <row r="544" spans="2:5" x14ac:dyDescent="0.3">
      <c r="B544" s="399"/>
      <c r="C544" s="399"/>
      <c r="D544" s="397"/>
      <c r="E544" s="683"/>
    </row>
    <row r="545" spans="2:5" x14ac:dyDescent="0.3">
      <c r="B545" s="397"/>
      <c r="C545" s="397"/>
      <c r="D545" s="397"/>
      <c r="E545" s="402"/>
    </row>
    <row r="546" spans="2:5" x14ac:dyDescent="0.3">
      <c r="B546" s="397"/>
      <c r="C546" s="397"/>
      <c r="D546" s="399"/>
      <c r="E546" s="397"/>
    </row>
    <row r="547" spans="2:5" x14ac:dyDescent="0.3">
      <c r="B547" s="399"/>
      <c r="C547" s="399"/>
      <c r="D547" s="397"/>
      <c r="E547" s="683"/>
    </row>
    <row r="548" spans="2:5" x14ac:dyDescent="0.3">
      <c r="B548" s="397"/>
      <c r="C548" s="397"/>
      <c r="D548" s="397"/>
      <c r="E548" s="402"/>
    </row>
    <row r="549" spans="2:5" x14ac:dyDescent="0.3">
      <c r="B549" s="397"/>
      <c r="C549" s="397"/>
      <c r="D549" s="399"/>
      <c r="E549" s="397"/>
    </row>
    <row r="550" spans="2:5" x14ac:dyDescent="0.3">
      <c r="B550" s="399"/>
      <c r="C550" s="399"/>
      <c r="D550" s="397"/>
      <c r="E550" s="683"/>
    </row>
    <row r="551" spans="2:5" x14ac:dyDescent="0.3">
      <c r="B551" s="397"/>
      <c r="C551" s="397"/>
      <c r="D551" s="397"/>
      <c r="E551" s="402"/>
    </row>
    <row r="552" spans="2:5" x14ac:dyDescent="0.3">
      <c r="B552" s="397"/>
      <c r="C552" s="397"/>
      <c r="D552" s="399"/>
      <c r="E552" s="397"/>
    </row>
    <row r="553" spans="2:5" x14ac:dyDescent="0.3">
      <c r="B553" s="399"/>
      <c r="C553" s="399"/>
      <c r="D553" s="397"/>
      <c r="E553" s="683"/>
    </row>
    <row r="554" spans="2:5" x14ac:dyDescent="0.3">
      <c r="B554" s="397"/>
      <c r="C554" s="397"/>
      <c r="D554" s="397"/>
      <c r="E554" s="402"/>
    </row>
    <row r="555" spans="2:5" x14ac:dyDescent="0.3">
      <c r="B555" s="397"/>
      <c r="C555" s="397"/>
      <c r="D555" s="399"/>
      <c r="E555" s="397"/>
    </row>
    <row r="556" spans="2:5" x14ac:dyDescent="0.3">
      <c r="B556" s="399"/>
      <c r="C556" s="399"/>
      <c r="D556" s="397"/>
      <c r="E556" s="683"/>
    </row>
    <row r="557" spans="2:5" x14ac:dyDescent="0.3">
      <c r="B557" s="397"/>
      <c r="C557" s="397"/>
      <c r="D557" s="397"/>
      <c r="E557" s="402"/>
    </row>
    <row r="558" spans="2:5" x14ac:dyDescent="0.3">
      <c r="B558" s="397"/>
      <c r="C558" s="397"/>
      <c r="D558" s="399"/>
      <c r="E558" s="397"/>
    </row>
    <row r="559" spans="2:5" x14ac:dyDescent="0.3">
      <c r="B559" s="399"/>
      <c r="C559" s="399"/>
      <c r="D559" s="397"/>
      <c r="E559" s="683"/>
    </row>
    <row r="560" spans="2:5" x14ac:dyDescent="0.3">
      <c r="B560" s="397"/>
      <c r="C560" s="397"/>
      <c r="D560" s="397"/>
      <c r="E560" s="402"/>
    </row>
    <row r="561" spans="2:5" x14ac:dyDescent="0.3">
      <c r="B561" s="397"/>
      <c r="C561" s="397"/>
      <c r="D561" s="399"/>
      <c r="E561" s="397"/>
    </row>
    <row r="562" spans="2:5" x14ac:dyDescent="0.3">
      <c r="B562" s="399"/>
      <c r="C562" s="399"/>
      <c r="D562" s="397"/>
      <c r="E562" s="683"/>
    </row>
    <row r="563" spans="2:5" x14ac:dyDescent="0.3">
      <c r="B563" s="397"/>
      <c r="C563" s="397"/>
      <c r="D563" s="397"/>
      <c r="E563" s="402"/>
    </row>
    <row r="564" spans="2:5" x14ac:dyDescent="0.3">
      <c r="B564" s="397"/>
      <c r="C564" s="397"/>
      <c r="D564" s="399"/>
      <c r="E564" s="397"/>
    </row>
    <row r="565" spans="2:5" x14ac:dyDescent="0.3">
      <c r="B565" s="399"/>
      <c r="C565" s="399"/>
      <c r="D565" s="397"/>
      <c r="E565" s="683"/>
    </row>
    <row r="566" spans="2:5" x14ac:dyDescent="0.3">
      <c r="B566" s="397"/>
      <c r="C566" s="397"/>
      <c r="D566" s="397"/>
      <c r="E566" s="402"/>
    </row>
    <row r="567" spans="2:5" x14ac:dyDescent="0.3">
      <c r="B567" s="397"/>
      <c r="C567" s="397"/>
      <c r="D567" s="399"/>
      <c r="E567" s="397"/>
    </row>
    <row r="568" spans="2:5" x14ac:dyDescent="0.3">
      <c r="B568" s="399"/>
      <c r="C568" s="399"/>
      <c r="D568" s="397"/>
      <c r="E568" s="683"/>
    </row>
    <row r="569" spans="2:5" x14ac:dyDescent="0.3">
      <c r="B569" s="397"/>
      <c r="C569" s="397"/>
      <c r="D569" s="397"/>
      <c r="E569" s="402"/>
    </row>
    <row r="570" spans="2:5" x14ac:dyDescent="0.3">
      <c r="B570" s="397"/>
      <c r="C570" s="397"/>
      <c r="D570" s="399"/>
      <c r="E570" s="397"/>
    </row>
    <row r="571" spans="2:5" x14ac:dyDescent="0.3">
      <c r="B571" s="399"/>
      <c r="C571" s="399"/>
      <c r="D571" s="397"/>
      <c r="E571" s="683"/>
    </row>
    <row r="572" spans="2:5" x14ac:dyDescent="0.3">
      <c r="B572" s="397"/>
      <c r="C572" s="397"/>
      <c r="D572" s="397"/>
      <c r="E572" s="402"/>
    </row>
    <row r="573" spans="2:5" x14ac:dyDescent="0.3">
      <c r="B573" s="397"/>
      <c r="C573" s="397"/>
      <c r="D573" s="399"/>
      <c r="E573" s="397"/>
    </row>
    <row r="574" spans="2:5" x14ac:dyDescent="0.3">
      <c r="B574" s="399"/>
      <c r="C574" s="399"/>
      <c r="D574" s="397"/>
      <c r="E574" s="683"/>
    </row>
    <row r="575" spans="2:5" x14ac:dyDescent="0.3">
      <c r="B575" s="397"/>
      <c r="C575" s="397"/>
      <c r="D575" s="397"/>
      <c r="E575" s="402"/>
    </row>
    <row r="576" spans="2:5" x14ac:dyDescent="0.3">
      <c r="B576" s="397"/>
      <c r="C576" s="397"/>
      <c r="D576" s="399"/>
      <c r="E576" s="397"/>
    </row>
    <row r="577" spans="2:5" x14ac:dyDescent="0.3">
      <c r="B577" s="399"/>
      <c r="C577" s="399"/>
      <c r="D577" s="397"/>
      <c r="E577" s="683"/>
    </row>
    <row r="578" spans="2:5" x14ac:dyDescent="0.3">
      <c r="B578" s="397"/>
      <c r="C578" s="397"/>
      <c r="D578" s="397"/>
      <c r="E578" s="402"/>
    </row>
    <row r="579" spans="2:5" x14ac:dyDescent="0.3">
      <c r="B579" s="397"/>
      <c r="C579" s="397"/>
      <c r="D579" s="399"/>
      <c r="E579" s="397"/>
    </row>
    <row r="580" spans="2:5" x14ac:dyDescent="0.3">
      <c r="B580" s="399"/>
      <c r="C580" s="399"/>
      <c r="D580" s="397"/>
      <c r="E580" s="683"/>
    </row>
    <row r="581" spans="2:5" x14ac:dyDescent="0.3">
      <c r="B581" s="397"/>
      <c r="C581" s="397"/>
      <c r="D581" s="397"/>
      <c r="E581" s="402"/>
    </row>
    <row r="582" spans="2:5" x14ac:dyDescent="0.3">
      <c r="B582" s="397"/>
      <c r="C582" s="397"/>
      <c r="D582" s="399"/>
      <c r="E582" s="397"/>
    </row>
    <row r="583" spans="2:5" x14ac:dyDescent="0.3">
      <c r="B583" s="399"/>
      <c r="C583" s="399"/>
      <c r="D583" s="397"/>
      <c r="E583" s="683"/>
    </row>
    <row r="584" spans="2:5" x14ac:dyDescent="0.3">
      <c r="B584" s="397"/>
      <c r="C584" s="397"/>
      <c r="D584" s="397"/>
      <c r="E584" s="402"/>
    </row>
    <row r="585" spans="2:5" x14ac:dyDescent="0.3">
      <c r="B585" s="397"/>
      <c r="C585" s="397"/>
      <c r="D585" s="399"/>
      <c r="E585" s="397"/>
    </row>
    <row r="586" spans="2:5" x14ac:dyDescent="0.3">
      <c r="B586" s="399"/>
      <c r="C586" s="399"/>
      <c r="D586" s="397"/>
      <c r="E586" s="683"/>
    </row>
    <row r="587" spans="2:5" x14ac:dyDescent="0.3">
      <c r="B587" s="397"/>
      <c r="C587" s="397"/>
      <c r="D587" s="397"/>
      <c r="E587" s="402"/>
    </row>
    <row r="588" spans="2:5" x14ac:dyDescent="0.3">
      <c r="B588" s="397"/>
      <c r="C588" s="397"/>
      <c r="D588" s="399"/>
      <c r="E588" s="397"/>
    </row>
    <row r="589" spans="2:5" x14ac:dyDescent="0.3">
      <c r="B589" s="399"/>
      <c r="C589" s="399"/>
      <c r="D589" s="397"/>
      <c r="E589" s="683"/>
    </row>
    <row r="590" spans="2:5" x14ac:dyDescent="0.3">
      <c r="B590" s="397"/>
      <c r="C590" s="397"/>
      <c r="D590" s="397"/>
      <c r="E590" s="402"/>
    </row>
    <row r="591" spans="2:5" x14ac:dyDescent="0.3">
      <c r="B591" s="397"/>
      <c r="C591" s="397"/>
      <c r="D591" s="399"/>
      <c r="E591" s="397"/>
    </row>
    <row r="592" spans="2:5" x14ac:dyDescent="0.3">
      <c r="B592" s="399"/>
      <c r="C592" s="399"/>
      <c r="D592" s="397"/>
      <c r="E592" s="683"/>
    </row>
    <row r="593" spans="2:5" x14ac:dyDescent="0.3">
      <c r="B593" s="397"/>
      <c r="C593" s="397"/>
      <c r="D593" s="397"/>
      <c r="E593" s="402"/>
    </row>
    <row r="594" spans="2:5" x14ac:dyDescent="0.3">
      <c r="B594" s="397"/>
      <c r="C594" s="397"/>
      <c r="D594" s="399"/>
      <c r="E594" s="397"/>
    </row>
    <row r="595" spans="2:5" x14ac:dyDescent="0.3">
      <c r="B595" s="399"/>
      <c r="C595" s="399"/>
      <c r="D595" s="397"/>
      <c r="E595" s="683"/>
    </row>
    <row r="596" spans="2:5" x14ac:dyDescent="0.3">
      <c r="B596" s="397"/>
      <c r="C596" s="397"/>
      <c r="D596" s="397"/>
      <c r="E596" s="402"/>
    </row>
    <row r="597" spans="2:5" x14ac:dyDescent="0.3">
      <c r="B597" s="397"/>
      <c r="C597" s="397"/>
      <c r="D597" s="399"/>
      <c r="E597" s="397"/>
    </row>
    <row r="598" spans="2:5" x14ac:dyDescent="0.3">
      <c r="B598" s="399"/>
      <c r="C598" s="399"/>
      <c r="D598" s="397"/>
      <c r="E598" s="683"/>
    </row>
    <row r="599" spans="2:5" x14ac:dyDescent="0.3">
      <c r="B599" s="397"/>
      <c r="C599" s="397"/>
      <c r="D599" s="397"/>
      <c r="E599" s="402"/>
    </row>
    <row r="600" spans="2:5" x14ac:dyDescent="0.3">
      <c r="B600" s="397"/>
      <c r="C600" s="397"/>
      <c r="D600" s="399"/>
      <c r="E600" s="397"/>
    </row>
    <row r="601" spans="2:5" x14ac:dyDescent="0.3">
      <c r="B601" s="399"/>
      <c r="C601" s="399"/>
      <c r="D601" s="397"/>
      <c r="E601" s="683"/>
    </row>
    <row r="602" spans="2:5" x14ac:dyDescent="0.3">
      <c r="B602" s="397"/>
      <c r="C602" s="397"/>
      <c r="D602" s="397"/>
      <c r="E602" s="402"/>
    </row>
    <row r="603" spans="2:5" x14ac:dyDescent="0.3">
      <c r="B603" s="397"/>
      <c r="C603" s="397"/>
      <c r="D603" s="399"/>
      <c r="E603" s="397"/>
    </row>
    <row r="604" spans="2:5" x14ac:dyDescent="0.3">
      <c r="B604" s="399"/>
      <c r="C604" s="399"/>
      <c r="D604" s="397"/>
      <c r="E604" s="683"/>
    </row>
    <row r="605" spans="2:5" x14ac:dyDescent="0.3">
      <c r="B605" s="397"/>
      <c r="C605" s="397"/>
      <c r="D605" s="397"/>
      <c r="E605" s="402"/>
    </row>
    <row r="606" spans="2:5" x14ac:dyDescent="0.3">
      <c r="B606" s="397"/>
      <c r="C606" s="397"/>
      <c r="D606" s="399"/>
      <c r="E606" s="397"/>
    </row>
    <row r="607" spans="2:5" x14ac:dyDescent="0.3">
      <c r="B607" s="399"/>
      <c r="C607" s="399"/>
      <c r="D607" s="397"/>
      <c r="E607" s="683"/>
    </row>
    <row r="608" spans="2:5" x14ac:dyDescent="0.3">
      <c r="B608" s="397"/>
      <c r="C608" s="397"/>
      <c r="D608" s="397"/>
      <c r="E608" s="402"/>
    </row>
    <row r="609" spans="2:5" x14ac:dyDescent="0.3">
      <c r="B609" s="397"/>
      <c r="C609" s="397"/>
      <c r="D609" s="399"/>
      <c r="E609" s="397"/>
    </row>
    <row r="610" spans="2:5" x14ac:dyDescent="0.3">
      <c r="B610" s="399"/>
      <c r="C610" s="399"/>
      <c r="D610" s="397"/>
      <c r="E610" s="683"/>
    </row>
    <row r="611" spans="2:5" x14ac:dyDescent="0.3">
      <c r="B611" s="397"/>
      <c r="C611" s="397"/>
      <c r="D611" s="397"/>
      <c r="E611" s="402"/>
    </row>
    <row r="612" spans="2:5" x14ac:dyDescent="0.3">
      <c r="B612" s="397"/>
      <c r="C612" s="397"/>
      <c r="D612" s="399"/>
      <c r="E612" s="397"/>
    </row>
    <row r="613" spans="2:5" x14ac:dyDescent="0.3">
      <c r="B613" s="399"/>
      <c r="C613" s="399"/>
      <c r="D613" s="397"/>
      <c r="E613" s="683"/>
    </row>
    <row r="614" spans="2:5" x14ac:dyDescent="0.3">
      <c r="B614" s="397"/>
      <c r="C614" s="397"/>
      <c r="D614" s="397"/>
      <c r="E614" s="402"/>
    </row>
    <row r="615" spans="2:5" x14ac:dyDescent="0.3">
      <c r="B615" s="397"/>
      <c r="C615" s="397"/>
      <c r="D615" s="399"/>
      <c r="E615" s="397"/>
    </row>
    <row r="616" spans="2:5" x14ac:dyDescent="0.3">
      <c r="B616" s="399"/>
      <c r="C616" s="399"/>
      <c r="D616" s="397"/>
      <c r="E616" s="683"/>
    </row>
    <row r="617" spans="2:5" x14ac:dyDescent="0.3">
      <c r="B617" s="397"/>
      <c r="C617" s="397"/>
      <c r="D617" s="397"/>
      <c r="E617" s="402"/>
    </row>
    <row r="618" spans="2:5" x14ac:dyDescent="0.3">
      <c r="B618" s="397"/>
      <c r="C618" s="397"/>
      <c r="D618" s="399"/>
      <c r="E618" s="397"/>
    </row>
    <row r="619" spans="2:5" x14ac:dyDescent="0.3">
      <c r="B619" s="399"/>
      <c r="C619" s="399"/>
      <c r="D619" s="397"/>
      <c r="E619" s="683"/>
    </row>
    <row r="620" spans="2:5" x14ac:dyDescent="0.3">
      <c r="B620" s="397"/>
      <c r="C620" s="397"/>
      <c r="D620" s="397"/>
      <c r="E620" s="402"/>
    </row>
    <row r="621" spans="2:5" x14ac:dyDescent="0.3">
      <c r="B621" s="397"/>
      <c r="C621" s="397"/>
      <c r="D621" s="399"/>
      <c r="E621" s="397"/>
    </row>
    <row r="622" spans="2:5" x14ac:dyDescent="0.3">
      <c r="B622" s="399"/>
      <c r="C622" s="399"/>
      <c r="D622" s="397"/>
      <c r="E622" s="683"/>
    </row>
    <row r="623" spans="2:5" x14ac:dyDescent="0.3">
      <c r="B623" s="397"/>
      <c r="C623" s="397"/>
      <c r="D623" s="397"/>
      <c r="E623" s="402"/>
    </row>
    <row r="624" spans="2:5" x14ac:dyDescent="0.3">
      <c r="B624" s="397"/>
      <c r="C624" s="397"/>
      <c r="D624" s="399"/>
      <c r="E624" s="397"/>
    </row>
    <row r="625" spans="2:5" x14ac:dyDescent="0.3">
      <c r="B625" s="399"/>
      <c r="C625" s="399"/>
      <c r="D625" s="397"/>
      <c r="E625" s="683"/>
    </row>
    <row r="626" spans="2:5" x14ac:dyDescent="0.3">
      <c r="B626" s="397"/>
      <c r="C626" s="397"/>
      <c r="D626" s="397"/>
      <c r="E626" s="402"/>
    </row>
    <row r="627" spans="2:5" x14ac:dyDescent="0.3">
      <c r="B627" s="397"/>
      <c r="C627" s="397"/>
      <c r="D627" s="399"/>
      <c r="E627" s="397"/>
    </row>
    <row r="628" spans="2:5" x14ac:dyDescent="0.3">
      <c r="B628" s="399"/>
      <c r="C628" s="399"/>
      <c r="D628" s="397"/>
      <c r="E628" s="683"/>
    </row>
    <row r="629" spans="2:5" x14ac:dyDescent="0.3">
      <c r="B629" s="397"/>
      <c r="C629" s="397"/>
      <c r="D629" s="397"/>
      <c r="E629" s="402"/>
    </row>
    <row r="630" spans="2:5" x14ac:dyDescent="0.3">
      <c r="B630" s="397"/>
      <c r="C630" s="397"/>
      <c r="D630" s="399"/>
      <c r="E630" s="397"/>
    </row>
    <row r="631" spans="2:5" x14ac:dyDescent="0.3">
      <c r="B631" s="399"/>
      <c r="C631" s="399"/>
      <c r="D631" s="397"/>
      <c r="E631" s="683"/>
    </row>
    <row r="632" spans="2:5" x14ac:dyDescent="0.3">
      <c r="B632" s="397"/>
      <c r="C632" s="397"/>
      <c r="D632" s="397"/>
      <c r="E632" s="402"/>
    </row>
    <row r="633" spans="2:5" x14ac:dyDescent="0.3">
      <c r="B633" s="397"/>
      <c r="C633" s="397"/>
      <c r="D633" s="399"/>
      <c r="E633" s="397"/>
    </row>
    <row r="634" spans="2:5" x14ac:dyDescent="0.3">
      <c r="B634" s="399"/>
      <c r="C634" s="399"/>
      <c r="D634" s="397"/>
      <c r="E634" s="683"/>
    </row>
    <row r="635" spans="2:5" x14ac:dyDescent="0.3">
      <c r="B635" s="397"/>
      <c r="C635" s="397"/>
      <c r="D635" s="397"/>
      <c r="E635" s="402"/>
    </row>
    <row r="636" spans="2:5" x14ac:dyDescent="0.3">
      <c r="B636" s="397"/>
      <c r="C636" s="397"/>
      <c r="D636" s="399"/>
      <c r="E636" s="397"/>
    </row>
    <row r="637" spans="2:5" x14ac:dyDescent="0.3">
      <c r="B637" s="399"/>
      <c r="C637" s="399"/>
      <c r="D637" s="397"/>
      <c r="E637" s="683"/>
    </row>
    <row r="638" spans="2:5" x14ac:dyDescent="0.3">
      <c r="B638" s="397"/>
      <c r="C638" s="397"/>
      <c r="D638" s="397"/>
      <c r="E638" s="402"/>
    </row>
    <row r="639" spans="2:5" x14ac:dyDescent="0.3">
      <c r="B639" s="397"/>
      <c r="C639" s="397"/>
      <c r="D639" s="399"/>
      <c r="E639" s="397"/>
    </row>
    <row r="640" spans="2:5" x14ac:dyDescent="0.3">
      <c r="B640" s="399"/>
      <c r="C640" s="399"/>
      <c r="D640" s="397"/>
      <c r="E640" s="683"/>
    </row>
    <row r="641" spans="2:5" x14ac:dyDescent="0.3">
      <c r="B641" s="397"/>
      <c r="C641" s="397"/>
      <c r="D641" s="397"/>
      <c r="E641" s="402"/>
    </row>
    <row r="642" spans="2:5" x14ac:dyDescent="0.3">
      <c r="B642" s="397"/>
      <c r="C642" s="397"/>
      <c r="D642" s="399"/>
      <c r="E642" s="397"/>
    </row>
    <row r="643" spans="2:5" x14ac:dyDescent="0.3">
      <c r="B643" s="399"/>
      <c r="C643" s="399"/>
      <c r="D643" s="397"/>
      <c r="E643" s="683"/>
    </row>
    <row r="644" spans="2:5" x14ac:dyDescent="0.3">
      <c r="B644" s="397"/>
      <c r="C644" s="397"/>
      <c r="D644" s="397"/>
      <c r="E644" s="402"/>
    </row>
    <row r="645" spans="2:5" x14ac:dyDescent="0.3">
      <c r="B645" s="397"/>
      <c r="C645" s="397"/>
      <c r="D645" s="399"/>
      <c r="E645" s="397"/>
    </row>
    <row r="646" spans="2:5" x14ac:dyDescent="0.3">
      <c r="B646" s="399"/>
      <c r="C646" s="399"/>
      <c r="D646" s="397"/>
      <c r="E646" s="683"/>
    </row>
    <row r="647" spans="2:5" x14ac:dyDescent="0.3">
      <c r="B647" s="397"/>
      <c r="C647" s="397"/>
      <c r="D647" s="397"/>
      <c r="E647" s="402"/>
    </row>
    <row r="648" spans="2:5" x14ac:dyDescent="0.3">
      <c r="B648" s="397"/>
      <c r="C648" s="397"/>
      <c r="D648" s="399"/>
      <c r="E648" s="397"/>
    </row>
    <row r="649" spans="2:5" x14ac:dyDescent="0.3">
      <c r="B649" s="399"/>
      <c r="C649" s="399"/>
      <c r="D649" s="397"/>
      <c r="E649" s="683"/>
    </row>
    <row r="650" spans="2:5" x14ac:dyDescent="0.3">
      <c r="B650" s="397"/>
      <c r="C650" s="397"/>
      <c r="D650" s="397"/>
      <c r="E650" s="402"/>
    </row>
    <row r="651" spans="2:5" x14ac:dyDescent="0.3">
      <c r="B651" s="397"/>
      <c r="C651" s="397"/>
      <c r="D651" s="399"/>
      <c r="E651" s="397"/>
    </row>
    <row r="652" spans="2:5" x14ac:dyDescent="0.3">
      <c r="B652" s="399"/>
      <c r="C652" s="399"/>
      <c r="D652" s="397"/>
      <c r="E652" s="683"/>
    </row>
    <row r="653" spans="2:5" x14ac:dyDescent="0.3">
      <c r="B653" s="397"/>
      <c r="C653" s="397"/>
      <c r="D653" s="397"/>
      <c r="E653" s="402"/>
    </row>
    <row r="654" spans="2:5" x14ac:dyDescent="0.3">
      <c r="B654" s="397"/>
      <c r="C654" s="397"/>
      <c r="D654" s="399"/>
      <c r="E654" s="397"/>
    </row>
    <row r="655" spans="2:5" x14ac:dyDescent="0.3">
      <c r="B655" s="399"/>
      <c r="C655" s="399"/>
      <c r="D655" s="397"/>
      <c r="E655" s="683"/>
    </row>
    <row r="656" spans="2:5" x14ac:dyDescent="0.3">
      <c r="B656" s="397"/>
      <c r="C656" s="397"/>
      <c r="D656" s="397"/>
      <c r="E656" s="402"/>
    </row>
    <row r="657" spans="2:5" x14ac:dyDescent="0.3">
      <c r="B657" s="397"/>
      <c r="C657" s="397"/>
      <c r="D657" s="399"/>
      <c r="E657" s="397"/>
    </row>
    <row r="658" spans="2:5" x14ac:dyDescent="0.3">
      <c r="B658" s="399"/>
      <c r="C658" s="399"/>
      <c r="D658" s="397"/>
      <c r="E658" s="683"/>
    </row>
    <row r="659" spans="2:5" x14ac:dyDescent="0.3">
      <c r="B659" s="397"/>
      <c r="C659" s="397"/>
      <c r="D659" s="397"/>
      <c r="E659" s="402"/>
    </row>
    <row r="660" spans="2:5" x14ac:dyDescent="0.3">
      <c r="B660" s="397"/>
      <c r="C660" s="397"/>
      <c r="D660" s="399"/>
      <c r="E660" s="397"/>
    </row>
    <row r="661" spans="2:5" x14ac:dyDescent="0.3">
      <c r="B661" s="399"/>
      <c r="C661" s="399"/>
      <c r="D661" s="397"/>
      <c r="E661" s="683"/>
    </row>
    <row r="662" spans="2:5" x14ac:dyDescent="0.3">
      <c r="B662" s="397"/>
      <c r="C662" s="397"/>
      <c r="D662" s="397"/>
      <c r="E662" s="402"/>
    </row>
    <row r="663" spans="2:5" x14ac:dyDescent="0.3">
      <c r="B663" s="397"/>
      <c r="C663" s="397"/>
      <c r="D663" s="399"/>
      <c r="E663" s="397"/>
    </row>
    <row r="664" spans="2:5" x14ac:dyDescent="0.3">
      <c r="B664" s="399"/>
      <c r="C664" s="399"/>
      <c r="D664" s="397"/>
      <c r="E664" s="683"/>
    </row>
    <row r="665" spans="2:5" x14ac:dyDescent="0.3">
      <c r="B665" s="397"/>
      <c r="C665" s="397"/>
      <c r="D665" s="397"/>
      <c r="E665" s="402"/>
    </row>
    <row r="666" spans="2:5" x14ac:dyDescent="0.3">
      <c r="B666" s="397"/>
      <c r="C666" s="397"/>
      <c r="D666" s="399"/>
      <c r="E666" s="397"/>
    </row>
    <row r="667" spans="2:5" x14ac:dyDescent="0.3">
      <c r="B667" s="399"/>
      <c r="C667" s="399"/>
      <c r="D667" s="397"/>
      <c r="E667" s="683"/>
    </row>
    <row r="668" spans="2:5" x14ac:dyDescent="0.3">
      <c r="B668" s="397"/>
      <c r="C668" s="397"/>
      <c r="D668" s="397"/>
      <c r="E668" s="402"/>
    </row>
    <row r="669" spans="2:5" x14ac:dyDescent="0.3">
      <c r="B669" s="397"/>
      <c r="C669" s="397"/>
      <c r="D669" s="399"/>
      <c r="E669" s="397"/>
    </row>
    <row r="670" spans="2:5" x14ac:dyDescent="0.3">
      <c r="B670" s="399"/>
      <c r="C670" s="399"/>
      <c r="D670" s="397"/>
      <c r="E670" s="683"/>
    </row>
    <row r="671" spans="2:5" x14ac:dyDescent="0.3">
      <c r="B671" s="397"/>
      <c r="C671" s="397"/>
      <c r="D671" s="397"/>
      <c r="E671" s="402"/>
    </row>
    <row r="672" spans="2:5" x14ac:dyDescent="0.3">
      <c r="B672" s="397"/>
      <c r="C672" s="397"/>
      <c r="D672" s="399"/>
      <c r="E672" s="397"/>
    </row>
    <row r="673" spans="2:5" x14ac:dyDescent="0.3">
      <c r="B673" s="399"/>
      <c r="C673" s="399"/>
      <c r="D673" s="397"/>
      <c r="E673" s="683"/>
    </row>
    <row r="674" spans="2:5" x14ac:dyDescent="0.3">
      <c r="B674" s="397"/>
      <c r="C674" s="397"/>
      <c r="D674" s="397"/>
      <c r="E674" s="402"/>
    </row>
    <row r="675" spans="2:5" x14ac:dyDescent="0.3">
      <c r="B675" s="397"/>
      <c r="C675" s="397"/>
      <c r="D675" s="399"/>
      <c r="E675" s="397"/>
    </row>
    <row r="676" spans="2:5" x14ac:dyDescent="0.3">
      <c r="B676" s="399"/>
      <c r="C676" s="399"/>
      <c r="D676" s="397"/>
      <c r="E676" s="683"/>
    </row>
    <row r="677" spans="2:5" x14ac:dyDescent="0.3">
      <c r="B677" s="397"/>
      <c r="C677" s="397"/>
      <c r="D677" s="397"/>
      <c r="E677" s="402"/>
    </row>
    <row r="678" spans="2:5" x14ac:dyDescent="0.3">
      <c r="B678" s="397"/>
      <c r="C678" s="397"/>
      <c r="D678" s="399"/>
      <c r="E678" s="397"/>
    </row>
    <row r="679" spans="2:5" x14ac:dyDescent="0.3">
      <c r="B679" s="399"/>
      <c r="C679" s="399"/>
      <c r="D679" s="397"/>
      <c r="E679" s="683"/>
    </row>
    <row r="680" spans="2:5" x14ac:dyDescent="0.3">
      <c r="B680" s="397"/>
      <c r="C680" s="397"/>
      <c r="D680" s="397"/>
      <c r="E680" s="402"/>
    </row>
    <row r="681" spans="2:5" x14ac:dyDescent="0.3">
      <c r="B681" s="397"/>
      <c r="C681" s="397"/>
      <c r="D681" s="399"/>
      <c r="E681" s="397"/>
    </row>
    <row r="682" spans="2:5" x14ac:dyDescent="0.3">
      <c r="B682" s="399"/>
      <c r="C682" s="399"/>
      <c r="D682" s="397"/>
      <c r="E682" s="683"/>
    </row>
    <row r="683" spans="2:5" x14ac:dyDescent="0.3">
      <c r="B683" s="397"/>
      <c r="C683" s="397"/>
      <c r="D683" s="397"/>
      <c r="E683" s="402"/>
    </row>
    <row r="684" spans="2:5" x14ac:dyDescent="0.3">
      <c r="B684" s="397"/>
      <c r="C684" s="397"/>
      <c r="D684" s="399"/>
      <c r="E684" s="397"/>
    </row>
    <row r="685" spans="2:5" x14ac:dyDescent="0.3">
      <c r="B685" s="399"/>
      <c r="C685" s="399"/>
      <c r="D685" s="397"/>
      <c r="E685" s="683"/>
    </row>
    <row r="686" spans="2:5" x14ac:dyDescent="0.3">
      <c r="B686" s="397"/>
      <c r="C686" s="397"/>
      <c r="D686" s="397"/>
      <c r="E686" s="402"/>
    </row>
    <row r="687" spans="2:5" x14ac:dyDescent="0.3">
      <c r="B687" s="397"/>
      <c r="C687" s="397"/>
      <c r="D687" s="399"/>
      <c r="E687" s="397"/>
    </row>
    <row r="688" spans="2:5" x14ac:dyDescent="0.3">
      <c r="B688" s="399"/>
      <c r="C688" s="399"/>
      <c r="D688" s="397"/>
      <c r="E688" s="683"/>
    </row>
    <row r="689" spans="2:5" x14ac:dyDescent="0.3">
      <c r="B689" s="397"/>
      <c r="C689" s="397"/>
      <c r="D689" s="397"/>
      <c r="E689" s="402"/>
    </row>
    <row r="690" spans="2:5" x14ac:dyDescent="0.3">
      <c r="B690" s="397"/>
      <c r="C690" s="397"/>
      <c r="D690" s="399"/>
      <c r="E690" s="397"/>
    </row>
    <row r="691" spans="2:5" x14ac:dyDescent="0.3">
      <c r="B691" s="399"/>
      <c r="C691" s="399"/>
      <c r="D691" s="397"/>
      <c r="E691" s="683"/>
    </row>
    <row r="692" spans="2:5" x14ac:dyDescent="0.3">
      <c r="B692" s="397"/>
      <c r="C692" s="397"/>
      <c r="D692" s="397"/>
      <c r="E692" s="402"/>
    </row>
    <row r="693" spans="2:5" x14ac:dyDescent="0.3">
      <c r="B693" s="397"/>
      <c r="C693" s="397"/>
      <c r="D693" s="399"/>
      <c r="E693" s="397"/>
    </row>
    <row r="694" spans="2:5" x14ac:dyDescent="0.3">
      <c r="B694" s="399"/>
      <c r="C694" s="399"/>
      <c r="D694" s="397"/>
      <c r="E694" s="683"/>
    </row>
    <row r="695" spans="2:5" x14ac:dyDescent="0.3">
      <c r="B695" s="397"/>
      <c r="C695" s="397"/>
      <c r="D695" s="397"/>
      <c r="E695" s="402"/>
    </row>
    <row r="696" spans="2:5" x14ac:dyDescent="0.3">
      <c r="B696" s="397"/>
      <c r="C696" s="397"/>
      <c r="D696" s="399"/>
      <c r="E696" s="397"/>
    </row>
    <row r="697" spans="2:5" x14ac:dyDescent="0.3">
      <c r="B697" s="399"/>
      <c r="C697" s="399"/>
      <c r="D697" s="397"/>
      <c r="E697" s="683"/>
    </row>
    <row r="698" spans="2:5" x14ac:dyDescent="0.3">
      <c r="B698" s="397"/>
      <c r="C698" s="397"/>
      <c r="D698" s="397"/>
      <c r="E698" s="402"/>
    </row>
    <row r="699" spans="2:5" x14ac:dyDescent="0.3">
      <c r="B699" s="397"/>
      <c r="C699" s="397"/>
      <c r="D699" s="399"/>
      <c r="E699" s="397"/>
    </row>
    <row r="700" spans="2:5" x14ac:dyDescent="0.3">
      <c r="B700" s="399"/>
      <c r="C700" s="399"/>
      <c r="D700" s="397"/>
      <c r="E700" s="683"/>
    </row>
    <row r="701" spans="2:5" x14ac:dyDescent="0.3">
      <c r="B701" s="397"/>
      <c r="C701" s="397"/>
      <c r="D701" s="397"/>
      <c r="E701" s="402"/>
    </row>
    <row r="702" spans="2:5" x14ac:dyDescent="0.3">
      <c r="B702" s="397"/>
      <c r="C702" s="397"/>
      <c r="D702" s="399"/>
      <c r="E702" s="397"/>
    </row>
    <row r="703" spans="2:5" x14ac:dyDescent="0.3">
      <c r="B703" s="399"/>
      <c r="C703" s="399"/>
      <c r="D703" s="397"/>
      <c r="E703" s="683"/>
    </row>
    <row r="704" spans="2:5" x14ac:dyDescent="0.3">
      <c r="B704" s="397"/>
      <c r="C704" s="397"/>
      <c r="D704" s="397"/>
      <c r="E704" s="402"/>
    </row>
    <row r="705" spans="2:5" x14ac:dyDescent="0.3">
      <c r="B705" s="397"/>
      <c r="C705" s="397"/>
      <c r="D705" s="399"/>
      <c r="E705" s="397"/>
    </row>
    <row r="706" spans="2:5" x14ac:dyDescent="0.3">
      <c r="B706" s="399"/>
      <c r="C706" s="399"/>
      <c r="D706" s="397"/>
      <c r="E706" s="683"/>
    </row>
    <row r="707" spans="2:5" x14ac:dyDescent="0.3">
      <c r="B707" s="397"/>
      <c r="C707" s="397"/>
      <c r="D707" s="397"/>
      <c r="E707" s="402"/>
    </row>
    <row r="708" spans="2:5" x14ac:dyDescent="0.3">
      <c r="B708" s="397"/>
      <c r="C708" s="397"/>
      <c r="D708" s="399"/>
      <c r="E708" s="397"/>
    </row>
    <row r="709" spans="2:5" x14ac:dyDescent="0.3">
      <c r="B709" s="399"/>
      <c r="C709" s="399"/>
      <c r="D709" s="397"/>
      <c r="E709" s="683"/>
    </row>
    <row r="710" spans="2:5" x14ac:dyDescent="0.3">
      <c r="B710" s="397"/>
      <c r="C710" s="397"/>
      <c r="D710" s="397"/>
      <c r="E710" s="402"/>
    </row>
    <row r="711" spans="2:5" x14ac:dyDescent="0.3">
      <c r="B711" s="397"/>
      <c r="C711" s="397"/>
      <c r="D711" s="399"/>
      <c r="E711" s="397"/>
    </row>
    <row r="712" spans="2:5" x14ac:dyDescent="0.3">
      <c r="B712" s="399"/>
      <c r="C712" s="399"/>
      <c r="D712" s="397"/>
      <c r="E712" s="683"/>
    </row>
    <row r="713" spans="2:5" x14ac:dyDescent="0.3">
      <c r="B713" s="397"/>
      <c r="C713" s="397"/>
      <c r="D713" s="397"/>
      <c r="E713" s="402"/>
    </row>
    <row r="714" spans="2:5" x14ac:dyDescent="0.3">
      <c r="B714" s="397"/>
      <c r="C714" s="397"/>
      <c r="D714" s="399"/>
      <c r="E714" s="397"/>
    </row>
    <row r="715" spans="2:5" x14ac:dyDescent="0.3">
      <c r="B715" s="399"/>
      <c r="C715" s="399"/>
      <c r="D715" s="397"/>
      <c r="E715" s="683"/>
    </row>
    <row r="716" spans="2:5" x14ac:dyDescent="0.3">
      <c r="B716" s="397"/>
      <c r="C716" s="397"/>
      <c r="D716" s="397"/>
      <c r="E716" s="402"/>
    </row>
    <row r="717" spans="2:5" x14ac:dyDescent="0.3">
      <c r="B717" s="397"/>
      <c r="C717" s="397"/>
      <c r="D717" s="399"/>
      <c r="E717" s="397"/>
    </row>
    <row r="718" spans="2:5" x14ac:dyDescent="0.3">
      <c r="B718" s="399"/>
      <c r="C718" s="399"/>
      <c r="D718" s="397"/>
      <c r="E718" s="683"/>
    </row>
    <row r="719" spans="2:5" x14ac:dyDescent="0.3">
      <c r="B719" s="397"/>
      <c r="C719" s="397"/>
      <c r="D719" s="397"/>
      <c r="E719" s="402"/>
    </row>
    <row r="720" spans="2:5" x14ac:dyDescent="0.3">
      <c r="B720" s="397"/>
      <c r="C720" s="397"/>
      <c r="D720" s="399"/>
      <c r="E720" s="397"/>
    </row>
    <row r="721" spans="2:5" x14ac:dyDescent="0.3">
      <c r="B721" s="399"/>
      <c r="C721" s="399"/>
      <c r="D721" s="397"/>
      <c r="E721" s="683"/>
    </row>
    <row r="722" spans="2:5" x14ac:dyDescent="0.3">
      <c r="B722" s="397"/>
      <c r="C722" s="397"/>
      <c r="D722" s="397"/>
      <c r="E722" s="402"/>
    </row>
    <row r="723" spans="2:5" x14ac:dyDescent="0.3">
      <c r="B723" s="397"/>
      <c r="C723" s="397"/>
      <c r="D723" s="399"/>
      <c r="E723" s="397"/>
    </row>
    <row r="724" spans="2:5" x14ac:dyDescent="0.3">
      <c r="B724" s="399"/>
      <c r="C724" s="399"/>
      <c r="D724" s="397"/>
      <c r="E724" s="683"/>
    </row>
    <row r="725" spans="2:5" x14ac:dyDescent="0.3">
      <c r="B725" s="397"/>
      <c r="C725" s="397"/>
      <c r="D725" s="397"/>
      <c r="E725" s="402"/>
    </row>
    <row r="726" spans="2:5" x14ac:dyDescent="0.3">
      <c r="B726" s="397"/>
      <c r="C726" s="397"/>
      <c r="D726" s="399"/>
      <c r="E726" s="397"/>
    </row>
    <row r="727" spans="2:5" x14ac:dyDescent="0.3">
      <c r="B727" s="399"/>
      <c r="C727" s="399"/>
      <c r="D727" s="397"/>
      <c r="E727" s="683"/>
    </row>
    <row r="728" spans="2:5" x14ac:dyDescent="0.3">
      <c r="B728" s="397"/>
      <c r="C728" s="397"/>
      <c r="D728" s="397"/>
      <c r="E728" s="402"/>
    </row>
    <row r="729" spans="2:5" x14ac:dyDescent="0.3">
      <c r="B729" s="397"/>
      <c r="C729" s="397"/>
      <c r="D729" s="399"/>
      <c r="E729" s="397"/>
    </row>
    <row r="730" spans="2:5" x14ac:dyDescent="0.3">
      <c r="B730" s="399"/>
      <c r="C730" s="399"/>
      <c r="D730" s="397"/>
      <c r="E730" s="683"/>
    </row>
    <row r="731" spans="2:5" x14ac:dyDescent="0.3">
      <c r="B731" s="397"/>
      <c r="C731" s="397"/>
      <c r="D731" s="397"/>
      <c r="E731" s="402"/>
    </row>
    <row r="732" spans="2:5" x14ac:dyDescent="0.3">
      <c r="B732" s="397"/>
      <c r="C732" s="397"/>
      <c r="D732" s="399"/>
      <c r="E732" s="397"/>
    </row>
    <row r="733" spans="2:5" x14ac:dyDescent="0.3">
      <c r="B733" s="399"/>
      <c r="C733" s="399"/>
      <c r="D733" s="397"/>
      <c r="E733" s="683"/>
    </row>
    <row r="734" spans="2:5" x14ac:dyDescent="0.3">
      <c r="B734" s="397"/>
      <c r="C734" s="397"/>
      <c r="D734" s="397"/>
      <c r="E734" s="402"/>
    </row>
    <row r="735" spans="2:5" x14ac:dyDescent="0.3">
      <c r="B735" s="397"/>
      <c r="C735" s="397"/>
      <c r="D735" s="399"/>
      <c r="E735" s="397"/>
    </row>
    <row r="736" spans="2:5" x14ac:dyDescent="0.3">
      <c r="B736" s="399"/>
      <c r="C736" s="399"/>
      <c r="D736" s="397"/>
      <c r="E736" s="683"/>
    </row>
    <row r="737" spans="2:5" x14ac:dyDescent="0.3">
      <c r="B737" s="397"/>
      <c r="C737" s="397"/>
      <c r="D737" s="397"/>
      <c r="E737" s="402"/>
    </row>
    <row r="738" spans="2:5" x14ac:dyDescent="0.3">
      <c r="B738" s="397"/>
      <c r="C738" s="397"/>
      <c r="D738" s="399"/>
      <c r="E738" s="397"/>
    </row>
    <row r="739" spans="2:5" x14ac:dyDescent="0.3">
      <c r="B739" s="399"/>
      <c r="C739" s="399"/>
      <c r="D739" s="397"/>
      <c r="E739" s="683"/>
    </row>
    <row r="740" spans="2:5" x14ac:dyDescent="0.3">
      <c r="B740" s="397"/>
      <c r="C740" s="397"/>
      <c r="D740" s="397"/>
      <c r="E740" s="402"/>
    </row>
    <row r="741" spans="2:5" x14ac:dyDescent="0.3">
      <c r="B741" s="397"/>
      <c r="C741" s="397"/>
      <c r="D741" s="399"/>
      <c r="E741" s="397"/>
    </row>
    <row r="742" spans="2:5" x14ac:dyDescent="0.3">
      <c r="B742" s="399"/>
      <c r="C742" s="399"/>
      <c r="D742" s="397"/>
      <c r="E742" s="683"/>
    </row>
    <row r="743" spans="2:5" x14ac:dyDescent="0.3">
      <c r="B743" s="397"/>
      <c r="C743" s="397"/>
      <c r="D743" s="397"/>
      <c r="E743" s="402"/>
    </row>
    <row r="744" spans="2:5" x14ac:dyDescent="0.3">
      <c r="B744" s="397"/>
      <c r="C744" s="397"/>
      <c r="D744" s="399"/>
      <c r="E744" s="397"/>
    </row>
    <row r="745" spans="2:5" x14ac:dyDescent="0.3">
      <c r="B745" s="399"/>
      <c r="C745" s="399"/>
      <c r="D745" s="397"/>
      <c r="E745" s="683"/>
    </row>
    <row r="746" spans="2:5" x14ac:dyDescent="0.3">
      <c r="B746" s="397"/>
      <c r="C746" s="397"/>
      <c r="D746" s="397"/>
      <c r="E746" s="402"/>
    </row>
    <row r="747" spans="2:5" x14ac:dyDescent="0.3">
      <c r="B747" s="397"/>
      <c r="C747" s="397"/>
      <c r="D747" s="399"/>
      <c r="E747" s="397"/>
    </row>
    <row r="748" spans="2:5" x14ac:dyDescent="0.3">
      <c r="B748" s="399"/>
      <c r="C748" s="399"/>
      <c r="D748" s="397"/>
      <c r="E748" s="683"/>
    </row>
    <row r="749" spans="2:5" x14ac:dyDescent="0.3">
      <c r="B749" s="397"/>
      <c r="C749" s="397"/>
      <c r="D749" s="397"/>
      <c r="E749" s="402"/>
    </row>
    <row r="750" spans="2:5" x14ac:dyDescent="0.3">
      <c r="B750" s="397"/>
      <c r="C750" s="397"/>
      <c r="D750" s="399"/>
      <c r="E750" s="397"/>
    </row>
    <row r="751" spans="2:5" x14ac:dyDescent="0.3">
      <c r="B751" s="399"/>
      <c r="C751" s="399"/>
      <c r="D751" s="397"/>
      <c r="E751" s="683"/>
    </row>
    <row r="752" spans="2:5" x14ac:dyDescent="0.3">
      <c r="B752" s="397"/>
      <c r="C752" s="397"/>
      <c r="D752" s="397"/>
      <c r="E752" s="402"/>
    </row>
    <row r="753" spans="2:5" x14ac:dyDescent="0.3">
      <c r="B753" s="397"/>
      <c r="C753" s="397"/>
      <c r="D753" s="399"/>
      <c r="E753" s="397"/>
    </row>
    <row r="754" spans="2:5" x14ac:dyDescent="0.3">
      <c r="B754" s="399"/>
      <c r="C754" s="399"/>
      <c r="D754" s="397"/>
      <c r="E754" s="683"/>
    </row>
    <row r="755" spans="2:5" x14ac:dyDescent="0.3">
      <c r="B755" s="397"/>
      <c r="C755" s="397"/>
      <c r="D755" s="397"/>
      <c r="E755" s="402"/>
    </row>
    <row r="756" spans="2:5" x14ac:dyDescent="0.3">
      <c r="B756" s="397"/>
      <c r="C756" s="397"/>
      <c r="D756" s="399"/>
      <c r="E756" s="397"/>
    </row>
    <row r="757" spans="2:5" x14ac:dyDescent="0.3">
      <c r="B757" s="399"/>
      <c r="C757" s="399"/>
      <c r="D757" s="397"/>
      <c r="E757" s="683"/>
    </row>
    <row r="758" spans="2:5" x14ac:dyDescent="0.3">
      <c r="B758" s="397"/>
      <c r="C758" s="397"/>
      <c r="D758" s="397"/>
      <c r="E758" s="402"/>
    </row>
    <row r="759" spans="2:5" x14ac:dyDescent="0.3">
      <c r="B759" s="397"/>
      <c r="C759" s="397"/>
      <c r="D759" s="399"/>
      <c r="E759" s="397"/>
    </row>
    <row r="760" spans="2:5" x14ac:dyDescent="0.3">
      <c r="B760" s="399"/>
      <c r="C760" s="399"/>
      <c r="D760" s="397"/>
      <c r="E760" s="683"/>
    </row>
    <row r="761" spans="2:5" x14ac:dyDescent="0.3">
      <c r="B761" s="397"/>
      <c r="C761" s="397"/>
      <c r="D761" s="397"/>
      <c r="E761" s="402"/>
    </row>
    <row r="762" spans="2:5" x14ac:dyDescent="0.3">
      <c r="B762" s="397"/>
      <c r="C762" s="397"/>
      <c r="D762" s="399"/>
      <c r="E762" s="397"/>
    </row>
    <row r="763" spans="2:5" x14ac:dyDescent="0.3">
      <c r="B763" s="399"/>
      <c r="C763" s="399"/>
      <c r="D763" s="397"/>
      <c r="E763" s="683"/>
    </row>
    <row r="764" spans="2:5" x14ac:dyDescent="0.3">
      <c r="B764" s="397"/>
      <c r="C764" s="397"/>
      <c r="D764" s="397"/>
      <c r="E764" s="402"/>
    </row>
    <row r="765" spans="2:5" x14ac:dyDescent="0.3">
      <c r="B765" s="397"/>
      <c r="C765" s="397"/>
      <c r="D765" s="399"/>
      <c r="E765" s="397"/>
    </row>
    <row r="766" spans="2:5" x14ac:dyDescent="0.3">
      <c r="B766" s="399"/>
      <c r="C766" s="399"/>
      <c r="D766" s="397"/>
      <c r="E766" s="683"/>
    </row>
    <row r="767" spans="2:5" x14ac:dyDescent="0.3">
      <c r="B767" s="397"/>
      <c r="C767" s="397"/>
      <c r="D767" s="397"/>
      <c r="E767" s="402"/>
    </row>
    <row r="768" spans="2:5" x14ac:dyDescent="0.3">
      <c r="B768" s="397"/>
      <c r="C768" s="397"/>
      <c r="D768" s="399"/>
      <c r="E768" s="397"/>
    </row>
    <row r="769" spans="2:5" x14ac:dyDescent="0.3">
      <c r="B769" s="399"/>
      <c r="C769" s="399"/>
      <c r="D769" s="397"/>
      <c r="E769" s="683"/>
    </row>
    <row r="770" spans="2:5" x14ac:dyDescent="0.3">
      <c r="B770" s="397"/>
      <c r="C770" s="397"/>
      <c r="D770" s="397"/>
      <c r="E770" s="402"/>
    </row>
    <row r="771" spans="2:5" x14ac:dyDescent="0.3">
      <c r="B771" s="397"/>
      <c r="C771" s="397"/>
      <c r="D771" s="399"/>
      <c r="E771" s="397"/>
    </row>
    <row r="772" spans="2:5" x14ac:dyDescent="0.3">
      <c r="B772" s="399"/>
      <c r="C772" s="399"/>
      <c r="D772" s="397"/>
      <c r="E772" s="683"/>
    </row>
    <row r="773" spans="2:5" x14ac:dyDescent="0.3">
      <c r="B773" s="397"/>
      <c r="C773" s="397"/>
      <c r="D773" s="397"/>
      <c r="E773" s="402"/>
    </row>
    <row r="774" spans="2:5" x14ac:dyDescent="0.3">
      <c r="B774" s="397"/>
      <c r="C774" s="397"/>
      <c r="D774" s="399"/>
      <c r="E774" s="397"/>
    </row>
    <row r="775" spans="2:5" x14ac:dyDescent="0.3">
      <c r="B775" s="399"/>
      <c r="C775" s="399"/>
      <c r="D775" s="397"/>
      <c r="E775" s="683"/>
    </row>
    <row r="776" spans="2:5" x14ac:dyDescent="0.3">
      <c r="B776" s="397"/>
      <c r="C776" s="397"/>
      <c r="D776" s="397"/>
      <c r="E776" s="402"/>
    </row>
    <row r="777" spans="2:5" x14ac:dyDescent="0.3">
      <c r="B777" s="397"/>
      <c r="C777" s="397"/>
      <c r="D777" s="399"/>
      <c r="E777" s="397"/>
    </row>
    <row r="778" spans="2:5" x14ac:dyDescent="0.3">
      <c r="B778" s="399"/>
      <c r="C778" s="399"/>
      <c r="D778" s="397"/>
      <c r="E778" s="683"/>
    </row>
    <row r="779" spans="2:5" x14ac:dyDescent="0.3">
      <c r="B779" s="397"/>
      <c r="C779" s="397"/>
      <c r="D779" s="397"/>
      <c r="E779" s="402"/>
    </row>
    <row r="780" spans="2:5" x14ac:dyDescent="0.3">
      <c r="B780" s="397"/>
      <c r="C780" s="397"/>
      <c r="D780" s="399"/>
      <c r="E780" s="397"/>
    </row>
    <row r="781" spans="2:5" x14ac:dyDescent="0.3">
      <c r="B781" s="399"/>
      <c r="C781" s="399"/>
      <c r="D781" s="397"/>
      <c r="E781" s="683"/>
    </row>
    <row r="782" spans="2:5" x14ac:dyDescent="0.3">
      <c r="B782" s="397"/>
      <c r="C782" s="397"/>
      <c r="D782" s="397"/>
      <c r="E782" s="402"/>
    </row>
    <row r="783" spans="2:5" x14ac:dyDescent="0.3">
      <c r="B783" s="397"/>
      <c r="C783" s="397"/>
      <c r="D783" s="399"/>
      <c r="E783" s="397"/>
    </row>
    <row r="784" spans="2:5" x14ac:dyDescent="0.3">
      <c r="B784" s="399"/>
      <c r="C784" s="399"/>
      <c r="D784" s="397"/>
      <c r="E784" s="683"/>
    </row>
    <row r="785" spans="2:5" x14ac:dyDescent="0.3">
      <c r="B785" s="397"/>
      <c r="C785" s="397"/>
      <c r="D785" s="397"/>
      <c r="E785" s="402"/>
    </row>
    <row r="786" spans="2:5" x14ac:dyDescent="0.3">
      <c r="B786" s="397"/>
      <c r="C786" s="397"/>
      <c r="D786" s="399"/>
      <c r="E786" s="397"/>
    </row>
    <row r="787" spans="2:5" x14ac:dyDescent="0.3">
      <c r="B787" s="399"/>
      <c r="C787" s="399"/>
      <c r="D787" s="397"/>
      <c r="E787" s="683"/>
    </row>
    <row r="788" spans="2:5" x14ac:dyDescent="0.3">
      <c r="B788" s="397"/>
      <c r="C788" s="397"/>
      <c r="D788" s="397"/>
      <c r="E788" s="402"/>
    </row>
    <row r="789" spans="2:5" x14ac:dyDescent="0.3">
      <c r="B789" s="397"/>
      <c r="C789" s="397"/>
      <c r="D789" s="399"/>
      <c r="E789" s="397"/>
    </row>
    <row r="790" spans="2:5" x14ac:dyDescent="0.3">
      <c r="B790" s="399"/>
      <c r="C790" s="399"/>
      <c r="D790" s="397"/>
      <c r="E790" s="683"/>
    </row>
    <row r="791" spans="2:5" x14ac:dyDescent="0.3">
      <c r="B791" s="397"/>
      <c r="C791" s="397"/>
      <c r="D791" s="397"/>
      <c r="E791" s="402"/>
    </row>
    <row r="792" spans="2:5" x14ac:dyDescent="0.3">
      <c r="B792" s="397"/>
      <c r="C792" s="397"/>
      <c r="D792" s="399"/>
      <c r="E792" s="397"/>
    </row>
    <row r="793" spans="2:5" x14ac:dyDescent="0.3">
      <c r="B793" s="399"/>
      <c r="C793" s="399"/>
      <c r="D793" s="397"/>
      <c r="E793" s="683"/>
    </row>
    <row r="794" spans="2:5" x14ac:dyDescent="0.3">
      <c r="B794" s="397"/>
      <c r="C794" s="397"/>
      <c r="D794" s="397"/>
      <c r="E794" s="402"/>
    </row>
    <row r="795" spans="2:5" x14ac:dyDescent="0.3">
      <c r="B795" s="397"/>
      <c r="C795" s="397"/>
      <c r="D795" s="399"/>
      <c r="E795" s="397"/>
    </row>
    <row r="796" spans="2:5" x14ac:dyDescent="0.3">
      <c r="B796" s="399"/>
      <c r="C796" s="399"/>
      <c r="D796" s="397"/>
      <c r="E796" s="683"/>
    </row>
    <row r="797" spans="2:5" x14ac:dyDescent="0.3">
      <c r="B797" s="397"/>
      <c r="C797" s="397"/>
      <c r="D797" s="397"/>
      <c r="E797" s="402"/>
    </row>
    <row r="798" spans="2:5" x14ac:dyDescent="0.3">
      <c r="B798" s="397"/>
      <c r="C798" s="397"/>
      <c r="D798" s="399"/>
      <c r="E798" s="397"/>
    </row>
    <row r="799" spans="2:5" x14ac:dyDescent="0.3">
      <c r="B799" s="399"/>
      <c r="C799" s="399"/>
      <c r="D799" s="397"/>
      <c r="E799" s="683"/>
    </row>
    <row r="800" spans="2:5" x14ac:dyDescent="0.3">
      <c r="B800" s="397"/>
      <c r="C800" s="397"/>
      <c r="D800" s="397"/>
      <c r="E800" s="402"/>
    </row>
    <row r="801" spans="2:5" x14ac:dyDescent="0.3">
      <c r="B801" s="397"/>
      <c r="C801" s="397"/>
      <c r="D801" s="399"/>
      <c r="E801" s="397"/>
    </row>
    <row r="802" spans="2:5" x14ac:dyDescent="0.3">
      <c r="B802" s="399"/>
      <c r="C802" s="399"/>
      <c r="D802" s="397"/>
      <c r="E802" s="683"/>
    </row>
    <row r="803" spans="2:5" x14ac:dyDescent="0.3">
      <c r="B803" s="397"/>
      <c r="C803" s="397"/>
      <c r="D803" s="397"/>
      <c r="E803" s="402"/>
    </row>
    <row r="804" spans="2:5" x14ac:dyDescent="0.3">
      <c r="B804" s="397"/>
      <c r="C804" s="397"/>
      <c r="D804" s="399"/>
      <c r="E804" s="397"/>
    </row>
    <row r="805" spans="2:5" x14ac:dyDescent="0.3">
      <c r="B805" s="399"/>
      <c r="C805" s="399"/>
      <c r="D805" s="397"/>
      <c r="E805" s="683"/>
    </row>
    <row r="806" spans="2:5" x14ac:dyDescent="0.3">
      <c r="B806" s="397"/>
      <c r="C806" s="397"/>
      <c r="D806" s="397"/>
      <c r="E806" s="402"/>
    </row>
    <row r="807" spans="2:5" x14ac:dyDescent="0.3">
      <c r="B807" s="397"/>
      <c r="C807" s="397"/>
      <c r="D807" s="399"/>
      <c r="E807" s="397"/>
    </row>
    <row r="808" spans="2:5" x14ac:dyDescent="0.3">
      <c r="B808" s="399"/>
      <c r="C808" s="399"/>
      <c r="D808" s="397"/>
      <c r="E808" s="683"/>
    </row>
    <row r="809" spans="2:5" x14ac:dyDescent="0.3">
      <c r="B809" s="397"/>
      <c r="C809" s="397"/>
      <c r="D809" s="397"/>
      <c r="E809" s="402"/>
    </row>
    <row r="810" spans="2:5" x14ac:dyDescent="0.3">
      <c r="B810" s="397"/>
      <c r="C810" s="397"/>
      <c r="D810" s="399"/>
      <c r="E810" s="397"/>
    </row>
    <row r="811" spans="2:5" x14ac:dyDescent="0.3">
      <c r="B811" s="399"/>
      <c r="C811" s="399"/>
      <c r="D811" s="397"/>
      <c r="E811" s="683"/>
    </row>
    <row r="812" spans="2:5" x14ac:dyDescent="0.3">
      <c r="B812" s="397"/>
      <c r="C812" s="397"/>
      <c r="D812" s="397"/>
      <c r="E812" s="402"/>
    </row>
    <row r="813" spans="2:5" x14ac:dyDescent="0.3">
      <c r="B813" s="397"/>
      <c r="C813" s="397"/>
      <c r="D813" s="399"/>
      <c r="E813" s="397"/>
    </row>
    <row r="814" spans="2:5" x14ac:dyDescent="0.3">
      <c r="B814" s="399"/>
      <c r="C814" s="399"/>
      <c r="D814" s="397"/>
      <c r="E814" s="683"/>
    </row>
    <row r="815" spans="2:5" x14ac:dyDescent="0.3">
      <c r="B815" s="397"/>
      <c r="C815" s="397"/>
      <c r="D815" s="397"/>
      <c r="E815" s="402"/>
    </row>
    <row r="816" spans="2:5" x14ac:dyDescent="0.3">
      <c r="B816" s="397"/>
      <c r="C816" s="397"/>
      <c r="D816" s="399"/>
      <c r="E816" s="397"/>
    </row>
    <row r="817" spans="2:5" x14ac:dyDescent="0.3">
      <c r="B817" s="399"/>
      <c r="C817" s="399"/>
      <c r="D817" s="397"/>
      <c r="E817" s="683"/>
    </row>
    <row r="818" spans="2:5" x14ac:dyDescent="0.3">
      <c r="B818" s="397"/>
      <c r="C818" s="397"/>
      <c r="D818" s="397"/>
      <c r="E818" s="402"/>
    </row>
    <row r="819" spans="2:5" x14ac:dyDescent="0.3">
      <c r="B819" s="397"/>
      <c r="C819" s="397"/>
      <c r="D819" s="399"/>
      <c r="E819" s="397"/>
    </row>
    <row r="820" spans="2:5" x14ac:dyDescent="0.3">
      <c r="B820" s="399"/>
      <c r="C820" s="399"/>
      <c r="D820" s="397"/>
      <c r="E820" s="683"/>
    </row>
    <row r="821" spans="2:5" x14ac:dyDescent="0.3">
      <c r="B821" s="397"/>
      <c r="C821" s="397"/>
      <c r="D821" s="397"/>
      <c r="E821" s="402"/>
    </row>
    <row r="822" spans="2:5" x14ac:dyDescent="0.3">
      <c r="B822" s="397"/>
      <c r="C822" s="397"/>
      <c r="D822" s="399"/>
      <c r="E822" s="397"/>
    </row>
    <row r="823" spans="2:5" x14ac:dyDescent="0.3">
      <c r="B823" s="399"/>
      <c r="C823" s="399"/>
      <c r="D823" s="397"/>
      <c r="E823" s="683"/>
    </row>
    <row r="824" spans="2:5" x14ac:dyDescent="0.3">
      <c r="B824" s="397"/>
      <c r="C824" s="397"/>
      <c r="D824" s="397"/>
      <c r="E824" s="402"/>
    </row>
    <row r="825" spans="2:5" x14ac:dyDescent="0.3">
      <c r="B825" s="397"/>
      <c r="C825" s="397"/>
      <c r="D825" s="399"/>
      <c r="E825" s="397"/>
    </row>
    <row r="826" spans="2:5" x14ac:dyDescent="0.3">
      <c r="B826" s="399"/>
      <c r="C826" s="399"/>
      <c r="D826" s="397"/>
      <c r="E826" s="683"/>
    </row>
    <row r="827" spans="2:5" x14ac:dyDescent="0.3">
      <c r="B827" s="397"/>
      <c r="C827" s="397"/>
      <c r="D827" s="397"/>
      <c r="E827" s="402"/>
    </row>
    <row r="828" spans="2:5" x14ac:dyDescent="0.3">
      <c r="B828" s="397"/>
      <c r="C828" s="397"/>
      <c r="D828" s="399"/>
      <c r="E828" s="397"/>
    </row>
    <row r="829" spans="2:5" x14ac:dyDescent="0.3">
      <c r="B829" s="399"/>
      <c r="C829" s="399"/>
      <c r="D829" s="397"/>
      <c r="E829" s="683"/>
    </row>
    <row r="830" spans="2:5" x14ac:dyDescent="0.3">
      <c r="B830" s="397"/>
      <c r="C830" s="397"/>
      <c r="D830" s="397"/>
      <c r="E830" s="402"/>
    </row>
    <row r="831" spans="2:5" x14ac:dyDescent="0.3">
      <c r="B831" s="397"/>
      <c r="C831" s="397"/>
      <c r="D831" s="399"/>
      <c r="E831" s="397"/>
    </row>
    <row r="832" spans="2:5" x14ac:dyDescent="0.3">
      <c r="B832" s="399"/>
      <c r="C832" s="399"/>
      <c r="D832" s="397"/>
      <c r="E832" s="683"/>
    </row>
    <row r="833" spans="2:5" x14ac:dyDescent="0.3">
      <c r="B833" s="397"/>
      <c r="C833" s="397"/>
      <c r="D833" s="397"/>
      <c r="E833" s="402"/>
    </row>
    <row r="834" spans="2:5" x14ac:dyDescent="0.3">
      <c r="B834" s="397"/>
      <c r="C834" s="397"/>
      <c r="D834" s="399"/>
      <c r="E834" s="397"/>
    </row>
    <row r="835" spans="2:5" x14ac:dyDescent="0.3">
      <c r="B835" s="399"/>
      <c r="C835" s="399"/>
      <c r="D835" s="397"/>
      <c r="E835" s="683"/>
    </row>
    <row r="836" spans="2:5" x14ac:dyDescent="0.3">
      <c r="B836" s="397"/>
      <c r="C836" s="397"/>
      <c r="D836" s="397"/>
      <c r="E836" s="402"/>
    </row>
    <row r="837" spans="2:5" x14ac:dyDescent="0.3">
      <c r="B837" s="397"/>
      <c r="C837" s="397"/>
      <c r="D837" s="399"/>
      <c r="E837" s="397"/>
    </row>
    <row r="838" spans="2:5" x14ac:dyDescent="0.3">
      <c r="B838" s="399"/>
      <c r="C838" s="399"/>
      <c r="D838" s="397"/>
      <c r="E838" s="683"/>
    </row>
    <row r="839" spans="2:5" x14ac:dyDescent="0.3">
      <c r="B839" s="397"/>
      <c r="C839" s="397"/>
      <c r="D839" s="397"/>
      <c r="E839" s="402"/>
    </row>
    <row r="840" spans="2:5" x14ac:dyDescent="0.3">
      <c r="B840" s="397"/>
      <c r="C840" s="397"/>
      <c r="D840" s="399"/>
      <c r="E840" s="397"/>
    </row>
    <row r="841" spans="2:5" x14ac:dyDescent="0.3">
      <c r="B841" s="399"/>
      <c r="C841" s="399"/>
      <c r="D841" s="397"/>
      <c r="E841" s="683"/>
    </row>
    <row r="842" spans="2:5" x14ac:dyDescent="0.3">
      <c r="B842" s="397"/>
      <c r="C842" s="397"/>
      <c r="D842" s="397"/>
      <c r="E842" s="402"/>
    </row>
    <row r="843" spans="2:5" x14ac:dyDescent="0.3">
      <c r="B843" s="397"/>
      <c r="C843" s="397"/>
      <c r="D843" s="399"/>
      <c r="E843" s="397"/>
    </row>
    <row r="844" spans="2:5" x14ac:dyDescent="0.3">
      <c r="B844" s="399"/>
      <c r="C844" s="399"/>
      <c r="D844" s="397"/>
      <c r="E844" s="683"/>
    </row>
    <row r="845" spans="2:5" x14ac:dyDescent="0.3">
      <c r="B845" s="397"/>
      <c r="C845" s="397"/>
      <c r="D845" s="397"/>
      <c r="E845" s="402"/>
    </row>
    <row r="846" spans="2:5" x14ac:dyDescent="0.3">
      <c r="B846" s="397"/>
      <c r="C846" s="397"/>
      <c r="D846" s="399"/>
      <c r="E846" s="397"/>
    </row>
    <row r="847" spans="2:5" x14ac:dyDescent="0.3">
      <c r="B847" s="399"/>
      <c r="C847" s="399"/>
      <c r="D847" s="397"/>
      <c r="E847" s="683"/>
    </row>
    <row r="848" spans="2:5" x14ac:dyDescent="0.3">
      <c r="B848" s="397"/>
      <c r="C848" s="397"/>
      <c r="D848" s="397"/>
      <c r="E848" s="402"/>
    </row>
    <row r="849" spans="2:5" x14ac:dyDescent="0.3">
      <c r="B849" s="397"/>
      <c r="C849" s="397"/>
      <c r="D849" s="399"/>
      <c r="E849" s="397"/>
    </row>
    <row r="850" spans="2:5" x14ac:dyDescent="0.3">
      <c r="B850" s="399"/>
      <c r="C850" s="399"/>
      <c r="D850" s="397"/>
      <c r="E850" s="683"/>
    </row>
    <row r="851" spans="2:5" x14ac:dyDescent="0.3">
      <c r="B851" s="397"/>
      <c r="C851" s="397"/>
      <c r="D851" s="397"/>
      <c r="E851" s="402"/>
    </row>
    <row r="852" spans="2:5" x14ac:dyDescent="0.3">
      <c r="B852" s="397"/>
      <c r="C852" s="397"/>
      <c r="D852" s="399"/>
      <c r="E852" s="397"/>
    </row>
    <row r="853" spans="2:5" x14ac:dyDescent="0.3">
      <c r="B853" s="399"/>
      <c r="C853" s="399"/>
      <c r="D853" s="397"/>
      <c r="E853" s="683"/>
    </row>
    <row r="854" spans="2:5" x14ac:dyDescent="0.3">
      <c r="B854" s="397"/>
      <c r="C854" s="397"/>
      <c r="D854" s="397"/>
      <c r="E854" s="402"/>
    </row>
    <row r="855" spans="2:5" x14ac:dyDescent="0.3">
      <c r="B855" s="397"/>
      <c r="C855" s="397"/>
      <c r="D855" s="399"/>
      <c r="E855" s="397"/>
    </row>
    <row r="856" spans="2:5" x14ac:dyDescent="0.3">
      <c r="B856" s="399"/>
      <c r="C856" s="399"/>
      <c r="D856" s="397"/>
      <c r="E856" s="683"/>
    </row>
    <row r="857" spans="2:5" x14ac:dyDescent="0.3">
      <c r="B857" s="397"/>
      <c r="C857" s="397"/>
      <c r="D857" s="397"/>
      <c r="E857" s="402"/>
    </row>
    <row r="858" spans="2:5" x14ac:dyDescent="0.3">
      <c r="B858" s="397"/>
      <c r="C858" s="397"/>
      <c r="D858" s="399"/>
      <c r="E858" s="397"/>
    </row>
    <row r="859" spans="2:5" x14ac:dyDescent="0.3">
      <c r="B859" s="399"/>
      <c r="C859" s="399"/>
      <c r="D859" s="397"/>
      <c r="E859" s="683"/>
    </row>
    <row r="860" spans="2:5" x14ac:dyDescent="0.3">
      <c r="B860" s="397"/>
      <c r="C860" s="397"/>
      <c r="D860" s="397"/>
      <c r="E860" s="402"/>
    </row>
    <row r="861" spans="2:5" x14ac:dyDescent="0.3">
      <c r="B861" s="397"/>
      <c r="C861" s="397"/>
      <c r="D861" s="399"/>
      <c r="E861" s="397"/>
    </row>
    <row r="862" spans="2:5" x14ac:dyDescent="0.3">
      <c r="B862" s="399"/>
      <c r="C862" s="399"/>
      <c r="D862" s="397"/>
      <c r="E862" s="683"/>
    </row>
    <row r="863" spans="2:5" x14ac:dyDescent="0.3">
      <c r="B863" s="397"/>
      <c r="C863" s="397"/>
      <c r="D863" s="397"/>
      <c r="E863" s="402"/>
    </row>
    <row r="864" spans="2:5" x14ac:dyDescent="0.3">
      <c r="B864" s="397"/>
      <c r="C864" s="397"/>
      <c r="D864" s="399"/>
      <c r="E864" s="397"/>
    </row>
    <row r="865" spans="2:5" x14ac:dyDescent="0.3">
      <c r="B865" s="399"/>
      <c r="C865" s="399"/>
      <c r="D865" s="397"/>
      <c r="E865" s="683"/>
    </row>
    <row r="866" spans="2:5" x14ac:dyDescent="0.3">
      <c r="B866" s="397"/>
      <c r="C866" s="397"/>
      <c r="D866" s="397"/>
      <c r="E866" s="402"/>
    </row>
    <row r="867" spans="2:5" x14ac:dyDescent="0.3">
      <c r="B867" s="397"/>
      <c r="C867" s="397"/>
      <c r="D867" s="399"/>
      <c r="E867" s="397"/>
    </row>
    <row r="868" spans="2:5" x14ac:dyDescent="0.3">
      <c r="B868" s="399"/>
      <c r="C868" s="399"/>
      <c r="D868" s="397"/>
      <c r="E868" s="683"/>
    </row>
    <row r="869" spans="2:5" x14ac:dyDescent="0.3">
      <c r="B869" s="397"/>
      <c r="C869" s="397"/>
      <c r="D869" s="397"/>
      <c r="E869" s="402"/>
    </row>
    <row r="870" spans="2:5" x14ac:dyDescent="0.3">
      <c r="B870" s="397"/>
      <c r="C870" s="397"/>
      <c r="D870" s="399"/>
      <c r="E870" s="397"/>
    </row>
    <row r="871" spans="2:5" x14ac:dyDescent="0.3">
      <c r="B871" s="399"/>
      <c r="C871" s="399"/>
      <c r="D871" s="397"/>
      <c r="E871" s="683"/>
    </row>
    <row r="872" spans="2:5" x14ac:dyDescent="0.3">
      <c r="B872" s="397"/>
      <c r="C872" s="397"/>
      <c r="E872" s="402"/>
    </row>
  </sheetData>
  <sheetProtection formatCells="0" formatColumns="0" formatRows="0" insertColumns="0" insertRows="0" insertHyperlinks="0" deleteColumns="0" deleteRows="0" sort="0" autoFilter="0" pivotTables="0"/>
  <autoFilter ref="B5:E364" xr:uid="{00000000-0001-0000-0700-000000000000}"/>
  <customSheetViews>
    <customSheetView guid="{BEE73D72-37A1-4B7A-85D2-C39E053A4017}" scale="70" zeroValues="0" fitToPage="1">
      <pane ySplit="2" topLeftCell="A3" activePane="bottomLeft" state="frozen"/>
      <selection pane="bottomLeft" activeCell="C6" sqref="C6"/>
      <pageMargins left="0.23622047244094491" right="0.23622047244094491" top="0.74803149606299213" bottom="0.74803149606299213" header="0.31496062992125984" footer="0.31496062992125984"/>
      <pageSetup paperSize="9" scale="20" fitToHeight="0" orientation="landscape" r:id="rId1"/>
    </customSheetView>
    <customSheetView guid="{81A05B8F-D3E4-4CEB-B8F2-C34A1F15FDB9}" scale="70" zeroValues="0" fitToPage="1">
      <pane ySplit="1.5454545454545454" topLeftCell="A2" activePane="bottomLeft" state="frozen"/>
      <selection pane="bottomLeft" activeCell="C6" sqref="C6"/>
      <pageMargins left="0.23622047244094491" right="0.23622047244094491" top="0.74803149606299213" bottom="0.74803149606299213" header="0.31496062992125984" footer="0.31496062992125984"/>
      <pageSetup paperSize="9" scale="20" fitToHeight="0" orientation="landscape" r:id="rId2"/>
    </customSheetView>
    <customSheetView guid="{079ED3F8-D23E-413F-B7FA-1C4A43A9CEAB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3"/>
      <autoFilter ref="B5:E230" xr:uid="{C0F4AFCF-E406-47DB-8C2D-AA6A31DF1DE5}"/>
    </customSheetView>
    <customSheetView guid="{BBFF7A3C-7579-4BB0-AAA9-66CE11DC0C92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4"/>
      <autoFilter ref="B5:E230" xr:uid="{F222B60D-82E5-4DA3-9CD9-3B241500ADDA}"/>
    </customSheetView>
    <customSheetView guid="{386B8780-5573-460C-A780-6C59BEFB4DBF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5"/>
      <autoFilter ref="B5:E230" xr:uid="{0E02CAEB-0568-4F32-84D9-0F8FFF93FAE3}"/>
    </customSheetView>
    <customSheetView guid="{748451F5-A0F3-420F-846E-9497A6A574EF}" scale="55" zeroValues="0" printArea="1" showAutoFilter="1" view="pageBreakPreview">
      <pane ySplit="5" topLeftCell="A223" activePane="bottomLeft" state="frozen"/>
      <selection pane="bottomLeft" activeCell="A163" sqref="A163"/>
      <rowBreaks count="11" manualBreakCount="11">
        <brk id="25" max="34" man="1"/>
        <brk id="45" max="34" man="1"/>
        <brk id="65" max="34" man="1"/>
        <brk id="85" max="34" man="1"/>
        <brk id="105" max="34" man="1"/>
        <brk id="125" max="34" man="1"/>
        <brk id="145" max="34" man="1"/>
        <brk id="165" max="34" man="1"/>
        <brk id="185" max="34" man="1"/>
        <brk id="205" max="34" man="1"/>
        <brk id="225" max="34" man="1"/>
      </rowBreaks>
      <colBreaks count="1" manualBreakCount="1">
        <brk id="20" max="229" man="1"/>
      </colBreaks>
      <pageMargins left="0.23622047244094491" right="0.23622047244094491" top="0.74803149606299213" bottom="0.35433070866141736" header="0.31496062992125984" footer="0.31496062992125984"/>
      <printOptions horizontalCentered="1"/>
      <pageSetup paperSize="9" scale="45" fitToHeight="0" pageOrder="overThenDown" orientation="landscape" r:id="rId6"/>
      <autoFilter ref="B5:E230" xr:uid="{D7ACC05B-0379-4600-BDFD-D572389BCF4D}"/>
    </customSheetView>
  </customSheetViews>
  <conditionalFormatting sqref="F3:AI364">
    <cfRule type="expression" dxfId="0" priority="1">
      <formula>F$5&lt;&gt;"Alta"</formula>
    </cfRule>
  </conditionalFormatting>
  <printOptions horizontalCentered="1"/>
  <pageMargins left="0.23622047244094491" right="0.23622047244094491" top="0.74803149606299213" bottom="0.35433070866141736" header="0.31496062992125984" footer="0.31496062992125984"/>
  <pageSetup paperSize="9" scale="43" fitToHeight="0" pageOrder="overThenDown" orientation="landscape" r:id="rId7"/>
  <rowBreaks count="11" manualBreakCount="11">
    <brk id="25" max="34" man="1"/>
    <brk id="45" max="34" man="1"/>
    <brk id="65" max="34" man="1"/>
    <brk id="85" max="34" man="1"/>
    <brk id="105" max="34" man="1"/>
    <brk id="125" max="34" man="1"/>
    <brk id="145" max="34" man="1"/>
    <brk id="165" max="34" man="1"/>
    <brk id="185" max="34" man="1"/>
    <brk id="205" max="34" man="1"/>
    <brk id="225" max="34" man="1"/>
  </rowBreaks>
  <colBreaks count="1" manualBreakCount="1">
    <brk id="20" max="22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tabColor theme="9" tint="0.79998168889431442"/>
  </sheetPr>
  <dimension ref="A1:BF186"/>
  <sheetViews>
    <sheetView showZeros="0" tabSelected="1" zoomScale="85" zoomScaleNormal="85" workbookViewId="0">
      <pane ySplit="2" topLeftCell="A8" activePane="bottomLeft" state="frozen"/>
      <selection activeCell="D17" sqref="D17"/>
      <selection pane="bottomLeft" activeCell="F20" sqref="F20"/>
    </sheetView>
  </sheetViews>
  <sheetFormatPr baseColWidth="10" defaultColWidth="11.5546875" defaultRowHeight="13.8" x14ac:dyDescent="0.25"/>
  <cols>
    <col min="1" max="1" width="2.21875" style="262" customWidth="1"/>
    <col min="2" max="2" width="21.21875" style="262" customWidth="1"/>
    <col min="3" max="3" width="2.21875" style="262" customWidth="1"/>
    <col min="4" max="4" width="52.77734375" style="262" bestFit="1" customWidth="1"/>
    <col min="5" max="5" width="2.21875" style="262" customWidth="1"/>
    <col min="6" max="6" width="71" style="262" bestFit="1" customWidth="1"/>
    <col min="7" max="9" width="8.21875" style="643" customWidth="1"/>
    <col min="10" max="10" width="2.21875" style="262" customWidth="1"/>
    <col min="11" max="11" width="45.5546875" style="262" bestFit="1" customWidth="1"/>
    <col min="12" max="12" width="4.77734375" style="262" customWidth="1"/>
    <col min="13" max="13" width="21.21875" style="262" customWidth="1"/>
    <col min="14" max="14" width="2.21875" style="262" customWidth="1"/>
    <col min="15" max="15" width="65.77734375" style="262" customWidth="1"/>
    <col min="16" max="16" width="2.21875" style="262" customWidth="1"/>
    <col min="17" max="17" width="9" style="643" bestFit="1" customWidth="1"/>
    <col min="18" max="18" width="2.21875" style="262" customWidth="1"/>
    <col min="19" max="19" width="8.21875" style="643" customWidth="1"/>
    <col min="20" max="20" width="2.21875" style="262" customWidth="1"/>
    <col min="21" max="21" width="8.21875" style="643" customWidth="1"/>
    <col min="22" max="22" width="2.21875" style="262" customWidth="1"/>
    <col min="23" max="23" width="8.77734375" style="262" customWidth="1"/>
    <col min="24" max="24" width="2.21875" style="262" customWidth="1"/>
    <col min="25" max="25" width="8.44140625" style="643" bestFit="1" customWidth="1"/>
    <col min="26" max="26" width="2.21875" style="262" customWidth="1"/>
    <col min="27" max="27" width="11.5546875" style="262"/>
    <col min="28" max="28" width="32.21875" style="262" bestFit="1" customWidth="1"/>
    <col min="29" max="29" width="2.21875" style="262" customWidth="1"/>
    <col min="30" max="30" width="7.44140625" style="262" bestFit="1" customWidth="1"/>
    <col min="31" max="31" width="11.5546875" style="262" bestFit="1" customWidth="1"/>
    <col min="32" max="32" width="2.21875" style="262" customWidth="1"/>
    <col min="33" max="33" width="7.44140625" style="262" bestFit="1" customWidth="1"/>
    <col min="34" max="34" width="19.5546875" style="262" bestFit="1" customWidth="1"/>
    <col min="35" max="35" width="2.21875" style="262" customWidth="1"/>
    <col min="36" max="36" width="7" style="262" bestFit="1" customWidth="1"/>
    <col min="37" max="37" width="32.21875" style="262" customWidth="1"/>
    <col min="38" max="38" width="2.21875" style="262" customWidth="1"/>
    <col min="39" max="39" width="2.77734375" style="262" bestFit="1" customWidth="1"/>
    <col min="40" max="40" width="4.77734375" style="262" bestFit="1" customWidth="1"/>
    <col min="41" max="41" width="5.77734375" style="262" customWidth="1"/>
    <col min="42" max="42" width="17.5546875" style="262" customWidth="1"/>
    <col min="43" max="43" width="2.21875" style="262" customWidth="1"/>
    <col min="44" max="44" width="5.21875" style="262" customWidth="1"/>
    <col min="45" max="45" width="4.77734375" style="262" bestFit="1" customWidth="1"/>
    <col min="46" max="46" width="10.44140625" style="262" customWidth="1"/>
    <col min="47" max="47" width="2.21875" style="262" customWidth="1"/>
    <col min="48" max="49" width="5.21875" style="262" customWidth="1"/>
    <col min="50" max="50" width="8.5546875" style="262" bestFit="1" customWidth="1"/>
    <col min="51" max="51" width="2.21875" style="262" customWidth="1"/>
    <col min="52" max="52" width="37.21875" style="262" bestFit="1" customWidth="1"/>
    <col min="53" max="53" width="2.21875" style="262" customWidth="1"/>
    <col min="54" max="54" width="12.21875" style="262" customWidth="1"/>
    <col min="55" max="57" width="11.5546875" style="262"/>
    <col min="58" max="58" width="11.5546875" style="643" customWidth="1"/>
    <col min="59" max="16384" width="11.5546875" style="262"/>
  </cols>
  <sheetData>
    <row r="1" spans="1:58" s="625" customFormat="1" ht="24" customHeight="1" thickBot="1" x14ac:dyDescent="0.5">
      <c r="A1" s="620" t="s">
        <v>269</v>
      </c>
      <c r="B1" s="621"/>
      <c r="C1" s="620"/>
      <c r="D1" s="622"/>
      <c r="E1" s="620"/>
      <c r="F1" s="620"/>
      <c r="G1" s="623"/>
      <c r="H1" s="623"/>
      <c r="I1" s="623"/>
      <c r="J1" s="620"/>
      <c r="K1" s="620"/>
      <c r="L1" s="620"/>
      <c r="M1" s="620"/>
      <c r="N1" s="620"/>
      <c r="O1" s="620"/>
      <c r="P1" s="620"/>
      <c r="Q1" s="624"/>
      <c r="R1" s="620"/>
      <c r="S1" s="623"/>
      <c r="T1" s="620"/>
      <c r="U1" s="623"/>
      <c r="V1" s="620"/>
      <c r="W1" s="620"/>
      <c r="X1" s="620"/>
      <c r="Y1" s="624"/>
      <c r="Z1" s="620"/>
      <c r="AA1" s="622"/>
      <c r="AB1" s="622"/>
      <c r="AC1" s="620"/>
      <c r="AD1" s="621"/>
      <c r="AE1" s="622"/>
      <c r="AF1" s="620"/>
      <c r="AG1" s="621"/>
      <c r="AH1" s="622"/>
      <c r="AI1" s="620"/>
      <c r="AJ1" s="622"/>
      <c r="AK1" s="622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2"/>
      <c r="BA1" s="620"/>
      <c r="BB1" s="479">
        <f ca="1">FechaHoy</f>
        <v>46099</v>
      </c>
    </row>
    <row r="2" spans="1:58" s="631" customFormat="1" ht="15.6" x14ac:dyDescent="0.3">
      <c r="A2" s="519"/>
      <c r="B2" s="626" t="s">
        <v>58</v>
      </c>
      <c r="C2" s="519"/>
      <c r="D2" s="626" t="s">
        <v>38</v>
      </c>
      <c r="E2" s="519"/>
      <c r="F2" s="626" t="s">
        <v>39</v>
      </c>
      <c r="G2" s="627" t="s">
        <v>238</v>
      </c>
      <c r="H2" s="627" t="s">
        <v>260</v>
      </c>
      <c r="I2" s="627" t="s">
        <v>239</v>
      </c>
      <c r="J2" s="519"/>
      <c r="K2" s="519" t="s">
        <v>290</v>
      </c>
      <c r="L2" s="519"/>
      <c r="M2" s="519" t="s">
        <v>289</v>
      </c>
      <c r="N2" s="519"/>
      <c r="O2" s="519" t="s">
        <v>291</v>
      </c>
      <c r="P2" s="519"/>
      <c r="Q2" s="627" t="s">
        <v>173</v>
      </c>
      <c r="R2" s="519"/>
      <c r="S2" s="627" t="s">
        <v>260</v>
      </c>
      <c r="T2" s="519"/>
      <c r="U2" s="632" t="s">
        <v>292</v>
      </c>
      <c r="V2" s="519"/>
      <c r="W2" s="519" t="s">
        <v>88</v>
      </c>
      <c r="X2" s="519"/>
      <c r="Y2" s="627" t="s">
        <v>44</v>
      </c>
      <c r="Z2" s="519"/>
      <c r="AA2" s="392" t="s">
        <v>48</v>
      </c>
      <c r="AB2" s="628" t="s">
        <v>89</v>
      </c>
      <c r="AC2" s="519"/>
      <c r="AD2" s="629" t="s">
        <v>72</v>
      </c>
      <c r="AE2" s="630" t="s">
        <v>136</v>
      </c>
      <c r="AF2" s="519"/>
      <c r="AG2" s="629" t="s">
        <v>71</v>
      </c>
      <c r="AH2" s="630" t="s">
        <v>137</v>
      </c>
      <c r="AI2" s="519"/>
      <c r="AJ2" s="617" t="s">
        <v>237</v>
      </c>
      <c r="AK2" s="630" t="s">
        <v>103</v>
      </c>
      <c r="AL2" s="519"/>
      <c r="AM2" s="519" t="s">
        <v>379</v>
      </c>
      <c r="AN2" s="519" t="s">
        <v>380</v>
      </c>
      <c r="AO2" s="519" t="s">
        <v>394</v>
      </c>
      <c r="AP2" s="519" t="s">
        <v>154</v>
      </c>
      <c r="AQ2" s="519"/>
      <c r="AR2" s="519" t="s">
        <v>379</v>
      </c>
      <c r="AS2" s="519"/>
      <c r="AT2" s="519" t="s">
        <v>394</v>
      </c>
      <c r="AU2" s="519"/>
      <c r="AV2" s="519" t="s">
        <v>379</v>
      </c>
      <c r="AW2" s="519" t="s">
        <v>398</v>
      </c>
      <c r="AX2" s="519"/>
      <c r="AY2" s="519"/>
      <c r="AZ2" s="628" t="s">
        <v>42</v>
      </c>
      <c r="BA2" s="519"/>
      <c r="BB2" s="628"/>
      <c r="BF2" s="632"/>
    </row>
    <row r="3" spans="1:58" s="382" customFormat="1" ht="15.6" x14ac:dyDescent="0.3">
      <c r="A3" s="633"/>
      <c r="B3" s="382" t="s">
        <v>242</v>
      </c>
      <c r="C3" s="633"/>
      <c r="D3" s="634" t="s">
        <v>243</v>
      </c>
      <c r="E3" s="633"/>
      <c r="F3" s="634" t="s">
        <v>244</v>
      </c>
      <c r="G3" s="397"/>
      <c r="H3" s="397">
        <v>3</v>
      </c>
      <c r="I3" s="397">
        <v>5</v>
      </c>
      <c r="J3" s="633"/>
      <c r="K3" s="286" t="str">
        <f>IF(UnDi00&lt;&gt;"",CoUD00&amp;". "&amp;UnDi00,"")</f>
        <v>UD00. pw</v>
      </c>
      <c r="L3" s="633"/>
      <c r="M3" s="286" t="str">
        <f>IF(ReAp01&lt;&gt;"",CoRA01&amp;". "&amp;ReAp01,"")</f>
        <v>RA01. RA01 --</v>
      </c>
      <c r="N3" s="633"/>
      <c r="O3" s="286" t="str">
        <f>IF(AlEs01="Alta",AlCo01&amp;". "&amp;AlNo01&amp;" "&amp;AlAp01,"")</f>
        <v>AN01. nom1 -- ap1 --</v>
      </c>
      <c r="P3" s="633"/>
      <c r="Q3" s="397"/>
      <c r="R3" s="633"/>
      <c r="S3" s="260">
        <v>3</v>
      </c>
      <c r="T3" s="633"/>
      <c r="U3" s="260"/>
      <c r="V3" s="633"/>
      <c r="W3" s="286" t="s">
        <v>315</v>
      </c>
      <c r="X3" s="633"/>
      <c r="Y3" s="397" t="s">
        <v>118</v>
      </c>
      <c r="Z3" s="633"/>
      <c r="AA3" s="635" t="s">
        <v>46</v>
      </c>
      <c r="AB3" s="636" t="s">
        <v>49</v>
      </c>
      <c r="AC3" s="633"/>
      <c r="AD3" s="260" t="s">
        <v>255</v>
      </c>
      <c r="AF3" s="633"/>
      <c r="AG3" s="138" t="s">
        <v>18</v>
      </c>
      <c r="AH3" s="637" t="s">
        <v>138</v>
      </c>
      <c r="AI3" s="633"/>
      <c r="AJ3" s="138">
        <v>4</v>
      </c>
      <c r="AK3" s="366" t="s">
        <v>104</v>
      </c>
      <c r="AL3" s="633"/>
      <c r="AM3" s="286">
        <v>7</v>
      </c>
      <c r="AN3" s="286">
        <f t="shared" ref="AN3:AN8" si="0">AñoInicioCurso</f>
        <v>2025</v>
      </c>
      <c r="AO3" s="382" t="s">
        <v>395</v>
      </c>
      <c r="AP3" s="382" t="s">
        <v>382</v>
      </c>
      <c r="AQ3" s="633"/>
      <c r="AR3" s="286">
        <v>1</v>
      </c>
      <c r="AS3" s="286">
        <f t="shared" ref="AS3:AS14" si="1">AñoInicioCurso</f>
        <v>2025</v>
      </c>
      <c r="AT3" s="382" t="s">
        <v>9</v>
      </c>
      <c r="AU3" s="633"/>
      <c r="AV3" s="286">
        <v>1</v>
      </c>
      <c r="AW3" s="286" t="s">
        <v>0</v>
      </c>
      <c r="AX3" s="286" t="s">
        <v>399</v>
      </c>
      <c r="AY3" s="633"/>
      <c r="AZ3" s="638" t="s">
        <v>141</v>
      </c>
      <c r="BA3" s="633"/>
    </row>
    <row r="4" spans="1:58" s="382" customFormat="1" ht="15.6" x14ac:dyDescent="0.3">
      <c r="A4" s="633"/>
      <c r="B4" s="639" t="s">
        <v>336</v>
      </c>
      <c r="C4" s="633"/>
      <c r="D4" s="634" t="s">
        <v>222</v>
      </c>
      <c r="E4" s="633"/>
      <c r="F4" s="634" t="s">
        <v>357</v>
      </c>
      <c r="G4" s="397">
        <v>289</v>
      </c>
      <c r="H4" s="397">
        <v>3</v>
      </c>
      <c r="I4" s="397">
        <v>9</v>
      </c>
      <c r="J4" s="633"/>
      <c r="K4" s="286" t="str">
        <f>IF(UnDi01&lt;&gt;"",CoUD01&amp;". "&amp;UnDi01,"")</f>
        <v>UD01. ysbu</v>
      </c>
      <c r="L4" s="633"/>
      <c r="M4" s="286" t="str">
        <f>IF(ReAp02&lt;&gt;"",CoRA02&amp;". "&amp;ReAp02,"")</f>
        <v>RA02. RA02 --</v>
      </c>
      <c r="N4" s="633"/>
      <c r="O4" s="286" t="str">
        <f>IF(AlEs02="Alta",AlCo02&amp;". "&amp;AlNo02&amp;" "&amp;AlAp02,"")</f>
        <v>AN02. nom2 -- ap2 --</v>
      </c>
      <c r="P4" s="633"/>
      <c r="Q4" s="397" t="s">
        <v>176</v>
      </c>
      <c r="R4" s="633"/>
      <c r="S4" s="260">
        <v>2</v>
      </c>
      <c r="T4" s="633"/>
      <c r="U4" s="260" t="s">
        <v>26</v>
      </c>
      <c r="V4" s="633"/>
      <c r="W4" s="286" t="s">
        <v>310</v>
      </c>
      <c r="X4" s="633"/>
      <c r="Y4" s="397" t="s">
        <v>106</v>
      </c>
      <c r="Z4" s="633"/>
      <c r="AA4" s="635" t="s">
        <v>37</v>
      </c>
      <c r="AB4" s="636" t="s">
        <v>50</v>
      </c>
      <c r="AC4" s="633"/>
      <c r="AD4" s="138" t="s">
        <v>67</v>
      </c>
      <c r="AE4" s="637" t="s">
        <v>21</v>
      </c>
      <c r="AF4" s="633"/>
      <c r="AG4" s="138" t="s">
        <v>19</v>
      </c>
      <c r="AH4" s="637" t="s">
        <v>139</v>
      </c>
      <c r="AI4" s="633"/>
      <c r="AJ4" s="138"/>
      <c r="AK4" s="366"/>
      <c r="AL4" s="633"/>
      <c r="AM4" s="286">
        <v>8</v>
      </c>
      <c r="AN4" s="286">
        <f t="shared" si="0"/>
        <v>2025</v>
      </c>
      <c r="AO4" s="382" t="s">
        <v>396</v>
      </c>
      <c r="AP4" s="382" t="s">
        <v>383</v>
      </c>
      <c r="AQ4" s="633"/>
      <c r="AR4" s="286">
        <v>2</v>
      </c>
      <c r="AS4" s="286">
        <f t="shared" si="1"/>
        <v>2025</v>
      </c>
      <c r="AT4" s="382" t="s">
        <v>10</v>
      </c>
      <c r="AU4" s="633"/>
      <c r="AV4" s="286">
        <v>2</v>
      </c>
      <c r="AW4" s="286" t="s">
        <v>1</v>
      </c>
      <c r="AX4" s="286" t="s">
        <v>400</v>
      </c>
      <c r="AY4" s="633"/>
      <c r="AZ4" s="638" t="s">
        <v>4</v>
      </c>
      <c r="BA4" s="633"/>
    </row>
    <row r="5" spans="1:58" s="382" customFormat="1" ht="15.6" x14ac:dyDescent="0.3">
      <c r="A5" s="633"/>
      <c r="B5" s="639"/>
      <c r="C5" s="633"/>
      <c r="D5" s="634" t="s">
        <v>223</v>
      </c>
      <c r="E5" s="633"/>
      <c r="F5" s="634" t="s">
        <v>358</v>
      </c>
      <c r="G5" s="397">
        <v>220</v>
      </c>
      <c r="H5" s="397">
        <v>3</v>
      </c>
      <c r="I5" s="397">
        <v>7</v>
      </c>
      <c r="J5" s="633"/>
      <c r="K5" s="788" t="str">
        <f>IF(UnDi02&lt;&gt;"",CoUD02&amp;". "&amp;UnDi02,"")</f>
        <v xml:space="preserve">UD02. sdfdfasdfdsa </v>
      </c>
      <c r="L5" s="633"/>
      <c r="M5" s="788" t="str">
        <f>IF(ReAp03&lt;&gt;"",CoRA03&amp;". "&amp;ReAp03,"")</f>
        <v>RA03. RA03 --</v>
      </c>
      <c r="N5" s="633"/>
      <c r="O5" s="286" t="str">
        <f>IF(AlEs03="Alta",AlCo03&amp;". "&amp;AlNo03&amp;" "&amp;AlAp03,"")</f>
        <v>AN03. nom3 -- ap3 --</v>
      </c>
      <c r="P5" s="633"/>
      <c r="Q5" s="397" t="s">
        <v>175</v>
      </c>
      <c r="R5" s="633"/>
      <c r="S5" s="633"/>
      <c r="T5" s="633"/>
      <c r="U5" s="633"/>
      <c r="V5" s="633"/>
      <c r="W5" s="633"/>
      <c r="X5" s="633"/>
      <c r="Y5" s="397" t="s">
        <v>107</v>
      </c>
      <c r="Z5" s="633"/>
      <c r="AA5" s="635" t="s">
        <v>47</v>
      </c>
      <c r="AB5" s="636" t="s">
        <v>51</v>
      </c>
      <c r="AC5" s="633"/>
      <c r="AD5" s="138" t="s">
        <v>68</v>
      </c>
      <c r="AE5" s="637" t="s">
        <v>135</v>
      </c>
      <c r="AF5" s="633"/>
      <c r="AG5" s="138" t="s">
        <v>20</v>
      </c>
      <c r="AH5" s="637" t="s">
        <v>177</v>
      </c>
      <c r="AI5" s="633"/>
      <c r="AL5" s="633"/>
      <c r="AM5" s="286">
        <v>9</v>
      </c>
      <c r="AN5" s="286">
        <f t="shared" si="0"/>
        <v>2025</v>
      </c>
      <c r="AO5" s="382" t="s">
        <v>5</v>
      </c>
      <c r="AP5" s="382" t="s">
        <v>384</v>
      </c>
      <c r="AQ5" s="633"/>
      <c r="AR5" s="286">
        <v>3</v>
      </c>
      <c r="AS5" s="286">
        <f t="shared" si="1"/>
        <v>2025</v>
      </c>
      <c r="AT5" s="382" t="s">
        <v>1</v>
      </c>
      <c r="AU5" s="633"/>
      <c r="AV5" s="286">
        <v>3</v>
      </c>
      <c r="AW5" s="286" t="s">
        <v>27</v>
      </c>
      <c r="AX5" s="286" t="s">
        <v>401</v>
      </c>
      <c r="AY5" s="633"/>
      <c r="AZ5" s="286"/>
      <c r="BA5" s="633"/>
    </row>
    <row r="6" spans="1:58" s="382" customFormat="1" ht="15.6" x14ac:dyDescent="0.3">
      <c r="A6" s="633"/>
      <c r="B6" s="639"/>
      <c r="C6" s="633"/>
      <c r="D6" s="634" t="s">
        <v>235</v>
      </c>
      <c r="E6" s="633"/>
      <c r="F6" s="634" t="s">
        <v>359</v>
      </c>
      <c r="G6" s="397">
        <v>95</v>
      </c>
      <c r="H6" s="397">
        <v>3</v>
      </c>
      <c r="I6" s="260">
        <v>3</v>
      </c>
      <c r="J6" s="633"/>
      <c r="K6" s="286" t="str">
        <f>IF(UnDi03&lt;&gt;"",CoUD03&amp;". "&amp;UnDi03,"")</f>
        <v/>
      </c>
      <c r="L6" s="633"/>
      <c r="M6" s="286" t="str">
        <f>IF(ReAp04&lt;&gt;"",CoRA04&amp;". "&amp;ReAp04,"")</f>
        <v>RA04. RA04 --</v>
      </c>
      <c r="N6" s="633"/>
      <c r="O6" s="286" t="str">
        <f>IF(AlEs04="Alta",AlCo04&amp;". "&amp;AlNo04&amp;" "&amp;AlAp04,"")</f>
        <v>AN04. nom4 -- ap4 --</v>
      </c>
      <c r="P6" s="633"/>
      <c r="Q6" s="397" t="s">
        <v>174</v>
      </c>
      <c r="R6" s="633"/>
      <c r="S6" s="260"/>
      <c r="T6" s="633"/>
      <c r="U6" s="260"/>
      <c r="V6" s="633"/>
      <c r="W6" s="286"/>
      <c r="X6" s="633"/>
      <c r="Y6" s="397" t="s">
        <v>108</v>
      </c>
      <c r="Z6" s="633"/>
      <c r="AA6" s="635" t="s">
        <v>95</v>
      </c>
      <c r="AB6" s="636" t="s">
        <v>24</v>
      </c>
      <c r="AC6" s="633"/>
      <c r="AD6" s="138" t="s">
        <v>69</v>
      </c>
      <c r="AE6" s="637" t="s">
        <v>133</v>
      </c>
      <c r="AF6" s="633"/>
      <c r="AG6" s="138"/>
      <c r="AH6" s="637"/>
      <c r="AI6" s="633"/>
      <c r="AL6" s="633"/>
      <c r="AM6" s="286">
        <v>10</v>
      </c>
      <c r="AN6" s="286">
        <f t="shared" si="0"/>
        <v>2025</v>
      </c>
      <c r="AO6" s="382" t="s">
        <v>6</v>
      </c>
      <c r="AP6" s="382" t="s">
        <v>385</v>
      </c>
      <c r="AQ6" s="633"/>
      <c r="AR6" s="286">
        <v>4</v>
      </c>
      <c r="AS6" s="286">
        <f t="shared" si="1"/>
        <v>2025</v>
      </c>
      <c r="AT6" s="382" t="s">
        <v>11</v>
      </c>
      <c r="AU6" s="633"/>
      <c r="AV6" s="286">
        <v>4</v>
      </c>
      <c r="AW6" s="286" t="s">
        <v>2</v>
      </c>
      <c r="AX6" s="286" t="s">
        <v>402</v>
      </c>
      <c r="AY6" s="633"/>
      <c r="BA6" s="633"/>
    </row>
    <row r="7" spans="1:58" s="382" customFormat="1" ht="15.6" x14ac:dyDescent="0.3">
      <c r="A7" s="633"/>
      <c r="B7" s="639"/>
      <c r="C7" s="633"/>
      <c r="D7" s="634" t="s">
        <v>224</v>
      </c>
      <c r="E7" s="633"/>
      <c r="F7" s="634" t="s">
        <v>360</v>
      </c>
      <c r="G7" s="397">
        <v>33</v>
      </c>
      <c r="H7" s="397">
        <v>3</v>
      </c>
      <c r="I7" s="260">
        <v>1</v>
      </c>
      <c r="J7" s="633"/>
      <c r="K7" s="286" t="str">
        <f>IF(UnDi04&lt;&gt;"",CoUD04&amp;". "&amp;UnDi04,"")</f>
        <v/>
      </c>
      <c r="L7" s="633"/>
      <c r="M7" s="286" t="str">
        <f>IF(ReAp05&lt;&gt;"",CoRA05&amp;". "&amp;ReAp05,"")</f>
        <v>RA05. RA05 --</v>
      </c>
      <c r="N7" s="633"/>
      <c r="O7" s="788" t="str">
        <f>IF(AlEs05="Alta",AlCo05&amp;". "&amp;AlNo05&amp;" "&amp;AlAp05,"")</f>
        <v>AN05. nom5----- ap5----</v>
      </c>
      <c r="P7" s="633"/>
      <c r="Q7" s="397" t="s">
        <v>245</v>
      </c>
      <c r="R7" s="633"/>
      <c r="S7" s="260"/>
      <c r="T7" s="633"/>
      <c r="U7" s="260"/>
      <c r="V7" s="633"/>
      <c r="W7" s="286"/>
      <c r="X7" s="633"/>
      <c r="Y7" s="260" t="s">
        <v>109</v>
      </c>
      <c r="Z7" s="633"/>
      <c r="AA7" s="260" t="s">
        <v>90</v>
      </c>
      <c r="AB7" s="382" t="s">
        <v>78</v>
      </c>
      <c r="AC7" s="633"/>
      <c r="AD7" s="138" t="s">
        <v>70</v>
      </c>
      <c r="AE7" s="637" t="s">
        <v>134</v>
      </c>
      <c r="AF7" s="633"/>
      <c r="AI7" s="633"/>
      <c r="AL7" s="633"/>
      <c r="AM7" s="286">
        <v>11</v>
      </c>
      <c r="AN7" s="286">
        <f t="shared" si="0"/>
        <v>2025</v>
      </c>
      <c r="AO7" s="382" t="s">
        <v>7</v>
      </c>
      <c r="AP7" s="382" t="s">
        <v>386</v>
      </c>
      <c r="AQ7" s="633"/>
      <c r="AR7" s="286">
        <v>5</v>
      </c>
      <c r="AS7" s="286">
        <f t="shared" si="1"/>
        <v>2025</v>
      </c>
      <c r="AT7" s="382" t="s">
        <v>12</v>
      </c>
      <c r="AU7" s="633"/>
      <c r="AV7" s="286">
        <v>5</v>
      </c>
      <c r="AW7" s="286" t="s">
        <v>3</v>
      </c>
      <c r="AX7" s="286" t="s">
        <v>403</v>
      </c>
      <c r="AY7" s="633"/>
      <c r="BA7" s="633"/>
    </row>
    <row r="8" spans="1:58" s="382" customFormat="1" ht="15.6" customHeight="1" x14ac:dyDescent="0.3">
      <c r="A8" s="633"/>
      <c r="B8" s="639"/>
      <c r="C8" s="633"/>
      <c r="D8" s="634" t="s">
        <v>225</v>
      </c>
      <c r="E8" s="633"/>
      <c r="F8" s="634" t="s">
        <v>361</v>
      </c>
      <c r="G8" s="397">
        <v>208</v>
      </c>
      <c r="H8" s="397">
        <v>2</v>
      </c>
      <c r="I8" s="397">
        <v>8</v>
      </c>
      <c r="J8" s="633"/>
      <c r="K8" s="788" t="str">
        <f>IF(UnDi05&lt;&gt;"",CoUD05&amp;". "&amp;UnDi05,"")</f>
        <v/>
      </c>
      <c r="L8" s="633"/>
      <c r="M8" s="788" t="str">
        <f>IF(ReAp06&lt;&gt;"",CoRA06&amp;". "&amp;ReAp06,"")</f>
        <v>RA06. RA06 --</v>
      </c>
      <c r="N8" s="633"/>
      <c r="O8" s="286" t="str">
        <f>IF(AlEs06="Alta",AlCo06&amp;". "&amp;AlNo06&amp;" "&amp;AlAp06,"")</f>
        <v>AN06. nom6----- ap6------</v>
      </c>
      <c r="P8" s="633"/>
      <c r="Q8" s="633"/>
      <c r="R8" s="633"/>
      <c r="S8" s="260"/>
      <c r="T8" s="633"/>
      <c r="U8" s="260"/>
      <c r="V8" s="633"/>
      <c r="W8" s="286"/>
      <c r="X8" s="633"/>
      <c r="Y8" s="260" t="s">
        <v>110</v>
      </c>
      <c r="Z8" s="633"/>
      <c r="AA8" s="263" t="s">
        <v>91</v>
      </c>
      <c r="AB8" s="382" t="s">
        <v>79</v>
      </c>
      <c r="AC8" s="633"/>
      <c r="AE8" s="637"/>
      <c r="AF8" s="633"/>
      <c r="AI8" s="633"/>
      <c r="AL8" s="633"/>
      <c r="AM8" s="788">
        <v>12</v>
      </c>
      <c r="AN8" s="788">
        <f t="shared" si="0"/>
        <v>2025</v>
      </c>
      <c r="AO8" s="969" t="s">
        <v>8</v>
      </c>
      <c r="AP8" s="969" t="s">
        <v>387</v>
      </c>
      <c r="AQ8" s="633"/>
      <c r="AR8" s="788">
        <v>6</v>
      </c>
      <c r="AS8" s="788">
        <f t="shared" si="1"/>
        <v>2025</v>
      </c>
      <c r="AT8" s="969" t="s">
        <v>13</v>
      </c>
      <c r="AU8" s="633"/>
      <c r="AV8" s="286">
        <v>6</v>
      </c>
      <c r="AW8" s="286" t="s">
        <v>397</v>
      </c>
      <c r="AX8" s="286" t="s">
        <v>404</v>
      </c>
      <c r="AY8" s="633"/>
      <c r="BA8" s="633"/>
    </row>
    <row r="9" spans="1:58" s="382" customFormat="1" ht="15.6" x14ac:dyDescent="0.3">
      <c r="A9" s="633"/>
      <c r="B9" s="639"/>
      <c r="C9" s="633"/>
      <c r="D9" s="634" t="s">
        <v>226</v>
      </c>
      <c r="E9" s="633"/>
      <c r="F9" s="634" t="s">
        <v>362</v>
      </c>
      <c r="G9" s="397">
        <v>180</v>
      </c>
      <c r="H9" s="397">
        <v>2</v>
      </c>
      <c r="I9" s="397">
        <v>7</v>
      </c>
      <c r="J9" s="633"/>
      <c r="K9" s="286" t="str">
        <f>IF(UnDi06&lt;&gt;"",CoUD06&amp;". "&amp;UnDi06,"")</f>
        <v/>
      </c>
      <c r="L9" s="633"/>
      <c r="M9" s="286" t="str">
        <f>IF(ReAp07&lt;&gt;"",CoRA07&amp;". "&amp;ReAp07,"")</f>
        <v/>
      </c>
      <c r="N9" s="633"/>
      <c r="O9" s="286" t="str">
        <f>IF(AlEs07="Alta",AlCo07&amp;". "&amp;AlNo07&amp;" "&amp;AlAp07,"")</f>
        <v/>
      </c>
      <c r="P9" s="633"/>
      <c r="Q9" s="260"/>
      <c r="R9" s="633"/>
      <c r="S9" s="260"/>
      <c r="T9" s="633"/>
      <c r="U9" s="260"/>
      <c r="V9" s="633"/>
      <c r="W9" s="286"/>
      <c r="X9" s="633"/>
      <c r="Y9" s="260" t="s">
        <v>111</v>
      </c>
      <c r="Z9" s="633"/>
      <c r="AA9" s="260" t="s">
        <v>92</v>
      </c>
      <c r="AB9" s="382" t="s">
        <v>80</v>
      </c>
      <c r="AC9" s="633"/>
      <c r="AE9" s="637"/>
      <c r="AF9" s="633"/>
      <c r="AI9" s="633"/>
      <c r="AL9" s="633"/>
      <c r="AM9" s="286">
        <v>1</v>
      </c>
      <c r="AN9" s="286">
        <f t="shared" ref="AN9:AN14" si="2">AñoInicioCurso+1</f>
        <v>2026</v>
      </c>
      <c r="AO9" s="382" t="s">
        <v>9</v>
      </c>
      <c r="AP9" s="382" t="s">
        <v>388</v>
      </c>
      <c r="AQ9" s="633"/>
      <c r="AR9" s="286">
        <v>7</v>
      </c>
      <c r="AS9" s="286">
        <f t="shared" si="1"/>
        <v>2025</v>
      </c>
      <c r="AT9" s="382" t="s">
        <v>395</v>
      </c>
      <c r="AU9" s="633"/>
      <c r="AV9" s="286">
        <v>7</v>
      </c>
      <c r="AW9" s="286" t="s">
        <v>29</v>
      </c>
      <c r="AX9" s="286" t="s">
        <v>405</v>
      </c>
      <c r="AY9" s="633"/>
      <c r="BA9" s="633"/>
    </row>
    <row r="10" spans="1:58" s="382" customFormat="1" ht="15.6" x14ac:dyDescent="0.3">
      <c r="A10" s="633"/>
      <c r="B10" s="639"/>
      <c r="C10" s="633"/>
      <c r="D10" s="634" t="s">
        <v>236</v>
      </c>
      <c r="E10" s="633"/>
      <c r="F10" s="874" t="s">
        <v>363</v>
      </c>
      <c r="G10" s="397">
        <v>128</v>
      </c>
      <c r="H10" s="397">
        <v>3</v>
      </c>
      <c r="I10" s="397">
        <v>4</v>
      </c>
      <c r="J10" s="633"/>
      <c r="K10" s="286" t="str">
        <f>IF(UnDi07&lt;&gt;"",CoUD07&amp;". "&amp;UnDi07,"")</f>
        <v/>
      </c>
      <c r="L10" s="633"/>
      <c r="M10" s="286" t="str">
        <f>IF(ReAp08&lt;&gt;"",CoRA08&amp;". "&amp;ReAp08,"")</f>
        <v/>
      </c>
      <c r="N10" s="633"/>
      <c r="O10" s="286" t="str">
        <f>IF(AlEs08="Alta",AlCo08&amp;". "&amp;AlNo08&amp;" "&amp;AlAp08,"")</f>
        <v/>
      </c>
      <c r="P10" s="633"/>
      <c r="Q10" s="260"/>
      <c r="R10" s="633"/>
      <c r="S10" s="260"/>
      <c r="T10" s="633"/>
      <c r="U10" s="260"/>
      <c r="V10" s="633"/>
      <c r="W10" s="286"/>
      <c r="X10" s="633"/>
      <c r="Y10" s="260" t="s">
        <v>112</v>
      </c>
      <c r="Z10" s="633"/>
      <c r="AA10" s="260" t="s">
        <v>93</v>
      </c>
      <c r="AB10" s="382" t="s">
        <v>81</v>
      </c>
      <c r="AC10" s="633"/>
      <c r="AE10" s="637"/>
      <c r="AF10" s="633"/>
      <c r="AI10" s="633"/>
      <c r="AL10" s="633"/>
      <c r="AM10" s="286">
        <v>2</v>
      </c>
      <c r="AN10" s="286">
        <f t="shared" si="2"/>
        <v>2026</v>
      </c>
      <c r="AO10" s="382" t="s">
        <v>10</v>
      </c>
      <c r="AP10" s="382" t="s">
        <v>389</v>
      </c>
      <c r="AQ10" s="633"/>
      <c r="AR10" s="286">
        <v>8</v>
      </c>
      <c r="AS10" s="286">
        <f t="shared" si="1"/>
        <v>2025</v>
      </c>
      <c r="AT10" s="382" t="s">
        <v>396</v>
      </c>
      <c r="AU10" s="633"/>
      <c r="AV10" s="286"/>
      <c r="AW10" s="286"/>
      <c r="AX10" s="286"/>
      <c r="AY10" s="633"/>
      <c r="BA10" s="633"/>
    </row>
    <row r="11" spans="1:58" s="382" customFormat="1" ht="15.6" x14ac:dyDescent="0.3">
      <c r="A11" s="633"/>
      <c r="C11" s="633"/>
      <c r="D11" s="634" t="s">
        <v>227</v>
      </c>
      <c r="E11" s="633"/>
      <c r="F11" s="874" t="s">
        <v>364</v>
      </c>
      <c r="G11" s="397">
        <v>126</v>
      </c>
      <c r="H11" s="397">
        <v>2</v>
      </c>
      <c r="I11" s="397">
        <v>6</v>
      </c>
      <c r="J11" s="633"/>
      <c r="K11" s="788" t="str">
        <f>IF(UnDi08&lt;&gt;"",CoUD08&amp;". "&amp;UnDi08,"")</f>
        <v/>
      </c>
      <c r="L11" s="633"/>
      <c r="M11" s="788" t="str">
        <f>IF(ReAp09&lt;&gt;"",CoRA09&amp;". "&amp;ReAp09,"")</f>
        <v/>
      </c>
      <c r="N11" s="633"/>
      <c r="O11" s="286" t="str">
        <f>IF(AlEs09="Alta",AlCo09&amp;". "&amp;AlNo09&amp;" "&amp;AlAp09,"")</f>
        <v/>
      </c>
      <c r="P11" s="633"/>
      <c r="Q11" s="260"/>
      <c r="R11" s="633"/>
      <c r="S11" s="260"/>
      <c r="T11" s="633"/>
      <c r="U11" s="260"/>
      <c r="V11" s="633"/>
      <c r="W11" s="286"/>
      <c r="X11" s="633"/>
      <c r="Y11" s="260" t="s">
        <v>113</v>
      </c>
      <c r="Z11" s="633"/>
      <c r="AA11" s="260" t="s">
        <v>96</v>
      </c>
      <c r="AB11" s="382" t="s">
        <v>82</v>
      </c>
      <c r="AC11" s="633"/>
      <c r="AE11" s="637"/>
      <c r="AF11" s="633"/>
      <c r="AI11" s="633"/>
      <c r="AL11" s="633"/>
      <c r="AM11" s="286">
        <v>3</v>
      </c>
      <c r="AN11" s="286">
        <f t="shared" si="2"/>
        <v>2026</v>
      </c>
      <c r="AO11" s="382" t="s">
        <v>1</v>
      </c>
      <c r="AP11" s="382" t="s">
        <v>390</v>
      </c>
      <c r="AQ11" s="633"/>
      <c r="AR11" s="286">
        <v>9</v>
      </c>
      <c r="AS11" s="286">
        <f t="shared" si="1"/>
        <v>2025</v>
      </c>
      <c r="AT11" s="382" t="s">
        <v>5</v>
      </c>
      <c r="AU11" s="633"/>
      <c r="AV11" s="286"/>
      <c r="AW11" s="286"/>
      <c r="AX11" s="286"/>
      <c r="AY11" s="633"/>
      <c r="BA11" s="633"/>
      <c r="BF11" s="260"/>
    </row>
    <row r="12" spans="1:58" s="382" customFormat="1" ht="15.6" x14ac:dyDescent="0.3">
      <c r="A12" s="633"/>
      <c r="C12" s="633"/>
      <c r="D12" s="634" t="s">
        <v>228</v>
      </c>
      <c r="E12" s="633"/>
      <c r="F12" s="874" t="s">
        <v>365</v>
      </c>
      <c r="G12" s="397">
        <v>192</v>
      </c>
      <c r="H12" s="397">
        <v>3</v>
      </c>
      <c r="I12" s="397">
        <v>6</v>
      </c>
      <c r="J12" s="633"/>
      <c r="K12" s="286" t="str">
        <f>IF(UnDi09&lt;&gt;"",CoUD09&amp;". "&amp;UnDi09,"")</f>
        <v/>
      </c>
      <c r="L12" s="633"/>
      <c r="M12" s="286" t="str">
        <f>IF(ReAp10&lt;&gt;"",CoRA10&amp;". "&amp;ReAp10,"")</f>
        <v/>
      </c>
      <c r="N12" s="633"/>
      <c r="O12" s="788" t="str">
        <f>IF(AlEs10="Alta",AlCo10&amp;". "&amp;AlNo10&amp;" "&amp;AlAp10,"")</f>
        <v/>
      </c>
      <c r="P12" s="633"/>
      <c r="Q12" s="260"/>
      <c r="R12" s="633"/>
      <c r="S12" s="260"/>
      <c r="T12" s="633"/>
      <c r="U12" s="260"/>
      <c r="V12" s="633"/>
      <c r="W12" s="286"/>
      <c r="X12" s="633"/>
      <c r="Y12" s="260" t="s">
        <v>114</v>
      </c>
      <c r="Z12" s="633"/>
      <c r="AA12" s="260" t="s">
        <v>97</v>
      </c>
      <c r="AB12" s="382" t="s">
        <v>83</v>
      </c>
      <c r="AC12" s="633"/>
      <c r="AE12" s="637"/>
      <c r="AF12" s="633"/>
      <c r="AI12" s="633"/>
      <c r="AL12" s="633"/>
      <c r="AM12" s="286">
        <v>4</v>
      </c>
      <c r="AN12" s="286">
        <f t="shared" si="2"/>
        <v>2026</v>
      </c>
      <c r="AO12" s="382" t="s">
        <v>11</v>
      </c>
      <c r="AP12" s="382" t="s">
        <v>391</v>
      </c>
      <c r="AQ12" s="633"/>
      <c r="AR12" s="286">
        <v>10</v>
      </c>
      <c r="AS12" s="286">
        <f t="shared" si="1"/>
        <v>2025</v>
      </c>
      <c r="AT12" s="382" t="s">
        <v>6</v>
      </c>
      <c r="AU12" s="633"/>
      <c r="AV12" s="286"/>
      <c r="AW12" s="286"/>
      <c r="AX12" s="286"/>
      <c r="AY12" s="633"/>
      <c r="BA12" s="633"/>
      <c r="BF12" s="260"/>
    </row>
    <row r="13" spans="1:58" s="382" customFormat="1" ht="15.6" x14ac:dyDescent="0.3">
      <c r="A13" s="633"/>
      <c r="C13" s="633"/>
      <c r="D13" s="634" t="s">
        <v>229</v>
      </c>
      <c r="E13" s="633"/>
      <c r="F13" s="874" t="s">
        <v>366</v>
      </c>
      <c r="G13" s="397">
        <v>128</v>
      </c>
      <c r="H13" s="397">
        <v>3</v>
      </c>
      <c r="I13" s="397">
        <v>4</v>
      </c>
      <c r="J13" s="633"/>
      <c r="K13" s="286" t="str">
        <f>IF(UnDi10&lt;&gt;"",CoUD10&amp;". "&amp;UnDi10,"")</f>
        <v/>
      </c>
      <c r="L13" s="633"/>
      <c r="M13" s="286" t="str">
        <f>IF(ReAp11&lt;&gt;"",CoRA11&amp;". "&amp;ReAp11,"")</f>
        <v/>
      </c>
      <c r="N13" s="633"/>
      <c r="O13" s="286" t="str">
        <f>IF(AlEs11="Alta",AlCo11&amp;". "&amp;AlNo11&amp;" "&amp;AlAp11,"")</f>
        <v/>
      </c>
      <c r="P13" s="633"/>
      <c r="Q13" s="260"/>
      <c r="R13" s="633"/>
      <c r="S13" s="260"/>
      <c r="T13" s="633"/>
      <c r="U13" s="260"/>
      <c r="V13" s="633"/>
      <c r="W13" s="286"/>
      <c r="X13" s="633"/>
      <c r="Y13" s="260" t="s">
        <v>115</v>
      </c>
      <c r="Z13" s="633"/>
      <c r="AA13" s="260" t="s">
        <v>98</v>
      </c>
      <c r="AB13" s="382" t="s">
        <v>84</v>
      </c>
      <c r="AC13" s="633"/>
      <c r="AE13" s="637"/>
      <c r="AF13" s="633"/>
      <c r="AI13" s="633"/>
      <c r="AL13" s="633"/>
      <c r="AM13" s="286">
        <v>5</v>
      </c>
      <c r="AN13" s="286">
        <f t="shared" si="2"/>
        <v>2026</v>
      </c>
      <c r="AO13" s="382" t="s">
        <v>12</v>
      </c>
      <c r="AP13" s="382" t="s">
        <v>392</v>
      </c>
      <c r="AQ13" s="633"/>
      <c r="AR13" s="286">
        <v>11</v>
      </c>
      <c r="AS13" s="286">
        <f t="shared" si="1"/>
        <v>2025</v>
      </c>
      <c r="AT13" s="382" t="s">
        <v>7</v>
      </c>
      <c r="AU13" s="633"/>
      <c r="AV13" s="286"/>
      <c r="AW13" s="286"/>
      <c r="AX13" s="286"/>
      <c r="AY13" s="633"/>
      <c r="BA13" s="633"/>
      <c r="BF13" s="260"/>
    </row>
    <row r="14" spans="1:58" s="382" customFormat="1" ht="15.6" x14ac:dyDescent="0.3">
      <c r="A14" s="633"/>
      <c r="C14" s="633"/>
      <c r="D14" s="634" t="s">
        <v>230</v>
      </c>
      <c r="E14" s="633"/>
      <c r="F14" s="874" t="s">
        <v>367</v>
      </c>
      <c r="G14" s="397">
        <v>224</v>
      </c>
      <c r="H14" s="397">
        <v>3</v>
      </c>
      <c r="I14" s="397">
        <v>7</v>
      </c>
      <c r="J14" s="633"/>
      <c r="K14" s="788" t="str">
        <f>IF(UnDi11&lt;&gt;"",CoUD11&amp;". "&amp;UnDi11,"")</f>
        <v/>
      </c>
      <c r="L14" s="633"/>
      <c r="M14" s="788" t="str">
        <f>IF(ReAp12&lt;&gt;"",CoRA12&amp;". "&amp;ReAp12,"")</f>
        <v/>
      </c>
      <c r="N14" s="633"/>
      <c r="O14" s="286" t="str">
        <f>IF(AlEs12="Alta",AlCo12&amp;". "&amp;AlNo12&amp;" "&amp;AlAp12,"")</f>
        <v/>
      </c>
      <c r="P14" s="633"/>
      <c r="Q14" s="260"/>
      <c r="R14" s="633"/>
      <c r="S14" s="260"/>
      <c r="T14" s="633"/>
      <c r="U14" s="260"/>
      <c r="V14" s="633"/>
      <c r="W14" s="286"/>
      <c r="X14" s="633"/>
      <c r="Y14" s="260" t="s">
        <v>116</v>
      </c>
      <c r="Z14" s="633"/>
      <c r="AA14" s="260" t="s">
        <v>99</v>
      </c>
      <c r="AB14" s="382" t="s">
        <v>85</v>
      </c>
      <c r="AC14" s="633"/>
      <c r="AE14" s="637"/>
      <c r="AF14" s="633"/>
      <c r="AI14" s="633"/>
      <c r="AL14" s="633"/>
      <c r="AM14" s="788">
        <v>6</v>
      </c>
      <c r="AN14" s="788">
        <f t="shared" si="2"/>
        <v>2026</v>
      </c>
      <c r="AO14" s="969" t="s">
        <v>13</v>
      </c>
      <c r="AP14" s="969" t="s">
        <v>393</v>
      </c>
      <c r="AQ14" s="633"/>
      <c r="AR14" s="788">
        <v>12</v>
      </c>
      <c r="AS14" s="788">
        <f t="shared" si="1"/>
        <v>2025</v>
      </c>
      <c r="AT14" s="969" t="s">
        <v>8</v>
      </c>
      <c r="AU14" s="633"/>
      <c r="AV14" s="286"/>
      <c r="AW14" s="286"/>
      <c r="AX14" s="286"/>
      <c r="AY14" s="633"/>
      <c r="BA14" s="633"/>
      <c r="BF14" s="260"/>
    </row>
    <row r="15" spans="1:58" s="382" customFormat="1" ht="15.6" x14ac:dyDescent="0.3">
      <c r="A15" s="633"/>
      <c r="C15" s="633"/>
      <c r="D15" s="634" t="s">
        <v>231</v>
      </c>
      <c r="E15" s="633"/>
      <c r="F15" s="874" t="s">
        <v>368</v>
      </c>
      <c r="G15" s="397">
        <v>192</v>
      </c>
      <c r="H15" s="397">
        <v>3</v>
      </c>
      <c r="I15" s="397">
        <v>6</v>
      </c>
      <c r="J15" s="633"/>
      <c r="K15" s="286" t="str">
        <f>IF(UnDi12&lt;&gt;"",CoUD12&amp;". "&amp;UnDi12,"")</f>
        <v/>
      </c>
      <c r="L15" s="633"/>
      <c r="M15" s="633"/>
      <c r="N15" s="633"/>
      <c r="O15" s="286" t="str">
        <f>IF(AlEs13="Alta",AlCo13&amp;". "&amp;AlNo13&amp;" "&amp;AlAp13,"")</f>
        <v/>
      </c>
      <c r="P15" s="633"/>
      <c r="Q15" s="260"/>
      <c r="R15" s="633"/>
      <c r="S15" s="260"/>
      <c r="T15" s="633"/>
      <c r="U15" s="260"/>
      <c r="V15" s="633"/>
      <c r="W15" s="286"/>
      <c r="X15" s="633"/>
      <c r="Y15" s="260" t="s">
        <v>117</v>
      </c>
      <c r="Z15" s="633"/>
      <c r="AA15" s="260" t="s">
        <v>100</v>
      </c>
      <c r="AB15" s="382" t="s">
        <v>86</v>
      </c>
      <c r="AC15" s="633"/>
      <c r="AE15" s="637"/>
      <c r="AF15" s="633"/>
      <c r="AI15" s="633"/>
      <c r="AL15" s="633"/>
      <c r="AQ15" s="633"/>
      <c r="AR15" s="286">
        <v>13</v>
      </c>
      <c r="AS15" s="286">
        <f t="shared" ref="AS15:AS26" si="3">AñoInicioCurso+1</f>
        <v>2026</v>
      </c>
      <c r="AT15" s="382" t="s">
        <v>9</v>
      </c>
      <c r="AU15" s="633"/>
      <c r="AV15" s="286"/>
      <c r="AW15" s="286"/>
      <c r="AX15" s="286"/>
      <c r="AY15" s="633"/>
      <c r="BA15" s="633"/>
      <c r="BF15" s="260"/>
    </row>
    <row r="16" spans="1:58" s="382" customFormat="1" ht="15.6" x14ac:dyDescent="0.3">
      <c r="A16" s="633"/>
      <c r="C16" s="633"/>
      <c r="D16" s="634" t="s">
        <v>232</v>
      </c>
      <c r="E16" s="633"/>
      <c r="F16" s="874" t="s">
        <v>369</v>
      </c>
      <c r="G16" s="397">
        <v>147</v>
      </c>
      <c r="H16" s="397">
        <v>2</v>
      </c>
      <c r="I16" s="397">
        <v>7</v>
      </c>
      <c r="J16" s="633"/>
      <c r="K16" s="286" t="str">
        <f>IF(UnDi13&lt;&gt;"",CoUD13&amp;". "&amp;UnDi13,"")</f>
        <v/>
      </c>
      <c r="L16" s="633"/>
      <c r="M16" s="286"/>
      <c r="N16" s="633"/>
      <c r="O16" s="286" t="str">
        <f>IF(AlEs14="Alta",AlCo14&amp;". "&amp;AlNo14&amp;" "&amp;AlAp14,"")</f>
        <v/>
      </c>
      <c r="P16" s="633"/>
      <c r="Q16" s="260"/>
      <c r="R16" s="633"/>
      <c r="S16" s="260"/>
      <c r="T16" s="633"/>
      <c r="U16" s="260"/>
      <c r="V16" s="633"/>
      <c r="W16" s="286"/>
      <c r="X16" s="633"/>
      <c r="Y16" s="260" t="s">
        <v>59</v>
      </c>
      <c r="Z16" s="633"/>
      <c r="AA16" s="260" t="s">
        <v>94</v>
      </c>
      <c r="AB16" s="382" t="s">
        <v>87</v>
      </c>
      <c r="AC16" s="633"/>
      <c r="AE16" s="637"/>
      <c r="AF16" s="633"/>
      <c r="AI16" s="633"/>
      <c r="AL16" s="633"/>
      <c r="AQ16" s="633"/>
      <c r="AR16" s="286">
        <v>14</v>
      </c>
      <c r="AS16" s="286">
        <f t="shared" si="3"/>
        <v>2026</v>
      </c>
      <c r="AT16" s="382" t="s">
        <v>10</v>
      </c>
      <c r="AU16" s="633"/>
      <c r="AV16" s="286"/>
      <c r="AW16" s="286"/>
      <c r="AX16" s="286"/>
      <c r="AY16" s="633"/>
      <c r="BA16" s="633"/>
      <c r="BF16" s="260"/>
    </row>
    <row r="17" spans="1:58" s="382" customFormat="1" ht="15.6" x14ac:dyDescent="0.3">
      <c r="A17" s="633"/>
      <c r="C17" s="633"/>
      <c r="D17" s="634" t="s">
        <v>233</v>
      </c>
      <c r="E17" s="633"/>
      <c r="F17" s="874" t="s">
        <v>370</v>
      </c>
      <c r="G17" s="397">
        <v>147</v>
      </c>
      <c r="H17" s="397">
        <v>2</v>
      </c>
      <c r="I17" s="397">
        <v>7</v>
      </c>
      <c r="J17" s="633"/>
      <c r="K17" s="788" t="str">
        <f>IF(UnDi14&lt;&gt;"",CoUD14&amp;". "&amp;UnDi14,"")</f>
        <v/>
      </c>
      <c r="L17" s="633"/>
      <c r="M17" s="286"/>
      <c r="N17" s="633"/>
      <c r="O17" s="788" t="str">
        <f>IF(AlEs15="Alta",AlCo15&amp;". "&amp;AlNo15&amp;" "&amp;AlAp15,"")</f>
        <v/>
      </c>
      <c r="P17" s="633"/>
      <c r="Q17" s="260"/>
      <c r="R17" s="633"/>
      <c r="S17" s="260"/>
      <c r="T17" s="633"/>
      <c r="U17" s="260"/>
      <c r="V17" s="633"/>
      <c r="W17" s="286"/>
      <c r="X17" s="633"/>
      <c r="Y17" s="260" t="s">
        <v>60</v>
      </c>
      <c r="Z17" s="633"/>
      <c r="AA17" s="260" t="s">
        <v>36</v>
      </c>
      <c r="AB17" s="382" t="s">
        <v>52</v>
      </c>
      <c r="AC17" s="633"/>
      <c r="AE17" s="637"/>
      <c r="AF17" s="633"/>
      <c r="AI17" s="633"/>
      <c r="AL17" s="633"/>
      <c r="AQ17" s="633"/>
      <c r="AR17" s="286">
        <v>15</v>
      </c>
      <c r="AS17" s="286">
        <f t="shared" si="3"/>
        <v>2026</v>
      </c>
      <c r="AT17" s="382" t="s">
        <v>1</v>
      </c>
      <c r="AU17" s="633"/>
      <c r="AV17" s="286"/>
      <c r="AW17" s="286"/>
      <c r="AX17" s="286"/>
      <c r="AY17" s="633"/>
      <c r="BA17" s="633"/>
      <c r="BF17" s="260"/>
    </row>
    <row r="18" spans="1:58" s="382" customFormat="1" ht="15.6" x14ac:dyDescent="0.3">
      <c r="A18" s="633"/>
      <c r="C18" s="633"/>
      <c r="D18" s="634" t="s">
        <v>234</v>
      </c>
      <c r="E18" s="633"/>
      <c r="F18" s="874" t="s">
        <v>371</v>
      </c>
      <c r="G18" s="397">
        <v>147</v>
      </c>
      <c r="H18" s="397">
        <v>2</v>
      </c>
      <c r="I18" s="397">
        <v>7</v>
      </c>
      <c r="J18" s="633"/>
      <c r="K18" s="286" t="str">
        <f>IF(UnDi15&lt;&gt;"",CoUD15&amp;". "&amp;UnDi15,"")</f>
        <v/>
      </c>
      <c r="L18" s="633"/>
      <c r="M18" s="286"/>
      <c r="N18" s="633"/>
      <c r="O18" s="286" t="str">
        <f>IF(AlEs16="Alta",AlCo16&amp;". "&amp;AlNo16&amp;" "&amp;AlAp16,"")</f>
        <v/>
      </c>
      <c r="P18" s="633"/>
      <c r="Q18" s="260"/>
      <c r="R18" s="633"/>
      <c r="S18" s="260"/>
      <c r="T18" s="633"/>
      <c r="U18" s="260"/>
      <c r="V18" s="633"/>
      <c r="W18" s="286"/>
      <c r="X18" s="633"/>
      <c r="Y18" s="260" t="s">
        <v>61</v>
      </c>
      <c r="Z18" s="633"/>
      <c r="AA18" s="635"/>
      <c r="AB18" s="636"/>
      <c r="AC18" s="633"/>
      <c r="AE18" s="637"/>
      <c r="AF18" s="633"/>
      <c r="AI18" s="633"/>
      <c r="AL18" s="633"/>
      <c r="AQ18" s="633"/>
      <c r="AR18" s="286">
        <v>16</v>
      </c>
      <c r="AS18" s="286">
        <f t="shared" si="3"/>
        <v>2026</v>
      </c>
      <c r="AT18" s="382" t="s">
        <v>11</v>
      </c>
      <c r="AU18" s="633"/>
      <c r="AV18" s="286"/>
      <c r="AW18" s="286"/>
      <c r="AX18" s="286"/>
      <c r="AY18" s="633"/>
      <c r="BA18" s="633"/>
      <c r="BF18" s="260"/>
    </row>
    <row r="19" spans="1:58" s="382" customFormat="1" ht="15.6" x14ac:dyDescent="0.3">
      <c r="A19" s="633"/>
      <c r="C19" s="633"/>
      <c r="D19" s="382" t="s">
        <v>483</v>
      </c>
      <c r="E19" s="633"/>
      <c r="F19" s="874" t="s">
        <v>541</v>
      </c>
      <c r="J19" s="633"/>
      <c r="K19" s="286" t="str">
        <f>IF(UnDi16&lt;&gt;"",CoUD16&amp;". "&amp;UnDi16,"")</f>
        <v/>
      </c>
      <c r="L19" s="633"/>
      <c r="M19" s="286"/>
      <c r="N19" s="633"/>
      <c r="O19" s="286" t="str">
        <f>IF(AlEs17="Alta",AlCo17&amp;". "&amp;AlNo17&amp;" "&amp;AlAp17,"")</f>
        <v/>
      </c>
      <c r="P19" s="633"/>
      <c r="Q19" s="260"/>
      <c r="R19" s="633"/>
      <c r="S19" s="260"/>
      <c r="T19" s="633"/>
      <c r="U19" s="260"/>
      <c r="V19" s="633"/>
      <c r="W19" s="286"/>
      <c r="X19" s="633"/>
      <c r="Y19" s="260" t="s">
        <v>62</v>
      </c>
      <c r="Z19" s="633"/>
      <c r="AA19" s="260"/>
      <c r="AC19" s="633"/>
      <c r="AE19" s="637"/>
      <c r="AF19" s="633"/>
      <c r="AI19" s="633"/>
      <c r="AL19" s="633"/>
      <c r="AQ19" s="633"/>
      <c r="AR19" s="286">
        <v>17</v>
      </c>
      <c r="AS19" s="286">
        <f t="shared" si="3"/>
        <v>2026</v>
      </c>
      <c r="AT19" s="382" t="s">
        <v>12</v>
      </c>
      <c r="AU19" s="633"/>
      <c r="AV19" s="286"/>
      <c r="AW19" s="286"/>
      <c r="AX19" s="286"/>
      <c r="AY19" s="633"/>
      <c r="BA19" s="633"/>
      <c r="BF19" s="260"/>
    </row>
    <row r="20" spans="1:58" s="382" customFormat="1" ht="15.6" customHeight="1" x14ac:dyDescent="0.3">
      <c r="A20" s="633"/>
      <c r="C20" s="633"/>
      <c r="E20" s="633"/>
      <c r="F20" s="874" t="s">
        <v>346</v>
      </c>
      <c r="G20" s="397">
        <v>128</v>
      </c>
      <c r="H20" s="397">
        <v>3</v>
      </c>
      <c r="I20" s="397">
        <v>4</v>
      </c>
      <c r="J20" s="633"/>
      <c r="K20" s="788" t="str">
        <f>IF(UnDi17&lt;&gt;"",CoUD17&amp;". "&amp;UnDi17,"")</f>
        <v/>
      </c>
      <c r="L20" s="633"/>
      <c r="M20" s="286"/>
      <c r="N20" s="633"/>
      <c r="O20" s="286" t="str">
        <f>IF(AlEs18="Alta",AlCo18&amp;". "&amp;AlNo18&amp;" "&amp;AlAp18,"")</f>
        <v/>
      </c>
      <c r="P20" s="633"/>
      <c r="Q20" s="260"/>
      <c r="R20" s="633"/>
      <c r="S20" s="260"/>
      <c r="T20" s="633"/>
      <c r="U20" s="260"/>
      <c r="V20" s="633"/>
      <c r="W20" s="286"/>
      <c r="X20" s="633"/>
      <c r="Y20" s="260" t="s">
        <v>63</v>
      </c>
      <c r="Z20" s="633"/>
      <c r="AC20" s="633"/>
      <c r="AE20" s="637"/>
      <c r="AF20" s="633"/>
      <c r="AI20" s="633"/>
      <c r="AL20" s="633"/>
      <c r="AQ20" s="633"/>
      <c r="AR20" s="788">
        <v>18</v>
      </c>
      <c r="AS20" s="788">
        <f t="shared" si="3"/>
        <v>2026</v>
      </c>
      <c r="AT20" s="969" t="s">
        <v>13</v>
      </c>
      <c r="AU20" s="633"/>
      <c r="AV20" s="286"/>
      <c r="AW20" s="286"/>
      <c r="AX20" s="286"/>
      <c r="AY20" s="633"/>
      <c r="BA20" s="633"/>
      <c r="BF20" s="260"/>
    </row>
    <row r="21" spans="1:58" s="382" customFormat="1" ht="15.6" x14ac:dyDescent="0.3">
      <c r="A21" s="633"/>
      <c r="C21" s="633"/>
      <c r="E21" s="633"/>
      <c r="F21" s="874" t="s">
        <v>344</v>
      </c>
      <c r="G21" s="397">
        <v>160</v>
      </c>
      <c r="H21" s="397">
        <v>3</v>
      </c>
      <c r="I21" s="397">
        <v>5</v>
      </c>
      <c r="J21" s="633"/>
      <c r="K21" s="286" t="str">
        <f>IF(UnDi18&lt;&gt;"",CoUD18&amp;". "&amp;UnDi18,"")</f>
        <v/>
      </c>
      <c r="L21" s="633"/>
      <c r="M21" s="286"/>
      <c r="N21" s="633"/>
      <c r="O21" s="286" t="str">
        <f>IF(AlEs19="Alta",AlCo19&amp;". "&amp;AlNo19&amp;" "&amp;AlAp19,"")</f>
        <v/>
      </c>
      <c r="P21" s="633"/>
      <c r="Q21" s="260"/>
      <c r="R21" s="633"/>
      <c r="S21" s="260"/>
      <c r="T21" s="633"/>
      <c r="U21" s="260"/>
      <c r="V21" s="633"/>
      <c r="W21" s="286"/>
      <c r="X21" s="633"/>
      <c r="Y21" s="260" t="s">
        <v>64</v>
      </c>
      <c r="Z21" s="633"/>
      <c r="AC21" s="633"/>
      <c r="AE21" s="637"/>
      <c r="AF21" s="633"/>
      <c r="AI21" s="633"/>
      <c r="AL21" s="633"/>
      <c r="AM21" s="286"/>
      <c r="AN21" s="286"/>
      <c r="AO21" s="286"/>
      <c r="AP21" s="286"/>
      <c r="AQ21" s="633"/>
      <c r="AR21" s="286">
        <v>19</v>
      </c>
      <c r="AS21" s="286">
        <f t="shared" si="3"/>
        <v>2026</v>
      </c>
      <c r="AT21" s="382" t="s">
        <v>395</v>
      </c>
      <c r="AU21" s="633"/>
      <c r="AV21" s="286"/>
      <c r="AW21" s="286"/>
      <c r="AX21" s="286"/>
      <c r="AY21" s="633"/>
      <c r="BA21" s="633"/>
      <c r="BF21" s="260"/>
    </row>
    <row r="22" spans="1:58" s="382" customFormat="1" ht="15.6" x14ac:dyDescent="0.3">
      <c r="A22" s="633"/>
      <c r="C22" s="633"/>
      <c r="E22" s="633"/>
      <c r="F22" s="874" t="s">
        <v>339</v>
      </c>
      <c r="G22" s="397">
        <v>160</v>
      </c>
      <c r="H22" s="397">
        <v>3</v>
      </c>
      <c r="I22" s="397">
        <v>5</v>
      </c>
      <c r="J22" s="633"/>
      <c r="K22" s="286" t="str">
        <f>IF(UnDi19&lt;&gt;"",CoUD19&amp;". "&amp;UnDi19,"")</f>
        <v/>
      </c>
      <c r="L22" s="633"/>
      <c r="M22" s="286"/>
      <c r="N22" s="633"/>
      <c r="O22" s="788" t="str">
        <f>IF(AlEs20="Alta",AlCo20&amp;". "&amp;AlNo20&amp;" "&amp;AlAp20,"")</f>
        <v/>
      </c>
      <c r="P22" s="633"/>
      <c r="Q22" s="260"/>
      <c r="R22" s="633"/>
      <c r="S22" s="260"/>
      <c r="T22" s="633"/>
      <c r="U22" s="260"/>
      <c r="V22" s="633"/>
      <c r="W22" s="286"/>
      <c r="X22" s="633"/>
      <c r="Y22" s="260" t="s">
        <v>65</v>
      </c>
      <c r="Z22" s="633"/>
      <c r="AC22" s="633"/>
      <c r="AE22" s="637"/>
      <c r="AF22" s="633"/>
      <c r="AI22" s="633"/>
      <c r="AL22" s="633"/>
      <c r="AM22" s="286"/>
      <c r="AN22" s="286"/>
      <c r="AO22" s="286"/>
      <c r="AP22" s="286"/>
      <c r="AQ22" s="633"/>
      <c r="AR22" s="286">
        <v>20</v>
      </c>
      <c r="AS22" s="286">
        <f t="shared" si="3"/>
        <v>2026</v>
      </c>
      <c r="AT22" s="382" t="s">
        <v>396</v>
      </c>
      <c r="AU22" s="633"/>
      <c r="AV22" s="286"/>
      <c r="AW22" s="286"/>
      <c r="AX22" s="286"/>
      <c r="AY22" s="633"/>
      <c r="BA22" s="633"/>
      <c r="BF22" s="260"/>
    </row>
    <row r="23" spans="1:58" s="382" customFormat="1" ht="15.6" x14ac:dyDescent="0.3">
      <c r="A23" s="633"/>
      <c r="C23" s="633"/>
      <c r="E23" s="633"/>
      <c r="F23" s="874" t="s">
        <v>347</v>
      </c>
      <c r="G23" s="397">
        <v>128</v>
      </c>
      <c r="H23" s="397">
        <v>3</v>
      </c>
      <c r="I23" s="397">
        <v>4</v>
      </c>
      <c r="J23" s="633"/>
      <c r="K23" s="788" t="str">
        <f>IF(UnDi20&lt;&gt;"",CoUD20&amp;". "&amp;UnDi20,"")</f>
        <v/>
      </c>
      <c r="L23" s="633"/>
      <c r="M23" s="286"/>
      <c r="N23" s="633"/>
      <c r="O23" s="286" t="str">
        <f>IF(AlEs22="Alta",AlCo21&amp;". "&amp;AlNo21&amp;" "&amp;AlAp21,"")</f>
        <v/>
      </c>
      <c r="P23" s="633"/>
      <c r="Q23" s="260"/>
      <c r="R23" s="633"/>
      <c r="S23" s="260"/>
      <c r="T23" s="633"/>
      <c r="U23" s="260"/>
      <c r="V23" s="633"/>
      <c r="W23" s="286"/>
      <c r="X23" s="633"/>
      <c r="Y23" s="260" t="s">
        <v>66</v>
      </c>
      <c r="Z23" s="633"/>
      <c r="AC23" s="633"/>
      <c r="AE23" s="637"/>
      <c r="AF23" s="633"/>
      <c r="AI23" s="633"/>
      <c r="AL23" s="633"/>
      <c r="AM23" s="286"/>
      <c r="AN23" s="286"/>
      <c r="AO23" s="286"/>
      <c r="AP23" s="286"/>
      <c r="AQ23" s="633"/>
      <c r="AR23" s="286">
        <v>21</v>
      </c>
      <c r="AS23" s="286">
        <f t="shared" si="3"/>
        <v>2026</v>
      </c>
      <c r="AT23" s="382" t="s">
        <v>5</v>
      </c>
      <c r="AU23" s="633"/>
      <c r="AV23" s="286"/>
      <c r="AW23" s="286"/>
      <c r="AX23" s="286"/>
      <c r="AY23" s="633"/>
      <c r="BA23" s="633"/>
      <c r="BF23" s="260"/>
    </row>
    <row r="24" spans="1:58" s="382" customFormat="1" ht="15.6" x14ac:dyDescent="0.3">
      <c r="A24" s="633"/>
      <c r="C24" s="633"/>
      <c r="E24" s="633"/>
      <c r="F24" s="874" t="s">
        <v>539</v>
      </c>
      <c r="G24" s="397">
        <v>168</v>
      </c>
      <c r="H24" s="397">
        <v>3</v>
      </c>
      <c r="I24" s="397">
        <v>8</v>
      </c>
      <c r="J24" s="633"/>
      <c r="K24" s="633"/>
      <c r="L24" s="633"/>
      <c r="M24" s="286"/>
      <c r="N24" s="633"/>
      <c r="O24" s="286" t="str">
        <f>IF(AlEs22="Alta",AlCo22&amp;". "&amp;AlNo22&amp;" "&amp;AlAp22,"")</f>
        <v/>
      </c>
      <c r="P24" s="633"/>
      <c r="Q24" s="260"/>
      <c r="R24" s="633"/>
      <c r="S24" s="260"/>
      <c r="T24" s="633"/>
      <c r="U24" s="260"/>
      <c r="V24" s="633"/>
      <c r="W24" s="286"/>
      <c r="X24" s="633"/>
      <c r="Y24" s="260"/>
      <c r="Z24" s="633"/>
      <c r="AC24" s="633"/>
      <c r="AE24" s="637"/>
      <c r="AF24" s="633"/>
      <c r="AI24" s="633"/>
      <c r="AL24" s="633"/>
      <c r="AM24" s="286"/>
      <c r="AN24" s="286"/>
      <c r="AO24" s="286"/>
      <c r="AP24" s="286"/>
      <c r="AQ24" s="633"/>
      <c r="AR24" s="286">
        <v>22</v>
      </c>
      <c r="AS24" s="286">
        <f t="shared" si="3"/>
        <v>2026</v>
      </c>
      <c r="AT24" s="382" t="s">
        <v>6</v>
      </c>
      <c r="AU24" s="633"/>
      <c r="AV24" s="286"/>
      <c r="AW24" s="286"/>
      <c r="AX24" s="286"/>
      <c r="AY24" s="633"/>
      <c r="BA24" s="633"/>
      <c r="BF24" s="260"/>
    </row>
    <row r="25" spans="1:58" s="382" customFormat="1" ht="15.6" customHeight="1" x14ac:dyDescent="0.3">
      <c r="A25" s="633"/>
      <c r="C25" s="633"/>
      <c r="E25" s="633"/>
      <c r="F25" s="874" t="s">
        <v>340</v>
      </c>
      <c r="G25" s="397">
        <v>126</v>
      </c>
      <c r="H25" s="397">
        <v>2</v>
      </c>
      <c r="I25" s="397">
        <v>6</v>
      </c>
      <c r="J25" s="633"/>
      <c r="K25" s="286"/>
      <c r="L25" s="633"/>
      <c r="M25" s="286"/>
      <c r="N25" s="633"/>
      <c r="O25" s="286" t="str">
        <f>IF(AlEs23="Alta",AlCo23&amp;". "&amp;AlNo23&amp;" "&amp;AlAp23,"")</f>
        <v/>
      </c>
      <c r="P25" s="633"/>
      <c r="Q25" s="260"/>
      <c r="R25" s="633"/>
      <c r="S25" s="260"/>
      <c r="T25" s="633"/>
      <c r="U25" s="260"/>
      <c r="V25" s="633"/>
      <c r="W25" s="286"/>
      <c r="X25" s="633"/>
      <c r="Y25" s="260"/>
      <c r="Z25" s="633"/>
      <c r="AC25" s="633"/>
      <c r="AF25" s="633"/>
      <c r="AI25" s="633"/>
      <c r="AL25" s="633"/>
      <c r="AM25" s="286"/>
      <c r="AN25" s="286"/>
      <c r="AO25" s="286"/>
      <c r="AP25" s="286"/>
      <c r="AQ25" s="633"/>
      <c r="AR25" s="286">
        <v>23</v>
      </c>
      <c r="AS25" s="286">
        <f t="shared" si="3"/>
        <v>2026</v>
      </c>
      <c r="AT25" s="382" t="s">
        <v>7</v>
      </c>
      <c r="AU25" s="633"/>
      <c r="AV25" s="286"/>
      <c r="AW25" s="286"/>
      <c r="AX25" s="286"/>
      <c r="AY25" s="633"/>
      <c r="BA25" s="633"/>
      <c r="BF25" s="260"/>
    </row>
    <row r="26" spans="1:58" s="382" customFormat="1" ht="15.6" customHeight="1" x14ac:dyDescent="0.3">
      <c r="A26" s="633"/>
      <c r="C26" s="633"/>
      <c r="E26" s="633"/>
      <c r="F26" s="874" t="s">
        <v>341</v>
      </c>
      <c r="G26" s="397">
        <v>126</v>
      </c>
      <c r="H26" s="397">
        <v>2</v>
      </c>
      <c r="I26" s="397">
        <v>6</v>
      </c>
      <c r="J26" s="633"/>
      <c r="K26" s="286"/>
      <c r="L26" s="633"/>
      <c r="M26" s="286"/>
      <c r="N26" s="633"/>
      <c r="O26" s="286" t="str">
        <f>IF(AlEs24="Alta",AlCo24&amp;". "&amp;AlNo24&amp;" "&amp;AlAp24,"")</f>
        <v/>
      </c>
      <c r="P26" s="633"/>
      <c r="Q26" s="260"/>
      <c r="R26" s="633"/>
      <c r="S26" s="260"/>
      <c r="T26" s="633"/>
      <c r="U26" s="260"/>
      <c r="V26" s="633"/>
      <c r="W26" s="286"/>
      <c r="X26" s="633"/>
      <c r="Y26" s="260"/>
      <c r="Z26" s="633"/>
      <c r="AC26" s="633"/>
      <c r="AF26" s="633"/>
      <c r="AI26" s="633"/>
      <c r="AL26" s="633"/>
      <c r="AM26" s="286"/>
      <c r="AN26" s="286"/>
      <c r="AO26" s="286"/>
      <c r="AP26" s="286"/>
      <c r="AQ26" s="633"/>
      <c r="AR26" s="788">
        <v>24</v>
      </c>
      <c r="AS26" s="788">
        <f t="shared" si="3"/>
        <v>2026</v>
      </c>
      <c r="AT26" s="969" t="s">
        <v>8</v>
      </c>
      <c r="AU26" s="633"/>
      <c r="AV26" s="286"/>
      <c r="AW26" s="286"/>
      <c r="AX26" s="286"/>
      <c r="AY26" s="633"/>
      <c r="BA26" s="633"/>
      <c r="BF26" s="260"/>
    </row>
    <row r="27" spans="1:58" s="382" customFormat="1" ht="15.6" customHeight="1" x14ac:dyDescent="0.3">
      <c r="A27" s="633"/>
      <c r="C27" s="633"/>
      <c r="E27" s="633"/>
      <c r="F27" s="874" t="s">
        <v>342</v>
      </c>
      <c r="G27" s="397">
        <v>105</v>
      </c>
      <c r="H27" s="397">
        <v>2</v>
      </c>
      <c r="I27" s="397">
        <v>5</v>
      </c>
      <c r="J27" s="633"/>
      <c r="K27" s="286"/>
      <c r="L27" s="633"/>
      <c r="M27" s="286"/>
      <c r="N27" s="633"/>
      <c r="O27" s="788" t="str">
        <f>IF(AlEs25="Alta",AlCo25&amp;". "&amp;AlNo25&amp;" "&amp;AlAp25,"")</f>
        <v/>
      </c>
      <c r="P27" s="633"/>
      <c r="Q27" s="260"/>
      <c r="R27" s="633"/>
      <c r="S27" s="260"/>
      <c r="T27" s="633"/>
      <c r="U27" s="260"/>
      <c r="V27" s="633"/>
      <c r="W27" s="286"/>
      <c r="X27" s="633"/>
      <c r="Y27" s="260"/>
      <c r="Z27" s="633"/>
      <c r="AC27" s="633"/>
      <c r="AF27" s="633"/>
      <c r="AI27" s="633"/>
      <c r="AL27" s="633"/>
      <c r="AM27" s="286"/>
      <c r="AN27" s="286"/>
      <c r="AO27" s="286"/>
      <c r="AP27" s="286"/>
      <c r="AQ27" s="633"/>
      <c r="AR27" s="286"/>
      <c r="AS27" s="286"/>
      <c r="AT27" s="286"/>
      <c r="AU27" s="633"/>
      <c r="AV27" s="286"/>
      <c r="AW27" s="286"/>
      <c r="AX27" s="286"/>
      <c r="AY27" s="633"/>
      <c r="BA27" s="633"/>
      <c r="BF27" s="260"/>
    </row>
    <row r="28" spans="1:58" s="382" customFormat="1" ht="15.6" customHeight="1" x14ac:dyDescent="0.3">
      <c r="A28" s="633"/>
      <c r="C28" s="633"/>
      <c r="E28" s="633"/>
      <c r="F28" s="874" t="s">
        <v>345</v>
      </c>
      <c r="G28" s="397">
        <v>64</v>
      </c>
      <c r="H28" s="397">
        <v>3</v>
      </c>
      <c r="I28" s="397">
        <v>2</v>
      </c>
      <c r="J28" s="633"/>
      <c r="K28" s="286"/>
      <c r="L28" s="633"/>
      <c r="M28" s="286"/>
      <c r="N28" s="633"/>
      <c r="O28" s="286" t="str">
        <f>IF(AlEs26="Alta",AlCo26&amp;". "&amp;AlNo26&amp;" "&amp;AlAp26,"")</f>
        <v/>
      </c>
      <c r="P28" s="633"/>
      <c r="Q28" s="260"/>
      <c r="R28" s="633"/>
      <c r="S28" s="260"/>
      <c r="T28" s="633"/>
      <c r="U28" s="260"/>
      <c r="V28" s="633"/>
      <c r="W28" s="286"/>
      <c r="X28" s="633"/>
      <c r="Y28" s="260"/>
      <c r="Z28" s="633"/>
      <c r="AC28" s="633"/>
      <c r="AF28" s="633"/>
      <c r="AI28" s="633"/>
      <c r="AL28" s="633"/>
      <c r="AM28" s="286"/>
      <c r="AN28" s="286"/>
      <c r="AO28" s="286"/>
      <c r="AP28" s="286"/>
      <c r="AQ28" s="633"/>
      <c r="AR28" s="286"/>
      <c r="AS28" s="286"/>
      <c r="AT28" s="286"/>
      <c r="AU28" s="633"/>
      <c r="AV28" s="286"/>
      <c r="AW28" s="286"/>
      <c r="AX28" s="286"/>
      <c r="AY28" s="633"/>
      <c r="BA28" s="633"/>
      <c r="BF28" s="260"/>
    </row>
    <row r="29" spans="1:58" s="382" customFormat="1" ht="15.6" customHeight="1" x14ac:dyDescent="0.3">
      <c r="A29" s="640"/>
      <c r="C29" s="640"/>
      <c r="E29" s="640"/>
      <c r="F29" s="874" t="s">
        <v>343</v>
      </c>
      <c r="G29" s="397">
        <v>160</v>
      </c>
      <c r="H29" s="397">
        <v>3</v>
      </c>
      <c r="I29" s="397">
        <v>5</v>
      </c>
      <c r="J29" s="633"/>
      <c r="K29" s="602"/>
      <c r="L29" s="640"/>
      <c r="M29" s="602"/>
      <c r="N29" s="640"/>
      <c r="O29" s="286" t="str">
        <f>IF(AlEs27="Alta",AlCo27&amp;". "&amp;AlNo27&amp;" "&amp;AlAp27,"")</f>
        <v/>
      </c>
      <c r="P29" s="640"/>
      <c r="Q29" s="260"/>
      <c r="R29" s="640"/>
      <c r="S29" s="632"/>
      <c r="T29" s="640"/>
      <c r="U29" s="632"/>
      <c r="V29" s="640"/>
      <c r="W29" s="602"/>
      <c r="X29" s="640"/>
      <c r="Y29" s="260"/>
      <c r="Z29" s="640"/>
      <c r="AC29" s="640"/>
      <c r="AF29" s="640"/>
      <c r="AI29" s="640"/>
      <c r="AL29" s="640"/>
      <c r="AM29" s="602"/>
      <c r="AN29" s="602"/>
      <c r="AO29" s="602"/>
      <c r="AP29" s="602"/>
      <c r="AQ29" s="640"/>
      <c r="AR29" s="602"/>
      <c r="AS29" s="602"/>
      <c r="AT29" s="602"/>
      <c r="AU29" s="640"/>
      <c r="AV29" s="602"/>
      <c r="AW29" s="602"/>
      <c r="AX29" s="602"/>
      <c r="AY29" s="640"/>
      <c r="BA29" s="640"/>
      <c r="BF29" s="260"/>
    </row>
    <row r="30" spans="1:58" s="382" customFormat="1" ht="15.6" customHeight="1" x14ac:dyDescent="0.3">
      <c r="A30" s="633"/>
      <c r="C30" s="633"/>
      <c r="E30" s="633"/>
      <c r="F30" s="874" t="s">
        <v>540</v>
      </c>
      <c r="G30" s="397">
        <v>40</v>
      </c>
      <c r="H30" s="397">
        <v>3</v>
      </c>
      <c r="I30" s="397">
        <v>1</v>
      </c>
      <c r="J30" s="633"/>
      <c r="K30" s="286"/>
      <c r="L30" s="633"/>
      <c r="M30" s="286"/>
      <c r="N30" s="633"/>
      <c r="O30" s="286" t="str">
        <f>IF(AlEs28="Alta",AlCo28&amp;". "&amp;AlNo28&amp;" "&amp;AlAp28,"")</f>
        <v/>
      </c>
      <c r="P30" s="633"/>
      <c r="Q30" s="260"/>
      <c r="R30" s="633"/>
      <c r="S30" s="260"/>
      <c r="T30" s="633"/>
      <c r="U30" s="260"/>
      <c r="V30" s="633"/>
      <c r="W30" s="286"/>
      <c r="X30" s="633"/>
      <c r="Y30" s="260"/>
      <c r="Z30" s="633"/>
      <c r="AC30" s="633"/>
      <c r="AF30" s="633"/>
      <c r="AI30" s="633"/>
      <c r="AL30" s="633"/>
      <c r="AM30" s="286"/>
      <c r="AN30" s="286"/>
      <c r="AO30" s="286"/>
      <c r="AP30" s="286"/>
      <c r="AQ30" s="633"/>
      <c r="AR30" s="286"/>
      <c r="AS30" s="286"/>
      <c r="AT30" s="286"/>
      <c r="AU30" s="633"/>
      <c r="AV30" s="286"/>
      <c r="AW30" s="286"/>
      <c r="AX30" s="286"/>
      <c r="AY30" s="633"/>
      <c r="BA30" s="633"/>
      <c r="BF30" s="260"/>
    </row>
    <row r="31" spans="1:58" s="382" customFormat="1" ht="15.6" customHeight="1" x14ac:dyDescent="0.3">
      <c r="A31" s="633"/>
      <c r="C31" s="633"/>
      <c r="E31" s="633"/>
      <c r="G31" s="260"/>
      <c r="H31" s="260"/>
      <c r="I31" s="260"/>
      <c r="J31" s="633"/>
      <c r="K31" s="286"/>
      <c r="L31" s="633"/>
      <c r="M31" s="286"/>
      <c r="N31" s="633"/>
      <c r="O31" s="286" t="str">
        <f>IF(AlEs29="Alta",AlCo29&amp;". "&amp;AlNo29&amp;" "&amp;AlAp29,"")</f>
        <v/>
      </c>
      <c r="P31" s="633"/>
      <c r="Q31" s="260"/>
      <c r="R31" s="633"/>
      <c r="S31" s="260"/>
      <c r="T31" s="633"/>
      <c r="U31" s="260"/>
      <c r="V31" s="633"/>
      <c r="W31" s="286"/>
      <c r="X31" s="633"/>
      <c r="Y31" s="260"/>
      <c r="Z31" s="633"/>
      <c r="AC31" s="633"/>
      <c r="AF31" s="633"/>
      <c r="AI31" s="633"/>
      <c r="AL31" s="633"/>
      <c r="AM31" s="286"/>
      <c r="AN31" s="286"/>
      <c r="AO31" s="286"/>
      <c r="AP31" s="286"/>
      <c r="AQ31" s="633"/>
      <c r="AR31" s="286"/>
      <c r="AS31" s="286"/>
      <c r="AT31" s="286"/>
      <c r="AU31" s="633"/>
      <c r="AV31" s="286"/>
      <c r="AW31" s="286"/>
      <c r="AX31" s="286"/>
      <c r="AY31" s="633"/>
      <c r="BA31" s="633"/>
      <c r="BF31" s="260"/>
    </row>
    <row r="32" spans="1:58" s="382" customFormat="1" ht="15.6" customHeight="1" x14ac:dyDescent="0.3">
      <c r="A32" s="633"/>
      <c r="C32" s="633"/>
      <c r="E32" s="633"/>
      <c r="G32" s="260"/>
      <c r="H32" s="260"/>
      <c r="I32" s="260"/>
      <c r="J32" s="633"/>
      <c r="K32" s="286"/>
      <c r="L32" s="633"/>
      <c r="M32" s="286"/>
      <c r="N32" s="633"/>
      <c r="O32" s="788" t="str">
        <f>IF(AlEs30="Alta",AlCo30&amp;". "&amp;AlNo30&amp;" "&amp;AlAp30,"")</f>
        <v/>
      </c>
      <c r="P32" s="633"/>
      <c r="Q32" s="260"/>
      <c r="R32" s="633"/>
      <c r="S32" s="260"/>
      <c r="T32" s="633"/>
      <c r="U32" s="260"/>
      <c r="V32" s="633"/>
      <c r="W32" s="286"/>
      <c r="X32" s="633"/>
      <c r="Y32" s="260"/>
      <c r="Z32" s="633"/>
      <c r="AC32" s="633"/>
      <c r="AF32" s="633"/>
      <c r="AI32" s="633"/>
      <c r="AL32" s="633"/>
      <c r="AM32" s="286"/>
      <c r="AN32" s="286"/>
      <c r="AO32" s="286"/>
      <c r="AP32" s="286"/>
      <c r="AQ32" s="633"/>
      <c r="AR32" s="286"/>
      <c r="AS32" s="286"/>
      <c r="AT32" s="286"/>
      <c r="AU32" s="633"/>
      <c r="AV32" s="286"/>
      <c r="AW32" s="286"/>
      <c r="AX32" s="286"/>
      <c r="AY32" s="633"/>
      <c r="BA32" s="633"/>
      <c r="BF32" s="260"/>
    </row>
    <row r="33" spans="1:58" s="382" customFormat="1" ht="15.6" customHeight="1" x14ac:dyDescent="0.3">
      <c r="A33" s="633"/>
      <c r="C33" s="633"/>
      <c r="E33" s="633"/>
      <c r="G33" s="260"/>
      <c r="H33" s="260"/>
      <c r="I33" s="260"/>
      <c r="J33" s="633"/>
      <c r="K33" s="286"/>
      <c r="L33" s="633"/>
      <c r="M33" s="286"/>
      <c r="N33" s="633"/>
      <c r="O33" s="633"/>
      <c r="P33" s="633"/>
      <c r="Q33" s="260"/>
      <c r="R33" s="633"/>
      <c r="S33" s="260"/>
      <c r="T33" s="633"/>
      <c r="U33" s="260"/>
      <c r="V33" s="633"/>
      <c r="W33" s="286"/>
      <c r="X33" s="633"/>
      <c r="Y33" s="260"/>
      <c r="Z33" s="633"/>
      <c r="AC33" s="633"/>
      <c r="AF33" s="633"/>
      <c r="AI33" s="633"/>
      <c r="AL33" s="633"/>
      <c r="AM33" s="286"/>
      <c r="AN33" s="286"/>
      <c r="AO33" s="286"/>
      <c r="AP33" s="286"/>
      <c r="AQ33" s="633"/>
      <c r="AR33" s="286"/>
      <c r="AS33" s="286"/>
      <c r="AT33" s="286"/>
      <c r="AU33" s="633"/>
      <c r="AV33" s="286"/>
      <c r="AW33" s="286"/>
      <c r="AX33" s="286"/>
      <c r="AY33" s="633"/>
      <c r="BA33" s="633"/>
      <c r="BF33" s="260"/>
    </row>
    <row r="34" spans="1:58" s="382" customFormat="1" ht="15.6" customHeight="1" x14ac:dyDescent="0.3">
      <c r="A34" s="633"/>
      <c r="C34" s="633"/>
      <c r="E34" s="633"/>
      <c r="G34" s="260"/>
      <c r="H34" s="260"/>
      <c r="I34" s="260"/>
      <c r="J34" s="633"/>
      <c r="K34" s="286"/>
      <c r="L34" s="633"/>
      <c r="M34" s="286"/>
      <c r="N34" s="633"/>
      <c r="O34" s="286"/>
      <c r="P34" s="633"/>
      <c r="Q34" s="260"/>
      <c r="R34" s="633"/>
      <c r="S34" s="260"/>
      <c r="T34" s="633"/>
      <c r="U34" s="260"/>
      <c r="V34" s="633"/>
      <c r="W34" s="286"/>
      <c r="X34" s="633"/>
      <c r="Y34" s="260"/>
      <c r="Z34" s="633"/>
      <c r="AC34" s="633"/>
      <c r="AF34" s="633"/>
      <c r="AI34" s="633"/>
      <c r="AL34" s="633"/>
      <c r="AM34" s="286"/>
      <c r="AN34" s="286"/>
      <c r="AO34" s="286"/>
      <c r="AP34" s="286"/>
      <c r="AQ34" s="633"/>
      <c r="AR34" s="286"/>
      <c r="AS34" s="286"/>
      <c r="AT34" s="286"/>
      <c r="AU34" s="633"/>
      <c r="AV34" s="286"/>
      <c r="AW34" s="286"/>
      <c r="AX34" s="286"/>
      <c r="AY34" s="633"/>
      <c r="BA34" s="633"/>
      <c r="BF34" s="260"/>
    </row>
    <row r="35" spans="1:58" s="382" customFormat="1" ht="15.6" customHeight="1" x14ac:dyDescent="0.3">
      <c r="A35" s="633"/>
      <c r="C35" s="633"/>
      <c r="E35" s="633"/>
      <c r="G35" s="260"/>
      <c r="H35" s="260"/>
      <c r="I35" s="260"/>
      <c r="J35" s="633"/>
      <c r="K35" s="286"/>
      <c r="L35" s="633"/>
      <c r="M35" s="286"/>
      <c r="N35" s="633"/>
      <c r="O35" s="286"/>
      <c r="P35" s="633"/>
      <c r="Q35" s="260"/>
      <c r="R35" s="633"/>
      <c r="S35" s="260"/>
      <c r="T35" s="633"/>
      <c r="U35" s="260"/>
      <c r="V35" s="633"/>
      <c r="W35" s="286"/>
      <c r="X35" s="633"/>
      <c r="Y35" s="260"/>
      <c r="Z35" s="633"/>
      <c r="AC35" s="633"/>
      <c r="AF35" s="633"/>
      <c r="AI35" s="633"/>
      <c r="AL35" s="633"/>
      <c r="AM35" s="286"/>
      <c r="AN35" s="286"/>
      <c r="AO35" s="286"/>
      <c r="AP35" s="286"/>
      <c r="AQ35" s="633"/>
      <c r="AR35" s="286"/>
      <c r="AS35" s="286"/>
      <c r="AT35" s="286"/>
      <c r="AU35" s="633"/>
      <c r="AV35" s="286"/>
      <c r="AW35" s="286"/>
      <c r="AX35" s="286"/>
      <c r="AY35" s="633"/>
      <c r="BA35" s="633"/>
      <c r="BF35" s="260"/>
    </row>
    <row r="36" spans="1:58" s="382" customFormat="1" ht="15.6" customHeight="1" x14ac:dyDescent="0.3">
      <c r="A36" s="633"/>
      <c r="C36" s="633"/>
      <c r="E36" s="633"/>
      <c r="G36" s="260"/>
      <c r="H36" s="260"/>
      <c r="I36" s="260"/>
      <c r="J36" s="633"/>
      <c r="K36" s="286"/>
      <c r="L36" s="633"/>
      <c r="M36" s="286"/>
      <c r="N36" s="633"/>
      <c r="O36" s="286"/>
      <c r="P36" s="633"/>
      <c r="Q36" s="260"/>
      <c r="R36" s="633"/>
      <c r="S36" s="260"/>
      <c r="T36" s="633"/>
      <c r="U36" s="260"/>
      <c r="V36" s="633"/>
      <c r="W36" s="286"/>
      <c r="X36" s="633"/>
      <c r="Y36" s="260"/>
      <c r="Z36" s="633"/>
      <c r="AC36" s="633"/>
      <c r="AF36" s="633"/>
      <c r="AI36" s="633"/>
      <c r="AL36" s="633"/>
      <c r="AM36" s="286"/>
      <c r="AN36" s="286"/>
      <c r="AO36" s="286"/>
      <c r="AP36" s="286"/>
      <c r="AQ36" s="633"/>
      <c r="AR36" s="286"/>
      <c r="AS36" s="286"/>
      <c r="AT36" s="286"/>
      <c r="AU36" s="633"/>
      <c r="AV36" s="286"/>
      <c r="AW36" s="286"/>
      <c r="AX36" s="286"/>
      <c r="AY36" s="633"/>
      <c r="BA36" s="633"/>
      <c r="BF36" s="260"/>
    </row>
    <row r="37" spans="1:58" s="382" customFormat="1" ht="15.6" customHeight="1" x14ac:dyDescent="0.3">
      <c r="A37" s="633"/>
      <c r="C37" s="633"/>
      <c r="E37" s="633"/>
      <c r="G37" s="260"/>
      <c r="H37" s="260"/>
      <c r="I37" s="260"/>
      <c r="J37" s="633"/>
      <c r="K37" s="286"/>
      <c r="L37" s="633"/>
      <c r="M37" s="286"/>
      <c r="N37" s="633"/>
      <c r="O37" s="286"/>
      <c r="P37" s="633"/>
      <c r="Q37" s="260"/>
      <c r="R37" s="633"/>
      <c r="S37" s="260"/>
      <c r="T37" s="633"/>
      <c r="U37" s="260"/>
      <c r="V37" s="633"/>
      <c r="W37" s="286"/>
      <c r="X37" s="633"/>
      <c r="Y37" s="260"/>
      <c r="Z37" s="633"/>
      <c r="AC37" s="633"/>
      <c r="AF37" s="633"/>
      <c r="AI37" s="633"/>
      <c r="AL37" s="633"/>
      <c r="AM37" s="286"/>
      <c r="AN37" s="286"/>
      <c r="AO37" s="286"/>
      <c r="AP37" s="286"/>
      <c r="AQ37" s="633"/>
      <c r="AR37" s="286"/>
      <c r="AS37" s="286"/>
      <c r="AT37" s="286"/>
      <c r="AU37" s="633"/>
      <c r="AV37" s="286"/>
      <c r="AW37" s="286"/>
      <c r="AX37" s="286"/>
      <c r="AY37" s="633"/>
      <c r="BA37" s="633"/>
      <c r="BF37" s="260"/>
    </row>
    <row r="38" spans="1:58" s="382" customFormat="1" ht="15.6" customHeight="1" x14ac:dyDescent="0.3">
      <c r="A38" s="633"/>
      <c r="C38" s="633"/>
      <c r="E38" s="633"/>
      <c r="G38" s="260"/>
      <c r="H38" s="260"/>
      <c r="I38" s="260"/>
      <c r="J38" s="633"/>
      <c r="K38" s="286"/>
      <c r="L38" s="633"/>
      <c r="M38" s="286"/>
      <c r="N38" s="633"/>
      <c r="O38" s="286"/>
      <c r="P38" s="633"/>
      <c r="Q38" s="260"/>
      <c r="R38" s="633"/>
      <c r="S38" s="260"/>
      <c r="T38" s="633"/>
      <c r="U38" s="260"/>
      <c r="V38" s="633"/>
      <c r="W38" s="286"/>
      <c r="X38" s="633"/>
      <c r="Y38" s="260"/>
      <c r="Z38" s="633"/>
      <c r="AC38" s="633"/>
      <c r="AF38" s="633"/>
      <c r="AI38" s="633"/>
      <c r="AL38" s="633"/>
      <c r="AM38" s="286"/>
      <c r="AN38" s="286"/>
      <c r="AO38" s="286"/>
      <c r="AP38" s="286"/>
      <c r="AQ38" s="633"/>
      <c r="AR38" s="286"/>
      <c r="AS38" s="286"/>
      <c r="AT38" s="286"/>
      <c r="AU38" s="633"/>
      <c r="AV38" s="286"/>
      <c r="AW38" s="286"/>
      <c r="AX38" s="286"/>
      <c r="AY38" s="633"/>
      <c r="BA38" s="633"/>
      <c r="BF38" s="260"/>
    </row>
    <row r="39" spans="1:58" s="382" customFormat="1" ht="15.6" customHeight="1" x14ac:dyDescent="0.3">
      <c r="A39" s="633"/>
      <c r="C39" s="633"/>
      <c r="E39" s="633"/>
      <c r="G39" s="260"/>
      <c r="H39" s="260"/>
      <c r="I39" s="260"/>
      <c r="J39" s="633"/>
      <c r="K39" s="286"/>
      <c r="L39" s="633"/>
      <c r="M39" s="286"/>
      <c r="N39" s="633"/>
      <c r="O39" s="286"/>
      <c r="P39" s="633"/>
      <c r="Q39" s="260"/>
      <c r="R39" s="633"/>
      <c r="S39" s="260"/>
      <c r="T39" s="633"/>
      <c r="U39" s="260"/>
      <c r="V39" s="633"/>
      <c r="W39" s="286"/>
      <c r="X39" s="633"/>
      <c r="Y39" s="260"/>
      <c r="Z39" s="633"/>
      <c r="AC39" s="633"/>
      <c r="AF39" s="633"/>
      <c r="AI39" s="633"/>
      <c r="AL39" s="633"/>
      <c r="AM39" s="286"/>
      <c r="AN39" s="286"/>
      <c r="AO39" s="286"/>
      <c r="AP39" s="286"/>
      <c r="AQ39" s="633"/>
      <c r="AR39" s="286"/>
      <c r="AS39" s="286"/>
      <c r="AT39" s="286"/>
      <c r="AU39" s="633"/>
      <c r="AV39" s="286"/>
      <c r="AW39" s="286"/>
      <c r="AX39" s="286"/>
      <c r="AY39" s="633"/>
      <c r="BA39" s="633"/>
      <c r="BF39" s="260"/>
    </row>
    <row r="40" spans="1:58" s="382" customFormat="1" ht="15.6" customHeight="1" x14ac:dyDescent="0.3">
      <c r="A40" s="633"/>
      <c r="C40" s="633"/>
      <c r="E40" s="633"/>
      <c r="G40" s="260"/>
      <c r="H40" s="260"/>
      <c r="I40" s="260"/>
      <c r="J40" s="633"/>
      <c r="K40" s="286"/>
      <c r="L40" s="633"/>
      <c r="M40" s="286"/>
      <c r="N40" s="633"/>
      <c r="O40" s="286"/>
      <c r="P40" s="633"/>
      <c r="Q40" s="260"/>
      <c r="R40" s="633"/>
      <c r="S40" s="260"/>
      <c r="T40" s="633"/>
      <c r="U40" s="260"/>
      <c r="V40" s="633"/>
      <c r="W40" s="286"/>
      <c r="X40" s="633"/>
      <c r="Y40" s="260"/>
      <c r="Z40" s="633"/>
      <c r="AC40" s="633"/>
      <c r="AF40" s="633"/>
      <c r="AI40" s="633"/>
      <c r="AL40" s="633"/>
      <c r="AM40" s="286"/>
      <c r="AN40" s="286"/>
      <c r="AO40" s="286"/>
      <c r="AP40" s="286"/>
      <c r="AQ40" s="633"/>
      <c r="AR40" s="286"/>
      <c r="AS40" s="286"/>
      <c r="AT40" s="286"/>
      <c r="AU40" s="633"/>
      <c r="AV40" s="286"/>
      <c r="AW40" s="286"/>
      <c r="AX40" s="286"/>
      <c r="AY40" s="633"/>
      <c r="BA40" s="633"/>
      <c r="BF40" s="260"/>
    </row>
    <row r="41" spans="1:58" s="382" customFormat="1" ht="15.6" customHeight="1" x14ac:dyDescent="0.3">
      <c r="A41" s="633"/>
      <c r="C41" s="633"/>
      <c r="E41" s="633"/>
      <c r="G41" s="260"/>
      <c r="H41" s="260"/>
      <c r="I41" s="260"/>
      <c r="J41" s="633"/>
      <c r="K41" s="286"/>
      <c r="L41" s="633"/>
      <c r="M41" s="286"/>
      <c r="N41" s="633"/>
      <c r="O41" s="286"/>
      <c r="P41" s="633"/>
      <c r="Q41" s="260"/>
      <c r="R41" s="633"/>
      <c r="S41" s="260"/>
      <c r="T41" s="633"/>
      <c r="U41" s="260"/>
      <c r="V41" s="633"/>
      <c r="W41" s="286"/>
      <c r="X41" s="633"/>
      <c r="Y41" s="260"/>
      <c r="Z41" s="633"/>
      <c r="AC41" s="633"/>
      <c r="AF41" s="633"/>
      <c r="AI41" s="633"/>
      <c r="AL41" s="633"/>
      <c r="AM41" s="286"/>
      <c r="AN41" s="286"/>
      <c r="AO41" s="286"/>
      <c r="AP41" s="286"/>
      <c r="AQ41" s="633"/>
      <c r="AR41" s="286"/>
      <c r="AS41" s="286"/>
      <c r="AT41" s="286"/>
      <c r="AU41" s="633"/>
      <c r="AV41" s="286"/>
      <c r="AW41" s="286"/>
      <c r="AX41" s="286"/>
      <c r="AY41" s="633"/>
      <c r="BA41" s="633"/>
      <c r="BF41" s="260"/>
    </row>
    <row r="42" spans="1:58" s="382" customFormat="1" ht="15.6" customHeight="1" x14ac:dyDescent="0.3">
      <c r="A42" s="633"/>
      <c r="C42" s="633"/>
      <c r="E42" s="633"/>
      <c r="G42" s="260"/>
      <c r="H42" s="260"/>
      <c r="I42" s="260"/>
      <c r="J42" s="633"/>
      <c r="K42" s="286"/>
      <c r="L42" s="633"/>
      <c r="M42" s="286"/>
      <c r="N42" s="633"/>
      <c r="O42" s="286"/>
      <c r="P42" s="633"/>
      <c r="Q42" s="260"/>
      <c r="R42" s="633"/>
      <c r="S42" s="260"/>
      <c r="T42" s="633"/>
      <c r="U42" s="260"/>
      <c r="V42" s="633"/>
      <c r="W42" s="286"/>
      <c r="X42" s="633"/>
      <c r="Y42" s="260"/>
      <c r="Z42" s="633"/>
      <c r="AC42" s="633"/>
      <c r="AF42" s="633"/>
      <c r="AI42" s="633"/>
      <c r="AL42" s="633"/>
      <c r="AM42" s="286"/>
      <c r="AN42" s="286"/>
      <c r="AO42" s="286"/>
      <c r="AP42" s="286"/>
      <c r="AQ42" s="633"/>
      <c r="AR42" s="286"/>
      <c r="AS42" s="286"/>
      <c r="AT42" s="286"/>
      <c r="AU42" s="633"/>
      <c r="AV42" s="286"/>
      <c r="AW42" s="286"/>
      <c r="AX42" s="286"/>
      <c r="AY42" s="633"/>
      <c r="BA42" s="633"/>
      <c r="BF42" s="260"/>
    </row>
    <row r="43" spans="1:58" s="382" customFormat="1" ht="15.6" customHeight="1" x14ac:dyDescent="0.3">
      <c r="A43" s="633"/>
      <c r="C43" s="633"/>
      <c r="E43" s="633"/>
      <c r="G43" s="260"/>
      <c r="H43" s="260"/>
      <c r="I43" s="260"/>
      <c r="J43" s="633"/>
      <c r="K43" s="286"/>
      <c r="L43" s="633"/>
      <c r="M43" s="286"/>
      <c r="N43" s="633"/>
      <c r="O43" s="286"/>
      <c r="P43" s="633"/>
      <c r="Q43" s="260"/>
      <c r="R43" s="633"/>
      <c r="S43" s="260"/>
      <c r="T43" s="633"/>
      <c r="U43" s="260"/>
      <c r="V43" s="633"/>
      <c r="W43" s="286"/>
      <c r="X43" s="633"/>
      <c r="Y43" s="260"/>
      <c r="Z43" s="633"/>
      <c r="AC43" s="633"/>
      <c r="AF43" s="633"/>
      <c r="AI43" s="633"/>
      <c r="AL43" s="633"/>
      <c r="AM43" s="286"/>
      <c r="AN43" s="286"/>
      <c r="AO43" s="286"/>
      <c r="AP43" s="286"/>
      <c r="AQ43" s="633"/>
      <c r="AR43" s="286"/>
      <c r="AS43" s="286"/>
      <c r="AT43" s="286"/>
      <c r="AU43" s="633"/>
      <c r="AV43" s="286"/>
      <c r="AW43" s="286"/>
      <c r="AX43" s="286"/>
      <c r="AY43" s="633"/>
      <c r="BA43" s="633"/>
      <c r="BF43" s="260"/>
    </row>
    <row r="44" spans="1:58" s="382" customFormat="1" ht="15.6" customHeight="1" x14ac:dyDescent="0.3">
      <c r="A44" s="633"/>
      <c r="C44" s="633"/>
      <c r="E44" s="633"/>
      <c r="G44" s="260"/>
      <c r="H44" s="260"/>
      <c r="I44" s="260"/>
      <c r="J44" s="633"/>
      <c r="K44" s="286"/>
      <c r="L44" s="633"/>
      <c r="M44" s="286"/>
      <c r="N44" s="633"/>
      <c r="O44" s="286"/>
      <c r="P44" s="633"/>
      <c r="Q44" s="260"/>
      <c r="R44" s="633"/>
      <c r="S44" s="260"/>
      <c r="T44" s="633"/>
      <c r="U44" s="260"/>
      <c r="V44" s="633"/>
      <c r="W44" s="286"/>
      <c r="X44" s="633"/>
      <c r="Y44" s="260"/>
      <c r="Z44" s="633"/>
      <c r="AC44" s="633"/>
      <c r="AF44" s="633"/>
      <c r="AI44" s="633"/>
      <c r="AL44" s="633"/>
      <c r="AM44" s="286"/>
      <c r="AN44" s="286"/>
      <c r="AO44" s="286"/>
      <c r="AP44" s="286"/>
      <c r="AQ44" s="633"/>
      <c r="AR44" s="286"/>
      <c r="AS44" s="286"/>
      <c r="AT44" s="286"/>
      <c r="AU44" s="633"/>
      <c r="AV44" s="286"/>
      <c r="AW44" s="286"/>
      <c r="AX44" s="286"/>
      <c r="AY44" s="633"/>
      <c r="BA44" s="633"/>
      <c r="BF44" s="260"/>
    </row>
    <row r="45" spans="1:58" s="382" customFormat="1" ht="15.6" customHeight="1" x14ac:dyDescent="0.3">
      <c r="A45" s="633"/>
      <c r="C45" s="633"/>
      <c r="E45" s="633"/>
      <c r="G45" s="260"/>
      <c r="H45" s="260"/>
      <c r="I45" s="260"/>
      <c r="J45" s="633"/>
      <c r="K45" s="286"/>
      <c r="L45" s="633"/>
      <c r="M45" s="286"/>
      <c r="N45" s="633"/>
      <c r="O45" s="286"/>
      <c r="P45" s="633"/>
      <c r="Q45" s="260"/>
      <c r="R45" s="633"/>
      <c r="S45" s="260"/>
      <c r="T45" s="633"/>
      <c r="U45" s="260"/>
      <c r="V45" s="633"/>
      <c r="W45" s="286"/>
      <c r="X45" s="633"/>
      <c r="Y45" s="260"/>
      <c r="Z45" s="633"/>
      <c r="AC45" s="633"/>
      <c r="AF45" s="633"/>
      <c r="AI45" s="633"/>
      <c r="AL45" s="633"/>
      <c r="AM45" s="286"/>
      <c r="AN45" s="286"/>
      <c r="AO45" s="286"/>
      <c r="AP45" s="286"/>
      <c r="AQ45" s="633"/>
      <c r="AR45" s="286"/>
      <c r="AS45" s="286"/>
      <c r="AT45" s="286"/>
      <c r="AU45" s="633"/>
      <c r="AV45" s="286"/>
      <c r="AW45" s="286"/>
      <c r="AX45" s="286"/>
      <c r="AY45" s="633"/>
      <c r="BA45" s="633"/>
      <c r="BF45" s="260"/>
    </row>
    <row r="46" spans="1:58" s="382" customFormat="1" ht="15.6" customHeight="1" x14ac:dyDescent="0.3">
      <c r="A46" s="633"/>
      <c r="C46" s="633"/>
      <c r="E46" s="633"/>
      <c r="G46" s="260"/>
      <c r="H46" s="260"/>
      <c r="I46" s="260"/>
      <c r="J46" s="633"/>
      <c r="K46" s="286"/>
      <c r="L46" s="633"/>
      <c r="M46" s="286"/>
      <c r="N46" s="633"/>
      <c r="O46" s="286"/>
      <c r="P46" s="633"/>
      <c r="Q46" s="260"/>
      <c r="R46" s="633"/>
      <c r="S46" s="260"/>
      <c r="T46" s="633"/>
      <c r="U46" s="260"/>
      <c r="V46" s="633"/>
      <c r="W46" s="286"/>
      <c r="X46" s="633"/>
      <c r="Y46" s="260"/>
      <c r="Z46" s="633"/>
      <c r="AC46" s="633"/>
      <c r="AF46" s="633"/>
      <c r="AI46" s="633"/>
      <c r="AL46" s="633"/>
      <c r="AM46" s="286"/>
      <c r="AN46" s="286"/>
      <c r="AO46" s="286"/>
      <c r="AP46" s="286"/>
      <c r="AQ46" s="633"/>
      <c r="AR46" s="286"/>
      <c r="AS46" s="286"/>
      <c r="AT46" s="286"/>
      <c r="AU46" s="633"/>
      <c r="AV46" s="286"/>
      <c r="AW46" s="286"/>
      <c r="AX46" s="286"/>
      <c r="AY46" s="633"/>
      <c r="BA46" s="633"/>
      <c r="BF46" s="260"/>
    </row>
    <row r="47" spans="1:58" s="382" customFormat="1" ht="15.6" customHeight="1" x14ac:dyDescent="0.3">
      <c r="A47" s="633"/>
      <c r="C47" s="633"/>
      <c r="E47" s="633"/>
      <c r="G47" s="260"/>
      <c r="H47" s="260"/>
      <c r="I47" s="260"/>
      <c r="J47" s="633"/>
      <c r="K47" s="286"/>
      <c r="L47" s="633"/>
      <c r="M47" s="286"/>
      <c r="N47" s="633"/>
      <c r="O47" s="286"/>
      <c r="P47" s="633"/>
      <c r="Q47" s="260"/>
      <c r="R47" s="633"/>
      <c r="S47" s="260"/>
      <c r="T47" s="633"/>
      <c r="U47" s="260"/>
      <c r="V47" s="633"/>
      <c r="W47" s="286"/>
      <c r="X47" s="633"/>
      <c r="Y47" s="260"/>
      <c r="Z47" s="633"/>
      <c r="AC47" s="633"/>
      <c r="AF47" s="633"/>
      <c r="AI47" s="633"/>
      <c r="AL47" s="633"/>
      <c r="AM47" s="286"/>
      <c r="AN47" s="286"/>
      <c r="AO47" s="286"/>
      <c r="AP47" s="286"/>
      <c r="AQ47" s="633"/>
      <c r="AR47" s="286"/>
      <c r="AS47" s="286"/>
      <c r="AT47" s="286"/>
      <c r="AU47" s="633"/>
      <c r="AV47" s="286"/>
      <c r="AW47" s="286"/>
      <c r="AX47" s="286"/>
      <c r="AY47" s="633"/>
      <c r="BA47" s="633"/>
      <c r="BF47" s="260"/>
    </row>
    <row r="48" spans="1:58" s="382" customFormat="1" ht="15.6" customHeight="1" x14ac:dyDescent="0.3">
      <c r="A48" s="633"/>
      <c r="C48" s="633"/>
      <c r="E48" s="633"/>
      <c r="G48" s="260"/>
      <c r="H48" s="260"/>
      <c r="I48" s="260"/>
      <c r="J48" s="633"/>
      <c r="K48" s="286"/>
      <c r="L48" s="633"/>
      <c r="M48" s="286"/>
      <c r="N48" s="633"/>
      <c r="O48" s="286"/>
      <c r="P48" s="633"/>
      <c r="Q48" s="260"/>
      <c r="R48" s="633"/>
      <c r="S48" s="260"/>
      <c r="T48" s="633"/>
      <c r="U48" s="260"/>
      <c r="V48" s="633"/>
      <c r="W48" s="286"/>
      <c r="X48" s="633"/>
      <c r="Y48" s="260"/>
      <c r="Z48" s="633"/>
      <c r="AC48" s="633"/>
      <c r="AF48" s="633"/>
      <c r="AI48" s="633"/>
      <c r="AL48" s="633"/>
      <c r="AM48" s="286"/>
      <c r="AN48" s="286"/>
      <c r="AO48" s="286"/>
      <c r="AP48" s="286"/>
      <c r="AQ48" s="633"/>
      <c r="AR48" s="286"/>
      <c r="AS48" s="286"/>
      <c r="AT48" s="286"/>
      <c r="AU48" s="633"/>
      <c r="AV48" s="286"/>
      <c r="AW48" s="286"/>
      <c r="AX48" s="286"/>
      <c r="AY48" s="633"/>
      <c r="BA48" s="633"/>
      <c r="BF48" s="260"/>
    </row>
    <row r="49" spans="1:58" s="382" customFormat="1" ht="15.6" customHeight="1" x14ac:dyDescent="0.3">
      <c r="A49" s="633"/>
      <c r="C49" s="633"/>
      <c r="E49" s="633"/>
      <c r="G49" s="260"/>
      <c r="H49" s="260"/>
      <c r="I49" s="260"/>
      <c r="J49" s="633"/>
      <c r="K49" s="286"/>
      <c r="L49" s="633"/>
      <c r="M49" s="286"/>
      <c r="N49" s="633"/>
      <c r="O49" s="286"/>
      <c r="P49" s="633"/>
      <c r="Q49" s="260"/>
      <c r="R49" s="633"/>
      <c r="S49" s="260"/>
      <c r="T49" s="633"/>
      <c r="U49" s="260"/>
      <c r="V49" s="633"/>
      <c r="W49" s="286"/>
      <c r="X49" s="633"/>
      <c r="Y49" s="260"/>
      <c r="Z49" s="633"/>
      <c r="AC49" s="633"/>
      <c r="AF49" s="633"/>
      <c r="AI49" s="633"/>
      <c r="AL49" s="633"/>
      <c r="AM49" s="286"/>
      <c r="AN49" s="286"/>
      <c r="AO49" s="286"/>
      <c r="AP49" s="286"/>
      <c r="AQ49" s="633"/>
      <c r="AR49" s="286"/>
      <c r="AS49" s="286"/>
      <c r="AT49" s="286"/>
      <c r="AU49" s="633"/>
      <c r="AV49" s="286"/>
      <c r="AW49" s="286"/>
      <c r="AX49" s="286"/>
      <c r="AY49" s="633"/>
      <c r="BA49" s="633"/>
      <c r="BF49" s="260"/>
    </row>
    <row r="50" spans="1:58" s="382" customFormat="1" ht="15.6" customHeight="1" x14ac:dyDescent="0.3">
      <c r="A50" s="633"/>
      <c r="C50" s="633"/>
      <c r="E50" s="633"/>
      <c r="G50" s="260"/>
      <c r="H50" s="260"/>
      <c r="I50" s="260"/>
      <c r="J50" s="633"/>
      <c r="K50" s="286"/>
      <c r="L50" s="633"/>
      <c r="M50" s="286"/>
      <c r="N50" s="633"/>
      <c r="O50" s="286"/>
      <c r="P50" s="633"/>
      <c r="Q50" s="260"/>
      <c r="R50" s="633"/>
      <c r="S50" s="260"/>
      <c r="T50" s="633"/>
      <c r="U50" s="260"/>
      <c r="V50" s="633"/>
      <c r="W50" s="286"/>
      <c r="X50" s="633"/>
      <c r="Y50" s="260"/>
      <c r="Z50" s="633"/>
      <c r="AC50" s="633"/>
      <c r="AF50" s="633"/>
      <c r="AI50" s="633"/>
      <c r="AL50" s="633"/>
      <c r="AM50" s="286"/>
      <c r="AN50" s="286"/>
      <c r="AO50" s="286"/>
      <c r="AP50" s="286"/>
      <c r="AQ50" s="633"/>
      <c r="AR50" s="286"/>
      <c r="AS50" s="286"/>
      <c r="AT50" s="286"/>
      <c r="AU50" s="633"/>
      <c r="AV50" s="286"/>
      <c r="AW50" s="286"/>
      <c r="AX50" s="286"/>
      <c r="AY50" s="633"/>
      <c r="BA50" s="633"/>
      <c r="BF50" s="260"/>
    </row>
    <row r="51" spans="1:58" s="382" customFormat="1" ht="15.6" customHeight="1" thickBot="1" x14ac:dyDescent="0.35">
      <c r="A51" s="633"/>
      <c r="B51" s="641"/>
      <c r="C51" s="633"/>
      <c r="D51" s="641"/>
      <c r="E51" s="633"/>
      <c r="G51" s="260"/>
      <c r="H51" s="260"/>
      <c r="I51" s="260"/>
      <c r="J51" s="633"/>
      <c r="K51" s="286"/>
      <c r="L51" s="633"/>
      <c r="M51" s="286"/>
      <c r="N51" s="633"/>
      <c r="O51" s="286"/>
      <c r="P51" s="633"/>
      <c r="Q51" s="641"/>
      <c r="R51" s="633"/>
      <c r="S51" s="641"/>
      <c r="T51" s="633"/>
      <c r="V51" s="633"/>
      <c r="W51" s="286"/>
      <c r="X51" s="633"/>
      <c r="Y51" s="641"/>
      <c r="Z51" s="633"/>
      <c r="AA51" s="641"/>
      <c r="AB51" s="641"/>
      <c r="AC51" s="633"/>
      <c r="AD51" s="641"/>
      <c r="AE51" s="641"/>
      <c r="AF51" s="633"/>
      <c r="AG51" s="641"/>
      <c r="AH51" s="641"/>
      <c r="AI51" s="633"/>
      <c r="AJ51" s="641"/>
      <c r="AK51" s="641"/>
      <c r="AL51" s="633"/>
      <c r="AM51" s="286"/>
      <c r="AN51" s="286"/>
      <c r="AO51" s="286"/>
      <c r="AP51" s="286"/>
      <c r="AQ51" s="633"/>
      <c r="AR51" s="286"/>
      <c r="AS51" s="286"/>
      <c r="AT51" s="286"/>
      <c r="AU51" s="633"/>
      <c r="AV51" s="286"/>
      <c r="AW51" s="286"/>
      <c r="AX51" s="286"/>
      <c r="AY51" s="633"/>
      <c r="AZ51" s="641"/>
      <c r="BA51" s="633"/>
      <c r="BB51" s="481" t="str">
        <f>IModulo&amp;" ("&amp;IProfesor&amp;")"</f>
        <v>FPM-it-1-0237 Infra. comunes de teleco en viviendas y edificios (Rafa Sanz)</v>
      </c>
      <c r="BF51" s="260"/>
    </row>
    <row r="52" spans="1:58" s="382" customFormat="1" ht="15.6" customHeight="1" x14ac:dyDescent="0.3">
      <c r="G52" s="260"/>
      <c r="H52" s="260"/>
      <c r="I52" s="260"/>
      <c r="Q52" s="260"/>
      <c r="S52" s="260"/>
      <c r="U52" s="260"/>
      <c r="Y52" s="260"/>
      <c r="BF52" s="260"/>
    </row>
    <row r="53" spans="1:58" s="382" customFormat="1" ht="15.6" customHeight="1" x14ac:dyDescent="0.3">
      <c r="G53" s="260"/>
      <c r="H53" s="260"/>
      <c r="I53" s="260"/>
      <c r="Q53" s="260"/>
      <c r="S53" s="260"/>
      <c r="U53" s="260"/>
      <c r="Y53" s="260"/>
      <c r="BF53" s="260"/>
    </row>
    <row r="54" spans="1:58" s="382" customFormat="1" ht="15.6" customHeight="1" x14ac:dyDescent="0.3">
      <c r="G54" s="260"/>
      <c r="H54" s="260"/>
      <c r="I54" s="260"/>
      <c r="Q54" s="260"/>
      <c r="S54" s="260"/>
      <c r="U54" s="260"/>
      <c r="Y54" s="260"/>
      <c r="BF54" s="260"/>
    </row>
    <row r="55" spans="1:58" s="382" customFormat="1" ht="15.6" customHeight="1" x14ac:dyDescent="0.3">
      <c r="G55" s="260"/>
      <c r="H55" s="260"/>
      <c r="I55" s="260"/>
      <c r="Q55" s="260"/>
      <c r="S55" s="260"/>
      <c r="U55" s="260"/>
      <c r="Y55" s="260"/>
      <c r="BF55" s="260"/>
    </row>
    <row r="56" spans="1:58" s="382" customFormat="1" ht="15.6" customHeight="1" x14ac:dyDescent="0.3">
      <c r="G56" s="260"/>
      <c r="H56" s="260"/>
      <c r="I56" s="260"/>
      <c r="Q56" s="260"/>
      <c r="S56" s="260"/>
      <c r="U56" s="260"/>
      <c r="Y56" s="260"/>
      <c r="BF56" s="260"/>
    </row>
    <row r="57" spans="1:58" s="382" customFormat="1" ht="15.6" customHeight="1" x14ac:dyDescent="0.3">
      <c r="G57" s="260"/>
      <c r="H57" s="260"/>
      <c r="I57" s="260"/>
      <c r="Q57" s="260"/>
      <c r="S57" s="260"/>
      <c r="U57" s="260"/>
      <c r="Y57" s="260"/>
      <c r="BF57" s="260"/>
    </row>
    <row r="58" spans="1:58" s="382" customFormat="1" ht="15.6" customHeight="1" x14ac:dyDescent="0.3">
      <c r="G58" s="260"/>
      <c r="H58" s="260"/>
      <c r="I58" s="260"/>
      <c r="Q58" s="260"/>
      <c r="S58" s="260"/>
      <c r="U58" s="260"/>
      <c r="Y58" s="260"/>
      <c r="BF58" s="260"/>
    </row>
    <row r="59" spans="1:58" s="382" customFormat="1" ht="15.6" customHeight="1" x14ac:dyDescent="0.3">
      <c r="G59" s="260"/>
      <c r="H59" s="260"/>
      <c r="I59" s="260"/>
      <c r="Q59" s="260"/>
      <c r="S59" s="260"/>
      <c r="U59" s="260"/>
      <c r="Y59" s="260"/>
      <c r="BF59" s="260"/>
    </row>
    <row r="60" spans="1:58" s="382" customFormat="1" ht="15.6" customHeight="1" x14ac:dyDescent="0.3">
      <c r="G60" s="260"/>
      <c r="H60" s="260"/>
      <c r="I60" s="260"/>
      <c r="Q60" s="260"/>
      <c r="S60" s="260"/>
      <c r="U60" s="260"/>
      <c r="Y60" s="260"/>
      <c r="BF60" s="260"/>
    </row>
    <row r="61" spans="1:58" s="382" customFormat="1" ht="15.6" customHeight="1" x14ac:dyDescent="0.3">
      <c r="G61" s="260"/>
      <c r="H61" s="260"/>
      <c r="I61" s="260"/>
      <c r="Q61" s="260"/>
      <c r="S61" s="260"/>
      <c r="U61" s="260"/>
      <c r="Y61" s="260"/>
      <c r="BF61" s="260"/>
    </row>
    <row r="62" spans="1:58" s="382" customFormat="1" ht="15.6" customHeight="1" x14ac:dyDescent="0.3">
      <c r="G62" s="260"/>
      <c r="H62" s="260"/>
      <c r="I62" s="260"/>
      <c r="Q62" s="260"/>
      <c r="S62" s="260"/>
      <c r="U62" s="260"/>
      <c r="Y62" s="260"/>
      <c r="BF62" s="260"/>
    </row>
    <row r="63" spans="1:58" s="382" customFormat="1" ht="15.6" customHeight="1" x14ac:dyDescent="0.3">
      <c r="G63" s="260"/>
      <c r="H63" s="260"/>
      <c r="I63" s="260"/>
      <c r="Q63" s="260"/>
      <c r="S63" s="260"/>
      <c r="U63" s="260"/>
      <c r="Y63" s="260"/>
      <c r="BF63" s="260"/>
    </row>
    <row r="64" spans="1:58" s="382" customFormat="1" ht="15.6" customHeight="1" x14ac:dyDescent="0.3">
      <c r="G64" s="260"/>
      <c r="H64" s="260"/>
      <c r="I64" s="260"/>
      <c r="Q64" s="260"/>
      <c r="S64" s="260"/>
      <c r="U64" s="260"/>
      <c r="Y64" s="260"/>
      <c r="BF64" s="260"/>
    </row>
    <row r="65" spans="7:58" s="382" customFormat="1" ht="15.6" customHeight="1" x14ac:dyDescent="0.3">
      <c r="G65" s="260"/>
      <c r="H65" s="260"/>
      <c r="I65" s="260"/>
      <c r="Q65" s="260"/>
      <c r="S65" s="260"/>
      <c r="U65" s="260"/>
      <c r="Y65" s="260"/>
      <c r="BF65" s="260"/>
    </row>
    <row r="66" spans="7:58" s="382" customFormat="1" ht="15.6" customHeight="1" x14ac:dyDescent="0.3">
      <c r="G66" s="260"/>
      <c r="H66" s="260"/>
      <c r="I66" s="260"/>
      <c r="Q66" s="260"/>
      <c r="S66" s="260"/>
      <c r="U66" s="260"/>
      <c r="Y66" s="260"/>
      <c r="BF66" s="260"/>
    </row>
    <row r="67" spans="7:58" s="382" customFormat="1" ht="15.6" customHeight="1" x14ac:dyDescent="0.3">
      <c r="G67" s="260"/>
      <c r="H67" s="260"/>
      <c r="I67" s="260"/>
      <c r="Q67" s="260"/>
      <c r="S67" s="260"/>
      <c r="U67" s="260"/>
      <c r="Y67" s="260"/>
      <c r="BF67" s="260"/>
    </row>
    <row r="68" spans="7:58" s="382" customFormat="1" ht="15.6" customHeight="1" x14ac:dyDescent="0.3">
      <c r="G68" s="260"/>
      <c r="H68" s="260"/>
      <c r="I68" s="260"/>
      <c r="Q68" s="260"/>
      <c r="S68" s="260"/>
      <c r="U68" s="260"/>
      <c r="Y68" s="260"/>
      <c r="BF68" s="260"/>
    </row>
    <row r="69" spans="7:58" s="382" customFormat="1" ht="15.6" customHeight="1" x14ac:dyDescent="0.3">
      <c r="G69" s="260"/>
      <c r="H69" s="260"/>
      <c r="I69" s="260"/>
      <c r="Q69" s="260"/>
      <c r="S69" s="260"/>
      <c r="U69" s="260"/>
      <c r="Y69" s="260"/>
      <c r="BF69" s="260"/>
    </row>
    <row r="70" spans="7:58" s="382" customFormat="1" ht="15.6" customHeight="1" x14ac:dyDescent="0.3">
      <c r="G70" s="260"/>
      <c r="H70" s="260"/>
      <c r="I70" s="260"/>
      <c r="Q70" s="260"/>
      <c r="S70" s="260"/>
      <c r="U70" s="260"/>
      <c r="Y70" s="260"/>
      <c r="BF70" s="260"/>
    </row>
    <row r="71" spans="7:58" s="382" customFormat="1" ht="15.6" customHeight="1" x14ac:dyDescent="0.3">
      <c r="G71" s="260"/>
      <c r="H71" s="260"/>
      <c r="I71" s="260"/>
      <c r="Q71" s="260"/>
      <c r="S71" s="260"/>
      <c r="U71" s="260"/>
      <c r="Y71" s="260"/>
      <c r="BF71" s="260"/>
    </row>
    <row r="72" spans="7:58" s="382" customFormat="1" ht="15.6" customHeight="1" x14ac:dyDescent="0.3">
      <c r="G72" s="260"/>
      <c r="H72" s="260"/>
      <c r="I72" s="260"/>
      <c r="Q72" s="260"/>
      <c r="S72" s="260"/>
      <c r="U72" s="260"/>
      <c r="Y72" s="260"/>
      <c r="BF72" s="260"/>
    </row>
    <row r="73" spans="7:58" s="382" customFormat="1" ht="15.6" customHeight="1" x14ac:dyDescent="0.3">
      <c r="G73" s="260"/>
      <c r="H73" s="260"/>
      <c r="I73" s="260"/>
      <c r="Q73" s="260"/>
      <c r="S73" s="260"/>
      <c r="U73" s="260"/>
      <c r="Y73" s="260"/>
      <c r="BF73" s="260"/>
    </row>
    <row r="74" spans="7:58" s="382" customFormat="1" ht="15.6" customHeight="1" x14ac:dyDescent="0.3">
      <c r="G74" s="260"/>
      <c r="H74" s="260"/>
      <c r="I74" s="260"/>
      <c r="Q74" s="260"/>
      <c r="S74" s="260"/>
      <c r="U74" s="260"/>
      <c r="Y74" s="260"/>
      <c r="BF74" s="260"/>
    </row>
    <row r="75" spans="7:58" s="382" customFormat="1" ht="15.6" customHeight="1" x14ac:dyDescent="0.3">
      <c r="G75" s="260"/>
      <c r="H75" s="260"/>
      <c r="I75" s="260"/>
      <c r="Q75" s="260"/>
      <c r="S75" s="260"/>
      <c r="U75" s="260"/>
      <c r="Y75" s="260"/>
      <c r="BF75" s="260"/>
    </row>
    <row r="76" spans="7:58" s="382" customFormat="1" ht="15.6" customHeight="1" x14ac:dyDescent="0.3">
      <c r="G76" s="260"/>
      <c r="H76" s="260"/>
      <c r="I76" s="260"/>
      <c r="Q76" s="260"/>
      <c r="S76" s="260"/>
      <c r="U76" s="260"/>
      <c r="Y76" s="260"/>
      <c r="BF76" s="260"/>
    </row>
    <row r="77" spans="7:58" s="382" customFormat="1" ht="15.6" customHeight="1" x14ac:dyDescent="0.3">
      <c r="G77" s="260"/>
      <c r="H77" s="260"/>
      <c r="I77" s="260"/>
      <c r="Q77" s="260"/>
      <c r="S77" s="260"/>
      <c r="U77" s="260"/>
      <c r="Y77" s="260"/>
      <c r="BF77" s="260"/>
    </row>
    <row r="78" spans="7:58" s="382" customFormat="1" ht="15.6" customHeight="1" x14ac:dyDescent="0.3">
      <c r="G78" s="260"/>
      <c r="H78" s="260"/>
      <c r="I78" s="260"/>
      <c r="Q78" s="260"/>
      <c r="S78" s="260"/>
      <c r="U78" s="260"/>
      <c r="Y78" s="260"/>
      <c r="BF78" s="260"/>
    </row>
    <row r="79" spans="7:58" s="382" customFormat="1" ht="15.6" customHeight="1" x14ac:dyDescent="0.3">
      <c r="G79" s="260"/>
      <c r="H79" s="260"/>
      <c r="I79" s="260"/>
      <c r="Q79" s="260"/>
      <c r="S79" s="260"/>
      <c r="U79" s="260"/>
      <c r="Y79" s="260"/>
      <c r="BF79" s="260"/>
    </row>
    <row r="80" spans="7:58" s="382" customFormat="1" ht="15.6" customHeight="1" x14ac:dyDescent="0.3">
      <c r="G80" s="260"/>
      <c r="H80" s="260"/>
      <c r="I80" s="260"/>
      <c r="Q80" s="260"/>
      <c r="S80" s="260"/>
      <c r="U80" s="260"/>
      <c r="Y80" s="260"/>
      <c r="BF80" s="260"/>
    </row>
    <row r="81" spans="7:58" s="382" customFormat="1" ht="15.6" customHeight="1" x14ac:dyDescent="0.3">
      <c r="G81" s="260"/>
      <c r="H81" s="260"/>
      <c r="I81" s="260"/>
      <c r="Q81" s="260"/>
      <c r="S81" s="260"/>
      <c r="U81" s="260"/>
      <c r="Y81" s="260"/>
      <c r="BF81" s="260"/>
    </row>
    <row r="82" spans="7:58" s="382" customFormat="1" ht="15.6" customHeight="1" x14ac:dyDescent="0.3">
      <c r="G82" s="260"/>
      <c r="H82" s="260"/>
      <c r="I82" s="260"/>
      <c r="Q82" s="260"/>
      <c r="S82" s="260"/>
      <c r="U82" s="260"/>
      <c r="Y82" s="260"/>
      <c r="BF82" s="260"/>
    </row>
    <row r="83" spans="7:58" s="382" customFormat="1" ht="15.6" customHeight="1" x14ac:dyDescent="0.3">
      <c r="G83" s="260"/>
      <c r="H83" s="260"/>
      <c r="I83" s="260"/>
      <c r="Q83" s="260"/>
      <c r="S83" s="260"/>
      <c r="U83" s="260"/>
      <c r="Y83" s="260"/>
      <c r="BF83" s="260"/>
    </row>
    <row r="84" spans="7:58" s="382" customFormat="1" ht="15.6" customHeight="1" x14ac:dyDescent="0.3">
      <c r="G84" s="260"/>
      <c r="H84" s="260"/>
      <c r="I84" s="260"/>
      <c r="Q84" s="260"/>
      <c r="S84" s="260"/>
      <c r="U84" s="260"/>
      <c r="Y84" s="260"/>
      <c r="BF84" s="260"/>
    </row>
    <row r="85" spans="7:58" s="382" customFormat="1" ht="15.6" customHeight="1" x14ac:dyDescent="0.3">
      <c r="G85" s="260"/>
      <c r="H85" s="260"/>
      <c r="I85" s="260"/>
      <c r="Q85" s="260"/>
      <c r="S85" s="260"/>
      <c r="U85" s="260"/>
      <c r="Y85" s="260"/>
      <c r="BF85" s="260"/>
    </row>
    <row r="86" spans="7:58" s="382" customFormat="1" ht="15.6" customHeight="1" x14ac:dyDescent="0.3">
      <c r="G86" s="260"/>
      <c r="H86" s="260"/>
      <c r="I86" s="260"/>
      <c r="Q86" s="260"/>
      <c r="S86" s="260"/>
      <c r="U86" s="260"/>
      <c r="Y86" s="260"/>
      <c r="BF86" s="260"/>
    </row>
    <row r="87" spans="7:58" s="382" customFormat="1" ht="15.6" customHeight="1" x14ac:dyDescent="0.3">
      <c r="G87" s="260"/>
      <c r="H87" s="260"/>
      <c r="I87" s="260"/>
      <c r="Q87" s="260"/>
      <c r="S87" s="260"/>
      <c r="U87" s="260"/>
      <c r="Y87" s="260"/>
      <c r="BF87" s="260"/>
    </row>
    <row r="88" spans="7:58" s="382" customFormat="1" ht="15.6" customHeight="1" x14ac:dyDescent="0.3">
      <c r="G88" s="260"/>
      <c r="H88" s="260"/>
      <c r="I88" s="260"/>
      <c r="Q88" s="260"/>
      <c r="S88" s="260"/>
      <c r="U88" s="260"/>
      <c r="Y88" s="260"/>
      <c r="BF88" s="260"/>
    </row>
    <row r="89" spans="7:58" s="382" customFormat="1" ht="15.6" customHeight="1" x14ac:dyDescent="0.3">
      <c r="G89" s="260"/>
      <c r="H89" s="260"/>
      <c r="I89" s="260"/>
      <c r="Q89" s="260"/>
      <c r="S89" s="260"/>
      <c r="U89" s="260"/>
      <c r="Y89" s="260"/>
      <c r="BF89" s="260"/>
    </row>
    <row r="90" spans="7:58" s="382" customFormat="1" ht="15.6" customHeight="1" x14ac:dyDescent="0.3">
      <c r="G90" s="260"/>
      <c r="H90" s="260"/>
      <c r="I90" s="260"/>
      <c r="Q90" s="260"/>
      <c r="S90" s="260"/>
      <c r="U90" s="260"/>
      <c r="Y90" s="260"/>
      <c r="BF90" s="260"/>
    </row>
    <row r="91" spans="7:58" s="382" customFormat="1" ht="15.6" customHeight="1" x14ac:dyDescent="0.3">
      <c r="G91" s="260"/>
      <c r="H91" s="260"/>
      <c r="I91" s="260"/>
      <c r="Q91" s="260"/>
      <c r="S91" s="260"/>
      <c r="U91" s="260"/>
      <c r="Y91" s="260"/>
      <c r="BF91" s="260"/>
    </row>
    <row r="92" spans="7:58" s="382" customFormat="1" ht="15.6" customHeight="1" x14ac:dyDescent="0.3">
      <c r="G92" s="260"/>
      <c r="H92" s="260"/>
      <c r="I92" s="260"/>
      <c r="Q92" s="260"/>
      <c r="S92" s="260"/>
      <c r="U92" s="260"/>
      <c r="Y92" s="260"/>
      <c r="BF92" s="260"/>
    </row>
    <row r="93" spans="7:58" s="382" customFormat="1" ht="15.6" customHeight="1" x14ac:dyDescent="0.3">
      <c r="G93" s="260"/>
      <c r="H93" s="260"/>
      <c r="I93" s="260"/>
      <c r="Q93" s="260"/>
      <c r="S93" s="260"/>
      <c r="U93" s="260"/>
      <c r="Y93" s="260"/>
      <c r="BF93" s="260"/>
    </row>
    <row r="94" spans="7:58" s="382" customFormat="1" ht="15.6" customHeight="1" x14ac:dyDescent="0.3">
      <c r="G94" s="260"/>
      <c r="H94" s="260"/>
      <c r="I94" s="260"/>
      <c r="Q94" s="260"/>
      <c r="S94" s="260"/>
      <c r="U94" s="260"/>
      <c r="Y94" s="260"/>
      <c r="BF94" s="260"/>
    </row>
    <row r="95" spans="7:58" s="382" customFormat="1" ht="15.6" customHeight="1" x14ac:dyDescent="0.3">
      <c r="G95" s="260"/>
      <c r="H95" s="260"/>
      <c r="I95" s="260"/>
      <c r="Q95" s="260"/>
      <c r="S95" s="260"/>
      <c r="U95" s="260"/>
      <c r="Y95" s="260"/>
      <c r="BF95" s="260"/>
    </row>
    <row r="96" spans="7:58" s="382" customFormat="1" ht="15.6" customHeight="1" x14ac:dyDescent="0.3">
      <c r="G96" s="260"/>
      <c r="H96" s="260"/>
      <c r="I96" s="260"/>
      <c r="Q96" s="260"/>
      <c r="S96" s="260"/>
      <c r="U96" s="260"/>
      <c r="Y96" s="260"/>
      <c r="BF96" s="260"/>
    </row>
    <row r="97" spans="7:58" s="382" customFormat="1" ht="15.6" customHeight="1" x14ac:dyDescent="0.3">
      <c r="G97" s="260"/>
      <c r="H97" s="260"/>
      <c r="I97" s="260"/>
      <c r="Q97" s="260"/>
      <c r="S97" s="260"/>
      <c r="U97" s="260"/>
      <c r="Y97" s="260"/>
      <c r="BF97" s="260"/>
    </row>
    <row r="98" spans="7:58" s="382" customFormat="1" ht="15.6" customHeight="1" x14ac:dyDescent="0.3">
      <c r="G98" s="260"/>
      <c r="H98" s="260"/>
      <c r="I98" s="260"/>
      <c r="Q98" s="260"/>
      <c r="S98" s="260"/>
      <c r="U98" s="260"/>
      <c r="Y98" s="260"/>
      <c r="BF98" s="260"/>
    </row>
    <row r="99" spans="7:58" s="382" customFormat="1" ht="15.6" customHeight="1" x14ac:dyDescent="0.3">
      <c r="G99" s="260"/>
      <c r="H99" s="260"/>
      <c r="I99" s="260"/>
      <c r="Q99" s="260"/>
      <c r="S99" s="260"/>
      <c r="U99" s="260"/>
      <c r="Y99" s="260"/>
      <c r="BF99" s="260"/>
    </row>
    <row r="100" spans="7:58" s="382" customFormat="1" ht="15.6" customHeight="1" x14ac:dyDescent="0.3">
      <c r="G100" s="260"/>
      <c r="H100" s="260"/>
      <c r="I100" s="260"/>
      <c r="Q100" s="260"/>
      <c r="S100" s="260"/>
      <c r="U100" s="260"/>
      <c r="Y100" s="260"/>
      <c r="BF100" s="260"/>
    </row>
    <row r="101" spans="7:58" s="382" customFormat="1" ht="15.6" customHeight="1" x14ac:dyDescent="0.3">
      <c r="G101" s="260"/>
      <c r="H101" s="260"/>
      <c r="I101" s="260"/>
      <c r="Q101" s="260"/>
      <c r="S101" s="260"/>
      <c r="U101" s="260"/>
      <c r="Y101" s="260"/>
      <c r="BF101" s="260"/>
    </row>
    <row r="102" spans="7:58" s="382" customFormat="1" ht="15.6" customHeight="1" x14ac:dyDescent="0.3">
      <c r="G102" s="260"/>
      <c r="H102" s="260"/>
      <c r="I102" s="260"/>
      <c r="Q102" s="260"/>
      <c r="S102" s="260"/>
      <c r="U102" s="260"/>
      <c r="Y102" s="260"/>
      <c r="BF102" s="260"/>
    </row>
    <row r="103" spans="7:58" s="382" customFormat="1" ht="15.6" customHeight="1" x14ac:dyDescent="0.3">
      <c r="G103" s="260"/>
      <c r="H103" s="260"/>
      <c r="I103" s="260"/>
      <c r="Q103" s="260"/>
      <c r="S103" s="260"/>
      <c r="U103" s="260"/>
      <c r="Y103" s="260"/>
      <c r="BF103" s="260"/>
    </row>
    <row r="104" spans="7:58" s="382" customFormat="1" ht="15.6" customHeight="1" x14ac:dyDescent="0.3">
      <c r="G104" s="260"/>
      <c r="H104" s="260"/>
      <c r="I104" s="260"/>
      <c r="Q104" s="260"/>
      <c r="S104" s="260"/>
      <c r="U104" s="260"/>
      <c r="Y104" s="260"/>
      <c r="BF104" s="260"/>
    </row>
    <row r="105" spans="7:58" s="382" customFormat="1" ht="15.6" customHeight="1" x14ac:dyDescent="0.3">
      <c r="G105" s="260"/>
      <c r="H105" s="260"/>
      <c r="I105" s="260"/>
      <c r="Q105" s="260"/>
      <c r="S105" s="260"/>
      <c r="U105" s="260"/>
      <c r="Y105" s="260"/>
      <c r="BF105" s="260"/>
    </row>
    <row r="106" spans="7:58" s="382" customFormat="1" ht="15.6" customHeight="1" x14ac:dyDescent="0.3">
      <c r="G106" s="260"/>
      <c r="H106" s="260"/>
      <c r="I106" s="260"/>
      <c r="Q106" s="260"/>
      <c r="S106" s="260"/>
      <c r="U106" s="260"/>
      <c r="Y106" s="260"/>
      <c r="BF106" s="260"/>
    </row>
    <row r="107" spans="7:58" s="382" customFormat="1" ht="15.6" customHeight="1" x14ac:dyDescent="0.3">
      <c r="G107" s="260"/>
      <c r="H107" s="260"/>
      <c r="I107" s="260"/>
      <c r="Q107" s="260"/>
      <c r="S107" s="260"/>
      <c r="U107" s="260"/>
      <c r="Y107" s="260"/>
      <c r="BF107" s="260"/>
    </row>
    <row r="108" spans="7:58" s="382" customFormat="1" ht="15.6" customHeight="1" x14ac:dyDescent="0.3">
      <c r="G108" s="260"/>
      <c r="H108" s="260"/>
      <c r="I108" s="260"/>
      <c r="Q108" s="260"/>
      <c r="S108" s="260"/>
      <c r="U108" s="260"/>
      <c r="Y108" s="260"/>
      <c r="BF108" s="260"/>
    </row>
    <row r="109" spans="7:58" s="382" customFormat="1" ht="15.6" customHeight="1" x14ac:dyDescent="0.3">
      <c r="G109" s="260"/>
      <c r="H109" s="260"/>
      <c r="I109" s="260"/>
      <c r="Q109" s="260"/>
      <c r="S109" s="260"/>
      <c r="U109" s="260"/>
      <c r="Y109" s="260"/>
      <c r="BF109" s="260"/>
    </row>
    <row r="110" spans="7:58" s="382" customFormat="1" ht="15.6" customHeight="1" x14ac:dyDescent="0.3">
      <c r="G110" s="260"/>
      <c r="H110" s="260"/>
      <c r="I110" s="260"/>
      <c r="Q110" s="260"/>
      <c r="S110" s="260"/>
      <c r="U110" s="260"/>
      <c r="Y110" s="260"/>
      <c r="BF110" s="260"/>
    </row>
    <row r="111" spans="7:58" s="382" customFormat="1" ht="15.6" customHeight="1" x14ac:dyDescent="0.3">
      <c r="G111" s="260"/>
      <c r="H111" s="260"/>
      <c r="I111" s="260"/>
      <c r="Q111" s="260"/>
      <c r="S111" s="260"/>
      <c r="U111" s="260"/>
      <c r="Y111" s="260"/>
      <c r="BF111" s="260"/>
    </row>
    <row r="112" spans="7:58" s="382" customFormat="1" ht="15.6" customHeight="1" x14ac:dyDescent="0.3">
      <c r="G112" s="260"/>
      <c r="H112" s="260"/>
      <c r="I112" s="260"/>
      <c r="Q112" s="260"/>
      <c r="S112" s="260"/>
      <c r="U112" s="260"/>
      <c r="Y112" s="260"/>
      <c r="BF112" s="260"/>
    </row>
    <row r="113" spans="7:58" s="382" customFormat="1" ht="15.6" customHeight="1" x14ac:dyDescent="0.3">
      <c r="G113" s="260"/>
      <c r="H113" s="260"/>
      <c r="I113" s="260"/>
      <c r="Q113" s="260"/>
      <c r="S113" s="260"/>
      <c r="U113" s="260"/>
      <c r="Y113" s="260"/>
      <c r="BF113" s="260"/>
    </row>
    <row r="114" spans="7:58" s="382" customFormat="1" ht="15.6" customHeight="1" x14ac:dyDescent="0.3">
      <c r="G114" s="260"/>
      <c r="H114" s="260"/>
      <c r="I114" s="260"/>
      <c r="Q114" s="260"/>
      <c r="S114" s="260"/>
      <c r="U114" s="260"/>
      <c r="Y114" s="260"/>
      <c r="BF114" s="260"/>
    </row>
    <row r="115" spans="7:58" s="382" customFormat="1" ht="15.6" customHeight="1" x14ac:dyDescent="0.3">
      <c r="G115" s="260"/>
      <c r="H115" s="260"/>
      <c r="I115" s="260"/>
      <c r="Q115" s="260"/>
      <c r="S115" s="260"/>
      <c r="U115" s="260"/>
      <c r="Y115" s="260"/>
      <c r="BF115" s="260"/>
    </row>
    <row r="116" spans="7:58" s="382" customFormat="1" ht="15.6" customHeight="1" x14ac:dyDescent="0.3">
      <c r="G116" s="260"/>
      <c r="H116" s="260"/>
      <c r="I116" s="260"/>
      <c r="Q116" s="260"/>
      <c r="S116" s="260"/>
      <c r="U116" s="260"/>
      <c r="Y116" s="260"/>
      <c r="BF116" s="260"/>
    </row>
    <row r="117" spans="7:58" s="382" customFormat="1" ht="15.6" customHeight="1" x14ac:dyDescent="0.3">
      <c r="G117" s="260"/>
      <c r="H117" s="260"/>
      <c r="I117" s="260"/>
      <c r="Q117" s="260"/>
      <c r="S117" s="260"/>
      <c r="U117" s="260"/>
      <c r="Y117" s="260"/>
      <c r="BF117" s="260"/>
    </row>
    <row r="118" spans="7:58" s="382" customFormat="1" ht="15.6" customHeight="1" x14ac:dyDescent="0.3">
      <c r="G118" s="260"/>
      <c r="H118" s="260"/>
      <c r="I118" s="260"/>
      <c r="Q118" s="260"/>
      <c r="S118" s="260"/>
      <c r="U118" s="260"/>
      <c r="Y118" s="260"/>
      <c r="BF118" s="260"/>
    </row>
    <row r="119" spans="7:58" s="382" customFormat="1" ht="15.6" customHeight="1" x14ac:dyDescent="0.3">
      <c r="G119" s="260"/>
      <c r="H119" s="260"/>
      <c r="I119" s="260"/>
      <c r="Q119" s="260"/>
      <c r="S119" s="260"/>
      <c r="U119" s="260"/>
      <c r="Y119" s="260"/>
      <c r="BF119" s="260"/>
    </row>
    <row r="120" spans="7:58" s="382" customFormat="1" ht="15.6" customHeight="1" x14ac:dyDescent="0.3">
      <c r="G120" s="260"/>
      <c r="H120" s="260"/>
      <c r="I120" s="260"/>
      <c r="Q120" s="260"/>
      <c r="S120" s="260"/>
      <c r="U120" s="260"/>
      <c r="Y120" s="260"/>
      <c r="BF120" s="260"/>
    </row>
    <row r="121" spans="7:58" s="382" customFormat="1" ht="15.6" customHeight="1" x14ac:dyDescent="0.3">
      <c r="G121" s="260"/>
      <c r="H121" s="260"/>
      <c r="I121" s="260"/>
      <c r="Q121" s="260"/>
      <c r="S121" s="260"/>
      <c r="U121" s="260"/>
      <c r="Y121" s="260"/>
      <c r="BF121" s="260"/>
    </row>
    <row r="122" spans="7:58" s="382" customFormat="1" ht="15.6" customHeight="1" x14ac:dyDescent="0.3">
      <c r="G122" s="260"/>
      <c r="H122" s="260"/>
      <c r="I122" s="260"/>
      <c r="Q122" s="260"/>
      <c r="S122" s="260"/>
      <c r="U122" s="260"/>
      <c r="Y122" s="260"/>
      <c r="BF122" s="260"/>
    </row>
    <row r="123" spans="7:58" s="382" customFormat="1" ht="15.6" customHeight="1" x14ac:dyDescent="0.3">
      <c r="G123" s="260"/>
      <c r="H123" s="260"/>
      <c r="I123" s="260"/>
      <c r="Q123" s="260"/>
      <c r="S123" s="260"/>
      <c r="U123" s="260"/>
      <c r="Y123" s="260"/>
      <c r="BF123" s="260"/>
    </row>
    <row r="124" spans="7:58" s="382" customFormat="1" ht="15.6" customHeight="1" x14ac:dyDescent="0.3">
      <c r="G124" s="260"/>
      <c r="H124" s="260"/>
      <c r="I124" s="260"/>
      <c r="Q124" s="260"/>
      <c r="S124" s="260"/>
      <c r="U124" s="260"/>
      <c r="Y124" s="260"/>
      <c r="BF124" s="260"/>
    </row>
    <row r="125" spans="7:58" s="382" customFormat="1" ht="15.6" customHeight="1" x14ac:dyDescent="0.3">
      <c r="G125" s="260"/>
      <c r="H125" s="260"/>
      <c r="I125" s="260"/>
      <c r="Q125" s="260"/>
      <c r="S125" s="260"/>
      <c r="U125" s="260"/>
      <c r="Y125" s="260"/>
      <c r="BF125" s="260"/>
    </row>
    <row r="126" spans="7:58" s="382" customFormat="1" ht="15.6" customHeight="1" x14ac:dyDescent="0.3">
      <c r="G126" s="260"/>
      <c r="H126" s="260"/>
      <c r="I126" s="260"/>
      <c r="Q126" s="260"/>
      <c r="S126" s="260"/>
      <c r="U126" s="260"/>
      <c r="Y126" s="260"/>
      <c r="BF126" s="260"/>
    </row>
    <row r="127" spans="7:58" s="382" customFormat="1" ht="15.6" customHeight="1" x14ac:dyDescent="0.3">
      <c r="G127" s="260"/>
      <c r="H127" s="260"/>
      <c r="I127" s="260"/>
      <c r="Q127" s="260"/>
      <c r="S127" s="260"/>
      <c r="U127" s="260"/>
      <c r="Y127" s="260"/>
      <c r="BF127" s="260"/>
    </row>
    <row r="128" spans="7:58" s="382" customFormat="1" ht="15.6" customHeight="1" x14ac:dyDescent="0.3">
      <c r="G128" s="260"/>
      <c r="H128" s="260"/>
      <c r="I128" s="260"/>
      <c r="Q128" s="260"/>
      <c r="S128" s="260"/>
      <c r="U128" s="260"/>
      <c r="Y128" s="260"/>
      <c r="BF128" s="260"/>
    </row>
    <row r="129" spans="7:58" s="382" customFormat="1" ht="15.6" customHeight="1" x14ac:dyDescent="0.3">
      <c r="G129" s="260"/>
      <c r="H129" s="260"/>
      <c r="I129" s="260"/>
      <c r="Q129" s="260"/>
      <c r="S129" s="260"/>
      <c r="U129" s="260"/>
      <c r="Y129" s="260"/>
      <c r="BF129" s="260"/>
    </row>
    <row r="130" spans="7:58" s="382" customFormat="1" ht="15.6" customHeight="1" x14ac:dyDescent="0.3">
      <c r="G130" s="260"/>
      <c r="H130" s="260"/>
      <c r="I130" s="260"/>
      <c r="Q130" s="260"/>
      <c r="S130" s="260"/>
      <c r="U130" s="260"/>
      <c r="Y130" s="260"/>
      <c r="BF130" s="260"/>
    </row>
    <row r="131" spans="7:58" s="382" customFormat="1" ht="15.6" customHeight="1" x14ac:dyDescent="0.3">
      <c r="G131" s="260"/>
      <c r="H131" s="260"/>
      <c r="I131" s="260"/>
      <c r="Q131" s="260"/>
      <c r="S131" s="260"/>
      <c r="U131" s="260"/>
      <c r="Y131" s="260"/>
      <c r="BF131" s="260"/>
    </row>
    <row r="132" spans="7:58" s="382" customFormat="1" ht="15.6" customHeight="1" x14ac:dyDescent="0.3">
      <c r="G132" s="260"/>
      <c r="H132" s="260"/>
      <c r="I132" s="260"/>
      <c r="Q132" s="260"/>
      <c r="S132" s="260"/>
      <c r="U132" s="260"/>
      <c r="Y132" s="260"/>
      <c r="BF132" s="260"/>
    </row>
    <row r="133" spans="7:58" s="382" customFormat="1" ht="15.6" customHeight="1" x14ac:dyDescent="0.3">
      <c r="G133" s="260"/>
      <c r="H133" s="260"/>
      <c r="I133" s="260"/>
      <c r="Q133" s="260"/>
      <c r="S133" s="260"/>
      <c r="U133" s="260"/>
      <c r="Y133" s="260"/>
      <c r="BF133" s="260"/>
    </row>
    <row r="134" spans="7:58" s="382" customFormat="1" ht="15.6" customHeight="1" x14ac:dyDescent="0.3">
      <c r="G134" s="260"/>
      <c r="H134" s="260"/>
      <c r="I134" s="260"/>
      <c r="Q134" s="260"/>
      <c r="S134" s="260"/>
      <c r="U134" s="260"/>
      <c r="Y134" s="260"/>
      <c r="BF134" s="260"/>
    </row>
    <row r="135" spans="7:58" s="382" customFormat="1" ht="15.6" customHeight="1" x14ac:dyDescent="0.3">
      <c r="G135" s="260"/>
      <c r="H135" s="260"/>
      <c r="I135" s="260"/>
      <c r="Q135" s="260"/>
      <c r="S135" s="260"/>
      <c r="U135" s="260"/>
      <c r="Y135" s="260"/>
      <c r="BF135" s="260"/>
    </row>
    <row r="136" spans="7:58" s="382" customFormat="1" ht="15.6" customHeight="1" x14ac:dyDescent="0.3">
      <c r="G136" s="260"/>
      <c r="H136" s="260"/>
      <c r="I136" s="260"/>
      <c r="Q136" s="260"/>
      <c r="S136" s="260"/>
      <c r="U136" s="260"/>
      <c r="Y136" s="260"/>
      <c r="BF136" s="260"/>
    </row>
    <row r="137" spans="7:58" s="382" customFormat="1" ht="15.6" customHeight="1" x14ac:dyDescent="0.3">
      <c r="G137" s="260"/>
      <c r="H137" s="260"/>
      <c r="I137" s="260"/>
      <c r="Q137" s="260"/>
      <c r="S137" s="260"/>
      <c r="U137" s="260"/>
      <c r="Y137" s="260"/>
      <c r="BF137" s="260"/>
    </row>
    <row r="138" spans="7:58" s="382" customFormat="1" ht="15.6" customHeight="1" x14ac:dyDescent="0.3">
      <c r="G138" s="260"/>
      <c r="H138" s="260"/>
      <c r="I138" s="260"/>
      <c r="Q138" s="260"/>
      <c r="S138" s="260"/>
      <c r="U138" s="260"/>
      <c r="Y138" s="260"/>
      <c r="BF138" s="260"/>
    </row>
    <row r="139" spans="7:58" s="382" customFormat="1" ht="15.6" customHeight="1" x14ac:dyDescent="0.3">
      <c r="G139" s="260"/>
      <c r="H139" s="260"/>
      <c r="I139" s="260"/>
      <c r="Q139" s="260"/>
      <c r="S139" s="260"/>
      <c r="U139" s="260"/>
      <c r="Y139" s="260"/>
      <c r="BF139" s="260"/>
    </row>
    <row r="140" spans="7:58" s="382" customFormat="1" ht="15.6" customHeight="1" x14ac:dyDescent="0.3">
      <c r="G140" s="260"/>
      <c r="H140" s="260"/>
      <c r="I140" s="260"/>
      <c r="Q140" s="260"/>
      <c r="S140" s="260"/>
      <c r="U140" s="260"/>
      <c r="Y140" s="260"/>
      <c r="BF140" s="260"/>
    </row>
    <row r="141" spans="7:58" s="382" customFormat="1" ht="15.6" customHeight="1" x14ac:dyDescent="0.3">
      <c r="G141" s="260"/>
      <c r="H141" s="260"/>
      <c r="I141" s="260"/>
      <c r="Q141" s="260"/>
      <c r="S141" s="260"/>
      <c r="U141" s="260"/>
      <c r="Y141" s="260"/>
      <c r="BF141" s="260"/>
    </row>
    <row r="142" spans="7:58" s="382" customFormat="1" ht="15.6" customHeight="1" x14ac:dyDescent="0.3">
      <c r="G142" s="260"/>
      <c r="H142" s="260"/>
      <c r="I142" s="260"/>
      <c r="Q142" s="260"/>
      <c r="S142" s="260"/>
      <c r="U142" s="260"/>
      <c r="Y142" s="260"/>
      <c r="BF142" s="260"/>
    </row>
    <row r="143" spans="7:58" s="382" customFormat="1" ht="15.6" customHeight="1" x14ac:dyDescent="0.3">
      <c r="G143" s="260"/>
      <c r="H143" s="260"/>
      <c r="I143" s="260"/>
      <c r="Q143" s="260"/>
      <c r="S143" s="260"/>
      <c r="U143" s="260"/>
      <c r="Y143" s="260"/>
      <c r="BF143" s="260"/>
    </row>
    <row r="144" spans="7:58" s="382" customFormat="1" ht="15.6" customHeight="1" x14ac:dyDescent="0.3">
      <c r="G144" s="260"/>
      <c r="H144" s="260"/>
      <c r="I144" s="260"/>
      <c r="Q144" s="260"/>
      <c r="S144" s="260"/>
      <c r="U144" s="260"/>
      <c r="Y144" s="260"/>
      <c r="BF144" s="260"/>
    </row>
    <row r="145" spans="7:58" s="382" customFormat="1" ht="15.6" customHeight="1" x14ac:dyDescent="0.3">
      <c r="G145" s="260"/>
      <c r="H145" s="260"/>
      <c r="I145" s="260"/>
      <c r="Q145" s="260"/>
      <c r="S145" s="260"/>
      <c r="U145" s="260"/>
      <c r="Y145" s="260"/>
      <c r="BF145" s="260"/>
    </row>
    <row r="146" spans="7:58" s="382" customFormat="1" ht="15.6" customHeight="1" x14ac:dyDescent="0.3">
      <c r="G146" s="260"/>
      <c r="H146" s="260"/>
      <c r="I146" s="260"/>
      <c r="Q146" s="260"/>
      <c r="S146" s="260"/>
      <c r="U146" s="260"/>
      <c r="Y146" s="260"/>
      <c r="BF146" s="260"/>
    </row>
    <row r="147" spans="7:58" s="382" customFormat="1" ht="15.6" customHeight="1" x14ac:dyDescent="0.3">
      <c r="G147" s="260"/>
      <c r="H147" s="260"/>
      <c r="I147" s="260"/>
      <c r="Q147" s="260"/>
      <c r="S147" s="260"/>
      <c r="U147" s="260"/>
      <c r="Y147" s="260"/>
      <c r="BF147" s="260"/>
    </row>
    <row r="148" spans="7:58" s="382" customFormat="1" ht="15.6" customHeight="1" x14ac:dyDescent="0.3">
      <c r="G148" s="260"/>
      <c r="H148" s="260"/>
      <c r="I148" s="260"/>
      <c r="Q148" s="260"/>
      <c r="S148" s="260"/>
      <c r="U148" s="260"/>
      <c r="Y148" s="260"/>
      <c r="BF148" s="260"/>
    </row>
    <row r="149" spans="7:58" s="382" customFormat="1" ht="15.6" customHeight="1" x14ac:dyDescent="0.3">
      <c r="G149" s="260"/>
      <c r="H149" s="260"/>
      <c r="I149" s="260"/>
      <c r="Q149" s="260"/>
      <c r="S149" s="260"/>
      <c r="U149" s="260"/>
      <c r="Y149" s="260"/>
      <c r="BF149" s="260"/>
    </row>
    <row r="150" spans="7:58" s="382" customFormat="1" ht="15.6" customHeight="1" x14ac:dyDescent="0.3">
      <c r="G150" s="260"/>
      <c r="H150" s="260"/>
      <c r="I150" s="260"/>
      <c r="Q150" s="260"/>
      <c r="S150" s="260"/>
      <c r="U150" s="260"/>
      <c r="Y150" s="260"/>
      <c r="BF150" s="260"/>
    </row>
    <row r="151" spans="7:58" s="382" customFormat="1" ht="15.6" customHeight="1" x14ac:dyDescent="0.3">
      <c r="G151" s="260"/>
      <c r="H151" s="260"/>
      <c r="I151" s="260"/>
      <c r="Q151" s="260"/>
      <c r="S151" s="260"/>
      <c r="U151" s="260"/>
      <c r="Y151" s="260"/>
      <c r="BF151" s="260"/>
    </row>
    <row r="152" spans="7:58" s="382" customFormat="1" ht="15.6" customHeight="1" x14ac:dyDescent="0.3">
      <c r="G152" s="260"/>
      <c r="H152" s="260"/>
      <c r="I152" s="260"/>
      <c r="Q152" s="260"/>
      <c r="S152" s="260"/>
      <c r="U152" s="260"/>
      <c r="Y152" s="260"/>
      <c r="BF152" s="260"/>
    </row>
    <row r="153" spans="7:58" s="382" customFormat="1" ht="15.6" customHeight="1" x14ac:dyDescent="0.3">
      <c r="G153" s="260"/>
      <c r="H153" s="260"/>
      <c r="I153" s="260"/>
      <c r="Q153" s="260"/>
      <c r="S153" s="260"/>
      <c r="U153" s="260"/>
      <c r="Y153" s="260"/>
      <c r="BF153" s="260"/>
    </row>
    <row r="154" spans="7:58" s="382" customFormat="1" ht="15.6" customHeight="1" x14ac:dyDescent="0.3">
      <c r="G154" s="260"/>
      <c r="H154" s="260"/>
      <c r="I154" s="260"/>
      <c r="Q154" s="260"/>
      <c r="S154" s="260"/>
      <c r="U154" s="260"/>
      <c r="Y154" s="260"/>
      <c r="BF154" s="260"/>
    </row>
    <row r="155" spans="7:58" s="382" customFormat="1" ht="15.6" customHeight="1" x14ac:dyDescent="0.3">
      <c r="G155" s="260"/>
      <c r="H155" s="260"/>
      <c r="I155" s="260"/>
      <c r="Q155" s="260"/>
      <c r="S155" s="260"/>
      <c r="U155" s="260"/>
      <c r="Y155" s="260"/>
      <c r="BF155" s="260"/>
    </row>
    <row r="156" spans="7:58" s="382" customFormat="1" ht="15.6" customHeight="1" x14ac:dyDescent="0.3">
      <c r="G156" s="260"/>
      <c r="H156" s="260"/>
      <c r="I156" s="260"/>
      <c r="Q156" s="260"/>
      <c r="S156" s="260"/>
      <c r="U156" s="260"/>
      <c r="Y156" s="260"/>
      <c r="BF156" s="260"/>
    </row>
    <row r="157" spans="7:58" s="382" customFormat="1" ht="15.6" customHeight="1" x14ac:dyDescent="0.3">
      <c r="G157" s="260"/>
      <c r="H157" s="260"/>
      <c r="I157" s="260"/>
      <c r="Q157" s="260"/>
      <c r="S157" s="260"/>
      <c r="U157" s="260"/>
      <c r="Y157" s="260"/>
      <c r="BF157" s="260"/>
    </row>
    <row r="158" spans="7:58" s="382" customFormat="1" ht="15.6" customHeight="1" x14ac:dyDescent="0.3">
      <c r="G158" s="260"/>
      <c r="H158" s="260"/>
      <c r="I158" s="260"/>
      <c r="Q158" s="260"/>
      <c r="S158" s="260"/>
      <c r="U158" s="260"/>
      <c r="Y158" s="260"/>
      <c r="BF158" s="260"/>
    </row>
    <row r="159" spans="7:58" s="382" customFormat="1" ht="15.6" customHeight="1" x14ac:dyDescent="0.3">
      <c r="G159" s="260"/>
      <c r="H159" s="260"/>
      <c r="I159" s="260"/>
      <c r="Q159" s="260"/>
      <c r="S159" s="260"/>
      <c r="U159" s="260"/>
      <c r="Y159" s="260"/>
      <c r="BF159" s="260"/>
    </row>
    <row r="160" spans="7:58" s="382" customFormat="1" ht="15.6" customHeight="1" x14ac:dyDescent="0.3">
      <c r="G160" s="260"/>
      <c r="H160" s="260"/>
      <c r="I160" s="260"/>
      <c r="Q160" s="260"/>
      <c r="S160" s="260"/>
      <c r="U160" s="260"/>
      <c r="Y160" s="260"/>
      <c r="BF160" s="260"/>
    </row>
    <row r="161" spans="6:58" s="382" customFormat="1" ht="15.6" customHeight="1" x14ac:dyDescent="0.3">
      <c r="G161" s="260"/>
      <c r="H161" s="260"/>
      <c r="I161" s="260"/>
      <c r="Q161" s="260"/>
      <c r="S161" s="260"/>
      <c r="U161" s="260"/>
      <c r="Y161" s="260"/>
      <c r="BF161" s="260"/>
    </row>
    <row r="162" spans="6:58" s="382" customFormat="1" ht="15.6" customHeight="1" x14ac:dyDescent="0.3">
      <c r="G162" s="260"/>
      <c r="H162" s="260"/>
      <c r="I162" s="260"/>
      <c r="Q162" s="260"/>
      <c r="S162" s="260"/>
      <c r="U162" s="260"/>
      <c r="Y162" s="260"/>
      <c r="BF162" s="260"/>
    </row>
    <row r="163" spans="6:58" s="382" customFormat="1" ht="15.6" customHeight="1" x14ac:dyDescent="0.3">
      <c r="G163" s="260"/>
      <c r="H163" s="260"/>
      <c r="I163" s="260"/>
      <c r="Q163" s="260"/>
      <c r="S163" s="260"/>
      <c r="U163" s="260"/>
      <c r="Y163" s="260"/>
      <c r="BF163" s="260"/>
    </row>
    <row r="164" spans="6:58" s="382" customFormat="1" ht="15.6" customHeight="1" x14ac:dyDescent="0.3">
      <c r="G164" s="260"/>
      <c r="H164" s="260"/>
      <c r="I164" s="260"/>
      <c r="Q164" s="260"/>
      <c r="S164" s="260"/>
      <c r="U164" s="260"/>
      <c r="Y164" s="260"/>
      <c r="BF164" s="260"/>
    </row>
    <row r="165" spans="6:58" s="382" customFormat="1" ht="15.6" customHeight="1" x14ac:dyDescent="0.3">
      <c r="G165" s="260"/>
      <c r="H165" s="260"/>
      <c r="I165" s="260"/>
      <c r="Q165" s="260"/>
      <c r="S165" s="260"/>
      <c r="U165" s="260"/>
      <c r="Y165" s="260"/>
      <c r="BF165" s="260"/>
    </row>
    <row r="166" spans="6:58" s="382" customFormat="1" ht="15.6" customHeight="1" x14ac:dyDescent="0.3">
      <c r="G166" s="260"/>
      <c r="H166" s="260"/>
      <c r="I166" s="260"/>
      <c r="Q166" s="260"/>
      <c r="S166" s="260"/>
      <c r="U166" s="260"/>
      <c r="Y166" s="260"/>
      <c r="BF166" s="260"/>
    </row>
    <row r="167" spans="6:58" s="382" customFormat="1" ht="15.6" customHeight="1" x14ac:dyDescent="0.3">
      <c r="G167" s="260"/>
      <c r="H167" s="260"/>
      <c r="I167" s="260"/>
      <c r="Q167" s="260"/>
      <c r="S167" s="260"/>
      <c r="U167" s="260"/>
      <c r="Y167" s="260"/>
      <c r="BF167" s="260"/>
    </row>
    <row r="168" spans="6:58" s="382" customFormat="1" ht="15.6" customHeight="1" x14ac:dyDescent="0.3">
      <c r="G168" s="260"/>
      <c r="H168" s="260"/>
      <c r="I168" s="260"/>
      <c r="Q168" s="260"/>
      <c r="S168" s="260"/>
      <c r="U168" s="260"/>
      <c r="Y168" s="260"/>
      <c r="BF168" s="260"/>
    </row>
    <row r="169" spans="6:58" s="382" customFormat="1" ht="15.6" customHeight="1" x14ac:dyDescent="0.3">
      <c r="G169" s="260"/>
      <c r="H169" s="260"/>
      <c r="I169" s="260"/>
      <c r="Q169" s="260"/>
      <c r="S169" s="260"/>
      <c r="U169" s="260"/>
      <c r="Y169" s="260"/>
      <c r="BF169" s="260"/>
    </row>
    <row r="170" spans="6:58" s="382" customFormat="1" ht="15.6" customHeight="1" x14ac:dyDescent="0.3">
      <c r="G170" s="260"/>
      <c r="H170" s="260"/>
      <c r="I170" s="260"/>
      <c r="Q170" s="260"/>
      <c r="S170" s="260"/>
      <c r="U170" s="260"/>
      <c r="Y170" s="260"/>
      <c r="BF170" s="260"/>
    </row>
    <row r="171" spans="6:58" s="382" customFormat="1" ht="15.6" customHeight="1" x14ac:dyDescent="0.3">
      <c r="G171" s="260"/>
      <c r="H171" s="260"/>
      <c r="I171" s="260"/>
      <c r="Q171" s="260"/>
      <c r="S171" s="260"/>
      <c r="U171" s="260"/>
      <c r="Y171" s="260"/>
      <c r="BF171" s="260"/>
    </row>
    <row r="172" spans="6:58" s="382" customFormat="1" ht="15.6" customHeight="1" x14ac:dyDescent="0.3">
      <c r="G172" s="260"/>
      <c r="H172" s="260"/>
      <c r="I172" s="260"/>
      <c r="Q172" s="260"/>
      <c r="S172" s="260"/>
      <c r="U172" s="260"/>
      <c r="Y172" s="260"/>
      <c r="BF172" s="260"/>
    </row>
    <row r="173" spans="6:58" s="382" customFormat="1" ht="15.6" customHeight="1" x14ac:dyDescent="0.3">
      <c r="G173" s="260"/>
      <c r="H173" s="260"/>
      <c r="I173" s="260"/>
      <c r="Q173" s="260"/>
      <c r="S173" s="260"/>
      <c r="U173" s="260"/>
      <c r="Y173" s="260"/>
      <c r="BF173" s="260"/>
    </row>
    <row r="174" spans="6:58" s="382" customFormat="1" ht="15.6" customHeight="1" x14ac:dyDescent="0.3">
      <c r="G174" s="260"/>
      <c r="H174" s="260"/>
      <c r="I174" s="260"/>
      <c r="Q174" s="260"/>
      <c r="S174" s="260"/>
      <c r="U174" s="260"/>
      <c r="Y174" s="260"/>
      <c r="BF174" s="260"/>
    </row>
    <row r="175" spans="6:58" s="382" customFormat="1" ht="15.6" customHeight="1" x14ac:dyDescent="0.3">
      <c r="G175" s="260"/>
      <c r="H175" s="260"/>
      <c r="I175" s="260"/>
      <c r="Q175" s="260"/>
      <c r="S175" s="260"/>
      <c r="U175" s="260"/>
      <c r="Y175" s="260"/>
      <c r="BF175" s="260"/>
    </row>
    <row r="176" spans="6:58" s="382" customFormat="1" ht="15.6" customHeight="1" x14ac:dyDescent="0.3">
      <c r="F176" s="262"/>
      <c r="G176" s="643"/>
      <c r="H176" s="643"/>
      <c r="I176" s="643"/>
      <c r="Q176" s="260"/>
      <c r="S176" s="260"/>
      <c r="U176" s="260"/>
      <c r="Y176" s="260"/>
      <c r="BF176" s="260"/>
    </row>
    <row r="177" spans="6:58" s="382" customFormat="1" ht="15.6" customHeight="1" x14ac:dyDescent="0.3">
      <c r="F177" s="262"/>
      <c r="G177" s="643"/>
      <c r="H177" s="643"/>
      <c r="I177" s="643"/>
      <c r="Q177" s="260"/>
      <c r="S177" s="260"/>
      <c r="U177" s="260"/>
      <c r="Y177" s="260"/>
      <c r="BF177" s="260"/>
    </row>
    <row r="178" spans="6:58" s="382" customFormat="1" ht="15.6" customHeight="1" x14ac:dyDescent="0.3">
      <c r="F178" s="262"/>
      <c r="G178" s="643"/>
      <c r="H178" s="643"/>
      <c r="I178" s="643"/>
      <c r="Q178" s="260"/>
      <c r="S178" s="260"/>
      <c r="U178" s="260"/>
      <c r="Y178" s="260"/>
      <c r="BF178" s="260"/>
    </row>
    <row r="179" spans="6:58" ht="15.6" customHeight="1" x14ac:dyDescent="0.25"/>
    <row r="180" spans="6:58" ht="15.6" customHeight="1" x14ac:dyDescent="0.25"/>
    <row r="181" spans="6:58" ht="15.6" customHeight="1" x14ac:dyDescent="0.25"/>
    <row r="182" spans="6:58" ht="15.6" customHeight="1" x14ac:dyDescent="0.25"/>
    <row r="183" spans="6:58" ht="15.6" customHeight="1" x14ac:dyDescent="0.25"/>
    <row r="184" spans="6:58" ht="15.6" customHeight="1" x14ac:dyDescent="0.25"/>
    <row r="185" spans="6:58" ht="15.6" customHeight="1" x14ac:dyDescent="0.25"/>
    <row r="186" spans="6:58" ht="15.6" customHeight="1" x14ac:dyDescent="0.25"/>
  </sheetData>
  <customSheetViews>
    <customSheetView guid="{BEE73D72-37A1-4B7A-85D2-C39E053A4017}" zeroValues="0">
      <pane ySplit="2" topLeftCell="A3" activePane="bottomLeft" state="frozen"/>
      <selection pane="bottomLeft" activeCell="F8" sqref="F8"/>
      <pageMargins left="0.7" right="0.7" top="0.75" bottom="0.75" header="0.3" footer="0.3"/>
      <pageSetup paperSize="9" orientation="portrait" horizontalDpi="1200" verticalDpi="1200" r:id="rId1"/>
    </customSheetView>
    <customSheetView guid="{81A05B8F-D3E4-4CEB-B8F2-C34A1F15FDB9}" scale="70" zeroValues="0">
      <pane ySplit="1.5454545454545454" topLeftCell="A2" activePane="bottomLeft" state="frozen"/>
      <selection pane="bottomLeft" activeCell="AC1" sqref="AC1"/>
      <pageMargins left="0.7" right="0.7" top="0.75" bottom="0.75" header="0.3" footer="0.3"/>
      <pageSetup paperSize="9" orientation="portrait" horizontalDpi="1200" verticalDpi="1200" r:id="rId2"/>
    </customSheetView>
    <customSheetView guid="{079ED3F8-D23E-413F-B7FA-1C4A43A9CEAB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3"/>
    </customSheetView>
    <customSheetView guid="{BBFF7A3C-7579-4BB0-AAA9-66CE11DC0C92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4"/>
    </customSheetView>
    <customSheetView guid="{386B8780-5573-460C-A780-6C59BEFB4DBF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5"/>
    </customSheetView>
    <customSheetView guid="{748451F5-A0F3-420F-846E-9497A6A574EF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6"/>
    </customSheetView>
  </customSheetViews>
  <phoneticPr fontId="6" type="noConversion"/>
  <pageMargins left="0.7" right="0.7" top="0.75" bottom="0.75" header="0.3" footer="0.3"/>
  <pageSetup paperSize="9" orientation="portrait" horizontalDpi="1200" verticalDpi="12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Path>C:\xampp\htdocs</WorkbookPath>
</file>

<file path=customXml/itemProps1.xml><?xml version="1.0" encoding="utf-8"?>
<ds:datastoreItem xmlns:ds="http://schemas.openxmlformats.org/officeDocument/2006/customXml" ds:itemID="{B5620FED-5977-4740-90F8-36BEDCE3A9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383</vt:i4>
      </vt:variant>
    </vt:vector>
  </HeadingPairs>
  <TitlesOfParts>
    <vt:vector size="403" baseType="lpstr">
      <vt:lpstr>UDs</vt:lpstr>
      <vt:lpstr>Fchs</vt:lpstr>
      <vt:lpstr>Sgmt</vt:lpstr>
      <vt:lpstr>Calnd</vt:lpstr>
      <vt:lpstr>Almnd</vt:lpstr>
      <vt:lpstr>Flts</vt:lpstr>
      <vt:lpstr>EvCnt</vt:lpstr>
      <vt:lpstr>EvGlb</vt:lpstr>
      <vt:lpstr>EvInd</vt:lpstr>
      <vt:lpstr>SEvUd</vt:lpstr>
      <vt:lpstr>EvLkrt</vt:lpstr>
      <vt:lpstr>SUDEjr</vt:lpstr>
      <vt:lpstr>SPrc</vt:lpstr>
      <vt:lpstr>SUDEjrPrc</vt:lpstr>
      <vt:lpstr>SDia</vt:lpstr>
      <vt:lpstr>SSmLis</vt:lpstr>
      <vt:lpstr>SMes</vt:lpstr>
      <vt:lpstr>SSmCua</vt:lpstr>
      <vt:lpstr>SFrms</vt:lpstr>
      <vt:lpstr>Info</vt:lpstr>
      <vt:lpstr>AlAp01</vt:lpstr>
      <vt:lpstr>AlAp02</vt:lpstr>
      <vt:lpstr>AlAp03</vt:lpstr>
      <vt:lpstr>AlAp04</vt:lpstr>
      <vt:lpstr>AlAp05</vt:lpstr>
      <vt:lpstr>AlAp06</vt:lpstr>
      <vt:lpstr>AlAp07</vt:lpstr>
      <vt:lpstr>AlAp08</vt:lpstr>
      <vt:lpstr>AlAp09</vt:lpstr>
      <vt:lpstr>AlAp10</vt:lpstr>
      <vt:lpstr>AlAp11</vt:lpstr>
      <vt:lpstr>AlAp12</vt:lpstr>
      <vt:lpstr>AlAp13</vt:lpstr>
      <vt:lpstr>AlAp14</vt:lpstr>
      <vt:lpstr>AlAp15</vt:lpstr>
      <vt:lpstr>AlAp16</vt:lpstr>
      <vt:lpstr>AlAp17</vt:lpstr>
      <vt:lpstr>AlAp18</vt:lpstr>
      <vt:lpstr>AlAp19</vt:lpstr>
      <vt:lpstr>AlAp20</vt:lpstr>
      <vt:lpstr>AlAp21</vt:lpstr>
      <vt:lpstr>AlAp22</vt:lpstr>
      <vt:lpstr>AlAp23</vt:lpstr>
      <vt:lpstr>AlAp24</vt:lpstr>
      <vt:lpstr>AlAp25</vt:lpstr>
      <vt:lpstr>AlAp26</vt:lpstr>
      <vt:lpstr>AlAp27</vt:lpstr>
      <vt:lpstr>AlAp28</vt:lpstr>
      <vt:lpstr>AlAp29</vt:lpstr>
      <vt:lpstr>AlAp30</vt:lpstr>
      <vt:lpstr>AlCo01</vt:lpstr>
      <vt:lpstr>AlCo02</vt:lpstr>
      <vt:lpstr>AlCo03</vt:lpstr>
      <vt:lpstr>AlCo04</vt:lpstr>
      <vt:lpstr>AlCo05</vt:lpstr>
      <vt:lpstr>AlCo06</vt:lpstr>
      <vt:lpstr>AlCo07</vt:lpstr>
      <vt:lpstr>AlCo08</vt:lpstr>
      <vt:lpstr>AlCo09</vt:lpstr>
      <vt:lpstr>AlCo10</vt:lpstr>
      <vt:lpstr>AlCo11</vt:lpstr>
      <vt:lpstr>AlCo12</vt:lpstr>
      <vt:lpstr>AlCo13</vt:lpstr>
      <vt:lpstr>AlCo14</vt:lpstr>
      <vt:lpstr>AlCo15</vt:lpstr>
      <vt:lpstr>AlCo16</vt:lpstr>
      <vt:lpstr>AlCo17</vt:lpstr>
      <vt:lpstr>AlCo18</vt:lpstr>
      <vt:lpstr>AlCo19</vt:lpstr>
      <vt:lpstr>AlCo20</vt:lpstr>
      <vt:lpstr>AlCo21</vt:lpstr>
      <vt:lpstr>AlCo22</vt:lpstr>
      <vt:lpstr>AlCo23</vt:lpstr>
      <vt:lpstr>AlCo24</vt:lpstr>
      <vt:lpstr>AlCo25</vt:lpstr>
      <vt:lpstr>AlCo26</vt:lpstr>
      <vt:lpstr>AlCo27</vt:lpstr>
      <vt:lpstr>AlCo28</vt:lpstr>
      <vt:lpstr>AlCo29</vt:lpstr>
      <vt:lpstr>AlCo30</vt:lpstr>
      <vt:lpstr>AlEs01</vt:lpstr>
      <vt:lpstr>AlEs02</vt:lpstr>
      <vt:lpstr>AlEs03</vt:lpstr>
      <vt:lpstr>AlEs04</vt:lpstr>
      <vt:lpstr>AlEs05</vt:lpstr>
      <vt:lpstr>AlEs06</vt:lpstr>
      <vt:lpstr>AlEs07</vt:lpstr>
      <vt:lpstr>AlEs08</vt:lpstr>
      <vt:lpstr>AlEs09</vt:lpstr>
      <vt:lpstr>AlEs10</vt:lpstr>
      <vt:lpstr>AlEs11</vt:lpstr>
      <vt:lpstr>AlEs12</vt:lpstr>
      <vt:lpstr>AlEs13</vt:lpstr>
      <vt:lpstr>AlEs14</vt:lpstr>
      <vt:lpstr>AlEs15</vt:lpstr>
      <vt:lpstr>AlEs16</vt:lpstr>
      <vt:lpstr>AlEs17</vt:lpstr>
      <vt:lpstr>AlEs18</vt:lpstr>
      <vt:lpstr>AlEs19</vt:lpstr>
      <vt:lpstr>AlEs20</vt:lpstr>
      <vt:lpstr>AlEs21</vt:lpstr>
      <vt:lpstr>AlEs22</vt:lpstr>
      <vt:lpstr>AlEs23</vt:lpstr>
      <vt:lpstr>AlEs24</vt:lpstr>
      <vt:lpstr>AlEs25</vt:lpstr>
      <vt:lpstr>AlEs26</vt:lpstr>
      <vt:lpstr>AlEs27</vt:lpstr>
      <vt:lpstr>AlEs28</vt:lpstr>
      <vt:lpstr>AlEs29</vt:lpstr>
      <vt:lpstr>AlEs30</vt:lpstr>
      <vt:lpstr>AlNo01</vt:lpstr>
      <vt:lpstr>AlNo02</vt:lpstr>
      <vt:lpstr>AlNo03</vt:lpstr>
      <vt:lpstr>AlNo04</vt:lpstr>
      <vt:lpstr>AlNo05</vt:lpstr>
      <vt:lpstr>AlNo06</vt:lpstr>
      <vt:lpstr>AlNo07</vt:lpstr>
      <vt:lpstr>AlNo08</vt:lpstr>
      <vt:lpstr>AlNo09</vt:lpstr>
      <vt:lpstr>AlNo10</vt:lpstr>
      <vt:lpstr>AlNo11</vt:lpstr>
      <vt:lpstr>AlNo12</vt:lpstr>
      <vt:lpstr>AlNo13</vt:lpstr>
      <vt:lpstr>AlNo14</vt:lpstr>
      <vt:lpstr>AlNo15</vt:lpstr>
      <vt:lpstr>AlNo16</vt:lpstr>
      <vt:lpstr>AlNo17</vt:lpstr>
      <vt:lpstr>AlNo18</vt:lpstr>
      <vt:lpstr>AlNo19</vt:lpstr>
      <vt:lpstr>AlNo20</vt:lpstr>
      <vt:lpstr>AlNo21</vt:lpstr>
      <vt:lpstr>AlNo22</vt:lpstr>
      <vt:lpstr>AlNo23</vt:lpstr>
      <vt:lpstr>AlNo24</vt:lpstr>
      <vt:lpstr>AlNo25</vt:lpstr>
      <vt:lpstr>AlNo26</vt:lpstr>
      <vt:lpstr>AlNo27</vt:lpstr>
      <vt:lpstr>AlNo28</vt:lpstr>
      <vt:lpstr>AlNo29</vt:lpstr>
      <vt:lpstr>AlNo30</vt:lpstr>
      <vt:lpstr>AñoInicioCurso</vt:lpstr>
      <vt:lpstr>Almnd!Área_de_impresión</vt:lpstr>
      <vt:lpstr>Calnd!Área_de_impresión</vt:lpstr>
      <vt:lpstr>EvGlb!Área_de_impresión</vt:lpstr>
      <vt:lpstr>EvInd!Área_de_impresión</vt:lpstr>
      <vt:lpstr>EvLkrt!Área_de_impresión</vt:lpstr>
      <vt:lpstr>Fchs!Área_de_impresión</vt:lpstr>
      <vt:lpstr>SDia!Área_de_impresión</vt:lpstr>
      <vt:lpstr>SEvUd!Área_de_impresión</vt:lpstr>
      <vt:lpstr>SFrms!Área_de_impresión</vt:lpstr>
      <vt:lpstr>Sgmt!Área_de_impresión</vt:lpstr>
      <vt:lpstr>SMes!Área_de_impresión</vt:lpstr>
      <vt:lpstr>SPrc!Área_de_impresión</vt:lpstr>
      <vt:lpstr>SSmCua!Área_de_impresión</vt:lpstr>
      <vt:lpstr>SSmLis!Área_de_impresión</vt:lpstr>
      <vt:lpstr>SUDEjr!Área_de_impresión</vt:lpstr>
      <vt:lpstr>SUDEjrPrc!Área_de_impresión</vt:lpstr>
      <vt:lpstr>UDs!Área_de_impresión</vt:lpstr>
      <vt:lpstr>Calnd!CalendarYear</vt:lpstr>
      <vt:lpstr>SMes!CalendarYear</vt:lpstr>
      <vt:lpstr>SSmCua!CalendarYear</vt:lpstr>
      <vt:lpstr>CoPR01</vt:lpstr>
      <vt:lpstr>CoPR02</vt:lpstr>
      <vt:lpstr>CoPR03</vt:lpstr>
      <vt:lpstr>CoPR04</vt:lpstr>
      <vt:lpstr>CoPR05</vt:lpstr>
      <vt:lpstr>CoPR06</vt:lpstr>
      <vt:lpstr>CoPR07</vt:lpstr>
      <vt:lpstr>CoPR08</vt:lpstr>
      <vt:lpstr>CoPR09</vt:lpstr>
      <vt:lpstr>CoPR10</vt:lpstr>
      <vt:lpstr>CoPR11</vt:lpstr>
      <vt:lpstr>CoPR12</vt:lpstr>
      <vt:lpstr>CoPR13</vt:lpstr>
      <vt:lpstr>CoPR14</vt:lpstr>
      <vt:lpstr>CoPR15</vt:lpstr>
      <vt:lpstr>CoPR16</vt:lpstr>
      <vt:lpstr>CoPR17</vt:lpstr>
      <vt:lpstr>CoPR18</vt:lpstr>
      <vt:lpstr>CoPR19</vt:lpstr>
      <vt:lpstr>CoPR20</vt:lpstr>
      <vt:lpstr>CoPR21</vt:lpstr>
      <vt:lpstr>CoPR22</vt:lpstr>
      <vt:lpstr>CoPR23</vt:lpstr>
      <vt:lpstr>CoPR24</vt:lpstr>
      <vt:lpstr>CoPR25</vt:lpstr>
      <vt:lpstr>CoPR26</vt:lpstr>
      <vt:lpstr>CoPR27</vt:lpstr>
      <vt:lpstr>CoPR28</vt:lpstr>
      <vt:lpstr>CoPR29</vt:lpstr>
      <vt:lpstr>CoPR30</vt:lpstr>
      <vt:lpstr>CoPR31</vt:lpstr>
      <vt:lpstr>CoPR32</vt:lpstr>
      <vt:lpstr>CoPR33</vt:lpstr>
      <vt:lpstr>CoRA01</vt:lpstr>
      <vt:lpstr>CoRA02</vt:lpstr>
      <vt:lpstr>CoRA03</vt:lpstr>
      <vt:lpstr>CoRA04</vt:lpstr>
      <vt:lpstr>CoRA05</vt:lpstr>
      <vt:lpstr>CoRA06</vt:lpstr>
      <vt:lpstr>CoRA07</vt:lpstr>
      <vt:lpstr>CoRA08</vt:lpstr>
      <vt:lpstr>CoRA09</vt:lpstr>
      <vt:lpstr>CoRA10</vt:lpstr>
      <vt:lpstr>CoRA11</vt:lpstr>
      <vt:lpstr>CoRA12</vt:lpstr>
      <vt:lpstr>CoUD00</vt:lpstr>
      <vt:lpstr>CoUD01</vt:lpstr>
      <vt:lpstr>CoUD02</vt:lpstr>
      <vt:lpstr>CoUD03</vt:lpstr>
      <vt:lpstr>CoUD04</vt:lpstr>
      <vt:lpstr>CoUD05</vt:lpstr>
      <vt:lpstr>CoUD06</vt:lpstr>
      <vt:lpstr>CoUD07</vt:lpstr>
      <vt:lpstr>CoUD08</vt:lpstr>
      <vt:lpstr>CoUD09</vt:lpstr>
      <vt:lpstr>CoUD10</vt:lpstr>
      <vt:lpstr>CoUD11</vt:lpstr>
      <vt:lpstr>CoUD12</vt:lpstr>
      <vt:lpstr>CoUD13</vt:lpstr>
      <vt:lpstr>CoUD14</vt:lpstr>
      <vt:lpstr>CoUD15</vt:lpstr>
      <vt:lpstr>CoUD16</vt:lpstr>
      <vt:lpstr>CoUD17</vt:lpstr>
      <vt:lpstr>CoUD18</vt:lpstr>
      <vt:lpstr>CoUD19</vt:lpstr>
      <vt:lpstr>CoUD20</vt:lpstr>
      <vt:lpstr>CoUDCM</vt:lpstr>
      <vt:lpstr>Desviación</vt:lpstr>
      <vt:lpstr>FechaFin1Tri</vt:lpstr>
      <vt:lpstr>FechaFin2Tri</vt:lpstr>
      <vt:lpstr>FechaFin3Tri</vt:lpstr>
      <vt:lpstr>FechaFinEEva</vt:lpstr>
      <vt:lpstr>FechaHoy</vt:lpstr>
      <vt:lpstr>FechaInicio1Tri</vt:lpstr>
      <vt:lpstr>FechaInicio2Tri</vt:lpstr>
      <vt:lpstr>FechaInicio3Tri</vt:lpstr>
      <vt:lpstr>FechaInicioEEva</vt:lpstr>
      <vt:lpstr>FechaIniUD00</vt:lpstr>
      <vt:lpstr>FechaIniUD01</vt:lpstr>
      <vt:lpstr>FechaIniUD02</vt:lpstr>
      <vt:lpstr>FechaIniUD03</vt:lpstr>
      <vt:lpstr>FechaIniUD04</vt:lpstr>
      <vt:lpstr>FechaIniUD05</vt:lpstr>
      <vt:lpstr>FechaIniUD06</vt:lpstr>
      <vt:lpstr>FechaIniUD07</vt:lpstr>
      <vt:lpstr>FechaIniUD08</vt:lpstr>
      <vt:lpstr>FechaIniUD09</vt:lpstr>
      <vt:lpstr>FechaIniUD10</vt:lpstr>
      <vt:lpstr>FechaIniUD11</vt:lpstr>
      <vt:lpstr>FechaIniUD12</vt:lpstr>
      <vt:lpstr>FechaIniUD13</vt:lpstr>
      <vt:lpstr>FechaIniUD14</vt:lpstr>
      <vt:lpstr>FechaIniUD15</vt:lpstr>
      <vt:lpstr>FechaIniUD16</vt:lpstr>
      <vt:lpstr>FechaIniUD17</vt:lpstr>
      <vt:lpstr>FechaIniUD18</vt:lpstr>
      <vt:lpstr>FechaIniUD19</vt:lpstr>
      <vt:lpstr>FechaIniUD20</vt:lpstr>
      <vt:lpstr>H1Tri</vt:lpstr>
      <vt:lpstr>H2Tri</vt:lpstr>
      <vt:lpstr>H3Tri</vt:lpstr>
      <vt:lpstr>HBOA</vt:lpstr>
      <vt:lpstr>HImp1Tri</vt:lpstr>
      <vt:lpstr>HImp2Tri</vt:lpstr>
      <vt:lpstr>HImp3Tri</vt:lpstr>
      <vt:lpstr>HJue</vt:lpstr>
      <vt:lpstr>HLun</vt:lpstr>
      <vt:lpstr>HMar</vt:lpstr>
      <vt:lpstr>HMie</vt:lpstr>
      <vt:lpstr>HPrev1Tri</vt:lpstr>
      <vt:lpstr>HPrev2Tri</vt:lpstr>
      <vt:lpstr>HPrev3Tri</vt:lpstr>
      <vt:lpstr>HReal</vt:lpstr>
      <vt:lpstr>HSem</vt:lpstr>
      <vt:lpstr>HVie</vt:lpstr>
      <vt:lpstr>ICentro</vt:lpstr>
      <vt:lpstr>IModulo</vt:lpstr>
      <vt:lpstr>IProfesor</vt:lpstr>
      <vt:lpstr>Medidas</vt:lpstr>
      <vt:lpstr>NClase</vt:lpstr>
      <vt:lpstr>NPract</vt:lpstr>
      <vt:lpstr>NTri</vt:lpstr>
      <vt:lpstr>NUD</vt:lpstr>
      <vt:lpstr>PEv</vt:lpstr>
      <vt:lpstr>Pon1Tri</vt:lpstr>
      <vt:lpstr>Pon2Tri</vt:lpstr>
      <vt:lpstr>Pon3Tri</vt:lpstr>
      <vt:lpstr>PonCEActitud</vt:lpstr>
      <vt:lpstr>PonCEContenidos</vt:lpstr>
      <vt:lpstr>PonCEEjercicios</vt:lpstr>
      <vt:lpstr>PonCEPracticas</vt:lpstr>
      <vt:lpstr>PonRA01</vt:lpstr>
      <vt:lpstr>PonRA02</vt:lpstr>
      <vt:lpstr>PonRA03</vt:lpstr>
      <vt:lpstr>PonRA04</vt:lpstr>
      <vt:lpstr>PonRA05</vt:lpstr>
      <vt:lpstr>PonRA06</vt:lpstr>
      <vt:lpstr>PonRA07</vt:lpstr>
      <vt:lpstr>PonRA08</vt:lpstr>
      <vt:lpstr>PonRA09</vt:lpstr>
      <vt:lpstr>PonRA10</vt:lpstr>
      <vt:lpstr>PonRA11</vt:lpstr>
      <vt:lpstr>PonRA12</vt:lpstr>
      <vt:lpstr>Pract01</vt:lpstr>
      <vt:lpstr>Pract02</vt:lpstr>
      <vt:lpstr>Pract03</vt:lpstr>
      <vt:lpstr>Pract04</vt:lpstr>
      <vt:lpstr>Pract05</vt:lpstr>
      <vt:lpstr>Pract06</vt:lpstr>
      <vt:lpstr>Pract07</vt:lpstr>
      <vt:lpstr>Pract08</vt:lpstr>
      <vt:lpstr>Pract09</vt:lpstr>
      <vt:lpstr>Pract10</vt:lpstr>
      <vt:lpstr>Pract11</vt:lpstr>
      <vt:lpstr>Pract12</vt:lpstr>
      <vt:lpstr>Pract13</vt:lpstr>
      <vt:lpstr>Pract14</vt:lpstr>
      <vt:lpstr>Pract15</vt:lpstr>
      <vt:lpstr>Pract16</vt:lpstr>
      <vt:lpstr>Pract17</vt:lpstr>
      <vt:lpstr>Pract18</vt:lpstr>
      <vt:lpstr>Pract19</vt:lpstr>
      <vt:lpstr>Pract20</vt:lpstr>
      <vt:lpstr>Pract21</vt:lpstr>
      <vt:lpstr>Pract22</vt:lpstr>
      <vt:lpstr>Pract23</vt:lpstr>
      <vt:lpstr>Pract24</vt:lpstr>
      <vt:lpstr>Pract25</vt:lpstr>
      <vt:lpstr>Pract26</vt:lpstr>
      <vt:lpstr>Pract27</vt:lpstr>
      <vt:lpstr>Pract28</vt:lpstr>
      <vt:lpstr>Pract29</vt:lpstr>
      <vt:lpstr>Pract30</vt:lpstr>
      <vt:lpstr>Pract31</vt:lpstr>
      <vt:lpstr>Pract32</vt:lpstr>
      <vt:lpstr>Pract33</vt:lpstr>
      <vt:lpstr>Calnd!Print_Area</vt:lpstr>
      <vt:lpstr>EvGlb!Print_Area</vt:lpstr>
      <vt:lpstr>EvLkrt!Print_Area</vt:lpstr>
      <vt:lpstr>SEvUd!Print_Area</vt:lpstr>
      <vt:lpstr>SMes!Print_Area</vt:lpstr>
      <vt:lpstr>SSmCua!Print_Area</vt:lpstr>
      <vt:lpstr>SSmLis!Print_Area</vt:lpstr>
      <vt:lpstr>SUDEjrPrc!Print_Area</vt:lpstr>
      <vt:lpstr>ReAp01</vt:lpstr>
      <vt:lpstr>ReAp02</vt:lpstr>
      <vt:lpstr>ReAp03</vt:lpstr>
      <vt:lpstr>ReAp04</vt:lpstr>
      <vt:lpstr>ReAp05</vt:lpstr>
      <vt:lpstr>ReAp06</vt:lpstr>
      <vt:lpstr>ReAp07</vt:lpstr>
      <vt:lpstr>ReAp08</vt:lpstr>
      <vt:lpstr>ReAp09</vt:lpstr>
      <vt:lpstr>ReAp10</vt:lpstr>
      <vt:lpstr>ReAp11</vt:lpstr>
      <vt:lpstr>ReAp12</vt:lpstr>
      <vt:lpstr>Calnd!Títulos_a_imprimir</vt:lpstr>
      <vt:lpstr>EvGlb!Títulos_a_imprimir</vt:lpstr>
      <vt:lpstr>Fchs!Títulos_a_imprimir</vt:lpstr>
      <vt:lpstr>Flts!Títulos_a_imprimir</vt:lpstr>
      <vt:lpstr>SDia!Títulos_a_imprimir</vt:lpstr>
      <vt:lpstr>SEvUd!Títulos_a_imprimir</vt:lpstr>
      <vt:lpstr>SFrms!Títulos_a_imprimir</vt:lpstr>
      <vt:lpstr>SMes!Títulos_a_imprimir</vt:lpstr>
      <vt:lpstr>SPrc!Títulos_a_imprimir</vt:lpstr>
      <vt:lpstr>SSmCua!Títulos_a_imprimir</vt:lpstr>
      <vt:lpstr>SSmLis!Títulos_a_imprimir</vt:lpstr>
      <vt:lpstr>SUDEjr!Títulos_a_imprimir</vt:lpstr>
      <vt:lpstr>SUDEjrPrc!Títulos_a_imprimir</vt:lpstr>
      <vt:lpstr>UDs!Títulos_a_imprimir</vt:lpstr>
      <vt:lpstr>Txt1Tri</vt:lpstr>
      <vt:lpstr>Txt2Tri</vt:lpstr>
      <vt:lpstr>Txt3Tri</vt:lpstr>
      <vt:lpstr>TxtEEv</vt:lpstr>
      <vt:lpstr>TxtPonActitud</vt:lpstr>
      <vt:lpstr>TxtPonContenidos</vt:lpstr>
      <vt:lpstr>TxtPonEjercicios</vt:lpstr>
      <vt:lpstr>TxtPonPracticas</vt:lpstr>
      <vt:lpstr>UnDi00</vt:lpstr>
      <vt:lpstr>UnDi01</vt:lpstr>
      <vt:lpstr>UnDi02</vt:lpstr>
      <vt:lpstr>UnDi03</vt:lpstr>
      <vt:lpstr>UnDi04</vt:lpstr>
      <vt:lpstr>UnDi05</vt:lpstr>
      <vt:lpstr>UnDi06</vt:lpstr>
      <vt:lpstr>UnDi07</vt:lpstr>
      <vt:lpstr>UnDi08</vt:lpstr>
      <vt:lpstr>UnDi09</vt:lpstr>
      <vt:lpstr>UnDi10</vt:lpstr>
      <vt:lpstr>UnDi11</vt:lpstr>
      <vt:lpstr>UnDi12</vt:lpstr>
      <vt:lpstr>UnDi13</vt:lpstr>
      <vt:lpstr>UnDi14</vt:lpstr>
      <vt:lpstr>UnDi15</vt:lpstr>
      <vt:lpstr>UnDi16</vt:lpstr>
      <vt:lpstr>UnDi17</vt:lpstr>
      <vt:lpstr>UnDi18</vt:lpstr>
      <vt:lpstr>UnDi19</vt:lpstr>
      <vt:lpstr>UnDi20</vt:lpstr>
      <vt:lpstr>UnDiCM</vt:lpstr>
      <vt:lpstr>Vdias</vt:lpstr>
      <vt:lpstr>Vmeses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Cuaderno del profesor</dc:title>
  <dc:subject>Seguimiento labor docente</dc:subject>
  <dc:creator>Rafael Sanz Prades</dc:creator>
  <cp:lastModifiedBy>Rafael Sanz Prades</cp:lastModifiedBy>
  <cp:revision>1</cp:revision>
  <cp:lastPrinted>2026-03-12T17:11:19Z</cp:lastPrinted>
  <dcterms:created xsi:type="dcterms:W3CDTF">2015-06-25T14:28:19Z</dcterms:created>
  <dcterms:modified xsi:type="dcterms:W3CDTF">2026-03-18T15:10:23Z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Path">
    <vt:lpwstr>{B5620FED-5977-4740-90F8-36BEDCE3A9EF}</vt:lpwstr>
  </property>
  <property fmtid="{D5CDD505-2E9C-101B-9397-08002B2CF9AE}" pid="10" name="Last Edited">
    <vt:lpwstr>22/02/2026 10:15:51 +00:00</vt:lpwstr>
  </property>
</Properties>
</file>